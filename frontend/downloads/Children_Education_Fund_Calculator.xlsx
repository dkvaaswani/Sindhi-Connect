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_rels/drawing1.xml.rels" ContentType="application/vnd.openxmlformats-package.relationships+xml"/>
  <Override PartName="/xl/drawings/vmlDrawing1.vml" ContentType="application/vnd.openxmlformats-officedocument.vmlDrawing"/>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6.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arent Inputs" sheetId="1" state="visible" r:id="rId3"/>
    <sheet name="Education Cost Database" sheetId="2" state="visible" r:id="rId4"/>
    <sheet name="Assumptions and Currency" sheetId="3" state="visible" r:id="rId5"/>
    <sheet name="Education Cost Forecast" sheetId="4" state="visible" r:id="rId6"/>
    <sheet name="Savings Calculator" sheetId="5" state="visible" r:id="rId7"/>
    <sheet name="Parent Dashboard" sheetId="6" state="visible" r:id="rId8"/>
    <sheet name="Research Sources &amp; Methodology" sheetId="7" state="visible" r:id="rId9"/>
  </sheets>
  <definedNames>
    <definedName function="false" hidden="false" name="AssumptionsValid" vbProcedure="false">'Parent Inputs'!$E$20</definedName>
    <definedName function="false" hidden="false" name="AV_Adm" vbProcedure="false">'Education Cost Database'!$L$183:$L$222</definedName>
    <definedName function="false" hidden="false" name="AV_Ccy" vbProcedure="false">'Education Cost Database'!$E$183:$E$222</definedName>
    <definedName function="false" hidden="false" name="AV_Count" vbProcedure="false">'Education Cost Database'!$F$183:$F$222</definedName>
    <definedName function="false" hidden="false" name="AV_FYS" vbProcedure="false">'Education Cost Database'!$O$183:$O$222</definedName>
    <definedName function="false" hidden="false" name="AV_Key" vbProcedure="false">'Education Cost Database'!$A$183:$A$222</definedName>
    <definedName function="false" hidden="false" name="AV_Label" vbProcedure="false">'Education Cost Database'!$R$183:$R$222</definedName>
    <definedName function="false" hidden="false" name="AV_Other" vbProcedure="false">'Education Cost Database'!$K$183:$K$222</definedName>
    <definedName function="false" hidden="false" name="AV_OtherOT" vbProcedure="false">'Education Cost Database'!$M$183:$M$222</definedName>
    <definedName function="false" hidden="false" name="AV_Tuition" vbProcedure="false">'Education Cost Database'!$G$183:$G$222</definedName>
    <definedName function="false" hidden="false" name="CD_Key" vbProcedure="false">'Education Cost Database'!$A$239:$A$400</definedName>
    <definedName function="false" hidden="false" name="CD_Years" vbProcedure="false">'Education Cost Database'!$D$239:$D$400</definedName>
    <definedName function="false" hidden="false" name="Cont" vbProcedure="false">'Parent Inputs'!$D$16</definedName>
    <definedName function="false" hidden="false" name="ContribMode" vbProcedure="false">'Parent Inputs'!$D$18</definedName>
    <definedName function="false" hidden="false" name="CO_Cat" vbProcedure="false">'Assumptions and Currency'!$C$24:$C$29</definedName>
    <definedName function="false" hidden="false" name="CO_Ccy" vbProcedure="false">'Assumptions and Currency'!$B$24:$B$29</definedName>
    <definedName function="false" hidden="false" name="CO_Dur" vbProcedure="false">'Assumptions and Currency'!$D$24:$D$29</definedName>
    <definedName function="false" hidden="false" name="CO_LivInf" vbProcedure="false">'Assumptions and Currency'!$F$24:$F$29</definedName>
    <definedName function="false" hidden="false" name="CO_Name" vbProcedure="false">'Assumptions and Currency'!$A$24:$A$29</definedName>
    <definedName function="false" hidden="false" name="CO_TuiInf" vbProcedure="false">'Assumptions and Currency'!$E$24:$E$29</definedName>
    <definedName function="false" hidden="false" name="DefCont" vbProcedure="false">'Assumptions and Currency'!$B$8</definedName>
    <definedName function="false" hidden="false" name="DefEntryAge" vbProcedure="false">'Assumptions and Currency'!$B$6</definedName>
    <definedName function="false" hidden="false" name="DefEsc" vbProcedure="false">'Assumptions and Currency'!$B$7</definedName>
    <definedName function="false" hidden="false" name="DefFxDrift" vbProcedure="false">'Assumptions and Currency'!$B$9</definedName>
    <definedName function="false" hidden="false" name="EC_Acc" vbProcedure="false">'Education Cost Database'!$M$5:$M$177</definedName>
    <definedName function="false" hidden="false" name="EC_Adm" vbProcedure="false">'Education Cost Database'!$T$5:$T$177</definedName>
    <definedName function="false" hidden="false" name="EC_Books" vbProcedure="false">'Education Cost Database'!$Q$5:$Q$177</definedName>
    <definedName function="false" hidden="false" name="EC_Cat" vbProcedure="false">'Education Cost Database'!$G$5:$G$177</definedName>
    <definedName function="false" hidden="false" name="EC_Ccy" vbProcedure="false">'Education Cost Database'!$X$5:$X$177</definedName>
    <definedName function="false" hidden="false" name="EC_Country" vbProcedure="false">'Education Cost Database'!$B$5:$B$177</definedName>
    <definedName function="false" hidden="false" name="EC_Dur" vbProcedure="false">'Education Cost Database'!$K$5:$K$177</definedName>
    <definedName function="false" hidden="false" name="EC_Food" vbProcedure="false">'Education Cost Database'!$N$5:$N$177</definedName>
    <definedName function="false" hidden="false" name="EC_FYS" vbProcedure="false">'Education Cost Database'!$J$5:$J$177</definedName>
    <definedName function="false" hidden="false" name="EC_Inc" vbProcedure="false">'Education Cost Database'!$Z$5:$Z$177</definedName>
    <definedName function="false" hidden="false" name="EC_Ins" vbProcedure="false">'Education Cost Database'!$P$5:$P$177</definedName>
    <definedName function="false" hidden="false" name="EC_Key" vbProcedure="false">'Education Cost Database'!$AG$5:$AG$177</definedName>
    <definedName function="false" hidden="false" name="EC_Key3" vbProcedure="false">'Education Cost Database'!$AH$5:$AH$177</definedName>
    <definedName function="false" hidden="false" name="EC_LivRec" vbProcedure="false">'Education Cost Database'!$Y$5:$Y$177</definedName>
    <definedName function="false" hidden="false" name="EC_Other" vbProcedure="false">'Education Cost Database'!$S$5:$S$177</definedName>
    <definedName function="false" hidden="false" name="EC_OtherOT" vbProcedure="false">'Education Cost Database'!$W$5:$W$177</definedName>
    <definedName function="false" hidden="false" name="EC_Personal" vbProcedure="false">'Education Cost Database'!$R$5:$R$177</definedName>
    <definedName function="false" hidden="false" name="EC_Qual" vbProcedure="false">'Education Cost Database'!$C$5:$C$177</definedName>
    <definedName function="false" hidden="false" name="EC_Trans" vbProcedure="false">'Education Cost Database'!$O$5:$O$177</definedName>
    <definedName function="false" hidden="false" name="EC_Tuition" vbProcedure="false">'Education Cost Database'!$L$5:$L$177</definedName>
    <definedName function="false" hidden="false" name="EC_Uni" vbProcedure="false">'Education Cost Database'!$E$5:$E$177</definedName>
    <definedName function="false" hidden="false" name="Esc" vbProcedure="false">'Parent Inputs'!$D$15</definedName>
    <definedName function="false" hidden="false" name="FamCountry" vbProcedure="false">'Parent Inputs'!$D$9</definedName>
    <definedName function="false" hidden="false" name="FamEntryAge" vbProcedure="false">'Parent Inputs'!$D$11</definedName>
    <definedName function="false" hidden="false" name="FxDrift" vbProcedure="false">'Parent Inputs'!$D$17</definedName>
    <definedName function="false" hidden="false" name="FX_Ccy" vbProcedure="false">'Assumptions and Currency'!$A$14:$A$19</definedName>
    <definedName function="false" hidden="false" name="FX_Date" vbProcedure="false">'Assumptions and Currency'!$C$14</definedName>
    <definedName function="false" hidden="false" name="FX_Rate" vbProcedure="false">'Assumptions and Currency'!$B$14:$B$19</definedName>
    <definedName function="false" hidden="false" name="LivInf" vbProcedure="false">'Parent Inputs'!$D$14</definedName>
    <definedName function="false" hidden="false" name="LST_Cat" vbProcedure="false">'Assumptions and Currency'!$M$5:$M$10</definedName>
    <definedName function="false" hidden="false" name="LST_Ccy" vbProcedure="false">'Assumptions and Currency'!$K$5:$K$10</definedName>
    <definedName function="false" hidden="false" name="LST_Country" vbProcedure="false">'Assumptions and Currency'!$J$5:$J$10</definedName>
    <definedName function="false" hidden="false" name="LST_Mode" vbProcedure="false">'Assumptions and Currency'!$O$5:$O$6</definedName>
    <definedName function="false" hidden="false" name="LST_Qual" vbProcedure="false">'Assumptions and Currency'!$L$5:$L$35</definedName>
    <definedName function="false" hidden="false" name="LST_Uni" vbProcedure="false">'Assumptions and Currency'!$N$5:$N$33</definedName>
    <definedName function="false" hidden="false" name="LV_Acc" vbProcedure="false">'Education Cost Database'!$E$228:$E$234</definedName>
    <definedName function="false" hidden="false" name="LV_Books" vbProcedure="false">'Education Cost Database'!$I$228:$I$234</definedName>
    <definedName function="false" hidden="false" name="LV_Ccy" vbProcedure="false">'Education Cost Database'!$D$228:$D$234</definedName>
    <definedName function="false" hidden="false" name="LV_Comb" vbProcedure="false">'Education Cost Database'!$K$228:$K$234</definedName>
    <definedName function="false" hidden="false" name="LV_Country" vbProcedure="false">'Education Cost Database'!$B$228:$B$234</definedName>
    <definedName function="false" hidden="false" name="LV_Food" vbProcedure="false">'Education Cost Database'!$F$228:$F$234</definedName>
    <definedName function="false" hidden="false" name="LV_Ins" vbProcedure="false">'Education Cost Database'!$H$228:$H$234</definedName>
    <definedName function="false" hidden="false" name="LV_Key" vbProcedure="false">'Education Cost Database'!$A$228:$A$234</definedName>
    <definedName function="false" hidden="false" name="LV_Personal" vbProcedure="false">'Education Cost Database'!$J$228:$J$234</definedName>
    <definedName function="false" hidden="false" name="LV_Total" vbProcedure="false">'Education Cost Database'!$M$228:$M$234</definedName>
    <definedName function="false" hidden="false" name="LV_Trans" vbProcedure="false">'Education Cost Database'!$G$228:$G$234</definedName>
    <definedName function="false" hidden="false" name="LV_Visa" vbProcedure="false">'Education Cost Database'!$L$228:$L$234</definedName>
    <definedName function="false" hidden="false" name="MonthlyFactor" vbProcedure="false">'Assumptions and Currency'!$B$43</definedName>
    <definedName function="false" hidden="false" name="NumChildren" vbProcedure="false">'Parent Inputs'!$D$6</definedName>
    <definedName function="false" hidden="false" name="PlanStartYear" vbProcedure="false">'Assumptions and Currency'!$B$5</definedName>
    <definedName function="false" hidden="false" name="RepCcy" vbProcedure="false">'Parent Inputs'!$D$10</definedName>
    <definedName function="false" hidden="false" name="RetRate" vbProcedure="false">'Parent Inputs'!$D$12</definedName>
    <definedName function="false" hidden="false" name="RT_Ccy" vbProcedure="false">'Assumptions and Currency'!$A$34:$A$39</definedName>
    <definedName function="false" hidden="false" name="RT_Ret" vbProcedure="false">'Assumptions and Currency'!$B$34:$B$39</definedName>
    <definedName function="false" hidden="false" name="ScenarioSpread" vbProcedure="false">'Assumptions and Currency'!$B$10</definedName>
    <definedName function="false" hidden="false" name="TuiInf" vbProcedure="false">'Parent Inputs'!$D$13</definedName>
    <definedName function="false" hidden="false" name="UnitFactor" vbProcedure="false">'Assumptions and Currency'!$B$44</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C3" authorId="0">
      <text>
        <r>
          <rPr>
            <sz val="10"/>
            <rFont val="Arial"/>
            <family val="2"/>
          </rPr>
          <t xml:space="preserve">Yellow cells are unlocked. Sheets are protected without a password: Review → Unprotect Sheet.</t>
        </r>
      </text>
    </comment>
  </commentList>
</comments>
</file>

<file path=xl/sharedStrings.xml><?xml version="1.0" encoding="utf-8"?>
<sst xmlns="http://schemas.openxmlformats.org/spreadsheetml/2006/main" count="3283" uniqueCount="755">
  <si>
    <t xml:space="preserve">Children's Future Education Fund Calculator</t>
  </si>
  <si>
    <t xml:space="preserve">Plan today for your children's education tomorrow. Fill in the yellow cells; everything else calculates. Results are estimates based on the assumptions you choose — not a guarantee of future costs or investment returns.</t>
  </si>
  <si>
    <t xml:space="preserve">Legend:</t>
  </si>
  <si>
    <t xml:space="preserve">Your input</t>
  </si>
  <si>
    <t xml:space="preserve">Calculated</t>
  </si>
  <si>
    <t xml:space="preserve">Family details and assumptions</t>
  </si>
  <si>
    <t xml:space="preserve">Value used</t>
  </si>
  <si>
    <t xml:space="preserve">Check</t>
  </si>
  <si>
    <t xml:space="preserve">Number of children (1–4)</t>
  </si>
  <si>
    <t xml:space="preserve">Parent or family label (optional)</t>
  </si>
  <si>
    <t xml:space="preserve">Example family</t>
  </si>
  <si>
    <t xml:space="preserve">Current country of residence</t>
  </si>
  <si>
    <t xml:space="preserve">Qatar</t>
  </si>
  <si>
    <t xml:space="preserve">Planned country of education</t>
  </si>
  <si>
    <t xml:space="preserve">Pakistan</t>
  </si>
  <si>
    <t xml:space="preserve">Preferred reporting currency (blank = education country's currency)</t>
  </si>
  <si>
    <t xml:space="preserve">Expected age at the start of college (default 18)</t>
  </si>
  <si>
    <t xml:space="preserve">Expected annual investment return (blank = default for reporting currency)</t>
  </si>
  <si>
    <t xml:space="preserve">Expected tuition inflation (blank = default for education country)</t>
  </si>
  <si>
    <t xml:space="preserve">Expected living-cost inflation (blank = default)</t>
  </si>
  <si>
    <t xml:space="preserve">Expected annual increase in parent contributions</t>
  </si>
  <si>
    <t xml:space="preserve">Contingency allowance</t>
  </si>
  <si>
    <t xml:space="preserve">Annual exchange-rate drift (your currency vs fee currency)</t>
  </si>
  <si>
    <t xml:space="preserve">Contribution timing: Monthly or Annual</t>
  </si>
  <si>
    <t xml:space="preserve">Monthly</t>
  </si>
  <si>
    <t xml:space="preserve">Scholarships and other funding are entered for each child below. Investment returns are assumptions, not guarantees; zero or negative returns are allowed.</t>
  </si>
  <si>
    <t xml:space="preserve">Assumptions valid?</t>
  </si>
  <si>
    <t xml:space="preserve">Children</t>
  </si>
  <si>
    <t xml:space="preserve">Child 1</t>
  </si>
  <si>
    <t xml:space="preserve">Child 2</t>
  </si>
  <si>
    <t xml:space="preserve">Child 3</t>
  </si>
  <si>
    <t xml:space="preserve">Child 4</t>
  </si>
  <si>
    <t xml:space="preserve">Status</t>
  </si>
  <si>
    <t xml:space="preserve">Child's name</t>
  </si>
  <si>
    <t xml:space="preserve">Current age (whole years)</t>
  </si>
  <si>
    <t xml:space="preserve">Ages are whole years. If the college-entry age is not after the current age, costs start now and an up-front lump sum may be needed.</t>
  </si>
  <si>
    <t xml:space="preserve">Current school class or grade</t>
  </si>
  <si>
    <t xml:space="preserve">Grade 5</t>
  </si>
  <si>
    <t xml:space="preserve">Grade 1</t>
  </si>
  <si>
    <t xml:space="preserve">Expected college-entry age (blank = family setting)</t>
  </si>
  <si>
    <t xml:space="preserve">Intended education country (blank = family selection)</t>
  </si>
  <si>
    <t xml:space="preserve">Student category (blank = country default)</t>
  </si>
  <si>
    <t xml:space="preserve">Preferred qualification</t>
  </si>
  <si>
    <t xml:space="preserve">Computer Science</t>
  </si>
  <si>
    <t xml:space="preserve">Medicine — MBBS/MD</t>
  </si>
  <si>
    <t xml:space="preserve">Business Administration</t>
  </si>
  <si>
    <t xml:space="preserve">Accounting and Finance</t>
  </si>
  <si>
    <t xml:space="preserve">ACCA, CPA and CA are professional qualifications, not standard degrees. Costs usually combine registration/annual subscription, per-exam fees, tuition-provider fees, and any degree studied alongside; exemptions can reduce the number of exams. No verified benchmark is included yet – enter your own estimate for each component.</t>
  </si>
  <si>
    <t xml:space="preserve">Custom qualification name (if 'Other / Custom')</t>
  </si>
  <si>
    <t xml:space="preserve">Specialisation (optional)</t>
  </si>
  <si>
    <t xml:space="preserve">University (blank or 'University average' = average)</t>
  </si>
  <si>
    <t xml:space="preserve">University average</t>
  </si>
  <si>
    <t xml:space="preserve">Pick a named university only if it appears in the database for the same country, qualification and category; otherwise the average is used and a note is shown on the forecast sheet.</t>
  </si>
  <si>
    <t xml:space="preserve">Course duration in years (blank = default)</t>
  </si>
  <si>
    <t xml:space="preserve">Existing education savings (reporting currency)</t>
  </si>
  <si>
    <t xml:space="preserve">Existing monthly contribution</t>
  </si>
  <si>
    <t xml:space="preserve">Existing annual contribution</t>
  </si>
  <si>
    <t xml:space="preserve">Planned scholarship: % of tuition</t>
  </si>
  <si>
    <t xml:space="preserve">Planned scholarship: fixed amount per study year (reporting currency)</t>
  </si>
  <si>
    <t xml:space="preserve">Other education funding at college start (reporting currency)</t>
  </si>
  <si>
    <t xml:space="preserve">Optional cost overrides — in the fee currency shown on 'Education Cost Forecast'. Leave blank to use the researched benchmark. Anything typed here is a USER OVERRIDE, not a verified university fee.</t>
  </si>
  <si>
    <t xml:space="preserve">Tuition per year</t>
  </si>
  <si>
    <t xml:space="preserve">Other mandatory fees per year</t>
  </si>
  <si>
    <t xml:space="preserve">Accommodation per year</t>
  </si>
  <si>
    <t xml:space="preserve">Food per year</t>
  </si>
  <si>
    <t xml:space="preserve">Transport per year</t>
  </si>
  <si>
    <t xml:space="preserve">Health insurance per year</t>
  </si>
  <si>
    <t xml:space="preserve">Books and equipment per year</t>
  </si>
  <si>
    <t xml:space="preserve">Personal and other living per year</t>
  </si>
  <si>
    <t xml:space="preserve">Living costs (combined) per year</t>
  </si>
  <si>
    <t xml:space="preserve">One-time admission fees</t>
  </si>
  <si>
    <t xml:space="preserve">Visa and application costs</t>
  </si>
  <si>
    <t xml:space="preserve">Initial travel and relocation</t>
  </si>
  <si>
    <t xml:space="preserve">Other one-time costs</t>
  </si>
  <si>
    <t xml:space="preserve">Education Cost Database</t>
  </si>
  <si>
    <t xml:space="preserve">Researched fees (tblEducationCosts), university averages (tblTuitionBenchmarks), living costs (tblLivingCosts) and course durations (tblCourseDurations). Add a record by typing in the first empty row inside a table; set 'Include in average' to No for historical, estimated-range or regulatory figures. Verified 2026-10-02.</t>
  </si>
  <si>
    <t xml:space="preserve">ID</t>
  </si>
  <si>
    <t xml:space="preserve">Country</t>
  </si>
  <si>
    <t xml:space="preserve">Qualification</t>
  </si>
  <si>
    <t xml:space="preserve">Specialisation</t>
  </si>
  <si>
    <t xml:space="preserve">University Name</t>
  </si>
  <si>
    <t xml:space="preserve">Institution Type</t>
  </si>
  <si>
    <t xml:space="preserve">Student Category</t>
  </si>
  <si>
    <t xml:space="preserve">Programme Level</t>
  </si>
  <si>
    <t xml:space="preserve">Academic Fee Year</t>
  </si>
  <si>
    <t xml:space="preserve">Fee Year Start</t>
  </si>
  <si>
    <t xml:space="preserve">Programme Duration</t>
  </si>
  <si>
    <t xml:space="preserve">Annual Tuition Fee</t>
  </si>
  <si>
    <t xml:space="preserve">Accommodation Per Year</t>
  </si>
  <si>
    <t xml:space="preserve">Food Per Year</t>
  </si>
  <si>
    <t xml:space="preserve">Transport Per Year</t>
  </si>
  <si>
    <t xml:space="preserve">Health Insurance Per Year</t>
  </si>
  <si>
    <t xml:space="preserve">Books and Equipment Per Year</t>
  </si>
  <si>
    <t xml:space="preserve">Personal and Other Living Per Year</t>
  </si>
  <si>
    <t xml:space="preserve">Other Mandatory Annual Fees</t>
  </si>
  <si>
    <t xml:space="preserve">One-Time Admission Fees</t>
  </si>
  <si>
    <t xml:space="preserve">Visa and Application Costs</t>
  </si>
  <si>
    <t xml:space="preserve">Initial Travel and Relocation Costs</t>
  </si>
  <si>
    <t xml:space="preserve">Other One-Time Costs</t>
  </si>
  <si>
    <t xml:space="preserve">Currency</t>
  </si>
  <si>
    <t xml:space="preserve">Living Costs From This Record</t>
  </si>
  <si>
    <t xml:space="preserve">Include In Average</t>
  </si>
  <si>
    <t xml:space="preserve">Official Source URL</t>
  </si>
  <si>
    <t xml:space="preserve">Source Publication or Academic Year</t>
  </si>
  <si>
    <t xml:space="preserve">Last Verified Date</t>
  </si>
  <si>
    <t xml:space="preserve">Benchmark Type</t>
  </si>
  <si>
    <t xml:space="preserve">Data Confidence or Verification Status</t>
  </si>
  <si>
    <t xml:space="preserve">Notes and Exclusions</t>
  </si>
  <si>
    <t xml:space="preserve">Key</t>
  </si>
  <si>
    <t xml:space="preserve">Key3</t>
  </si>
  <si>
    <t xml:space="preserve">R001</t>
  </si>
  <si>
    <t xml:space="preserve">Mechanical Engineering</t>
  </si>
  <si>
    <t xml:space="preserve">Engineering (all BE disciplines share this fee band)</t>
  </si>
  <si>
    <t xml:space="preserve">NUST Islamabad</t>
  </si>
  <si>
    <t xml:space="preserve">Public</t>
  </si>
  <si>
    <t xml:space="preserve">Pakistani national</t>
  </si>
  <si>
    <t xml:space="preserve">Undergraduate</t>
  </si>
  <si>
    <t xml:space="preserve">2026-27</t>
  </si>
  <si>
    <t xml:space="preserve">PKR</t>
  </si>
  <si>
    <t xml:space="preserve">No</t>
  </si>
  <si>
    <t xml:space="preserve">Yes</t>
  </si>
  <si>
    <t xml:space="preserve">https://nust.edu.pk/admissions/fee-structure/undergraduate-financial-matters/</t>
  </si>
  <si>
    <t xml:space="preserve">NUST Undergraduate Financial Matters 2026-27</t>
  </si>
  <si>
    <t xml:space="preserve">2026-10-02</t>
  </si>
  <si>
    <t xml:space="preserve">Current</t>
  </si>
  <si>
    <t xml:space="preserve">Verified – official source</t>
  </si>
  <si>
    <t xml:space="preserve">Tuition PKR 216,750 per semester x 2. Other = sports/library/health/IT PKR 5,000 per semester x 2. One-time = admission processing fee; refundable security deposit PKR 10,000 excluded. Hostel not included.</t>
  </si>
  <si>
    <t xml:space="preserve">R002</t>
  </si>
  <si>
    <t xml:space="preserve">Electrical Engineering</t>
  </si>
  <si>
    <t xml:space="preserve">R003</t>
  </si>
  <si>
    <t xml:space="preserve">Civil Engineering</t>
  </si>
  <si>
    <t xml:space="preserve">R004</t>
  </si>
  <si>
    <t xml:space="preserve">BS Computer Science</t>
  </si>
  <si>
    <t xml:space="preserve">R005</t>
  </si>
  <si>
    <t xml:space="preserve">NUST Business School</t>
  </si>
  <si>
    <t xml:space="preserve">Tuition PKR 302,950 per semester x 2 (business studies band). Other = PKR 10,000 services + PKR 15,000 HBS licensing. Refundable security deposit excluded.</t>
  </si>
  <si>
    <t xml:space="preserve">R006</t>
  </si>
  <si>
    <t xml:space="preserve">R007</t>
  </si>
  <si>
    <t xml:space="preserve">International</t>
  </si>
  <si>
    <t xml:space="preserve">USD</t>
  </si>
  <si>
    <t xml:space="preserve">International students pay in USD. Other = health facilities USD 120. Refundable security deposit USD 250 excluded.</t>
  </si>
  <si>
    <t xml:space="preserve">R008</t>
  </si>
  <si>
    <t xml:space="preserve">R009</t>
  </si>
  <si>
    <t xml:space="preserve">International students pay in USD. Other = health facilities USD 120 + HBS licensing USD 50. Refundable security deposit USD 250 excluded.</t>
  </si>
  <si>
    <t xml:space="preserve">R010</t>
  </si>
  <si>
    <t xml:space="preserve">R011</t>
  </si>
  <si>
    <t xml:space="preserve">BS Computer Science (SBASSE)</t>
  </si>
  <si>
    <t xml:space="preserve">LUMS Lahore</t>
  </si>
  <si>
    <t xml:space="preserve">Private</t>
  </si>
  <si>
    <t xml:space="preserve">https://lums.edu.pk/programmes/bs-computer-science</t>
  </si>
  <si>
    <t xml:space="preserve">LUMS programme page, FY 2026-27 Year 1 fee breakdown</t>
  </si>
  <si>
    <t xml:space="preserve">Derived from official source</t>
  </si>
  <si>
    <t xml:space="preserve">Tuition = PKR 45,800 per credit hour x 34 credit hours (Year 1). Year-1 total PKR 2,182,200 less admission (176,600), general security (67,000) and tuition gives other annual = SBASSE fee + 2 semester registrations (derived by subtraction). Hostel optional PKR 71,900-98,800 per semester.</t>
  </si>
  <si>
    <t xml:space="preserve">R012</t>
  </si>
  <si>
    <t xml:space="preserve">BS Electrical Engineering (SBASSE)</t>
  </si>
  <si>
    <t xml:space="preserve">https://lums.edu.pk/programmes/bs-electrical-engineering</t>
  </si>
  <si>
    <t xml:space="preserve">R013</t>
  </si>
  <si>
    <t xml:space="preserve">BSc (Hons) Accounting and Finance</t>
  </si>
  <si>
    <t xml:space="preserve">https://lums.edu.pk/programmes/bsc-honours-accounting-and-finance</t>
  </si>
  <si>
    <t xml:space="preserve">Tuition = PKR 45,800 per credit hour x 33 credit hours (Year 1). Other = semester registration PKR 56,100 x 2. General security PKR 67,000 excluded. Hostel optional.</t>
  </si>
  <si>
    <t xml:space="preserve">R014</t>
  </si>
  <si>
    <t xml:space="preserve">BSc (Hons) Management Science (closest BBA equivalent)</t>
  </si>
  <si>
    <t xml:space="preserve">https://lums.edu.pk/programmes/bsc-honours-management-science</t>
  </si>
  <si>
    <t xml:space="preserve">R015</t>
  </si>
  <si>
    <t xml:space="preserve">IBA Karachi</t>
  </si>
  <si>
    <t xml:space="preserve">https://www.iba.edu.pk/fee-structure-between-fall-2022-till-spring-2025.php</t>
  </si>
  <si>
    <t xml:space="preserve">IBA Karachi fee structure FY 2026-27 (Fall 2026 admission)</t>
  </si>
  <si>
    <t xml:space="preserve">Estimated</t>
  </si>
  <si>
    <t xml:space="preserve">Estimated from official per-credit rate</t>
  </si>
  <si>
    <t xml:space="preserve">Official rate PKR 31,500 per credit hour; annual tuition estimated at 33 credit hours per year (not published). One-time = admission PKR 115,000 + orientation course PKR 40,000. 3% Sindh sales tax where applicable not included. Other = student activity charges PKR 7,000 per semester.</t>
  </si>
  <si>
    <t xml:space="preserve">R016</t>
  </si>
  <si>
    <t xml:space="preserve">Official rate PKR 31,500 per credit hour; annual tuition estimated at 33 credit hours per year (not published). One-time = admission PKR 115,000 + orientation course PKR 40,000. 3% Sindh sales tax where applicable not included.</t>
  </si>
  <si>
    <t xml:space="preserve">R017</t>
  </si>
  <si>
    <t xml:space="preserve">R018</t>
  </si>
  <si>
    <t xml:space="preserve">MBBS</t>
  </si>
  <si>
    <t xml:space="preserve">Aga Khan University Karachi</t>
  </si>
  <si>
    <t xml:space="preserve">2027 (class entering 2027)</t>
  </si>
  <si>
    <t xml:space="preserve">https://www.aku.edu/admissions/Documents/fee-structure-MBBS.pdf</t>
  </si>
  <si>
    <t xml:space="preserve">AKU MBBS fee structure, academic year 2027</t>
  </si>
  <si>
    <t xml:space="preserve">Year-1 tuition; published schedule rises to PKR 2,499,000 by year 5 (~10%/yr). Other = university fee PKR 1,872,000 + student health PKR 32,000 + activity PKR 5,000 (year-1 values). One-time = admission 255,000 + physical exam 23,000 + immunisation 11,000. Accommodation = hostel PKR 45,000/month x 12. Food not published: add your own estimate.</t>
  </si>
  <si>
    <t xml:space="preserve">R019</t>
  </si>
  <si>
    <t xml:space="preserve">NUST School of Health Sciences</t>
  </si>
  <si>
    <t xml:space="preserve">2023-24</t>
  </si>
  <si>
    <t xml:space="preserve">https://nust.edu.pk/admissions/NSHS/fee-structure/</t>
  </si>
  <si>
    <t xml:space="preserve">NUST MBBS fee structure (page shows session 2023-24)</t>
  </si>
  <si>
    <t xml:space="preserve">Historical</t>
  </si>
  <si>
    <t xml:space="preserve">Historical – excluded from average</t>
  </si>
  <si>
    <t xml:space="preserve">Page labelled 2025-26 but document content is session 2023-24. Year-1 tuition (rises to 1,823,260 by year 5). Other = medical/library/sports 15,000 + administrative 300,000 + PM&amp;DC registration 10,000.</t>
  </si>
  <si>
    <t xml:space="preserve">R020</t>
  </si>
  <si>
    <t xml:space="preserve">MBBS (regulatory cap)</t>
  </si>
  <si>
    <t xml:space="preserve">PM&amp;DC cap – private medical colleges</t>
  </si>
  <si>
    <t xml:space="preserve">Regulatory reference</t>
  </si>
  <si>
    <t xml:space="preserve">2025-26</t>
  </si>
  <si>
    <t xml:space="preserve">https://pmdc.pk/Documents/press/Tuition%20Fee%20Cap%20for%20Private%20Medical%20Colleges.pdf</t>
  </si>
  <si>
    <t xml:space="preserve">PM&amp;DC press release: tuition fee cap for private medical colleges</t>
  </si>
  <si>
    <t xml:space="preserve">Regulatory cap – not a university fee; excluded from average</t>
  </si>
  <si>
    <t xml:space="preserve">Maximum annual tuition (PKR 1.8m; up to 2.5m with PM&amp;DC approval). CPI-linked increases allowed. Tuition only.</t>
  </si>
  <si>
    <t xml:space="preserve">R021</t>
  </si>
  <si>
    <t xml:space="preserve">India</t>
  </si>
  <si>
    <t xml:space="preserve">B.Tech (all branches share this fee)</t>
  </si>
  <si>
    <t xml:space="preserve">IIT Bombay</t>
  </si>
  <si>
    <t xml:space="preserve">Indian national (general category)</t>
  </si>
  <si>
    <t xml:space="preserve">INR</t>
  </si>
  <si>
    <t xml:space="preserve">https://acad.iitb.ac.in/files/Fee_Circular_UG_Spring%20Semester%20_2025-26_0.pdf</t>
  </si>
  <si>
    <t xml:space="preserve">IIT Bombay UG fee circular, Spring semester 2025-26</t>
  </si>
  <si>
    <t xml:space="preserve">Tuition Rs 100,000 per semester x 2. Other = medical, exam, registration, gymkhana, benevolent fund, insurance (approx. Rs 8,650 per semester at upper end of published range). SC/ST/PwD exempt from tuition; income-based waivers not in this circular. Hostel and mess not in circular.</t>
  </si>
  <si>
    <t xml:space="preserve">R022</t>
  </si>
  <si>
    <t xml:space="preserve">R023</t>
  </si>
  <si>
    <t xml:space="preserve">B.Tech CSE</t>
  </si>
  <si>
    <t xml:space="preserve">IIIT Delhi</t>
  </si>
  <si>
    <t xml:space="preserve">Public (state university)</t>
  </si>
  <si>
    <t xml:space="preserve">2024-25</t>
  </si>
  <si>
    <t xml:space="preserve">https://iiitd.ac.in/admission/fees</t>
  </si>
  <si>
    <t xml:space="preserve">IIIT Delhi B.Tech fees for newly admitted students 2024-25</t>
  </si>
  <si>
    <t xml:space="preserve">Current (previous year)</t>
  </si>
  <si>
    <t xml:space="preserve">Tuition Rs 225,000 per semester x 2. One-time alumni fee Rs 2,000; refundable deposits excluded. Hostel room Rs 34,000 + mess Rs 10,000 per semester (used in India living benchmark).</t>
  </si>
  <si>
    <t xml:space="preserve">R024</t>
  </si>
  <si>
    <t xml:space="preserve">Manipal Institute of Technology (MAHE)</t>
  </si>
  <si>
    <t xml:space="preserve">Private (deemed university)</t>
  </si>
  <si>
    <t xml:space="preserve">https://www.manipal.edu/content/dam/manipal/mu/documents/Admissions/adm2025/FEES%20UPDATION%20-%20GENERAL.pdf</t>
  </si>
  <si>
    <t xml:space="preserve">MAHE fee schedule 2025-26 (general category)</t>
  </si>
  <si>
    <t xml:space="preserve">Year-1 instalment split as tuition + other fees as published. Refundable caution deposit Rs 10,000 excluded.</t>
  </si>
  <si>
    <t xml:space="preserve">R025</t>
  </si>
  <si>
    <t xml:space="preserve">B.Tech Mechanical</t>
  </si>
  <si>
    <t xml:space="preserve">R026</t>
  </si>
  <si>
    <t xml:space="preserve">Kasturba Medical College Manipal (MAHE)</t>
  </si>
  <si>
    <t xml:space="preserve">Year-1 instalment split as tuition + other fees as published. Refundable caution deposit Rs 10,000 excluded. MBBS duration 5.5 years includes internship.</t>
  </si>
  <si>
    <t xml:space="preserve">R027</t>
  </si>
  <si>
    <t xml:space="preserve">BBA (Hons)</t>
  </si>
  <si>
    <t xml:space="preserve">Manipal School of Commerce &amp; Economics (MAHE)</t>
  </si>
  <si>
    <t xml:space="preserve">R028</t>
  </si>
  <si>
    <t xml:space="preserve">B.Com (Hons)</t>
  </si>
  <si>
    <t xml:space="preserve">R029</t>
  </si>
  <si>
    <t xml:space="preserve">BBA (Finance and International Business)</t>
  </si>
  <si>
    <t xml:space="preserve">CHRIST University Bengaluru</t>
  </si>
  <si>
    <t xml:space="preserve">Not stated on page (viewed 2026-10-02)</t>
  </si>
  <si>
    <t xml:space="preserve">https://christuniversity.in/courses/NzY1</t>
  </si>
  <si>
    <t xml:space="preserve">CHRIST University programme page</t>
  </si>
  <si>
    <t xml:space="preserve">Verified – official source (fee year not stated)</t>
  </si>
  <si>
    <t xml:space="preserve">Rate for students from Indian states other than Karnataka (Karnataka Rs 267,000; NRI Rs 359,000). One-time = admission registration.</t>
  </si>
  <si>
    <t xml:space="preserve">R030</t>
  </si>
  <si>
    <t xml:space="preserve">Other foreign nationals USD 5,800; SAARC/Africa/PIO/OCI/ASEAN USD 5,200.</t>
  </si>
  <si>
    <t xml:space="preserve">R031</t>
  </si>
  <si>
    <t xml:space="preserve">Bharati College, University of Delhi</t>
  </si>
  <si>
    <t xml:space="preserve">https://www.bharaticollege.du.ac.in/uploads/admission/fee-structure/Fee%20Structure%202025-26.pdf</t>
  </si>
  <si>
    <t xml:space="preserve">Bharati College fee structure 2025-26</t>
  </si>
  <si>
    <t xml:space="preserve">Total annual Rs 16,655 including Rs 1,000 refundable security (excluded here). Tuition component is Rs 180; the rest are college/university funds and charges. DU offers 3-year degree or optional 4th honours year.</t>
  </si>
  <si>
    <t xml:space="preserve">R032</t>
  </si>
  <si>
    <t xml:space="preserve">USA</t>
  </si>
  <si>
    <t xml:space="preserve">University of Kentucky</t>
  </si>
  <si>
    <t xml:space="preserve">https://studentaccount.uky.edu/tuition-and-fees/undergraduate-tuition-and-fees</t>
  </si>
  <si>
    <t xml:space="preserve">UK Student Account Services 2026-27; UK Financial Aid estimated COA 2026-27; UK International Center</t>
  </si>
  <si>
    <t xml:space="preserve">Verified – official source (programme fees not verified)</t>
  </si>
  <si>
    <t xml:space="preserve">Non-resident standard tuition incl. mandatory fees. Any college/programme-specific fees are NOT included (not verified). International tuition assumed equal to non-resident rate (International Center links to the same tuition tables). Accommodation = on-campus housing &amp; food combined (food therefore 0). Health insurance from International Center (2026-27).</t>
  </si>
  <si>
    <t xml:space="preserve">R033</t>
  </si>
  <si>
    <t xml:space="preserve">R034</t>
  </si>
  <si>
    <t xml:space="preserve">R035</t>
  </si>
  <si>
    <t xml:space="preserve">R036</t>
  </si>
  <si>
    <t xml:space="preserve">Computer Science / Data Science differential</t>
  </si>
  <si>
    <t xml:space="preserve">Purdue University (West Lafayette)</t>
  </si>
  <si>
    <t xml:space="preserve">https://www.purdue.edu/treasurer/finance/bursar-office/tuition/fee-rates-2026-2027/undergraduate-tuition-and-fees-2026-2027</t>
  </si>
  <si>
    <t xml:space="preserve">Purdue Bursar: Undergraduate Tuition and Fees 2026-2027</t>
  </si>
  <si>
    <t xml:space="preserve">Tuition and mandatory fees incl. USD 3,310 international fee. Living costs use the USA living benchmark.</t>
  </si>
  <si>
    <t xml:space="preserve">R037</t>
  </si>
  <si>
    <t xml:space="preserve">Daniels School of Business differential</t>
  </si>
  <si>
    <t xml:space="preserve">R038</t>
  </si>
  <si>
    <t xml:space="preserve">R039</t>
  </si>
  <si>
    <t xml:space="preserve">Arizona State University</t>
  </si>
  <si>
    <t xml:space="preserve">https://admission.asu.edu/cost-aid/international</t>
  </si>
  <si>
    <t xml:space="preserve">ASU international undergraduate cost of attendance 2026-27</t>
  </si>
  <si>
    <t xml:space="preserve">Base tuition 39,062 + surcharge 350 + technology fee 200 + college fee 2,190 (highest possible; varies by programme) + student-initiated fees 807 + international fee 400. Accommodation = on-campus housing &amp; meals combined.</t>
  </si>
  <si>
    <t xml:space="preserve">R040</t>
  </si>
  <si>
    <t xml:space="preserve">R041</t>
  </si>
  <si>
    <t xml:space="preserve">R042</t>
  </si>
  <si>
    <t xml:space="preserve">R043</t>
  </si>
  <si>
    <t xml:space="preserve">MD (graduate-entry, after a 4-year bachelor's)</t>
  </si>
  <si>
    <t xml:space="preserve">University of Michigan Medical School</t>
  </si>
  <si>
    <t xml:space="preserve">Non-resident (out-of-state)</t>
  </si>
  <si>
    <t xml:space="preserve">Graduate-entry (MD)</t>
  </si>
  <si>
    <t xml:space="preserve">https://medschool.umich.edu/programs-admissions/md-program/tuition-financial-aid/md-program-tuition-fees</t>
  </si>
  <si>
    <t xml:space="preserve">Medical school cost of attendance 2026-27 (first year)</t>
  </si>
  <si>
    <t xml:space="preserve">M1 (12-month Science Trunk) tuition &amp; fees, out-of-state. Living allowance 33,236 covers rent, food, utilities. US medicine is a graduate degree: add the cost of a prior 4-year bachelor's separately. Many MD programmes admit few or no international applicants.</t>
  </si>
  <si>
    <t xml:space="preserve">R044</t>
  </si>
  <si>
    <t xml:space="preserve">University of Maryland School of Medicine</t>
  </si>
  <si>
    <t xml:space="preserve">https://umaryland.edu/fin/cost-of-attendance/medicine/md</t>
  </si>
  <si>
    <t xml:space="preserve">Other = mandatory university fees 6,749 (incl. waivable health insurance) + programme fees 928. Living expenses combined. US medicine is a graduate degree: add the cost of a prior 4-year bachelor's separately. Many MD programmes admit few or no international applicants.</t>
  </si>
  <si>
    <t xml:space="preserve">R045</t>
  </si>
  <si>
    <t xml:space="preserve">UNC School of Medicine</t>
  </si>
  <si>
    <t xml:space="preserve">https://www.med.unc.edu/md/financial-aid/cost-of-attendance/</t>
  </si>
  <si>
    <t xml:space="preserve">Tuition &amp; fees, non-NC resident. US medicine is a graduate degree: add the cost of a prior 4-year bachelor's separately. Many MD programmes admit few or no international applicants.</t>
  </si>
  <si>
    <t xml:space="preserve">R046</t>
  </si>
  <si>
    <t xml:space="preserve">UK</t>
  </si>
  <si>
    <t xml:space="preserve">BSc Computer Science</t>
  </si>
  <si>
    <t xml:space="preserve">University of Manchester</t>
  </si>
  <si>
    <t xml:space="preserve">GBP</t>
  </si>
  <si>
    <t xml:space="preserve">https://www.manchester.ac.uk/study/undergraduate/courses/2026/00560/bsc-computer-science/</t>
  </si>
  <si>
    <t xml:space="preserve">University of Manchester course page, 2026 entry</t>
  </si>
  <si>
    <t xml:space="preserve">University may raise international fees by up to 7% a year.</t>
  </si>
  <si>
    <t xml:space="preserve">R047</t>
  </si>
  <si>
    <t xml:space="preserve">UK (Home)</t>
  </si>
  <si>
    <t xml:space="preserve">Home fee follows the government cap (GBP 10,050 announced for 2027/28, then inflation-linked).</t>
  </si>
  <si>
    <t xml:space="preserve">R048</t>
  </si>
  <si>
    <t xml:space="preserve">MEng Mechanical Engineering</t>
  </si>
  <si>
    <t xml:space="preserve">https://www.manchester.ac.uk/study/undergraduate/courses/2026/03921/meng-mechanical-engineering/</t>
  </si>
  <si>
    <t xml:space="preserve">R049</t>
  </si>
  <si>
    <t xml:space="preserve">R050</t>
  </si>
  <si>
    <t xml:space="preserve">BSc Management (Accounting and Finance)</t>
  </si>
  <si>
    <t xml:space="preserve">https://www.manchester.ac.uk/study/undergraduate/courses/2026/03520/bsc-management-accounting-and-finance/</t>
  </si>
  <si>
    <t xml:space="preserve">R051</t>
  </si>
  <si>
    <t xml:space="preserve">R052</t>
  </si>
  <si>
    <t xml:space="preserve">MBChB Medicine</t>
  </si>
  <si>
    <t xml:space="preserve">https://www.manchester.ac.uk/study/undergraduate/courses/2026/01428/mbchb-medicine/</t>
  </si>
  <si>
    <t xml:space="preserve">Course-weighted average of published phase fees: GBP 39,900 (years 1-2, pre-clinical) and GBP 60,900 (years 3-5, clinical). Clinical travel costs extra.</t>
  </si>
  <si>
    <t xml:space="preserve">R053</t>
  </si>
  <si>
    <t xml:space="preserve">R054</t>
  </si>
  <si>
    <t xml:space="preserve">Computer Science BSc</t>
  </si>
  <si>
    <t xml:space="preserve">University of Leeds</t>
  </si>
  <si>
    <t xml:space="preserve">https://courses.leeds.ac.uk/3260/computer-science-bsc</t>
  </si>
  <si>
    <t xml:space="preserve">University of Leeds course page (2025/26 entry fees shown)</t>
  </si>
  <si>
    <t xml:space="preserve">Fee shown for 2025/26 entry; 2026/27 international fee not yet shown on the page when checked.</t>
  </si>
  <si>
    <t xml:space="preserve">R055</t>
  </si>
  <si>
    <t xml:space="preserve">Mechanical Engineering BEng</t>
  </si>
  <si>
    <t xml:space="preserve">https://courses.leeds.ac.uk/5200/mechanical-engineering-beng</t>
  </si>
  <si>
    <t xml:space="preserve">R056</t>
  </si>
  <si>
    <t xml:space="preserve">Accounting and Finance BSc</t>
  </si>
  <si>
    <t xml:space="preserve">https://courses.leeds.ac.uk/f834/accounting-and-finance-bsc</t>
  </si>
  <si>
    <t xml:space="preserve">R057</t>
  </si>
  <si>
    <t xml:space="preserve">International Business BSc</t>
  </si>
  <si>
    <t xml:space="preserve">https://courses.leeds.ac.uk/f831/international-business-bsc</t>
  </si>
  <si>
    <t xml:space="preserve">University of Leeds course page, 2026/27</t>
  </si>
  <si>
    <t xml:space="preserve">International fee 'to be confirmed' on the page when checked.</t>
  </si>
  <si>
    <t xml:space="preserve">R058</t>
  </si>
  <si>
    <t xml:space="preserve">Australia</t>
  </si>
  <si>
    <t xml:space="preserve">Bachelor of Engineering (Honours)</t>
  </si>
  <si>
    <t xml:space="preserve">UNSW Sydney</t>
  </si>
  <si>
    <t xml:space="preserve">2026</t>
  </si>
  <si>
    <t xml:space="preserve">AUD</t>
  </si>
  <si>
    <t xml:space="preserve">https://www.unsw.edu.au/study/undergraduate/bachelor-of-engineering-honours</t>
  </si>
  <si>
    <t xml:space="preserve">UNSW programme page, 2026 indicative first-year fee</t>
  </si>
  <si>
    <t xml:space="preserve">Indicative first-year fee; subject to annual review.</t>
  </si>
  <si>
    <t xml:space="preserve">R059</t>
  </si>
  <si>
    <t xml:space="preserve">Bachelor of Science (Computer Science)</t>
  </si>
  <si>
    <t xml:space="preserve">https://www.unsw.edu.au/study/undergraduate/bachelor-of-computer-science</t>
  </si>
  <si>
    <t xml:space="preserve">R060</t>
  </si>
  <si>
    <t xml:space="preserve">Bachelor of Commerce</t>
  </si>
  <si>
    <t xml:space="preserve">https://www.unsw.edu.au/study/undergraduate/bachelor-of-commerce</t>
  </si>
  <si>
    <t xml:space="preserve">R061</t>
  </si>
  <si>
    <t xml:space="preserve">Bachelor of Commerce (Accounting/Finance majors)</t>
  </si>
  <si>
    <t xml:space="preserve">R062</t>
  </si>
  <si>
    <t xml:space="preserve">Bachelor of Medical Studies / Doctor of Medicine</t>
  </si>
  <si>
    <t xml:space="preserve">https://www.unsw.edu.au/study/undergraduate/bachelor-of-medical-studies-doctor-of-medicine</t>
  </si>
  <si>
    <t xml:space="preserve">Indicative first-year fee; subject to annual review. Includes ~AUD 1,000/yr estimated study costs.</t>
  </si>
  <si>
    <t xml:space="preserve">R063</t>
  </si>
  <si>
    <t xml:space="preserve">University of Queensland</t>
  </si>
  <si>
    <t xml:space="preserve">https://study.uq.edu.au/study-options/programs/bachelor-engineering-honours-2455</t>
  </si>
  <si>
    <t xml:space="preserve">UQ programme page, 2026 international annual fee</t>
  </si>
  <si>
    <t xml:space="preserve">Approximate annual fee for a standard full-time load; reviewed annually.</t>
  </si>
  <si>
    <t xml:space="preserve">R064</t>
  </si>
  <si>
    <t xml:space="preserve">Bachelor of Computer Science</t>
  </si>
  <si>
    <t xml:space="preserve">https://study.uq.edu.au/study-options/programs/bachelor-computer-science-2451</t>
  </si>
  <si>
    <t xml:space="preserve">R065</t>
  </si>
  <si>
    <t xml:space="preserve">Germany</t>
  </si>
  <si>
    <t xml:space="preserve">B.Sc. Mechanical Engineering (German-taught)</t>
  </si>
  <si>
    <t xml:space="preserve">Karlsruhe Institute of Technology (KIT)</t>
  </si>
  <si>
    <t xml:space="preserve">Non-EU international</t>
  </si>
  <si>
    <t xml:space="preserve">EUR</t>
  </si>
  <si>
    <t xml:space="preserve">https://www.intl.kit.edu/istudies/12606.php</t>
  </si>
  <si>
    <t xml:space="preserve">KIT International: tuition fees (Baden-Württemberg)</t>
  </si>
  <si>
    <t xml:space="preserve">Verified – official source (semester contribution not verified)</t>
  </si>
  <si>
    <t xml:space="preserve">EUR 1,500 per semester x 2 (Baden-Württemberg law since 2017/18). Semester contribution not verified (DAAD: typically EUR 100-350 per semester) – add it as an override if known. Standard duration 6 semesters.</t>
  </si>
  <si>
    <t xml:space="preserve">R066</t>
  </si>
  <si>
    <t xml:space="preserve">B.Sc. Informatics (German-taught)</t>
  </si>
  <si>
    <t xml:space="preserve">R067</t>
  </si>
  <si>
    <t xml:space="preserve">B.Sc. Business Administration</t>
  </si>
  <si>
    <t xml:space="preserve">University of Mannheim</t>
  </si>
  <si>
    <t xml:space="preserve">https://www.uni-mannheim.de/en/academics/during-your-studies/organizing-your-studies/fees/</t>
  </si>
  <si>
    <t xml:space="preserve">University of Mannheim fees, fall semester 2026/2027</t>
  </si>
  <si>
    <t xml:space="preserve">EUR 1,500 per semester x 2. Semester fee EUR 194 (admin 80 + Studierendenwerk 100 + student body 14) x 2.</t>
  </si>
  <si>
    <t xml:space="preserve">R068</t>
  </si>
  <si>
    <t xml:space="preserve">Staatsexamen Medicine (German-taught)</t>
  </si>
  <si>
    <t xml:space="preserve">Heidelberg University</t>
  </si>
  <si>
    <t xml:space="preserve">https://www.uni-heidelberg.de/en/study/management-of-studies/semester-fees</t>
  </si>
  <si>
    <t xml:space="preserve">Heidelberg University semester fees page (updated June 2026); BW tuition per DAAD</t>
  </si>
  <si>
    <t xml:space="preserve">Derived from official sources</t>
  </si>
  <si>
    <t xml:space="preserve">Tuition EUR 1,500 per semester (Baden-Württemberg non-EU fee, per DAAD). Semester fee EUR 189.80 x 2. Standard duration 6 years 3 months; modelled as 6 years. Admission to German medicine is highly competitive and taught in German.</t>
  </si>
  <si>
    <t xml:space="preserve">R069</t>
  </si>
  <si>
    <t xml:space="preserve">B.Sc. Mechanical Engineering</t>
  </si>
  <si>
    <t xml:space="preserve">RWTH Aachen University</t>
  </si>
  <si>
    <t xml:space="preserve">Tuition: current; semester fee WS 2021/22</t>
  </si>
  <si>
    <t xml:space="preserve">https://www.asta.rwth-aachen.de/en/how-is-the-semester-contribution-made-up/</t>
  </si>
  <si>
    <t xml:space="preserve">RWTH AStA: semester contribution breakdown (WS 2021/22)</t>
  </si>
  <si>
    <t xml:space="preserve">North Rhine-Westphalia charges no tuition. Semester contribution EUR 300.19 (WS 2021/22) x 2 – historical figure; check the current amount.</t>
  </si>
  <si>
    <t xml:space="preserve">R070</t>
  </si>
  <si>
    <t xml:space="preserve">B.Sc. Computer Science</t>
  </si>
  <si>
    <t xml:space="preserve">R071</t>
  </si>
  <si>
    <t xml:space="preserve">B.Sc. Informatics</t>
  </si>
  <si>
    <t xml:space="preserve">Technical University of Munich (TUM)</t>
  </si>
  <si>
    <t xml:space="preserve">From winter 2024/25</t>
  </si>
  <si>
    <t xml:space="preserve">https://www.tum.de/en/studies/fees/tuition</t>
  </si>
  <si>
    <t xml:space="preserve">TUM tuition fees for non-EU students; programme pages (semester fee EUR 97)</t>
  </si>
  <si>
    <t xml:space="preserve">Range – programme fee band not confirmed; excluded from average</t>
  </si>
  <si>
    <t xml:space="preserve">TUM bachelor's fees are EUR 2,000 or 3,000 per semester depending on programme; the band for this programme was not published on the page checked, so the LOWER bound (EUR 4,000/yr) is shown. Semester fee EUR 97 x 2.</t>
  </si>
  <si>
    <t xml:space="preserve">R072</t>
  </si>
  <si>
    <t xml:space="preserve">R073</t>
  </si>
  <si>
    <t xml:space="preserve">B.Sc. Management and Technology</t>
  </si>
  <si>
    <t xml:space="preserve">University averages by country, qualification and student category (tblTuitionBenchmarks)</t>
  </si>
  <si>
    <t xml:space="preserve">Only records with Include In Average = Yes and the same currency are averaged. One valid record = single-institution benchmark. Living costs come from tblLivingCosts below.</t>
  </si>
  <si>
    <t xml:space="preserve">Valid records</t>
  </si>
  <si>
    <t xml:space="preserve">Average annual tuition</t>
  </si>
  <si>
    <t xml:space="preserve">Median annual tuition</t>
  </si>
  <si>
    <t xml:space="preserve">Lowest observed fee</t>
  </si>
  <si>
    <t xml:space="preserve">Highest observed fee</t>
  </si>
  <si>
    <t xml:space="preserve">Average other mandatory fees</t>
  </si>
  <si>
    <t xml:space="preserve">Average one-time admission</t>
  </si>
  <si>
    <t xml:space="preserve">Average other one-time</t>
  </si>
  <si>
    <t xml:space="preserve">Average duration</t>
  </si>
  <si>
    <t xml:space="preserve">Fee year start (avg)</t>
  </si>
  <si>
    <t xml:space="preserve">Average annual living costs</t>
  </si>
  <si>
    <t xml:space="preserve">Average annual total recurring cost</t>
  </si>
  <si>
    <t xml:space="preserve">Benchmark label</t>
  </si>
  <si>
    <t xml:space="preserve">Living-cost benchmarks (tblLivingCosts)</t>
  </si>
  <si>
    <t xml:space="preserve">Visa 'proof of funds' amounts are never used as living costs. 'Combined' is used when a source gives one total.</t>
  </si>
  <si>
    <t xml:space="preserve">Accommodation</t>
  </si>
  <si>
    <t xml:space="preserve">Food</t>
  </si>
  <si>
    <t xml:space="preserve">Transport</t>
  </si>
  <si>
    <t xml:space="preserve">Health Insurance</t>
  </si>
  <si>
    <t xml:space="preserve">Books</t>
  </si>
  <si>
    <t xml:space="preserve">Personal</t>
  </si>
  <si>
    <t xml:space="preserve">Combined Living</t>
  </si>
  <si>
    <t xml:space="preserve">Visa One-Time</t>
  </si>
  <si>
    <t xml:space="preserve">Total Per Year</t>
  </si>
  <si>
    <t xml:space="preserve">Year</t>
  </si>
  <si>
    <t xml:space="preserve">Source URL</t>
  </si>
  <si>
    <t xml:space="preserve">Notes</t>
  </si>
  <si>
    <t xml:space="preserve">All</t>
  </si>
  <si>
    <t xml:space="preserve">Partial – food, transport and personal costs not verified</t>
  </si>
  <si>
    <t xml:space="preserve">Accommodation = LUMS hostel double occupancy PKR 98,800 per semester x 2. No official food/transport benchmark found: add your own estimate (override).</t>
  </si>
  <si>
    <t xml:space="preserve">Partial – transport and personal costs not verified</t>
  </si>
  <si>
    <t xml:space="preserve">IIIT Delhi hostel double room Rs 34,000 + mess Rs 10,000 per semester (~4 months), x 2. Mess charge may be an advance, not full food cost.</t>
  </si>
  <si>
    <t xml:space="preserve">Single-institution benchmark (University of Kentucky)</t>
  </si>
  <si>
    <t xml:space="preserve">https://studentsuccess.uky.edu/financial-aid-and-scholarships/estimated-cost-attendance</t>
  </si>
  <si>
    <t xml:space="preserve">On-campus housing &amp; food combined (food 0). Transport = out-of-state figure. Health insurance from UK International Center. Visa (SEVIS/visa) fees not included.</t>
  </si>
  <si>
    <t xml:space="preserve">Single-institution benchmark (University of Edinburgh) + UK government charges</t>
  </si>
  <si>
    <t xml:space="preserve">https://study.ed.ac.uk/undergraduate/fees-funding/living-costs</t>
  </si>
  <si>
    <t xml:space="preserve">Edinburgh 39-week budget: accommodation &amp; utilities 8,820, food &amp; shopping 2,232, local bus 522, phone 108 + socialising 2,232 (personal). Health = Immigration Health Surcharge GBP 776/yr (gov.uk). One-time visa fee GBP 558 (gov.uk). Visa 'proof of funds' amounts are NOT used as living costs.</t>
  </si>
  <si>
    <t xml:space="preserve">Single-institution benchmark (University of Edinburgh)</t>
  </si>
  <si>
    <t xml:space="preserve">As above, without visa and health surcharge.</t>
  </si>
  <si>
    <t xml:space="preserve">Combined estimate (UNSW, on-campus); OSHC health cover and visa fee not verified</t>
  </si>
  <si>
    <t xml:space="preserve">https://www.unsw.edu.au/study/your-future/cost-of-living-sydney</t>
  </si>
  <si>
    <t xml:space="preserve">UNSW estimate of roughly AUD 28,860/yr living on campus (off-campus with frequent dining out can exceed AUD 40,820). The AUD 29,710 visa financial requirement is a visa rule, not a cost estimate, and is not used.</t>
  </si>
  <si>
    <t xml:space="preserve">Current (year not stated)</t>
  </si>
  <si>
    <t xml:space="preserve">Combined national average (DAAD)</t>
  </si>
  <si>
    <t xml:space="preserve">https://www.daad.de/en/studying-in-germany/living-in-germany/finances/</t>
  </si>
  <si>
    <t xml:space="preserve">DAAD average EUR 842/month x 12, covering rent, travel, food, clothing, learning materials, health insurance, phone/internet, licence fee and recreation. Semester contributions are in tuition records where verified.</t>
  </si>
  <si>
    <t xml:space="preserve">Course durations (tblCourseDurations)</t>
  </si>
  <si>
    <t xml:space="preserve">Years</t>
  </si>
  <si>
    <t xml:space="preserve">From fee records</t>
  </si>
  <si>
    <t xml:space="preserve">Dentistry</t>
  </si>
  <si>
    <t xml:space="preserve">Typical duration – verify with the university</t>
  </si>
  <si>
    <t xml:space="preserve">Pharmacy</t>
  </si>
  <si>
    <t xml:space="preserve">Nursing</t>
  </si>
  <si>
    <t xml:space="preserve">Physiotherapy</t>
  </si>
  <si>
    <t xml:space="preserve">Chemical Engineering</t>
  </si>
  <si>
    <t xml:space="preserve">Software Engineering</t>
  </si>
  <si>
    <t xml:space="preserve">Artificial Intelligence</t>
  </si>
  <si>
    <t xml:space="preserve">Data Science</t>
  </si>
  <si>
    <t xml:space="preserve">Cybersecurity</t>
  </si>
  <si>
    <t xml:space="preserve">Cloud Computing</t>
  </si>
  <si>
    <t xml:space="preserve">Biotechnology</t>
  </si>
  <si>
    <t xml:space="preserve">Business Analytics</t>
  </si>
  <si>
    <t xml:space="preserve">Finance</t>
  </si>
  <si>
    <t xml:space="preserve">Economics</t>
  </si>
  <si>
    <t xml:space="preserve">Marketing</t>
  </si>
  <si>
    <t xml:space="preserve">Supply Chain Management</t>
  </si>
  <si>
    <t xml:space="preserve">Law</t>
  </si>
  <si>
    <t xml:space="preserve">Architecture</t>
  </si>
  <si>
    <t xml:space="preserve">Psychology</t>
  </si>
  <si>
    <t xml:space="preserve">Environmental Science</t>
  </si>
  <si>
    <t xml:space="preserve">Assumptions and Currency</t>
  </si>
  <si>
    <t xml:space="preserve">Defaults used when a parent leaves an assumption blank on 'Parent Inputs'. Yellow cells are editable. These are illustrative planning assumptions, not forecasts, recommendations or guaranteed rates.</t>
  </si>
  <si>
    <t xml:space="preserve">General defaults</t>
  </si>
  <si>
    <t xml:space="preserve">List: Countries</t>
  </si>
  <si>
    <t xml:space="preserve">List: Currencies</t>
  </si>
  <si>
    <t xml:space="preserve">List: Qualifications</t>
  </si>
  <si>
    <t xml:space="preserve">List: Student categories</t>
  </si>
  <si>
    <t xml:space="preserve">List: Universities</t>
  </si>
  <si>
    <t xml:space="preserve">List: Contribution mode</t>
  </si>
  <si>
    <t xml:space="preserve">Plan start year (academic year starting)</t>
  </si>
  <si>
    <t xml:space="preserve">Year 1 of every projection.</t>
  </si>
  <si>
    <t xml:space="preserve">Default college-entry age</t>
  </si>
  <si>
    <t xml:space="preserve">Annual</t>
  </si>
  <si>
    <t xml:space="preserve">Default annual increase in contributions</t>
  </si>
  <si>
    <t xml:space="preserve">Contributions rise by this % each year.</t>
  </si>
  <si>
    <t xml:space="preserve">Default contingency allowance</t>
  </si>
  <si>
    <t xml:space="preserve">Added on top of all costs for surprises.</t>
  </si>
  <si>
    <t xml:space="preserve">Default annual exchange-rate drift</t>
  </si>
  <si>
    <t xml:space="preserve">Yearly % change in the reporting-currency price of the fee currency (e.g. 5% = your currency weakens 5%/yr).</t>
  </si>
  <si>
    <t xml:space="preserve">Scenario spread for lower/higher return (web page)</t>
  </si>
  <si>
    <t xml:space="preserve">Illustrative only.</t>
  </si>
  <si>
    <t xml:space="preserve">Exchange rates (tblExchangeRates)</t>
  </si>
  <si>
    <t xml:space="preserve">Units per 1 USD</t>
  </si>
  <si>
    <t xml:space="preserve">Reference date</t>
  </si>
  <si>
    <t xml:space="preserve">Source</t>
  </si>
  <si>
    <t xml:space="preserve">2026-10-01</t>
  </si>
  <si>
    <t xml:space="preserve">SBP M2M revaluation rate</t>
  </si>
  <si>
    <t xml:space="preserve">ECB euro reference rates (cross-rate)</t>
  </si>
  <si>
    <t xml:space="preserve">Base</t>
  </si>
  <si>
    <t xml:space="preserve">Convention: Units of each currency per 1 USD. EUR, GBP, AUD and INR are derived as cross-rates from ECB euro reference rates (1 EUR = 1.1298 USD; 0.85373 GBP; 1.6255 AUD; 108.8320 INR). PKR from State Bank of Pakistan M2M revaluation rate. Convert A to B: amount_A / rate_A * rate_B.</t>
  </si>
  <si>
    <t xml:space="preserve">Inflation assumptions and country defaults (tblInflation)</t>
  </si>
  <si>
    <t xml:space="preserve">Education country</t>
  </si>
  <si>
    <t xml:space="preserve">Default student category</t>
  </si>
  <si>
    <t xml:space="preserve">Default duration (yrs)</t>
  </si>
  <si>
    <t xml:space="preserve">Tuition inflation</t>
  </si>
  <si>
    <t xml:space="preserve">Living-cost inflation</t>
  </si>
  <si>
    <t xml:space="preserve">Note</t>
  </si>
  <si>
    <t xml:space="preserve">10%: AKU's published MBBS schedule rises ~10% a year (2027-2031). Living 8%: illustrative.</t>
  </si>
  <si>
    <t xml:space="preserve">Illustrative assumptions – edit to your own view.</t>
  </si>
  <si>
    <t xml:space="preserve">ACCA</t>
  </si>
  <si>
    <t xml:space="preserve">CPA</t>
  </si>
  <si>
    <t xml:space="preserve">5%: illustrative; Manchester reserves the right to raise international fees by up to 7%/yr.</t>
  </si>
  <si>
    <t xml:space="preserve">Chartered Accountancy (CA)</t>
  </si>
  <si>
    <t xml:space="preserve">Tuition 2%: Baden-Württemberg fee unchanged since 2017/18; illustrative.</t>
  </si>
  <si>
    <t xml:space="preserve">Expected investment return by reporting currency (tblReturns)</t>
  </si>
  <si>
    <t xml:space="preserve">Reporting currency</t>
  </si>
  <si>
    <t xml:space="preserve">Default annual return</t>
  </si>
  <si>
    <t xml:space="preserve">Illustrative nominal return – not a prediction or a guaranteed rate</t>
  </si>
  <si>
    <t xml:space="preserve">Other / Custom Qualification</t>
  </si>
  <si>
    <t xml:space="preserve">Derived timing factors</t>
  </si>
  <si>
    <t xml:space="preserve">Monthly contribution timing factor (year-end value of 12 end-of-month payments ÷ 12)</t>
  </si>
  <si>
    <t xml:space="preserve">Contribution factor used (Monthly = factor above; Annual = 1, paid at year end)</t>
  </si>
  <si>
    <t xml:space="preserve">Exchange-rate reference date</t>
  </si>
  <si>
    <t xml:space="preserve">Education Cost Forecast</t>
  </si>
  <si>
    <t xml:space="preserve">Future Cost = Current Cost × (1 + inflation)^(years from the fee year). Tuition and other fees use tuition inflation; living costs, visa and travel use living-cost inflation. Costs are only forecast for study years.</t>
  </si>
  <si>
    <t xml:space="preserve">Cost basis per child</t>
  </si>
  <si>
    <t xml:space="preserve">Active (1 = yes)</t>
  </si>
  <si>
    <t xml:space="preserve">Name</t>
  </si>
  <si>
    <t xml:space="preserve">Current age</t>
  </si>
  <si>
    <t xml:space="preserve">College-entry age</t>
  </si>
  <si>
    <t xml:space="preserve">Student category</t>
  </si>
  <si>
    <t xml:space="preserve">Benchmark chosen</t>
  </si>
  <si>
    <t xml:space="preserve">Qualification (lookup value)</t>
  </si>
  <si>
    <t xml:space="preserve">Matched database row (0 = none)</t>
  </si>
  <si>
    <t xml:space="preserve">Matched average row (0 = none)</t>
  </si>
  <si>
    <t xml:space="preserve">Average available (1 = yes)</t>
  </si>
  <si>
    <t xml:space="preserve">Fee currency</t>
  </si>
  <si>
    <t xml:space="preserve">Fee year start</t>
  </si>
  <si>
    <t xml:space="preserve">Benchmark used</t>
  </si>
  <si>
    <t xml:space="preserve">Living benchmark row</t>
  </si>
  <si>
    <t xml:space="preserve">Living costs from the chosen record (1 = yes)</t>
  </si>
  <si>
    <t xml:space="preserve">Living benchmark → fee currency factor</t>
  </si>
  <si>
    <t xml:space="preserve">Tuition per year (fee currency)</t>
  </si>
  <si>
    <t xml:space="preserve">Other mandatory fees per year (fee currency)</t>
  </si>
  <si>
    <t xml:space="preserve">Accommodation per year (fee currency)</t>
  </si>
  <si>
    <t xml:space="preserve">Food per year (fee currency)</t>
  </si>
  <si>
    <t xml:space="preserve">Transport per year (fee currency)</t>
  </si>
  <si>
    <t xml:space="preserve">Health insurance per year (fee currency)</t>
  </si>
  <si>
    <t xml:space="preserve">Books and equipment per year (fee currency)</t>
  </si>
  <si>
    <t xml:space="preserve">Personal and other living per year (fee currency)</t>
  </si>
  <si>
    <t xml:space="preserve">Living (combined) per year (fee currency)</t>
  </si>
  <si>
    <t xml:space="preserve">One-time admission fees (fee currency)</t>
  </si>
  <si>
    <t xml:space="preserve">Visa and application (fee currency)</t>
  </si>
  <si>
    <t xml:space="preserve">Initial travel and relocation (fee currency)</t>
  </si>
  <si>
    <t xml:space="preserve">Other one-time costs (fee currency)</t>
  </si>
  <si>
    <t xml:space="preserve">Course duration (years)</t>
  </si>
  <si>
    <t xml:space="preserve">Total living per year (fee currency)</t>
  </si>
  <si>
    <t xml:space="preserve">User overrides in use</t>
  </si>
  <si>
    <t xml:space="preserve">Existing savings (reporting currency)</t>
  </si>
  <si>
    <t xml:space="preserve">Scholarship % of tuition</t>
  </si>
  <si>
    <t xml:space="preserve">Scholarship fixed per study year</t>
  </si>
  <si>
    <t xml:space="preserve">Other funding at college start</t>
  </si>
  <si>
    <t xml:space="preserve">Inputs valid (1 = yes)</t>
  </si>
  <si>
    <t xml:space="preserve">Included in results (active and valid)</t>
  </si>
  <si>
    <t xml:space="preserve">Validation message</t>
  </si>
  <si>
    <t xml:space="preserve">Years until college</t>
  </si>
  <si>
    <t xml:space="preserve">Study years modelled (rounded up)</t>
  </si>
  <si>
    <t xml:space="preserve">Plan years with costs</t>
  </si>
  <si>
    <t xml:space="preserve">Plan rows used</t>
  </si>
  <si>
    <t xml:space="preserve">Contribution years that can still help</t>
  </si>
  <si>
    <t xml:space="preserve">Fee-year offset (plan start − fee year)</t>
  </si>
  <si>
    <t xml:space="preserve">Fee → reporting currency rate</t>
  </si>
  <si>
    <t xml:space="preserve">College age already reached?</t>
  </si>
  <si>
    <t xml:space="preserve">Plan year</t>
  </si>
  <si>
    <t xml:space="preserve">Row active</t>
  </si>
  <si>
    <t xml:space="preserve">Age at start</t>
  </si>
  <si>
    <t xml:space="preserve">Academic year starting</t>
  </si>
  <si>
    <t xml:space="preserve">Study year #</t>
  </si>
  <si>
    <t xml:space="preserve">Fraction of year studied</t>
  </si>
  <si>
    <t xml:space="preserve">Exponent (years from fee year)</t>
  </si>
  <si>
    <t xml:space="preserve">Tuition inflation index</t>
  </si>
  <si>
    <t xml:space="preserve">Living inflation index</t>
  </si>
  <si>
    <t xml:space="preserve">Tuition (fee ccy)</t>
  </si>
  <si>
    <t xml:space="preserve">Other mandatory fees</t>
  </si>
  <si>
    <t xml:space="preserve">Health insurance</t>
  </si>
  <si>
    <t xml:space="preserve">Personal &amp; other living</t>
  </si>
  <si>
    <t xml:space="preserve">Living (combined)</t>
  </si>
  <si>
    <t xml:space="preserve">One-time costs</t>
  </si>
  <si>
    <t xml:space="preserve">Gross cost (fee ccy)</t>
  </si>
  <si>
    <t xml:space="preserve">Contingency</t>
  </si>
  <si>
    <t xml:space="preserve">Scholarship % part (fee ccy)</t>
  </si>
  <si>
    <t xml:space="preserve">Exchange rate (fee → reporting)</t>
  </si>
  <si>
    <t xml:space="preserve">Cost incl. contingency (reporting)</t>
  </si>
  <si>
    <t xml:space="preserve">Scholarships &amp; grants (reporting)</t>
  </si>
  <si>
    <t xml:space="preserve">NET EDUCATION EXPENSE (reporting)</t>
  </si>
  <si>
    <t xml:space="preserve">Tuition &amp; fees (reporting)</t>
  </si>
  <si>
    <t xml:space="preserve">Living (reporting)</t>
  </si>
  <si>
    <t xml:space="preserve">One-time &amp; contingency (reporting)</t>
  </si>
  <si>
    <t xml:space="preserve">Savings Calculator</t>
  </si>
  <si>
    <t xml:space="preserve">Year-by-year cash-flow model per child. Costs are paid at the start of each plan year; monthly contributions at month-ends (annual contributions at year-end); returns apply to the balance left after costs. The required contribution is the smallest first-year amount, rising each year by the escalation rate, that keeps every child's fund at or above zero. If costs start before contributions can help, an up-front lump sum is shown instead.</t>
  </si>
  <si>
    <t xml:space="preserve">Family total</t>
  </si>
  <si>
    <t xml:space="preserve">Education expenses</t>
  </si>
  <si>
    <t xml:space="preserve">Existing contributions</t>
  </si>
  <si>
    <t xml:space="preserve">Additional required contributions</t>
  </si>
  <si>
    <t xml:space="preserve">Total contributions (required plan)</t>
  </si>
  <si>
    <t xml:space="preserve">Fund balance (required plan)</t>
  </si>
  <si>
    <t xml:space="preserve">Fund balance (current plan)</t>
  </si>
  <si>
    <t xml:space="preserve">Shortfall (current plan)</t>
  </si>
  <si>
    <t xml:space="preserve">Years remaining until college</t>
  </si>
  <si>
    <t xml:space="preserve">Estimated education cost in the first study year</t>
  </si>
  <si>
    <t xml:space="preserve">Total nominal education cost across the course</t>
  </si>
  <si>
    <t xml:space="preserve">  of which tuition and fees</t>
  </si>
  <si>
    <t xml:space="preserve">  of which living costs</t>
  </si>
  <si>
    <t xml:space="preserve">  of which one-time costs and contingency</t>
  </si>
  <si>
    <t xml:space="preserve">Scholarships and grants applied</t>
  </si>
  <si>
    <t xml:space="preserve">Future value of existing savings at college start</t>
  </si>
  <si>
    <t xml:space="preserve">Projected value of existing contributions at college start</t>
  </si>
  <si>
    <t xml:space="preserve">Up-front lump sum needed now (costs start before contributions can help)</t>
  </si>
  <si>
    <t xml:space="preserve">REQUIRED ADDITIONAL CONTRIBUTION — first-year annual total</t>
  </si>
  <si>
    <t xml:space="preserve">REQUIRED ADDITIONAL CONTRIBUTION — per month in year 1</t>
  </si>
  <si>
    <t xml:space="preserve">Total monthly saving in year 1 (existing + additional)</t>
  </si>
  <si>
    <t xml:space="preserve">Shortfall under the current plan (sum over study years)</t>
  </si>
  <si>
    <t xml:space="preserve">Funding coverage under the current plan</t>
  </si>
  <si>
    <t xml:space="preserve">Projected surplus (+) or funding gap (−) under the current plan</t>
  </si>
  <si>
    <t xml:space="preserve">Result</t>
  </si>
  <si>
    <t xml:space="preserve">Disclosure: actual returns, fees, inflation, currency movements and university fees may differ from these assumptions. Investment returns are not guaranteed. This is an educational planning tool.</t>
  </si>
  <si>
    <t xml:space="preserve">Education expense</t>
  </si>
  <si>
    <t xml:space="preserve">Other funding received</t>
  </si>
  <si>
    <t xml:space="preserve">Contribution year</t>
  </si>
  <si>
    <t xml:space="preserve">Escalation factor</t>
  </si>
  <si>
    <t xml:space="preserve">Existing contributions (year-end value)</t>
  </si>
  <si>
    <t xml:space="preserve">Unit additional contribution</t>
  </si>
  <si>
    <t xml:space="preserve">Available after costs (existing plan, linear)</t>
  </si>
  <si>
    <t xml:space="preserve">Linear closing balance</t>
  </si>
  <si>
    <t xml:space="preserve">Unit stream available</t>
  </si>
  <si>
    <t xml:space="preserve">Unit stream closing</t>
  </si>
  <si>
    <t xml:space="preserve">Lump growth factor</t>
  </si>
  <si>
    <t xml:space="preserve">Lump-sum test</t>
  </si>
  <si>
    <t xml:space="preserve">Required-contribution test</t>
  </si>
  <si>
    <t xml:space="preserve">Required plan: opening balance</t>
  </si>
  <si>
    <t xml:space="preserve">Required plan: additional contribution</t>
  </si>
  <si>
    <t xml:space="preserve">Required plan: closing balance</t>
  </si>
  <si>
    <t xml:space="preserve">Current plan: opening balance</t>
  </si>
  <si>
    <t xml:space="preserve">Current plan: available after costs</t>
  </si>
  <si>
    <t xml:space="preserve">Current plan: SHORTFALL</t>
  </si>
  <si>
    <t xml:space="preserve">Current plan: closing balance</t>
  </si>
  <si>
    <t xml:space="preserve">Existing contributions valued at college start</t>
  </si>
  <si>
    <t xml:space="preserve">Required plan: balance after paying costs</t>
  </si>
  <si>
    <t xml:space="preserve">Parent Dashboard</t>
  </si>
  <si>
    <t xml:space="preserve">Key figures</t>
  </si>
  <si>
    <t xml:space="preserve">Number of children</t>
  </si>
  <si>
    <t xml:space="preserve">Selected education country</t>
  </si>
  <si>
    <t xml:space="preserve">Required savings rise each year by the contribution-increase rate. Monthly figures assume end-of-month payments; see 'Savings Calculator' for every year.</t>
  </si>
  <si>
    <t xml:space="preserve">Combined estimated education cost</t>
  </si>
  <si>
    <t xml:space="preserve">Existing savings today</t>
  </si>
  <si>
    <t xml:space="preserve">Projected value of existing savings and contributions at each college start</t>
  </si>
  <si>
    <t xml:space="preserve">Required additional monthly family saving (year 1)</t>
  </si>
  <si>
    <t xml:space="preserve">Required additional annual family saving (year 1)</t>
  </si>
  <si>
    <t xml:space="preserve">Up-front lump sum needed now (if any)</t>
  </si>
  <si>
    <t xml:space="preserve">Funding coverage with the current plan</t>
  </si>
  <si>
    <t xml:space="preserve">Projected surplus (+) or shortfall (−) with the current plan</t>
  </si>
  <si>
    <t xml:space="preserve">By child</t>
  </si>
  <si>
    <t xml:space="preserve">Child</t>
  </si>
  <si>
    <t xml:space="preserve">Total cost</t>
  </si>
  <si>
    <t xml:space="preserve">Tuition &amp; fees</t>
  </si>
  <si>
    <t xml:space="preserve">Living costs</t>
  </si>
  <si>
    <t xml:space="preserve">One-time &amp; contingency</t>
  </si>
  <si>
    <t xml:space="preserve">Required monthly (year 1)</t>
  </si>
  <si>
    <t xml:space="preserve">Monthly column shows the annual figure when contribution timing is 'Annual'.</t>
  </si>
  <si>
    <t xml:space="preserve">Educational planning tool only. Fees, living costs, inflation, exchange rates and investment returns may differ from these figures. Investment returns are assumptions, not guarantees. Always confirm fees with the university.</t>
  </si>
  <si>
    <t xml:space="preserve">Research Sources and Methodology</t>
  </si>
  <si>
    <t xml:space="preserve">IMPORTANT: this calculator is an educational planning tool, not a guarantee of future costs or investment performance. Educational planning tool only. Fees, living costs, inflation, exchange rates and investment returns may differ from these figures. Investment returns are assumptions, not guarantees. Always confirm fees with the university.</t>
  </si>
  <si>
    <t xml:space="preserve">Source register (one row per fee benchmark)</t>
  </si>
  <si>
    <t xml:space="preserve">Institution</t>
  </si>
  <si>
    <t xml:space="preserve">Academic year</t>
  </si>
  <si>
    <t xml:space="preserve">Date verified</t>
  </si>
  <si>
    <t xml:space="preserve">Source URL / status</t>
  </si>
  <si>
    <t xml:space="preserve">https://nust.edu.pk/admissions/fee-structure/undergraduate-financial-matters/  —  Verified – official source</t>
  </si>
  <si>
    <t xml:space="preserve">https://lums.edu.pk/programmes/bs-computer-science  —  Derived from official source</t>
  </si>
  <si>
    <t xml:space="preserve">https://lums.edu.pk/programmes/bs-electrical-engineering  —  Derived from official source</t>
  </si>
  <si>
    <t xml:space="preserve">https://lums.edu.pk/programmes/bsc-honours-accounting-and-finance  —  Verified – official source</t>
  </si>
  <si>
    <t xml:space="preserve">https://lums.edu.pk/programmes/bsc-honours-management-science  —  Verified – official source</t>
  </si>
  <si>
    <t xml:space="preserve">https://www.iba.edu.pk/fee-structure-between-fall-2022-till-spring-2025.php  —  Estimated from official per-credit rate</t>
  </si>
  <si>
    <t xml:space="preserve">https://www.aku.edu/admissions/Documents/fee-structure-MBBS.pdf  —  Verified – official source</t>
  </si>
  <si>
    <t xml:space="preserve">https://nust.edu.pk/admissions/NSHS/fee-structure/  —  Historical – excluded from average</t>
  </si>
  <si>
    <t xml:space="preserve">https://pmdc.pk/Documents/press/Tuition%20Fee%20Cap%20for%20Private%20Medical%20Colleges.pdf  —  Regulatory cap – not a university fee; excluded from average</t>
  </si>
  <si>
    <t xml:space="preserve">https://acad.iitb.ac.in/files/Fee_Circular_UG_Spring%20Semester%20_2025-26_0.pdf  —  Verified – official source</t>
  </si>
  <si>
    <t xml:space="preserve">https://iiitd.ac.in/admission/fees  —  Verified – official source</t>
  </si>
  <si>
    <t xml:space="preserve">https://www.manipal.edu/content/dam/manipal/mu/documents/Admissions/adm2025/FEES%20UPDATION%20-%20GENERAL.pdf  —  Verified – official source</t>
  </si>
  <si>
    <t xml:space="preserve">https://christuniversity.in/courses/NzY1  —  Verified – official source (fee year not stated)</t>
  </si>
  <si>
    <t xml:space="preserve">https://www.bharaticollege.du.ac.in/uploads/admission/fee-structure/Fee%20Structure%202025-26.pdf  —  Verified – official source</t>
  </si>
  <si>
    <t xml:space="preserve">https://studentaccount.uky.edu/tuition-and-fees/undergraduate-tuition-and-fees  —  Verified – official source (programme fees not verified)</t>
  </si>
  <si>
    <t xml:space="preserve">https://www.purdue.edu/treasurer/finance/bursar-office/tuition/fee-rates-2026-2027/undergraduate-tuition-and-fees-2026-2027  —  Verified – official source</t>
  </si>
  <si>
    <t xml:space="preserve">https://admission.asu.edu/cost-aid/international  —  Verified – official source</t>
  </si>
  <si>
    <t xml:space="preserve">https://medschool.umich.edu/programs-admissions/md-program/tuition-financial-aid/md-program-tuition-fees  —  Verified – official source</t>
  </si>
  <si>
    <t xml:space="preserve">https://umaryland.edu/fin/cost-of-attendance/medicine/md  —  Verified – official source</t>
  </si>
  <si>
    <t xml:space="preserve">https://www.med.unc.edu/md/financial-aid/cost-of-attendance/  —  Verified – official source</t>
  </si>
  <si>
    <t xml:space="preserve">https://www.manchester.ac.uk/study/undergraduate/courses/2026/00560/bsc-computer-science/  —  Verified – official source</t>
  </si>
  <si>
    <t xml:space="preserve">https://www.manchester.ac.uk/study/undergraduate/courses/2026/03921/meng-mechanical-engineering/  —  Verified – official source</t>
  </si>
  <si>
    <t xml:space="preserve">https://www.manchester.ac.uk/study/undergraduate/courses/2026/03520/bsc-management-accounting-and-finance/  —  Verified – official source</t>
  </si>
  <si>
    <t xml:space="preserve">https://www.manchester.ac.uk/study/undergraduate/courses/2026/01428/mbchb-medicine/  —  Derived from official source</t>
  </si>
  <si>
    <t xml:space="preserve">https://www.manchester.ac.uk/study/undergraduate/courses/2026/01428/mbchb-medicine/  —  Verified – official source</t>
  </si>
  <si>
    <t xml:space="preserve">https://courses.leeds.ac.uk/3260/computer-science-bsc  —  Verified – official source</t>
  </si>
  <si>
    <t xml:space="preserve">https://courses.leeds.ac.uk/5200/mechanical-engineering-beng  —  Verified – official source</t>
  </si>
  <si>
    <t xml:space="preserve">https://courses.leeds.ac.uk/f834/accounting-and-finance-bsc  —  Verified – official source</t>
  </si>
  <si>
    <t xml:space="preserve">https://courses.leeds.ac.uk/f831/international-business-bsc  —  Verified – official source</t>
  </si>
  <si>
    <t xml:space="preserve">https://www.unsw.edu.au/study/undergraduate/bachelor-of-engineering-honours  —  Verified – official source</t>
  </si>
  <si>
    <t xml:space="preserve">https://www.unsw.edu.au/study/undergraduate/bachelor-of-computer-science  —  Verified – official source</t>
  </si>
  <si>
    <t xml:space="preserve">https://www.unsw.edu.au/study/undergraduate/bachelor-of-commerce  —  Verified – official source</t>
  </si>
  <si>
    <t xml:space="preserve">https://www.unsw.edu.au/study/undergraduate/bachelor-of-medical-studies-doctor-of-medicine  —  Verified – official source</t>
  </si>
  <si>
    <t xml:space="preserve">https://study.uq.edu.au/study-options/programs/bachelor-engineering-honours-2455  —  Verified – official source</t>
  </si>
  <si>
    <t xml:space="preserve">https://study.uq.edu.au/study-options/programs/bachelor-computer-science-2451  —  Verified – official source</t>
  </si>
  <si>
    <t xml:space="preserve">https://www.intl.kit.edu/istudies/12606.php  —  Verified – official source (semester contribution not verified)</t>
  </si>
  <si>
    <t xml:space="preserve">https://www.uni-mannheim.de/en/academics/during-your-studies/organizing-your-studies/fees/  —  Verified – official source</t>
  </si>
  <si>
    <t xml:space="preserve">https://www.uni-heidelberg.de/en/study/management-of-studies/semester-fees  —  Derived from official sources</t>
  </si>
  <si>
    <t xml:space="preserve">https://www.asta.rwth-aachen.de/en/how-is-the-semester-contribution-made-up/  —  Historical – excluded from average</t>
  </si>
  <si>
    <t xml:space="preserve">https://www.tum.de/en/studies/fees/tuition  —  Range – programme fee band not confirmed; excluded from average</t>
  </si>
  <si>
    <t xml:space="preserve">LIV</t>
  </si>
  <si>
    <t xml:space="preserve">Living: Pakistan</t>
  </si>
  <si>
    <t xml:space="preserve">https://lums.edu.pk/programmes/bs-computer-science  —  Partial – food, transport and personal costs not verified</t>
  </si>
  <si>
    <t xml:space="preserve">Living: India</t>
  </si>
  <si>
    <t xml:space="preserve">https://iiitd.ac.in/admission/fees  —  Partial – transport and personal costs not verified</t>
  </si>
  <si>
    <t xml:space="preserve">Living: USA</t>
  </si>
  <si>
    <t xml:space="preserve">https://studentsuccess.uky.edu/financial-aid-and-scholarships/estimated-cost-attendance  —  Single-institution benchmark (University of Kentucky)</t>
  </si>
  <si>
    <t xml:space="preserve">Living: UK</t>
  </si>
  <si>
    <t xml:space="preserve">https://study.ed.ac.uk/undergraduate/fees-funding/living-costs  —  Single-institution benchmark (University of Edinburgh) + UK government charges</t>
  </si>
  <si>
    <t xml:space="preserve">https://study.ed.ac.uk/undergraduate/fees-funding/living-costs  —  Single-institution benchmark (University of Edinburgh)</t>
  </si>
  <si>
    <t xml:space="preserve">Living: Australia</t>
  </si>
  <si>
    <t xml:space="preserve">https://www.unsw.edu.au/study/your-future/cost-of-living-sydney  —  Combined estimate (UNSW, on-campus); OSHC health cover and visa fee not verified</t>
  </si>
  <si>
    <t xml:space="preserve">Living: Germany</t>
  </si>
  <si>
    <t xml:space="preserve">https://www.daad.de/en/studying-in-germany/living-in-germany/finances/  —  Combined national average (DAAD)</t>
  </si>
  <si>
    <t xml:space="preserve">Data inclusion and exclusion criteria</t>
  </si>
  <si>
    <t xml:space="preserve">Official university fee pages first; government or university pages for living costs. Domestic and international fees are never combined; each record states its student category, level, currency, fee year and source. Refundable deposits are excluded. One-time fees are never treated as annual. Historical figures, published ranges and regulatory caps are kept for reference but excluded from averages. Visa 'proof of funds' amounts are not used as living costs.</t>
  </si>
  <si>
    <t xml:space="preserve">University averaging methodology</t>
  </si>
  <si>
    <t xml:space="preserve">For each country, qualification and student category: count, arithmetic mean (default estimate), median, lowest and highest annual tuition across records with Include In Average = Yes and the same currency. Adjacent fee years are allowed and listed in each record. One valid record is labelled a single-institution benchmark. Tuition and living costs are calculated separately; the average uses the country living benchmark.</t>
  </si>
  <si>
    <t xml:space="preserve">Exchange-rate methodology</t>
  </si>
  <si>
    <t xml:space="preserve">Units of each currency per 1 USD. EUR, GBP, AUD and INR are derived as cross-rates from ECB euro reference rates (1 EUR = 1.1298 USD; 0.85373 GBP; 1.6255 AUD; 108.8320 INR). PKR from State Bank of Pakistan M2M revaluation rate. Convert A to B: amount_A / rate_A * rate_B. Reference date 2026-10-01. An optional annual drift lets parents model a weakening or strengthening home currency. No rate is substituted silently.</t>
  </si>
  <si>
    <t xml:space="preserve">Inflation assumptions</t>
  </si>
  <si>
    <t xml:space="preserve">Separate editable tuition and living-cost inflation by education country (tblInflation). Future cost = current cost × (1 + inflation)^(years from the fee year to the year the cost is paid).</t>
  </si>
  <si>
    <t xml:space="preserve">Investment-return assumptions</t>
  </si>
  <si>
    <t xml:space="preserve">Illustrative nominal annual returns by reporting currency – not predictions, recommendations or guaranteed rates. Zero and negative returns are allowed (above −99%).</t>
  </si>
  <si>
    <t xml:space="preserve">Financial calculation formulas</t>
  </si>
  <si>
    <t xml:space="preserve">Per child and plan year p: available = opening + other funding − education expense (paid at the start of the year); closing = available × (1 + r) + contributions (monthly: 12 × amount × timing factor, where timing factor = ((1+r)^(1) − 1)/((1+r)^(1/12) − 1)/12; annual: paid at year-end). Contributions rise by the escalation rate and stop after the year before the last study-year payment. The required additional contribution is the smallest first-year amount (escalating) keeping every year's available balance ≥ 0; where a cost falls before any contribution can arrive, an up-front lump sum is computed first. Requirements are never negative. Coverage = 1 − shortfall ÷ total cost under the current plan, where unfunded costs are recorded as shortfall and the balance is floored at zero.</t>
  </si>
  <si>
    <t xml:space="preserve">Known limitations</t>
  </si>
  <si>
    <t xml:space="preserve">Coverage is limited (see Coverage gaps). Some records are single-institution benchmarks; some fees are year-1 values where later years differ; programme-specific fees may be missing; living costs for Pakistan and India are partial. Taxes, loans, part-time work and currency hedging are not modelled. Ages are whole years and costs are annual.</t>
  </si>
  <si>
    <t xml:space="preserve">Coverage gaps</t>
  </si>
  <si>
    <t xml:space="preserve">Pakistan: food, transport and personal living costs; public-sector medical college fees (only AKU is current). • India: government medical colleges (e.g. AIIMS) – no official fee page reached; transport/personal living costs. • USA: engineering differential fees at Kentucky/Purdue not verified; MD programmes are graduate-entry. • UK: international Business Administration (Leeds 2026/27 'to be confirmed'); Leeds Medicine international fee to be confirmed; books/course costs. • Australia: OSHC health cover and visa fee; second university for Commerce and Medicine. • Germany: Accounting and Finance; KIT semester contribution; current RWTH semester contribution; TUM programme fee band. • All countries: Dentistry, Pharmacy, Law, AI, Data Science, Cybersecurity and other programmes have no verified records yet. • ACCA, CPA and CA: no verified records yet.</t>
  </si>
</sst>
</file>

<file path=xl/styles.xml><?xml version="1.0" encoding="utf-8"?>
<styleSheet xmlns="http://schemas.openxmlformats.org/spreadsheetml/2006/main">
  <numFmts count="9">
    <numFmt numFmtId="164" formatCode="General"/>
    <numFmt numFmtId="165" formatCode="0"/>
    <numFmt numFmtId="166" formatCode="0.0%;\(0.0%\);\-"/>
    <numFmt numFmtId="167" formatCode="General"/>
    <numFmt numFmtId="168" formatCode="0.0"/>
    <numFmt numFmtId="169" formatCode="#,##0;\(#,##0\);\-"/>
    <numFmt numFmtId="170" formatCode="0.0000"/>
    <numFmt numFmtId="171" formatCode="0.000000"/>
    <numFmt numFmtId="172" formatCode="0.00"/>
  </numFmts>
  <fonts count="17">
    <font>
      <sz val="11"/>
      <color theme="1"/>
      <name val="Calibri"/>
      <family val="2"/>
      <charset val="1"/>
    </font>
    <font>
      <sz val="10"/>
      <name val="Arial"/>
      <family val="0"/>
    </font>
    <font>
      <sz val="10"/>
      <name val="Arial"/>
      <family val="0"/>
    </font>
    <font>
      <sz val="10"/>
      <name val="Arial"/>
      <family val="0"/>
    </font>
    <font>
      <b val="true"/>
      <sz val="16"/>
      <color rgb="FF0E1016"/>
      <name val="Arial"/>
      <family val="0"/>
      <charset val="1"/>
    </font>
    <font>
      <i val="true"/>
      <sz val="9"/>
      <color rgb="FF565B66"/>
      <name val="Arial"/>
      <family val="0"/>
      <charset val="1"/>
    </font>
    <font>
      <b val="true"/>
      <sz val="10"/>
      <name val="Arial"/>
      <family val="0"/>
      <charset val="1"/>
    </font>
    <font>
      <sz val="10"/>
      <color rgb="FF0000FF"/>
      <name val="Arial"/>
      <family val="0"/>
      <charset val="1"/>
    </font>
    <font>
      <sz val="10"/>
      <name val="Arial"/>
      <family val="0"/>
      <charset val="1"/>
    </font>
    <font>
      <b val="true"/>
      <sz val="12"/>
      <color rgb="FF0E1016"/>
      <name val="Arial"/>
      <family val="0"/>
      <charset val="1"/>
    </font>
    <font>
      <b val="true"/>
      <sz val="10"/>
      <color rgb="FFFFFFFF"/>
      <name val="Arial"/>
      <family val="0"/>
      <charset val="1"/>
    </font>
    <font>
      <sz val="10"/>
      <name val="Arial"/>
      <family val="2"/>
    </font>
    <font>
      <b val="true"/>
      <sz val="18"/>
      <color rgb="FF000000"/>
      <name val="Calibri"/>
      <family val="2"/>
    </font>
    <font>
      <sz val="10"/>
      <color rgb="FF000000"/>
      <name val="Calibri"/>
      <family val="2"/>
    </font>
    <font>
      <b val="true"/>
      <sz val="10"/>
      <color rgb="FF000000"/>
      <name val="Calibri"/>
      <family val="2"/>
    </font>
    <font>
      <b val="true"/>
      <sz val="10"/>
      <color rgb="FFA61E2A"/>
      <name val="Arial"/>
      <family val="0"/>
      <charset val="1"/>
    </font>
    <font>
      <sz val="10"/>
      <color rgb="FF0000FF"/>
      <name val="Arial"/>
      <family val="0"/>
      <charset val="1"/>
    </font>
  </fonts>
  <fills count="6">
    <fill>
      <patternFill patternType="none"/>
    </fill>
    <fill>
      <patternFill patternType="gray125"/>
    </fill>
    <fill>
      <patternFill patternType="solid">
        <fgColor rgb="FFFFF4D6"/>
        <bgColor rgb="FFF2F2F2"/>
      </patternFill>
    </fill>
    <fill>
      <patternFill patternType="solid">
        <fgColor rgb="FFF2F2F2"/>
        <bgColor rgb="FFFFF4D6"/>
      </patternFill>
    </fill>
    <fill>
      <patternFill patternType="solid">
        <fgColor rgb="FF0E1016"/>
        <bgColor rgb="FF000000"/>
      </patternFill>
    </fill>
    <fill>
      <patternFill patternType="solid">
        <fgColor rgb="FFE9A825"/>
        <bgColor rgb="FFFFCC00"/>
      </patternFill>
    </fill>
  </fills>
  <borders count="2">
    <border diagonalUp="false" diagonalDown="false">
      <left/>
      <right/>
      <top/>
      <bottom/>
      <diagonal/>
    </border>
    <border diagonalUp="false" diagonalDown="false">
      <left style="thin">
        <color rgb="FFDDD8CC"/>
      </left>
      <right style="thin">
        <color rgb="FFDDD8CC"/>
      </right>
      <top style="thin">
        <color rgb="FFDDD8CC"/>
      </top>
      <bottom style="thin">
        <color rgb="FFDDD8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5" fontId="7" fillId="2" borderId="1" xfId="0" applyFont="true" applyBorder="true" applyAlignment="false" applyProtection="true">
      <alignment horizontal="general" vertical="bottom" textRotation="0" wrapText="false" indent="0" shrinkToFit="false"/>
      <protection locked="fals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true">
      <alignment horizontal="general" vertical="bottom" textRotation="0" wrapText="false" indent="0" shrinkToFit="false"/>
      <protection locked="false" hidden="false"/>
    </xf>
    <xf numFmtId="166" fontId="7" fillId="2" borderId="1" xfId="0" applyFont="true" applyBorder="true" applyAlignment="false" applyProtection="true">
      <alignment horizontal="general" vertical="bottom" textRotation="0" wrapText="false" indent="0" shrinkToFit="false"/>
      <protection locked="fals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8" fontId="7" fillId="2" borderId="1" xfId="0" applyFont="true" applyBorder="true" applyAlignment="false" applyProtection="true">
      <alignment horizontal="general" vertical="bottom" textRotation="0" wrapText="false" indent="0" shrinkToFit="false"/>
      <protection locked="false" hidden="false"/>
    </xf>
    <xf numFmtId="169" fontId="7" fillId="2" borderId="1" xfId="0" applyFont="true" applyBorder="true" applyAlignment="false" applyProtection="true">
      <alignment horizontal="general" vertical="bottom" textRotation="0" wrapText="false" indent="0" shrinkToFit="false"/>
      <protection locked="fals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8" fillId="3"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70" fontId="7" fillId="2" borderId="1" xfId="0" applyFont="true" applyBorder="true" applyAlignment="false" applyProtection="true">
      <alignment horizontal="general" vertical="bottom" textRotation="0" wrapText="false" indent="0" shrinkToFit="false"/>
      <protection locked="fals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71" fontId="8" fillId="3"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9" fontId="6" fillId="3" borderId="1" xfId="0" applyFont="true" applyBorder="true" applyAlignment="false" applyProtection="false">
      <alignment horizontal="general" vertical="bottom" textRotation="0" wrapText="fals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9" fontId="6" fillId="5" borderId="1" xfId="0" applyFont="true" applyBorder="true" applyAlignment="false" applyProtection="false">
      <alignment horizontal="general" vertical="bottom" textRotation="0" wrapText="false" indent="0" shrinkToFit="false"/>
      <protection locked="true" hidden="false"/>
    </xf>
    <xf numFmtId="166" fontId="6" fillId="3"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5" fontId="6" fillId="3"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ont>
        <color rgb="FFA0A0A0"/>
      </font>
      <fill>
        <patternFill>
          <bgColor rgb="FFE6E6E6"/>
        </patternFill>
      </fill>
    </dxf>
    <dxf>
      <fill>
        <patternFill patternType="solid">
          <fgColor rgb="FF0E1016"/>
          <bgColor rgb="FF000000"/>
        </patternFill>
      </fill>
    </dxf>
    <dxf>
      <fill>
        <patternFill patternType="solid">
          <fgColor rgb="FFF2F2F2"/>
          <bgColor rgb="FF000000"/>
        </patternFill>
      </fill>
    </dxf>
    <dxf>
      <fill>
        <patternFill patternType="solid">
          <fgColor rgb="FFFFFFFF"/>
          <bgColor rgb="FF000000"/>
        </patternFill>
      </fill>
    </dxf>
    <dxf>
      <fill>
        <patternFill patternType="solid">
          <bgColor rgb="FF000000"/>
        </patternFill>
      </fill>
    </dxf>
    <dxf>
      <fill>
        <patternFill patternType="solid">
          <fgColor rgb="FF0000FF"/>
          <bgColor rgb="FF000000"/>
        </patternFill>
      </fill>
    </dxf>
    <dxf>
      <fill>
        <patternFill patternType="solid">
          <fgColor rgb="FF000000"/>
          <bgColor rgb="FF000000"/>
        </patternFill>
      </fill>
    </dxf>
    <dxf>
      <fill>
        <patternFill patternType="solid">
          <fgColor rgb="FFFFF4D6"/>
          <bgColor rgb="FF000000"/>
        </patternFill>
      </fill>
    </dxf>
    <dxf>
      <fill>
        <patternFill patternType="solid">
          <fgColor rgb="FF565B66"/>
          <bgColor rgb="FF000000"/>
        </patternFill>
      </fill>
    </dxf>
    <dxf>
      <font>
        <color rgb="FFBFBFBF"/>
      </font>
    </dxf>
    <dxf>
      <font>
        <b val="1"/>
        <color rgb="FFA61E2A"/>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4D6"/>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6E6E6"/>
      <rgbColor rgb="FFCCFFCC"/>
      <rgbColor rgb="FFFFFF99"/>
      <rgbColor rgb="FF99CCFF"/>
      <rgbColor rgb="FFFF99CC"/>
      <rgbColor rgb="FFCC99FF"/>
      <rgbColor rgb="FFDDD8CC"/>
      <rgbColor rgb="FF4A7EBB"/>
      <rgbColor rgb="FF33CCCC"/>
      <rgbColor rgb="FF9BBB59"/>
      <rgbColor rgb="FFFFCC00"/>
      <rgbColor rgb="FFE9A825"/>
      <rgbColor rgb="FFFF6600"/>
      <rgbColor rgb="FF565B66"/>
      <rgbColor rgb="FFA0A0A0"/>
      <rgbColor rgb="FF003366"/>
      <rgbColor rgb="FF4F81BD"/>
      <rgbColor rgb="FF0E1016"/>
      <rgbColor rgb="FF333300"/>
      <rgbColor rgb="FFA61E2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Education cost by child</a:t>
            </a:r>
          </a:p>
        </c:rich>
      </c:tx>
      <c:overlay val="0"/>
      <c:spPr>
        <a:noFill/>
        <a:ln w="0">
          <a:noFill/>
        </a:ln>
      </c:spPr>
    </c:title>
    <c:autoTitleDeleted val="0"/>
    <c:plotArea>
      <c:barChart>
        <c:barDir val="col"/>
        <c:grouping val="clustered"/>
        <c:varyColors val="0"/>
        <c:ser>
          <c:idx val="0"/>
          <c:order val="0"/>
          <c:tx>
            <c:strRef>
              <c:f>'Parent Dashboard'!C19</c:f>
              <c:strCache>
                <c:ptCount val="1"/>
                <c:pt idx="0">
                  <c:v>Total cost</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'Parent Dashboard'!$B$20:$B$23</c:f>
              <c:strCache>
                <c:ptCount val="4"/>
                <c:pt idx="0">
                  <c:v>Child 1</c:v>
                </c:pt>
                <c:pt idx="1">
                  <c:v>Child 2</c:v>
                </c:pt>
                <c:pt idx="2">
                  <c:v>Child 3</c:v>
                </c:pt>
                <c:pt idx="3">
                  <c:v>Child 4</c:v>
                </c:pt>
              </c:strCache>
            </c:strRef>
          </c:cat>
          <c:val>
            <c:numRef>
              <c:f>'Parent Dashboard'!$C$20:$C$23</c:f>
              <c:numCache>
                <c:formatCode>#,##0;\(#,##0\);\-</c:formatCode>
                <c:ptCount val="4"/>
                <c:pt idx="0">
                  <c:v>13919331.2930391</c:v>
                </c:pt>
                <c:pt idx="1">
                  <c:v>69783785.5466936</c:v>
                </c:pt>
                <c:pt idx="2">
                  <c:v>0</c:v>
                </c:pt>
                <c:pt idx="3">
                  <c:v>0</c:v>
                </c:pt>
              </c:numCache>
            </c:numRef>
          </c:val>
        </c:ser>
        <c:gapWidth val="150"/>
        <c:overlap val="0"/>
        <c:axId val="14374682"/>
        <c:axId val="35413894"/>
      </c:barChart>
      <c:catAx>
        <c:axId val="1437468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413894"/>
        <c:crosses val="autoZero"/>
        <c:auto val="1"/>
        <c:lblAlgn val="ctr"/>
        <c:lblOffset val="100"/>
        <c:noMultiLvlLbl val="0"/>
      </c:catAx>
      <c:valAx>
        <c:axId val="354138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Reporting currency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37468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Cost breakdown by child</a:t>
            </a:r>
          </a:p>
        </c:rich>
      </c:tx>
      <c:overlay val="0"/>
      <c:spPr>
        <a:noFill/>
        <a:ln w="0">
          <a:noFill/>
        </a:ln>
      </c:spPr>
    </c:title>
    <c:autoTitleDeleted val="0"/>
    <c:plotArea>
      <c:barChart>
        <c:barDir val="col"/>
        <c:grouping val="stacked"/>
        <c:varyColors val="0"/>
        <c:ser>
          <c:idx val="0"/>
          <c:order val="0"/>
          <c:tx>
            <c:strRef>
              <c:f>'Parent Dashboard'!D19</c:f>
              <c:strCache>
                <c:ptCount val="1"/>
                <c:pt idx="0">
                  <c:v>Tuition &amp; fees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'Parent Dashboard'!$B$20:$B$23</c:f>
              <c:strCache>
                <c:ptCount val="4"/>
                <c:pt idx="0">
                  <c:v>Child 1</c:v>
                </c:pt>
                <c:pt idx="1">
                  <c:v>Child 2</c:v>
                </c:pt>
                <c:pt idx="2">
                  <c:v>Child 3</c:v>
                </c:pt>
                <c:pt idx="3">
                  <c:v>Child 4</c:v>
                </c:pt>
              </c:strCache>
            </c:strRef>
          </c:cat>
          <c:val>
            <c:numRef>
              <c:f>'Parent Dashboard'!$D$20:$D$23</c:f>
              <c:numCache>
                <c:formatCode>#,##0;\(#,##0\);\-</c:formatCode>
                <c:ptCount val="4"/>
                <c:pt idx="0">
                  <c:v>11346476.8716419</c:v>
                </c:pt>
                <c:pt idx="1">
                  <c:v>62933267.405332</c:v>
                </c:pt>
                <c:pt idx="2">
                  <c:v>0</c:v>
                </c:pt>
                <c:pt idx="3">
                  <c:v>0</c:v>
                </c:pt>
              </c:numCache>
            </c:numRef>
          </c:val>
        </c:ser>
        <c:ser>
          <c:idx val="1"/>
          <c:order val="1"/>
          <c:tx>
            <c:strRef>
              <c:f>'Parent Dashboard'!E19</c:f>
              <c:strCache>
                <c:ptCount val="1"/>
                <c:pt idx="0">
                  <c:v>Living costs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'Parent Dashboard'!$B$20:$B$23</c:f>
              <c:strCache>
                <c:ptCount val="4"/>
                <c:pt idx="0">
                  <c:v>Child 1</c:v>
                </c:pt>
                <c:pt idx="1">
                  <c:v>Child 2</c:v>
                </c:pt>
                <c:pt idx="2">
                  <c:v>Child 3</c:v>
                </c:pt>
                <c:pt idx="3">
                  <c:v>Child 4</c:v>
                </c:pt>
              </c:strCache>
            </c:strRef>
          </c:cat>
          <c:val>
            <c:numRef>
              <c:f>'Parent Dashboard'!$E$20:$E$23</c:f>
              <c:numCache>
                <c:formatCode>#,##0;\(#,##0\);\-</c:formatCode>
                <c:ptCount val="4"/>
                <c:pt idx="0">
                  <c:v>1648082.56914663</c:v>
                </c:pt>
                <c:pt idx="1">
                  <c:v>2702930.00631042</c:v>
                </c:pt>
                <c:pt idx="2">
                  <c:v>0</c:v>
                </c:pt>
                <c:pt idx="3">
                  <c:v>0</c:v>
                </c:pt>
              </c:numCache>
            </c:numRef>
          </c:val>
        </c:ser>
        <c:ser>
          <c:idx val="2"/>
          <c:order val="2"/>
          <c:tx>
            <c:strRef>
              <c:f>'Parent Dashboard'!F19</c:f>
              <c:strCache>
                <c:ptCount val="1"/>
                <c:pt idx="0">
                  <c:v>One-time &amp; contingency</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'Parent Dashboard'!$B$20:$B$23</c:f>
              <c:strCache>
                <c:ptCount val="4"/>
                <c:pt idx="0">
                  <c:v>Child 1</c:v>
                </c:pt>
                <c:pt idx="1">
                  <c:v>Child 2</c:v>
                </c:pt>
                <c:pt idx="2">
                  <c:v>Child 3</c:v>
                </c:pt>
                <c:pt idx="3">
                  <c:v>Child 4</c:v>
                </c:pt>
              </c:strCache>
            </c:strRef>
          </c:cat>
          <c:val>
            <c:numRef>
              <c:f>'Parent Dashboard'!$F$20:$F$23</c:f>
              <c:numCache>
                <c:formatCode>#,##0;\(#,##0\);\-</c:formatCode>
                <c:ptCount val="4"/>
                <c:pt idx="0">
                  <c:v>924771.852250528</c:v>
                </c:pt>
                <c:pt idx="1">
                  <c:v>4147588.1350512</c:v>
                </c:pt>
                <c:pt idx="2">
                  <c:v>0</c:v>
                </c:pt>
                <c:pt idx="3">
                  <c:v>0</c:v>
                </c:pt>
              </c:numCache>
            </c:numRef>
          </c:val>
        </c:ser>
        <c:gapWidth val="150"/>
        <c:overlap val="100"/>
        <c:axId val="68294928"/>
        <c:axId val="8442267"/>
      </c:barChart>
      <c:catAx>
        <c:axId val="6829492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42267"/>
        <c:crosses val="autoZero"/>
        <c:auto val="1"/>
        <c:lblAlgn val="ctr"/>
        <c:lblOffset val="100"/>
        <c:noMultiLvlLbl val="0"/>
      </c:catAx>
      <c:valAx>
        <c:axId val="844226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Reporting currency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29492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Required additional monthly saving by child (year 1)</a:t>
            </a:r>
          </a:p>
        </c:rich>
      </c:tx>
      <c:overlay val="0"/>
      <c:spPr>
        <a:noFill/>
        <a:ln w="0">
          <a:noFill/>
        </a:ln>
      </c:spPr>
    </c:title>
    <c:autoTitleDeleted val="0"/>
    <c:plotArea>
      <c:barChart>
        <c:barDir val="col"/>
        <c:grouping val="clustered"/>
        <c:varyColors val="0"/>
        <c:ser>
          <c:idx val="0"/>
          <c:order val="0"/>
          <c:tx>
            <c:strRef>
              <c:f>'Parent Dashboard'!G19</c:f>
              <c:strCache>
                <c:ptCount val="1"/>
                <c:pt idx="0">
                  <c:v>Required monthly (year 1)</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'Parent Dashboard'!$B$20:$B$23</c:f>
              <c:strCache>
                <c:ptCount val="4"/>
                <c:pt idx="0">
                  <c:v>Child 1</c:v>
                </c:pt>
                <c:pt idx="1">
                  <c:v>Child 2</c:v>
                </c:pt>
                <c:pt idx="2">
                  <c:v>Child 3</c:v>
                </c:pt>
                <c:pt idx="3">
                  <c:v>Child 4</c:v>
                </c:pt>
              </c:strCache>
            </c:strRef>
          </c:cat>
          <c:val>
            <c:numRef>
              <c:f>'Parent Dashboard'!$G$20:$G$23</c:f>
              <c:numCache>
                <c:formatCode>#,##0;\(#,##0\);\-</c:formatCode>
                <c:ptCount val="4"/>
                <c:pt idx="0">
                  <c:v>36131.4046039903</c:v>
                </c:pt>
                <c:pt idx="1">
                  <c:v>116235.607458583</c:v>
                </c:pt>
                <c:pt idx="2">
                  <c:v>0</c:v>
                </c:pt>
                <c:pt idx="3">
                  <c:v>0</c:v>
                </c:pt>
              </c:numCache>
            </c:numRef>
          </c:val>
        </c:ser>
        <c:gapWidth val="150"/>
        <c:overlap val="0"/>
        <c:axId val="3125001"/>
        <c:axId val="51628769"/>
      </c:barChart>
      <c:catAx>
        <c:axId val="3125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628769"/>
        <c:crosses val="autoZero"/>
        <c:auto val="1"/>
        <c:lblAlgn val="ctr"/>
        <c:lblOffset val="100"/>
        <c:noMultiLvlLbl val="0"/>
      </c:catAx>
      <c:valAx>
        <c:axId val="5162876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Reporting currency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25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Projected fund balance vs education expenses (family, required plan)</a:t>
            </a:r>
          </a:p>
        </c:rich>
      </c:tx>
      <c:overlay val="0"/>
      <c:spPr>
        <a:noFill/>
        <a:ln w="0">
          <a:noFill/>
        </a:ln>
      </c:spPr>
    </c:title>
    <c:autoTitleDeleted val="0"/>
    <c:plotArea>
      <c:lineChart>
        <c:grouping val="standard"/>
        <c:varyColors val="0"/>
        <c:ser>
          <c:idx val="0"/>
          <c:order val="0"/>
          <c:tx>
            <c:strRef>
              <c:f>'Savings Calculator'!AG4</c:f>
              <c:strCache>
                <c:ptCount val="1"/>
                <c:pt idx="0">
                  <c:v>Fund balance (required plan)</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'Savings Calculator'!$AB$5:$AB$39</c:f>
              <c:strCache>
                <c:ptCount val="35"/>
                <c:pt idx="0">
                  <c:v>2026/27</c:v>
                </c:pt>
                <c:pt idx="1">
                  <c:v>2027/28</c:v>
                </c:pt>
                <c:pt idx="2">
                  <c:v>2028/29</c:v>
                </c:pt>
                <c:pt idx="3">
                  <c:v>2029/30</c:v>
                </c:pt>
                <c:pt idx="4">
                  <c:v>2030/31</c:v>
                </c:pt>
                <c:pt idx="5">
                  <c:v>2031/32</c:v>
                </c:pt>
                <c:pt idx="6">
                  <c:v>2032/33</c:v>
                </c:pt>
                <c:pt idx="7">
                  <c:v>2033/34</c:v>
                </c:pt>
                <c:pt idx="8">
                  <c:v>2034/35</c:v>
                </c:pt>
                <c:pt idx="9">
                  <c:v>2035/36</c:v>
                </c:pt>
                <c:pt idx="10">
                  <c:v>2036/37</c:v>
                </c:pt>
                <c:pt idx="11">
                  <c:v>2037/38</c:v>
                </c:pt>
                <c:pt idx="12">
                  <c:v>2038/39</c:v>
                </c:pt>
                <c:pt idx="13">
                  <c:v>2039/40</c:v>
                </c:pt>
                <c:pt idx="14">
                  <c:v>2040/41</c:v>
                </c:pt>
                <c:pt idx="15">
                  <c:v>2041/42</c:v>
                </c:pt>
                <c:pt idx="16">
                  <c:v>2042/43</c:v>
                </c:pt>
                <c:pt idx="17">
                  <c:v>2043/44</c:v>
                </c:pt>
                <c:pt idx="18">
                  <c:v>2044/45</c:v>
                </c:pt>
                <c:pt idx="19">
                  <c:v>2045/46</c:v>
                </c:pt>
                <c:pt idx="20">
                  <c:v>2046/47</c:v>
                </c:pt>
                <c:pt idx="21">
                  <c:v>2047/48</c:v>
                </c:pt>
                <c:pt idx="22">
                  <c:v>2048/49</c:v>
                </c:pt>
                <c:pt idx="23">
                  <c:v>2049/50</c:v>
                </c:pt>
                <c:pt idx="24">
                  <c:v>2050/51</c:v>
                </c:pt>
                <c:pt idx="25">
                  <c:v>2051/52</c:v>
                </c:pt>
                <c:pt idx="26">
                  <c:v>2052/53</c:v>
                </c:pt>
                <c:pt idx="27">
                  <c:v>2053/54</c:v>
                </c:pt>
                <c:pt idx="28">
                  <c:v>2054/55</c:v>
                </c:pt>
                <c:pt idx="29">
                  <c:v>2055/56</c:v>
                </c:pt>
                <c:pt idx="30">
                  <c:v>2056/57</c:v>
                </c:pt>
                <c:pt idx="31">
                  <c:v>2057/58</c:v>
                </c:pt>
                <c:pt idx="32">
                  <c:v>2058/59</c:v>
                </c:pt>
                <c:pt idx="33">
                  <c:v>2059/60</c:v>
                </c:pt>
                <c:pt idx="34">
                  <c:v>2060/61</c:v>
                </c:pt>
              </c:strCache>
            </c:strRef>
          </c:cat>
          <c:val>
            <c:numRef>
              <c:f>'Savings Calculator'!$AG$5:$AG$39</c:f>
              <c:numCache>
                <c:formatCode>#,##0;\(#,##0\);\-</c:formatCode>
                <c:ptCount val="35"/>
                <c:pt idx="0">
                  <c:v>2788606.56797664</c:v>
                </c:pt>
                <c:pt idx="1">
                  <c:v>5345676.2525093</c:v>
                </c:pt>
                <c:pt idx="2">
                  <c:v>8320716.14400465</c:v>
                </c:pt>
                <c:pt idx="3">
                  <c:v>11769438.7595392</c:v>
                </c:pt>
                <c:pt idx="4">
                  <c:v>15754519.9228505</c:v>
                </c:pt>
                <c:pt idx="5">
                  <c:v>20346448.2513676</c:v>
                </c:pt>
                <c:pt idx="6">
                  <c:v>25624477.2761954</c:v>
                </c:pt>
                <c:pt idx="7">
                  <c:v>31677692.5457358</c:v>
                </c:pt>
                <c:pt idx="8">
                  <c:v>34992918.3204316</c:v>
                </c:pt>
                <c:pt idx="9">
                  <c:v>38848458.2150215</c:v>
                </c:pt>
                <c:pt idx="10">
                  <c:v>42977414.7699774</c:v>
                </c:pt>
                <c:pt idx="11">
                  <c:v>46388394.3323509</c:v>
                </c:pt>
                <c:pt idx="12">
                  <c:v>41074353.4224838</c:v>
                </c:pt>
                <c:pt idx="13">
                  <c:v>34974367.1439751</c:v>
                </c:pt>
                <c:pt idx="14">
                  <c:v>26906640.5543055</c:v>
                </c:pt>
                <c:pt idx="15">
                  <c:v>16505179.1657176</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mooth val="1"/>
        </c:ser>
        <c:hiLowLines>
          <c:spPr>
            <a:ln w="0">
              <a:noFill/>
            </a:ln>
          </c:spPr>
        </c:hiLowLines>
        <c:marker val="0"/>
        <c:axId val="21467158"/>
        <c:axId val="4241285"/>
      </c:lineChart>
      <c:barChart>
        <c:barDir val="col"/>
        <c:grouping val="clustered"/>
        <c:varyColors val="0"/>
        <c:ser>
          <c:idx val="1"/>
          <c:order val="1"/>
          <c:tx>
            <c:strRef>
              <c:f>'Savings Calculator'!AC4</c:f>
              <c:strCache>
                <c:ptCount val="1"/>
                <c:pt idx="0">
                  <c:v>Education expenses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'Savings Calculator'!$AB$5:$AB$39</c:f>
              <c:strCache>
                <c:ptCount val="35"/>
                <c:pt idx="0">
                  <c:v>2026/27</c:v>
                </c:pt>
                <c:pt idx="1">
                  <c:v>2027/28</c:v>
                </c:pt>
                <c:pt idx="2">
                  <c:v>2028/29</c:v>
                </c:pt>
                <c:pt idx="3">
                  <c:v>2029/30</c:v>
                </c:pt>
                <c:pt idx="4">
                  <c:v>2030/31</c:v>
                </c:pt>
                <c:pt idx="5">
                  <c:v>2031/32</c:v>
                </c:pt>
                <c:pt idx="6">
                  <c:v>2032/33</c:v>
                </c:pt>
                <c:pt idx="7">
                  <c:v>2033/34</c:v>
                </c:pt>
                <c:pt idx="8">
                  <c:v>2034/35</c:v>
                </c:pt>
                <c:pt idx="9">
                  <c:v>2035/36</c:v>
                </c:pt>
                <c:pt idx="10">
                  <c:v>2036/37</c:v>
                </c:pt>
                <c:pt idx="11">
                  <c:v>2037/38</c:v>
                </c:pt>
                <c:pt idx="12">
                  <c:v>2038/39</c:v>
                </c:pt>
                <c:pt idx="13">
                  <c:v>2039/40</c:v>
                </c:pt>
                <c:pt idx="14">
                  <c:v>2040/41</c:v>
                </c:pt>
                <c:pt idx="15">
                  <c:v>2041/42</c:v>
                </c:pt>
                <c:pt idx="16">
                  <c:v>2042/43</c:v>
                </c:pt>
                <c:pt idx="17">
                  <c:v>2043/44</c:v>
                </c:pt>
                <c:pt idx="18">
                  <c:v>2044/45</c:v>
                </c:pt>
                <c:pt idx="19">
                  <c:v>2045/46</c:v>
                </c:pt>
                <c:pt idx="20">
                  <c:v>2046/47</c:v>
                </c:pt>
                <c:pt idx="21">
                  <c:v>2047/48</c:v>
                </c:pt>
                <c:pt idx="22">
                  <c:v>2048/49</c:v>
                </c:pt>
                <c:pt idx="23">
                  <c:v>2049/50</c:v>
                </c:pt>
                <c:pt idx="24">
                  <c:v>2050/51</c:v>
                </c:pt>
                <c:pt idx="25">
                  <c:v>2051/52</c:v>
                </c:pt>
                <c:pt idx="26">
                  <c:v>2052/53</c:v>
                </c:pt>
                <c:pt idx="27">
                  <c:v>2053/54</c:v>
                </c:pt>
                <c:pt idx="28">
                  <c:v>2054/55</c:v>
                </c:pt>
                <c:pt idx="29">
                  <c:v>2055/56</c:v>
                </c:pt>
                <c:pt idx="30">
                  <c:v>2056/57</c:v>
                </c:pt>
                <c:pt idx="31">
                  <c:v>2057/58</c:v>
                </c:pt>
                <c:pt idx="32">
                  <c:v>2058/59</c:v>
                </c:pt>
                <c:pt idx="33">
                  <c:v>2059/60</c:v>
                </c:pt>
                <c:pt idx="34">
                  <c:v>2060/61</c:v>
                </c:pt>
              </c:strCache>
            </c:strRef>
          </c:cat>
          <c:val>
            <c:numRef>
              <c:f>'Savings Calculator'!$AC$5:$AC$39</c:f>
              <c:numCache>
                <c:formatCode>#,##0;\(#,##0\);\-</c:formatCode>
                <c:ptCount val="35"/>
                <c:pt idx="0">
                  <c:v>0</c:v>
                </c:pt>
                <c:pt idx="1">
                  <c:v>0</c:v>
                </c:pt>
                <c:pt idx="2">
                  <c:v>0</c:v>
                </c:pt>
                <c:pt idx="3">
                  <c:v>0</c:v>
                </c:pt>
                <c:pt idx="4">
                  <c:v>0</c:v>
                </c:pt>
                <c:pt idx="5">
                  <c:v>0</c:v>
                </c:pt>
                <c:pt idx="6">
                  <c:v>0</c:v>
                </c:pt>
                <c:pt idx="7">
                  <c:v>0</c:v>
                </c:pt>
                <c:pt idx="8">
                  <c:v>3226151.09554399</c:v>
                </c:pt>
                <c:pt idx="9">
                  <c:v>3238537.31686559</c:v>
                </c:pt>
                <c:pt idx="10">
                  <c:v>3554095.97895152</c:v>
                </c:pt>
                <c:pt idx="11">
                  <c:v>3900546.90167799</c:v>
                </c:pt>
                <c:pt idx="12">
                  <c:v>12173272.9157122</c:v>
                </c:pt>
                <c:pt idx="13">
                  <c:v>12428568.7471852</c:v>
                </c:pt>
                <c:pt idx="14">
                  <c:v>13660976.223187</c:v>
                </c:pt>
                <c:pt idx="15">
                  <c:v>15015788.4948916</c:v>
                </c:pt>
                <c:pt idx="16">
                  <c:v>16505179.1657176</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er>
        <c:gapWidth val="150"/>
        <c:overlap val="0"/>
        <c:axId val="50232673"/>
        <c:axId val="6341312"/>
      </c:barChart>
      <c:catAx>
        <c:axId val="2146715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41285"/>
        <c:crosses val="autoZero"/>
        <c:auto val="1"/>
        <c:lblAlgn val="ctr"/>
        <c:lblOffset val="100"/>
        <c:noMultiLvlLbl val="0"/>
      </c:catAx>
      <c:catAx>
        <c:axId val="50232673"/>
        <c:scaling>
          <c:orientation val="minMax"/>
        </c:scaling>
        <c:delete val="1"/>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41312"/>
        <c:auto val="1"/>
        <c:lblAlgn val="ctr"/>
        <c:lblOffset val="100"/>
        <c:noMultiLvlLbl val="0"/>
      </c:catAx>
      <c:valAx>
        <c:axId val="4241285"/>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467158"/>
        <c:crosses val="autoZero"/>
        <c:crossBetween val="between"/>
      </c:valAx>
      <c:valAx>
        <c:axId val="6341312"/>
        <c:scaling>
          <c:orientation val="minMax"/>
        </c:scaling>
        <c:delete val="1"/>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232673"/>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Family cash-flow requirements by year</a:t>
            </a:r>
          </a:p>
        </c:rich>
      </c:tx>
      <c:overlay val="0"/>
      <c:spPr>
        <a:noFill/>
        <a:ln w="0">
          <a:noFill/>
        </a:ln>
      </c:spPr>
    </c:title>
    <c:autoTitleDeleted val="0"/>
    <c:plotArea>
      <c:barChart>
        <c:barDir val="col"/>
        <c:grouping val="clustered"/>
        <c:varyColors val="0"/>
        <c:ser>
          <c:idx val="0"/>
          <c:order val="0"/>
          <c:tx>
            <c:strRef>
              <c:f>'Savings Calculator'!AD4</c:f>
              <c:strCache>
                <c:ptCount val="1"/>
                <c:pt idx="0">
                  <c:v>Existing contributions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'Savings Calculator'!$AB$5:$AB$39</c:f>
              <c:strCache>
                <c:ptCount val="35"/>
                <c:pt idx="0">
                  <c:v>2026/27</c:v>
                </c:pt>
                <c:pt idx="1">
                  <c:v>2027/28</c:v>
                </c:pt>
                <c:pt idx="2">
                  <c:v>2028/29</c:v>
                </c:pt>
                <c:pt idx="3">
                  <c:v>2029/30</c:v>
                </c:pt>
                <c:pt idx="4">
                  <c:v>2030/31</c:v>
                </c:pt>
                <c:pt idx="5">
                  <c:v>2031/32</c:v>
                </c:pt>
                <c:pt idx="6">
                  <c:v>2032/33</c:v>
                </c:pt>
                <c:pt idx="7">
                  <c:v>2033/34</c:v>
                </c:pt>
                <c:pt idx="8">
                  <c:v>2034/35</c:v>
                </c:pt>
                <c:pt idx="9">
                  <c:v>2035/36</c:v>
                </c:pt>
                <c:pt idx="10">
                  <c:v>2036/37</c:v>
                </c:pt>
                <c:pt idx="11">
                  <c:v>2037/38</c:v>
                </c:pt>
                <c:pt idx="12">
                  <c:v>2038/39</c:v>
                </c:pt>
                <c:pt idx="13">
                  <c:v>2039/40</c:v>
                </c:pt>
                <c:pt idx="14">
                  <c:v>2040/41</c:v>
                </c:pt>
                <c:pt idx="15">
                  <c:v>2041/42</c:v>
                </c:pt>
                <c:pt idx="16">
                  <c:v>2042/43</c:v>
                </c:pt>
                <c:pt idx="17">
                  <c:v>2043/44</c:v>
                </c:pt>
                <c:pt idx="18">
                  <c:v>2044/45</c:v>
                </c:pt>
                <c:pt idx="19">
                  <c:v>2045/46</c:v>
                </c:pt>
                <c:pt idx="20">
                  <c:v>2046/47</c:v>
                </c:pt>
                <c:pt idx="21">
                  <c:v>2047/48</c:v>
                </c:pt>
                <c:pt idx="22">
                  <c:v>2048/49</c:v>
                </c:pt>
                <c:pt idx="23">
                  <c:v>2049/50</c:v>
                </c:pt>
                <c:pt idx="24">
                  <c:v>2050/51</c:v>
                </c:pt>
                <c:pt idx="25">
                  <c:v>2051/52</c:v>
                </c:pt>
                <c:pt idx="26">
                  <c:v>2052/53</c:v>
                </c:pt>
                <c:pt idx="27">
                  <c:v>2053/54</c:v>
                </c:pt>
                <c:pt idx="28">
                  <c:v>2054/55</c:v>
                </c:pt>
                <c:pt idx="29">
                  <c:v>2055/56</c:v>
                </c:pt>
                <c:pt idx="30">
                  <c:v>2056/57</c:v>
                </c:pt>
                <c:pt idx="31">
                  <c:v>2057/58</c:v>
                </c:pt>
                <c:pt idx="32">
                  <c:v>2058/59</c:v>
                </c:pt>
                <c:pt idx="33">
                  <c:v>2059/60</c:v>
                </c:pt>
                <c:pt idx="34">
                  <c:v>2060/61</c:v>
                </c:pt>
              </c:strCache>
            </c:strRef>
          </c:cat>
          <c:val>
            <c:numRef>
              <c:f>'Savings Calculator'!$AD$5:$AD$39</c:f>
              <c:numCache>
                <c:formatCode>#,##0;\(#,##0\);\-</c:formatCode>
                <c:ptCount val="35"/>
                <c:pt idx="0">
                  <c:v>189697.468625296</c:v>
                </c:pt>
                <c:pt idx="1">
                  <c:v>199182.342056561</c:v>
                </c:pt>
                <c:pt idx="2">
                  <c:v>209141.459159389</c:v>
                </c:pt>
                <c:pt idx="3">
                  <c:v>219598.532117359</c:v>
                </c:pt>
                <c:pt idx="4">
                  <c:v>230578.458723227</c:v>
                </c:pt>
                <c:pt idx="5">
                  <c:v>242107.381659388</c:v>
                </c:pt>
                <c:pt idx="6">
                  <c:v>254212.750742357</c:v>
                </c:pt>
                <c:pt idx="7">
                  <c:v>266923.388279475</c:v>
                </c:pt>
                <c:pt idx="8">
                  <c:v>280269.557693449</c:v>
                </c:pt>
                <c:pt idx="9">
                  <c:v>294283.035578121</c:v>
                </c:pt>
                <c:pt idx="10">
                  <c:v>308997.187357027</c:v>
                </c:pt>
                <c:pt idx="11">
                  <c:v>108149.01557496</c:v>
                </c:pt>
                <c:pt idx="12">
                  <c:v>113556.466353708</c:v>
                </c:pt>
                <c:pt idx="13">
                  <c:v>119234.289671393</c:v>
                </c:pt>
                <c:pt idx="14">
                  <c:v>125196.004154963</c:v>
                </c:pt>
                <c:pt idx="15">
                  <c:v>131455.804362711</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er>
        <c:ser>
          <c:idx val="1"/>
          <c:order val="1"/>
          <c:tx>
            <c:strRef>
              <c:f>'Savings Calculator'!AE4</c:f>
              <c:strCache>
                <c:ptCount val="1"/>
                <c:pt idx="0">
                  <c:v>Additional required contributions</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'Savings Calculator'!$AB$5:$AB$39</c:f>
              <c:strCache>
                <c:ptCount val="35"/>
                <c:pt idx="0">
                  <c:v>2026/27</c:v>
                </c:pt>
                <c:pt idx="1">
                  <c:v>2027/28</c:v>
                </c:pt>
                <c:pt idx="2">
                  <c:v>2028/29</c:v>
                </c:pt>
                <c:pt idx="3">
                  <c:v>2029/30</c:v>
                </c:pt>
                <c:pt idx="4">
                  <c:v>2030/31</c:v>
                </c:pt>
                <c:pt idx="5">
                  <c:v>2031/32</c:v>
                </c:pt>
                <c:pt idx="6">
                  <c:v>2032/33</c:v>
                </c:pt>
                <c:pt idx="7">
                  <c:v>2033/34</c:v>
                </c:pt>
                <c:pt idx="8">
                  <c:v>2034/35</c:v>
                </c:pt>
                <c:pt idx="9">
                  <c:v>2035/36</c:v>
                </c:pt>
                <c:pt idx="10">
                  <c:v>2036/37</c:v>
                </c:pt>
                <c:pt idx="11">
                  <c:v>2037/38</c:v>
                </c:pt>
                <c:pt idx="12">
                  <c:v>2038/39</c:v>
                </c:pt>
                <c:pt idx="13">
                  <c:v>2039/40</c:v>
                </c:pt>
                <c:pt idx="14">
                  <c:v>2040/41</c:v>
                </c:pt>
                <c:pt idx="15">
                  <c:v>2041/42</c:v>
                </c:pt>
                <c:pt idx="16">
                  <c:v>2042/43</c:v>
                </c:pt>
                <c:pt idx="17">
                  <c:v>2043/44</c:v>
                </c:pt>
                <c:pt idx="18">
                  <c:v>2044/45</c:v>
                </c:pt>
                <c:pt idx="19">
                  <c:v>2045/46</c:v>
                </c:pt>
                <c:pt idx="20">
                  <c:v>2046/47</c:v>
                </c:pt>
                <c:pt idx="21">
                  <c:v>2047/48</c:v>
                </c:pt>
                <c:pt idx="22">
                  <c:v>2048/49</c:v>
                </c:pt>
                <c:pt idx="23">
                  <c:v>2049/50</c:v>
                </c:pt>
                <c:pt idx="24">
                  <c:v>2050/51</c:v>
                </c:pt>
                <c:pt idx="25">
                  <c:v>2051/52</c:v>
                </c:pt>
                <c:pt idx="26">
                  <c:v>2052/53</c:v>
                </c:pt>
                <c:pt idx="27">
                  <c:v>2053/54</c:v>
                </c:pt>
                <c:pt idx="28">
                  <c:v>2054/55</c:v>
                </c:pt>
                <c:pt idx="29">
                  <c:v>2055/56</c:v>
                </c:pt>
                <c:pt idx="30">
                  <c:v>2056/57</c:v>
                </c:pt>
                <c:pt idx="31">
                  <c:v>2057/58</c:v>
                </c:pt>
                <c:pt idx="32">
                  <c:v>2058/59</c:v>
                </c:pt>
                <c:pt idx="33">
                  <c:v>2059/60</c:v>
                </c:pt>
                <c:pt idx="34">
                  <c:v>2060/61</c:v>
                </c:pt>
              </c:strCache>
            </c:strRef>
          </c:cat>
          <c:val>
            <c:numRef>
              <c:f>'Savings Calculator'!$AE$5:$AE$39</c:f>
              <c:numCache>
                <c:formatCode>#,##0;\(#,##0\);\-</c:formatCode>
                <c:ptCount val="35"/>
                <c:pt idx="0">
                  <c:v>1926909.09935134</c:v>
                </c:pt>
                <c:pt idx="1">
                  <c:v>2023254.55431891</c:v>
                </c:pt>
                <c:pt idx="2">
                  <c:v>2124417.28203485</c:v>
                </c:pt>
                <c:pt idx="3">
                  <c:v>2230638.14613659</c:v>
                </c:pt>
                <c:pt idx="4">
                  <c:v>2342170.05344342</c:v>
                </c:pt>
                <c:pt idx="5">
                  <c:v>2459278.55611559</c:v>
                </c:pt>
                <c:pt idx="6">
                  <c:v>2582242.48392137</c:v>
                </c:pt>
                <c:pt idx="7">
                  <c:v>2711354.60811744</c:v>
                </c:pt>
                <c:pt idx="8">
                  <c:v>2846922.33852332</c:v>
                </c:pt>
                <c:pt idx="9">
                  <c:v>2989268.45544948</c:v>
                </c:pt>
                <c:pt idx="10">
                  <c:v>3138731.87822196</c:v>
                </c:pt>
                <c:pt idx="11">
                  <c:v>2514153.30428063</c:v>
                </c:pt>
                <c:pt idx="12">
                  <c:v>2639860.96949466</c:v>
                </c:pt>
                <c:pt idx="13">
                  <c:v>2771854.0179694</c:v>
                </c:pt>
                <c:pt idx="14">
                  <c:v>2910446.71886787</c:v>
                </c:pt>
                <c:pt idx="15">
                  <c:v>3055969.05481126</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er>
        <c:ser>
          <c:idx val="2"/>
          <c:order val="2"/>
          <c:tx>
            <c:strRef>
              <c:f>'Savings Calculator'!AC4</c:f>
              <c:strCache>
                <c:ptCount val="1"/>
                <c:pt idx="0">
                  <c:v>Education expenses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'Savings Calculator'!$AB$5:$AB$39</c:f>
              <c:strCache>
                <c:ptCount val="35"/>
                <c:pt idx="0">
                  <c:v>2026/27</c:v>
                </c:pt>
                <c:pt idx="1">
                  <c:v>2027/28</c:v>
                </c:pt>
                <c:pt idx="2">
                  <c:v>2028/29</c:v>
                </c:pt>
                <c:pt idx="3">
                  <c:v>2029/30</c:v>
                </c:pt>
                <c:pt idx="4">
                  <c:v>2030/31</c:v>
                </c:pt>
                <c:pt idx="5">
                  <c:v>2031/32</c:v>
                </c:pt>
                <c:pt idx="6">
                  <c:v>2032/33</c:v>
                </c:pt>
                <c:pt idx="7">
                  <c:v>2033/34</c:v>
                </c:pt>
                <c:pt idx="8">
                  <c:v>2034/35</c:v>
                </c:pt>
                <c:pt idx="9">
                  <c:v>2035/36</c:v>
                </c:pt>
                <c:pt idx="10">
                  <c:v>2036/37</c:v>
                </c:pt>
                <c:pt idx="11">
                  <c:v>2037/38</c:v>
                </c:pt>
                <c:pt idx="12">
                  <c:v>2038/39</c:v>
                </c:pt>
                <c:pt idx="13">
                  <c:v>2039/40</c:v>
                </c:pt>
                <c:pt idx="14">
                  <c:v>2040/41</c:v>
                </c:pt>
                <c:pt idx="15">
                  <c:v>2041/42</c:v>
                </c:pt>
                <c:pt idx="16">
                  <c:v>2042/43</c:v>
                </c:pt>
                <c:pt idx="17">
                  <c:v>2043/44</c:v>
                </c:pt>
                <c:pt idx="18">
                  <c:v>2044/45</c:v>
                </c:pt>
                <c:pt idx="19">
                  <c:v>2045/46</c:v>
                </c:pt>
                <c:pt idx="20">
                  <c:v>2046/47</c:v>
                </c:pt>
                <c:pt idx="21">
                  <c:v>2047/48</c:v>
                </c:pt>
                <c:pt idx="22">
                  <c:v>2048/49</c:v>
                </c:pt>
                <c:pt idx="23">
                  <c:v>2049/50</c:v>
                </c:pt>
                <c:pt idx="24">
                  <c:v>2050/51</c:v>
                </c:pt>
                <c:pt idx="25">
                  <c:v>2051/52</c:v>
                </c:pt>
                <c:pt idx="26">
                  <c:v>2052/53</c:v>
                </c:pt>
                <c:pt idx="27">
                  <c:v>2053/54</c:v>
                </c:pt>
                <c:pt idx="28">
                  <c:v>2054/55</c:v>
                </c:pt>
                <c:pt idx="29">
                  <c:v>2055/56</c:v>
                </c:pt>
                <c:pt idx="30">
                  <c:v>2056/57</c:v>
                </c:pt>
                <c:pt idx="31">
                  <c:v>2057/58</c:v>
                </c:pt>
                <c:pt idx="32">
                  <c:v>2058/59</c:v>
                </c:pt>
                <c:pt idx="33">
                  <c:v>2059/60</c:v>
                </c:pt>
                <c:pt idx="34">
                  <c:v>2060/61</c:v>
                </c:pt>
              </c:strCache>
            </c:strRef>
          </c:cat>
          <c:val>
            <c:numRef>
              <c:f>'Savings Calculator'!$AC$5:$AC$39</c:f>
              <c:numCache>
                <c:formatCode>#,##0;\(#,##0\);\-</c:formatCode>
                <c:ptCount val="35"/>
                <c:pt idx="0">
                  <c:v>0</c:v>
                </c:pt>
                <c:pt idx="1">
                  <c:v>0</c:v>
                </c:pt>
                <c:pt idx="2">
                  <c:v>0</c:v>
                </c:pt>
                <c:pt idx="3">
                  <c:v>0</c:v>
                </c:pt>
                <c:pt idx="4">
                  <c:v>0</c:v>
                </c:pt>
                <c:pt idx="5">
                  <c:v>0</c:v>
                </c:pt>
                <c:pt idx="6">
                  <c:v>0</c:v>
                </c:pt>
                <c:pt idx="7">
                  <c:v>0</c:v>
                </c:pt>
                <c:pt idx="8">
                  <c:v>3226151.09554399</c:v>
                </c:pt>
                <c:pt idx="9">
                  <c:v>3238537.31686559</c:v>
                </c:pt>
                <c:pt idx="10">
                  <c:v>3554095.97895152</c:v>
                </c:pt>
                <c:pt idx="11">
                  <c:v>3900546.90167799</c:v>
                </c:pt>
                <c:pt idx="12">
                  <c:v>12173272.9157122</c:v>
                </c:pt>
                <c:pt idx="13">
                  <c:v>12428568.7471852</c:v>
                </c:pt>
                <c:pt idx="14">
                  <c:v>13660976.223187</c:v>
                </c:pt>
                <c:pt idx="15">
                  <c:v>15015788.4948916</c:v>
                </c:pt>
                <c:pt idx="16">
                  <c:v>16505179.1657176</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numCache>
            </c:numRef>
          </c:val>
        </c:ser>
        <c:gapWidth val="150"/>
        <c:overlap val="0"/>
        <c:axId val="36395525"/>
        <c:axId val="13438553"/>
      </c:barChart>
      <c:catAx>
        <c:axId val="363955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438553"/>
        <c:crosses val="autoZero"/>
        <c:auto val="1"/>
        <c:lblAlgn val="ctr"/>
        <c:lblOffset val="100"/>
        <c:noMultiLvlLbl val="0"/>
      </c:catAx>
      <c:valAx>
        <c:axId val="1343855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639552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25</xdr:row>
      <xdr:rowOff>18360</xdr:rowOff>
    </xdr:from>
    <xdr:to>
      <xdr:col>3</xdr:col>
      <xdr:colOff>888840</xdr:colOff>
      <xdr:row>39</xdr:row>
      <xdr:rowOff>50760</xdr:rowOff>
    </xdr:to>
    <xdr:graphicFrame>
      <xdr:nvGraphicFramePr>
        <xdr:cNvPr id="0" name="Chart 1"/>
        <xdr:cNvGraphicFramePr/>
      </xdr:nvGraphicFramePr>
      <xdr:xfrm>
        <a:off x="141120" y="4952880"/>
        <a:ext cx="539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25</xdr:row>
      <xdr:rowOff>18360</xdr:rowOff>
    </xdr:from>
    <xdr:to>
      <xdr:col>9</xdr:col>
      <xdr:colOff>277200</xdr:colOff>
      <xdr:row>39</xdr:row>
      <xdr:rowOff>50760</xdr:rowOff>
    </xdr:to>
    <xdr:graphicFrame>
      <xdr:nvGraphicFramePr>
        <xdr:cNvPr id="1" name="Chart 2"/>
        <xdr:cNvGraphicFramePr/>
      </xdr:nvGraphicFramePr>
      <xdr:xfrm>
        <a:off x="6061680" y="4952880"/>
        <a:ext cx="539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41</xdr:row>
      <xdr:rowOff>18360</xdr:rowOff>
    </xdr:from>
    <xdr:to>
      <xdr:col>3</xdr:col>
      <xdr:colOff>888840</xdr:colOff>
      <xdr:row>55</xdr:row>
      <xdr:rowOff>51120</xdr:rowOff>
    </xdr:to>
    <xdr:graphicFrame>
      <xdr:nvGraphicFramePr>
        <xdr:cNvPr id="2" name="Chart 3"/>
        <xdr:cNvGraphicFramePr/>
      </xdr:nvGraphicFramePr>
      <xdr:xfrm>
        <a:off x="141120" y="8001000"/>
        <a:ext cx="5399640" cy="269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4</xdr:col>
      <xdr:colOff>0</xdr:colOff>
      <xdr:row>41</xdr:row>
      <xdr:rowOff>18360</xdr:rowOff>
    </xdr:from>
    <xdr:to>
      <xdr:col>9</xdr:col>
      <xdr:colOff>277200</xdr:colOff>
      <xdr:row>55</xdr:row>
      <xdr:rowOff>51120</xdr:rowOff>
    </xdr:to>
    <xdr:graphicFrame>
      <xdr:nvGraphicFramePr>
        <xdr:cNvPr id="3" name="Chart 4"/>
        <xdr:cNvGraphicFramePr/>
      </xdr:nvGraphicFramePr>
      <xdr:xfrm>
        <a:off x="6061680" y="8001000"/>
        <a:ext cx="5399640" cy="26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57</xdr:row>
      <xdr:rowOff>18360</xdr:rowOff>
    </xdr:from>
    <xdr:to>
      <xdr:col>9</xdr:col>
      <xdr:colOff>116640</xdr:colOff>
      <xdr:row>71</xdr:row>
      <xdr:rowOff>51120</xdr:rowOff>
    </xdr:to>
    <xdr:graphicFrame>
      <xdr:nvGraphicFramePr>
        <xdr:cNvPr id="4" name="Chart 5"/>
        <xdr:cNvGraphicFramePr/>
      </xdr:nvGraphicFramePr>
      <xdr:xfrm>
        <a:off x="141120" y="11049120"/>
        <a:ext cx="11159640" cy="269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ables/table1.xml><?xml version="1.0" encoding="utf-8"?>
<table xmlns="http://schemas.openxmlformats.org/spreadsheetml/2006/main" id="1" name="tblCourseDurations" displayName="tblCourseDurations" ref="A238:E400" headerRowCount="1" totalsRowCount="0" totalsRowShown="0">
  <autoFilter ref="A238:E400"/>
  <tableColumns count="5">
    <tableColumn id="1" name="Key"/>
    <tableColumn id="2" name="Country"/>
    <tableColumn id="3" name="Qualification"/>
    <tableColumn id="4" name="Years"/>
    <tableColumn id="5" name="Status"/>
  </tableColumns>
</table>
</file>

<file path=xl/tables/table2.xml><?xml version="1.0" encoding="utf-8"?>
<table xmlns="http://schemas.openxmlformats.org/spreadsheetml/2006/main" id="2" name="tblEducationCosts" displayName="tblEducationCosts" ref="A4:AH77" headerRowCount="1" totalsRowCount="0" totalsRowShown="0">
  <autoFilter ref="A4:AH77"/>
  <tableColumns count="34">
    <tableColumn id="1" name="ID"/>
    <tableColumn id="2" name="Country"/>
    <tableColumn id="3" name="Qualification"/>
    <tableColumn id="4" name="Specialisation"/>
    <tableColumn id="5" name="University Name"/>
    <tableColumn id="6" name="Institution Type"/>
    <tableColumn id="7" name="Student Category"/>
    <tableColumn id="8" name="Programme Level"/>
    <tableColumn id="9" name="Academic Fee Year"/>
    <tableColumn id="10" name="Fee Year Start"/>
    <tableColumn id="11" name="Programme Duration"/>
    <tableColumn id="12" name="Annual Tuition Fee"/>
    <tableColumn id="13" name="Accommodation Per Year"/>
    <tableColumn id="14" name="Food Per Year"/>
    <tableColumn id="15" name="Transport Per Year"/>
    <tableColumn id="16" name="Health Insurance Per Year"/>
    <tableColumn id="17" name="Books and Equipment Per Year"/>
    <tableColumn id="18" name="Personal and Other Living Per Year"/>
    <tableColumn id="19" name="Other Mandatory Annual Fees"/>
    <tableColumn id="20" name="One-Time Admission Fees"/>
    <tableColumn id="21" name="Visa and Application Costs"/>
    <tableColumn id="22" name="Initial Travel and Relocation Costs"/>
    <tableColumn id="23" name="Other One-Time Costs"/>
    <tableColumn id="24" name="Currency"/>
    <tableColumn id="25" name="Living Costs From This Record"/>
    <tableColumn id="26" name="Include In Average"/>
    <tableColumn id="27" name="Official Source URL"/>
    <tableColumn id="28" name="Source Publication or Academic Year"/>
    <tableColumn id="29" name="Last Verified Date"/>
    <tableColumn id="30" name="Benchmark Type"/>
    <tableColumn id="31" name="Data Confidence or Verification Status"/>
    <tableColumn id="32" name="Notes and Exclusions"/>
    <tableColumn id="33" name="Key"/>
    <tableColumn id="34" name="Key3"/>
  </tableColumns>
</table>
</file>

<file path=xl/tables/table3.xml><?xml version="1.0" encoding="utf-8"?>
<table xmlns="http://schemas.openxmlformats.org/spreadsheetml/2006/main" id="3" name="tblExchangeRates" displayName="tblExchangeRates" ref="A13:D19" headerRowCount="1" totalsRowCount="0" totalsRowShown="0">
  <autoFilter ref="A13:D19"/>
  <tableColumns count="4">
    <tableColumn id="1" name="Currency"/>
    <tableColumn id="2" name="Units per 1 USD"/>
    <tableColumn id="3" name="Reference date"/>
    <tableColumn id="4" name="Source"/>
  </tableColumns>
</table>
</file>

<file path=xl/tables/table4.xml><?xml version="1.0" encoding="utf-8"?>
<table xmlns="http://schemas.openxmlformats.org/spreadsheetml/2006/main" id="4" name="tblInflation" displayName="tblInflation" ref="A23:G29" headerRowCount="1" totalsRowCount="0" totalsRowShown="0">
  <autoFilter ref="A23:G29"/>
  <tableColumns count="7">
    <tableColumn id="1" name="Education country"/>
    <tableColumn id="2" name="Currency"/>
    <tableColumn id="3" name="Default student category"/>
    <tableColumn id="4" name="Default duration (yrs)"/>
    <tableColumn id="5" name="Tuition inflation"/>
    <tableColumn id="6" name="Living-cost inflation"/>
    <tableColumn id="7" name="Note"/>
  </tableColumns>
</table>
</file>

<file path=xl/tables/table5.xml><?xml version="1.0" encoding="utf-8"?>
<table xmlns="http://schemas.openxmlformats.org/spreadsheetml/2006/main" id="5" name="tblLivingCosts" displayName="tblLivingCosts" ref="A227:Q234" headerRowCount="1" totalsRowCount="0" totalsRowShown="0">
  <autoFilter ref="A227:Q234"/>
  <tableColumns count="17">
    <tableColumn id="1" name="Key"/>
    <tableColumn id="2" name="Country"/>
    <tableColumn id="3" name="Student Category"/>
    <tableColumn id="4" name="Currency"/>
    <tableColumn id="5" name="Accommodation"/>
    <tableColumn id="6" name="Food"/>
    <tableColumn id="7" name="Transport"/>
    <tableColumn id="8" name="Health Insurance"/>
    <tableColumn id="9" name="Books"/>
    <tableColumn id="10" name="Personal"/>
    <tableColumn id="11" name="Combined Living"/>
    <tableColumn id="12" name="Visa One-Time"/>
    <tableColumn id="13" name="Total Per Year"/>
    <tableColumn id="14" name="Year"/>
    <tableColumn id="15" name="Status"/>
    <tableColumn id="16" name="Source URL"/>
    <tableColumn id="17" name="Notes"/>
  </tableColumns>
</table>
</file>

<file path=xl/tables/table6.xml><?xml version="1.0" encoding="utf-8"?>
<table xmlns="http://schemas.openxmlformats.org/spreadsheetml/2006/main" id="6" name="tblReturns" displayName="tblReturns" ref="A33:C39" headerRowCount="1" totalsRowCount="0" totalsRowShown="0">
  <autoFilter ref="A33:C39"/>
  <tableColumns count="3">
    <tableColumn id="1" name="Reporting currency"/>
    <tableColumn id="2" name="Default annual return"/>
    <tableColumn id="3" name="Note"/>
  </tableColumns>
</table>
</file>

<file path=xl/tables/table7.xml><?xml version="1.0" encoding="utf-8"?>
<table xmlns="http://schemas.openxmlformats.org/spreadsheetml/2006/main" id="7" name="tblTuitionBenchmarks" displayName="tblTuitionBenchmarks" ref="A182:R222" headerRowCount="1" totalsRowCount="0" totalsRowShown="0">
  <autoFilter ref="A182:R222"/>
  <tableColumns count="18">
    <tableColumn id="1" name="Key"/>
    <tableColumn id="2" name="Country"/>
    <tableColumn id="3" name="Qualification"/>
    <tableColumn id="4" name="Student Category"/>
    <tableColumn id="5" name="Currency"/>
    <tableColumn id="6" name="Valid records"/>
    <tableColumn id="7" name="Average annual tuition"/>
    <tableColumn id="8" name="Median annual tuition"/>
    <tableColumn id="9" name="Lowest observed fee"/>
    <tableColumn id="10" name="Highest observed fee"/>
    <tableColumn id="11" name="Average other mandatory fees"/>
    <tableColumn id="12" name="Average one-time admission"/>
    <tableColumn id="13" name="Average other one-time"/>
    <tableColumn id="14" name="Average duration"/>
    <tableColumn id="15" name="Fee year start (avg)"/>
    <tableColumn id="16" name="Average annual living costs"/>
    <tableColumn id="17" name="Average annual total recurring cost"/>
    <tableColumn id="18" name="Benchmark label"/>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5.xml"/><Relationship Id="rId4" Type="http://schemas.openxmlformats.org/officeDocument/2006/relationships/table" Target="../tables/table7.xml"/>
</Relationships>
</file>

<file path=xl/worksheets/_rels/sheet3.xml.rels><?xml version="1.0" encoding="UTF-8"?>
<Relationships xmlns="http://schemas.openxmlformats.org/package/2006/relationships"><Relationship Id="rId1" Type="http://schemas.openxmlformats.org/officeDocument/2006/relationships/table" Target="../tables/table3.xml"/><Relationship Id="rId2" Type="http://schemas.openxmlformats.org/officeDocument/2006/relationships/table" Target="../tables/table4.xml"/><Relationship Id="rId3" Type="http://schemas.openxmlformats.org/officeDocument/2006/relationships/table" Target="../tables/table6.xml"/>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hyperlink" Target="https://nust.edu.pk/admissions/fee-structure/undergraduate-financial-matters/" TargetMode="External"/><Relationship Id="rId2" Type="http://schemas.openxmlformats.org/officeDocument/2006/relationships/hyperlink" Target="https://nust.edu.pk/admissions/fee-structure/undergraduate-financial-matters/" TargetMode="External"/><Relationship Id="rId3" Type="http://schemas.openxmlformats.org/officeDocument/2006/relationships/hyperlink" Target="https://nust.edu.pk/admissions/fee-structure/undergraduate-financial-matters/" TargetMode="External"/><Relationship Id="rId4" Type="http://schemas.openxmlformats.org/officeDocument/2006/relationships/hyperlink" Target="https://nust.edu.pk/admissions/fee-structure/undergraduate-financial-matters/" TargetMode="External"/><Relationship Id="rId5" Type="http://schemas.openxmlformats.org/officeDocument/2006/relationships/hyperlink" Target="https://nust.edu.pk/admissions/fee-structure/undergraduate-financial-matters/" TargetMode="External"/><Relationship Id="rId6" Type="http://schemas.openxmlformats.org/officeDocument/2006/relationships/hyperlink" Target="https://nust.edu.pk/admissions/fee-structure/undergraduate-financial-matters/" TargetMode="External"/><Relationship Id="rId7" Type="http://schemas.openxmlformats.org/officeDocument/2006/relationships/hyperlink" Target="https://nust.edu.pk/admissions/fee-structure/undergraduate-financial-matters/" TargetMode="External"/><Relationship Id="rId8" Type="http://schemas.openxmlformats.org/officeDocument/2006/relationships/hyperlink" Target="https://nust.edu.pk/admissions/fee-structure/undergraduate-financial-matters/" TargetMode="External"/><Relationship Id="rId9" Type="http://schemas.openxmlformats.org/officeDocument/2006/relationships/hyperlink" Target="https://nust.edu.pk/admissions/fee-structure/undergraduate-financial-matters/" TargetMode="External"/><Relationship Id="rId10" Type="http://schemas.openxmlformats.org/officeDocument/2006/relationships/hyperlink" Target="https://nust.edu.pk/admissions/fee-structure/undergraduate-financial-matters/" TargetMode="External"/><Relationship Id="rId11" Type="http://schemas.openxmlformats.org/officeDocument/2006/relationships/hyperlink" Target="https://lums.edu.pk/programmes/bs-computer-science" TargetMode="External"/><Relationship Id="rId12" Type="http://schemas.openxmlformats.org/officeDocument/2006/relationships/hyperlink" Target="https://lums.edu.pk/programmes/bs-electrical-engineering" TargetMode="External"/><Relationship Id="rId13" Type="http://schemas.openxmlformats.org/officeDocument/2006/relationships/hyperlink" Target="https://lums.edu.pk/programmes/bsc-honours-accounting-and-finance" TargetMode="External"/><Relationship Id="rId14" Type="http://schemas.openxmlformats.org/officeDocument/2006/relationships/hyperlink" Target="https://lums.edu.pk/programmes/bsc-honours-management-science" TargetMode="External"/><Relationship Id="rId15" Type="http://schemas.openxmlformats.org/officeDocument/2006/relationships/hyperlink" Target="https://www.iba.edu.pk/fee-structure-between-fall-2022-till-spring-2025.php" TargetMode="External"/><Relationship Id="rId16" Type="http://schemas.openxmlformats.org/officeDocument/2006/relationships/hyperlink" Target="https://www.iba.edu.pk/fee-structure-between-fall-2022-till-spring-2025.php" TargetMode="External"/><Relationship Id="rId17" Type="http://schemas.openxmlformats.org/officeDocument/2006/relationships/hyperlink" Target="https://www.iba.edu.pk/fee-structure-between-fall-2022-till-spring-2025.php" TargetMode="External"/><Relationship Id="rId18" Type="http://schemas.openxmlformats.org/officeDocument/2006/relationships/hyperlink" Target="https://www.aku.edu/admissions/Documents/fee-structure-MBBS.pdf" TargetMode="External"/><Relationship Id="rId19" Type="http://schemas.openxmlformats.org/officeDocument/2006/relationships/hyperlink" Target="https://nust.edu.pk/admissions/NSHS/fee-structure/" TargetMode="External"/><Relationship Id="rId20" Type="http://schemas.openxmlformats.org/officeDocument/2006/relationships/hyperlink" Target="https://pmdc.pk/Documents/press/Tuition%20Fee%20Cap%20for%20Private%20Medical%20Colleges.pdf" TargetMode="External"/><Relationship Id="rId21" Type="http://schemas.openxmlformats.org/officeDocument/2006/relationships/hyperlink" Target="https://acad.iitb.ac.in/files/Fee_Circular_UG_Spring%20Semester%20_2025-26_0.pdf" TargetMode="External"/><Relationship Id="rId22" Type="http://schemas.openxmlformats.org/officeDocument/2006/relationships/hyperlink" Target="https://acad.iitb.ac.in/files/Fee_Circular_UG_Spring%20Semester%20_2025-26_0.pdf" TargetMode="External"/><Relationship Id="rId23" Type="http://schemas.openxmlformats.org/officeDocument/2006/relationships/hyperlink" Target="https://iiitd.ac.in/admission/fees" TargetMode="External"/><Relationship Id="rId24" Type="http://schemas.openxmlformats.org/officeDocument/2006/relationships/hyperlink" Target="https://www.manipal.edu/content/dam/manipal/mu/documents/Admissions/adm2025/FEES%20UPDATION%20-%20GENERAL.pdf" TargetMode="External"/><Relationship Id="rId25" Type="http://schemas.openxmlformats.org/officeDocument/2006/relationships/hyperlink" Target="https://www.manipal.edu/content/dam/manipal/mu/documents/Admissions/adm2025/FEES%20UPDATION%20-%20GENERAL.pdf" TargetMode="External"/><Relationship Id="rId26" Type="http://schemas.openxmlformats.org/officeDocument/2006/relationships/hyperlink" Target="https://www.manipal.edu/content/dam/manipal/mu/documents/Admissions/adm2025/FEES%20UPDATION%20-%20GENERAL.pdf" TargetMode="External"/><Relationship Id="rId27" Type="http://schemas.openxmlformats.org/officeDocument/2006/relationships/hyperlink" Target="https://www.manipal.edu/content/dam/manipal/mu/documents/Admissions/adm2025/FEES%20UPDATION%20-%20GENERAL.pdf" TargetMode="External"/><Relationship Id="rId28" Type="http://schemas.openxmlformats.org/officeDocument/2006/relationships/hyperlink" Target="https://www.manipal.edu/content/dam/manipal/mu/documents/Admissions/adm2025/FEES%20UPDATION%20-%20GENERAL.pdf" TargetMode="External"/><Relationship Id="rId29" Type="http://schemas.openxmlformats.org/officeDocument/2006/relationships/hyperlink" Target="https://christuniversity.in/courses/NzY1" TargetMode="External"/><Relationship Id="rId30" Type="http://schemas.openxmlformats.org/officeDocument/2006/relationships/hyperlink" Target="https://christuniversity.in/courses/NzY1" TargetMode="External"/><Relationship Id="rId31" Type="http://schemas.openxmlformats.org/officeDocument/2006/relationships/hyperlink" Target="https://www.bharaticollege.du.ac.in/uploads/admission/fee-structure/Fee%20Structure%202025-26.pdf" TargetMode="External"/><Relationship Id="rId32" Type="http://schemas.openxmlformats.org/officeDocument/2006/relationships/hyperlink" Target="https://studentaccount.uky.edu/tuition-and-fees/undergraduate-tuition-and-fees" TargetMode="External"/><Relationship Id="rId33" Type="http://schemas.openxmlformats.org/officeDocument/2006/relationships/hyperlink" Target="https://studentaccount.uky.edu/tuition-and-fees/undergraduate-tuition-and-fees" TargetMode="External"/><Relationship Id="rId34" Type="http://schemas.openxmlformats.org/officeDocument/2006/relationships/hyperlink" Target="https://studentaccount.uky.edu/tuition-and-fees/undergraduate-tuition-and-fees" TargetMode="External"/><Relationship Id="rId35" Type="http://schemas.openxmlformats.org/officeDocument/2006/relationships/hyperlink" Target="https://studentaccount.uky.edu/tuition-and-fees/undergraduate-tuition-and-fees" TargetMode="External"/><Relationship Id="rId36" Type="http://schemas.openxmlformats.org/officeDocument/2006/relationships/hyperlink" Target="https://www.purdue.edu/treasurer/finance/bursar-office/tuition/fee-rates-2026-2027/undergraduate-tuition-and-fees-2026-2027" TargetMode="External"/><Relationship Id="rId37" Type="http://schemas.openxmlformats.org/officeDocument/2006/relationships/hyperlink" Target="https://www.purdue.edu/treasurer/finance/bursar-office/tuition/fee-rates-2026-2027/undergraduate-tuition-and-fees-2026-2027" TargetMode="External"/><Relationship Id="rId38" Type="http://schemas.openxmlformats.org/officeDocument/2006/relationships/hyperlink" Target="https://www.purdue.edu/treasurer/finance/bursar-office/tuition/fee-rates-2026-2027/undergraduate-tuition-and-fees-2026-2027" TargetMode="External"/><Relationship Id="rId39" Type="http://schemas.openxmlformats.org/officeDocument/2006/relationships/hyperlink" Target="https://admission.asu.edu/cost-aid/international" TargetMode="External"/><Relationship Id="rId40" Type="http://schemas.openxmlformats.org/officeDocument/2006/relationships/hyperlink" Target="https://admission.asu.edu/cost-aid/international" TargetMode="External"/><Relationship Id="rId41" Type="http://schemas.openxmlformats.org/officeDocument/2006/relationships/hyperlink" Target="https://admission.asu.edu/cost-aid/international" TargetMode="External"/><Relationship Id="rId42" Type="http://schemas.openxmlformats.org/officeDocument/2006/relationships/hyperlink" Target="https://admission.asu.edu/cost-aid/international" TargetMode="External"/><Relationship Id="rId43" Type="http://schemas.openxmlformats.org/officeDocument/2006/relationships/hyperlink" Target="https://medschool.umich.edu/programs-admissions/md-program/tuition-financial-aid/md-program-tuition-fees" TargetMode="External"/><Relationship Id="rId44" Type="http://schemas.openxmlformats.org/officeDocument/2006/relationships/hyperlink" Target="https://umaryland.edu/fin/cost-of-attendance/medicine/md" TargetMode="External"/><Relationship Id="rId45" Type="http://schemas.openxmlformats.org/officeDocument/2006/relationships/hyperlink" Target="https://www.med.unc.edu/md/financial-aid/cost-of-attendance/" TargetMode="External"/><Relationship Id="rId46" Type="http://schemas.openxmlformats.org/officeDocument/2006/relationships/hyperlink" Target="https://www.manchester.ac.uk/study/undergraduate/courses/2026/00560/bsc-computer-science/" TargetMode="External"/><Relationship Id="rId47" Type="http://schemas.openxmlformats.org/officeDocument/2006/relationships/hyperlink" Target="https://www.manchester.ac.uk/study/undergraduate/courses/2026/00560/bsc-computer-science/" TargetMode="External"/><Relationship Id="rId48" Type="http://schemas.openxmlformats.org/officeDocument/2006/relationships/hyperlink" Target="https://www.manchester.ac.uk/study/undergraduate/courses/2026/03921/meng-mechanical-engineering/" TargetMode="External"/><Relationship Id="rId49" Type="http://schemas.openxmlformats.org/officeDocument/2006/relationships/hyperlink" Target="https://www.manchester.ac.uk/study/undergraduate/courses/2026/03921/meng-mechanical-engineering/" TargetMode="External"/><Relationship Id="rId50" Type="http://schemas.openxmlformats.org/officeDocument/2006/relationships/hyperlink" Target="https://www.manchester.ac.uk/study/undergraduate/courses/2026/03520/bsc-management-accounting-and-finance/" TargetMode="External"/><Relationship Id="rId51" Type="http://schemas.openxmlformats.org/officeDocument/2006/relationships/hyperlink" Target="https://www.manchester.ac.uk/study/undergraduate/courses/2026/03520/bsc-management-accounting-and-finance/" TargetMode="External"/><Relationship Id="rId52" Type="http://schemas.openxmlformats.org/officeDocument/2006/relationships/hyperlink" Target="https://www.manchester.ac.uk/study/undergraduate/courses/2026/01428/mbchb-medicine/" TargetMode="External"/><Relationship Id="rId53" Type="http://schemas.openxmlformats.org/officeDocument/2006/relationships/hyperlink" Target="https://www.manchester.ac.uk/study/undergraduate/courses/2026/01428/mbchb-medicine/" TargetMode="External"/><Relationship Id="rId54" Type="http://schemas.openxmlformats.org/officeDocument/2006/relationships/hyperlink" Target="https://courses.leeds.ac.uk/3260/computer-science-bsc" TargetMode="External"/><Relationship Id="rId55" Type="http://schemas.openxmlformats.org/officeDocument/2006/relationships/hyperlink" Target="https://courses.leeds.ac.uk/5200/mechanical-engineering-beng" TargetMode="External"/><Relationship Id="rId56" Type="http://schemas.openxmlformats.org/officeDocument/2006/relationships/hyperlink" Target="https://courses.leeds.ac.uk/f834/accounting-and-finance-bsc" TargetMode="External"/><Relationship Id="rId57" Type="http://schemas.openxmlformats.org/officeDocument/2006/relationships/hyperlink" Target="https://courses.leeds.ac.uk/f831/international-business-bsc" TargetMode="External"/><Relationship Id="rId58" Type="http://schemas.openxmlformats.org/officeDocument/2006/relationships/hyperlink" Target="https://www.unsw.edu.au/study/undergraduate/bachelor-of-engineering-honours" TargetMode="External"/><Relationship Id="rId59" Type="http://schemas.openxmlformats.org/officeDocument/2006/relationships/hyperlink" Target="https://www.unsw.edu.au/study/undergraduate/bachelor-of-computer-science" TargetMode="External"/><Relationship Id="rId60" Type="http://schemas.openxmlformats.org/officeDocument/2006/relationships/hyperlink" Target="https://www.unsw.edu.au/study/undergraduate/bachelor-of-commerce" TargetMode="External"/><Relationship Id="rId61" Type="http://schemas.openxmlformats.org/officeDocument/2006/relationships/hyperlink" Target="https://www.unsw.edu.au/study/undergraduate/bachelor-of-commerce" TargetMode="External"/><Relationship Id="rId62" Type="http://schemas.openxmlformats.org/officeDocument/2006/relationships/hyperlink" Target="https://www.unsw.edu.au/study/undergraduate/bachelor-of-medical-studies-doctor-of-medicine" TargetMode="External"/><Relationship Id="rId63" Type="http://schemas.openxmlformats.org/officeDocument/2006/relationships/hyperlink" Target="https://study.uq.edu.au/study-options/programs/bachelor-engineering-honours-2455" TargetMode="External"/><Relationship Id="rId64" Type="http://schemas.openxmlformats.org/officeDocument/2006/relationships/hyperlink" Target="https://study.uq.edu.au/study-options/programs/bachelor-computer-science-2451" TargetMode="External"/><Relationship Id="rId65" Type="http://schemas.openxmlformats.org/officeDocument/2006/relationships/hyperlink" Target="https://www.intl.kit.edu/istudies/12606.php" TargetMode="External"/><Relationship Id="rId66" Type="http://schemas.openxmlformats.org/officeDocument/2006/relationships/hyperlink" Target="https://www.intl.kit.edu/istudies/12606.php" TargetMode="External"/><Relationship Id="rId67" Type="http://schemas.openxmlformats.org/officeDocument/2006/relationships/hyperlink" Target="https://www.uni-mannheim.de/en/academics/during-your-studies/organizing-your-studies/fees/" TargetMode="External"/><Relationship Id="rId68" Type="http://schemas.openxmlformats.org/officeDocument/2006/relationships/hyperlink" Target="https://www.uni-heidelberg.de/en/study/management-of-studies/semester-fees" TargetMode="External"/><Relationship Id="rId69" Type="http://schemas.openxmlformats.org/officeDocument/2006/relationships/hyperlink" Target="https://www.asta.rwth-aachen.de/en/how-is-the-semester-contribution-made-up/" TargetMode="External"/><Relationship Id="rId70" Type="http://schemas.openxmlformats.org/officeDocument/2006/relationships/hyperlink" Target="https://www.asta.rwth-aachen.de/en/how-is-the-semester-contribution-made-up/" TargetMode="External"/><Relationship Id="rId71" Type="http://schemas.openxmlformats.org/officeDocument/2006/relationships/hyperlink" Target="https://www.tum.de/en/studies/fees/tuition" TargetMode="External"/><Relationship Id="rId72" Type="http://schemas.openxmlformats.org/officeDocument/2006/relationships/hyperlink" Target="https://www.tum.de/en/studies/fees/tuition" TargetMode="External"/><Relationship Id="rId73" Type="http://schemas.openxmlformats.org/officeDocument/2006/relationships/hyperlink" Target="https://www.tum.de/en/studies/fees/tuition" TargetMode="External"/><Relationship Id="rId74" Type="http://schemas.openxmlformats.org/officeDocument/2006/relationships/hyperlink" Target="https://lums.edu.pk/programmes/bs-computer-science" TargetMode="External"/><Relationship Id="rId75" Type="http://schemas.openxmlformats.org/officeDocument/2006/relationships/hyperlink" Target="https://iiitd.ac.in/admission/fees" TargetMode="External"/><Relationship Id="rId76" Type="http://schemas.openxmlformats.org/officeDocument/2006/relationships/hyperlink" Target="https://studentsuccess.uky.edu/financial-aid-and-scholarships/estimated-cost-attendance" TargetMode="External"/><Relationship Id="rId77" Type="http://schemas.openxmlformats.org/officeDocument/2006/relationships/hyperlink" Target="https://study.ed.ac.uk/undergraduate/fees-funding/living-costs" TargetMode="External"/><Relationship Id="rId78" Type="http://schemas.openxmlformats.org/officeDocument/2006/relationships/hyperlink" Target="https://study.ed.ac.uk/undergraduate/fees-funding/living-costs" TargetMode="External"/><Relationship Id="rId79" Type="http://schemas.openxmlformats.org/officeDocument/2006/relationships/hyperlink" Target="https://www.unsw.edu.au/study/your-future/cost-of-living-sydney" TargetMode="External"/><Relationship Id="rId80" Type="http://schemas.openxmlformats.org/officeDocument/2006/relationships/hyperlink" Target="https://www.daad.de/en/studying-in-germany/living-in-germany/finances/"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6" min="3" style="0" width="22"/>
    <col collapsed="false" customWidth="true" hidden="false" outlineLevel="0" max="7" min="7" style="0" width="50"/>
  </cols>
  <sheetData>
    <row r="1" customFormat="false" ht="19.7" hidden="false" customHeight="false" outlineLevel="0" collapsed="false">
      <c r="B1" s="1" t="s">
        <v>0</v>
      </c>
    </row>
    <row r="2" customFormat="false" ht="30" hidden="false" customHeight="true" outlineLevel="0" collapsed="false">
      <c r="B2" s="2" t="s">
        <v>1</v>
      </c>
      <c r="C2" s="2"/>
      <c r="D2" s="2"/>
      <c r="E2" s="2"/>
      <c r="F2" s="2"/>
      <c r="G2" s="2"/>
    </row>
    <row r="3" customFormat="false" ht="15" hidden="false" customHeight="false" outlineLevel="0" collapsed="false">
      <c r="B3" s="3" t="s">
        <v>2</v>
      </c>
      <c r="C3" s="4" t="s">
        <v>3</v>
      </c>
      <c r="D3" s="5" t="s">
        <v>4</v>
      </c>
    </row>
    <row r="5" customFormat="false" ht="15" hidden="false" customHeight="false" outlineLevel="0" collapsed="false">
      <c r="B5" s="6" t="s">
        <v>5</v>
      </c>
      <c r="C5" s="3" t="s">
        <v>3</v>
      </c>
      <c r="D5" s="3" t="s">
        <v>6</v>
      </c>
      <c r="E5" s="3" t="s">
        <v>7</v>
      </c>
    </row>
    <row r="6" customFormat="false" ht="15" hidden="false" customHeight="false" outlineLevel="0" collapsed="false">
      <c r="B6" s="7" t="s">
        <v>8</v>
      </c>
      <c r="C6" s="8" t="n">
        <v>2</v>
      </c>
      <c r="D6" s="9" t="n">
        <f aca="false">IF(C6="",1,C6)</f>
        <v>2</v>
      </c>
    </row>
    <row r="7" customFormat="false" ht="15" hidden="false" customHeight="false" outlineLevel="0" collapsed="false">
      <c r="B7" s="7" t="s">
        <v>9</v>
      </c>
      <c r="C7" s="10" t="s">
        <v>10</v>
      </c>
      <c r="D7" s="5" t="str">
        <f aca="false">C7</f>
        <v>Example family</v>
      </c>
    </row>
    <row r="8" customFormat="false" ht="15" hidden="false" customHeight="false" outlineLevel="0" collapsed="false">
      <c r="B8" s="7" t="s">
        <v>11</v>
      </c>
      <c r="C8" s="10" t="s">
        <v>12</v>
      </c>
      <c r="D8" s="5" t="str">
        <f aca="false">C8</f>
        <v>Qatar</v>
      </c>
    </row>
    <row r="9" customFormat="false" ht="15" hidden="false" customHeight="false" outlineLevel="0" collapsed="false">
      <c r="B9" s="7" t="s">
        <v>13</v>
      </c>
      <c r="C9" s="10" t="s">
        <v>14</v>
      </c>
      <c r="D9" s="5" t="str">
        <f aca="false">IF(C9="","Pakistan",C9)</f>
        <v>Pakistan</v>
      </c>
    </row>
    <row r="10" customFormat="false" ht="23.85" hidden="false" customHeight="false" outlineLevel="0" collapsed="false">
      <c r="B10" s="7" t="s">
        <v>15</v>
      </c>
      <c r="C10" s="10"/>
      <c r="D10" s="5" t="str">
        <f aca="false">IF(C10="",INDEX(CO_Ccy,MATCH(FamCountry,CO_Name,0)),C10)</f>
        <v>PKR</v>
      </c>
    </row>
    <row r="11" customFormat="false" ht="15" hidden="false" customHeight="false" outlineLevel="0" collapsed="false">
      <c r="B11" s="7" t="s">
        <v>16</v>
      </c>
      <c r="C11" s="8" t="n">
        <v>18</v>
      </c>
      <c r="D11" s="9" t="n">
        <f aca="false">IF(C11="",DefEntryAge,C11)</f>
        <v>18</v>
      </c>
    </row>
    <row r="12" customFormat="false" ht="23.85" hidden="false" customHeight="false" outlineLevel="0" collapsed="false">
      <c r="B12" s="7" t="s">
        <v>17</v>
      </c>
      <c r="C12" s="11"/>
      <c r="D12" s="12" t="n">
        <f aca="false">IF(C12="",INDEX(RT_Ret,MATCH(RepCcy,RT_Ccy,0)),C12)</f>
        <v>0.12</v>
      </c>
      <c r="E12" s="13" t="str">
        <f aca="false">IF(OR(RetRate&lt;=-0.99,RetRate&gt;0.5),"Return must be between -99% and 50%","OK")</f>
        <v>OK</v>
      </c>
    </row>
    <row r="13" customFormat="false" ht="23.85" hidden="false" customHeight="false" outlineLevel="0" collapsed="false">
      <c r="B13" s="7" t="s">
        <v>18</v>
      </c>
      <c r="C13" s="11"/>
      <c r="D13" s="12" t="n">
        <f aca="false">IF(C13="",INDEX(CO_TuiInf,MATCH(FamCountry,CO_Name,0)),C13)</f>
        <v>0.1</v>
      </c>
      <c r="E13" s="13" t="str">
        <f aca="false">IF(OR(TuiInf&lt;=-0.5,TuiInf&gt;0.5),"Must be between -50% and 50%","OK")</f>
        <v>OK</v>
      </c>
    </row>
    <row r="14" customFormat="false" ht="15" hidden="false" customHeight="false" outlineLevel="0" collapsed="false">
      <c r="B14" s="7" t="s">
        <v>19</v>
      </c>
      <c r="C14" s="11"/>
      <c r="D14" s="12" t="n">
        <f aca="false">IF(C14="",INDEX(CO_LivInf,MATCH(FamCountry,CO_Name,0)),C14)</f>
        <v>0.08</v>
      </c>
      <c r="E14" s="13" t="str">
        <f aca="false">IF(OR(LivInf&lt;=-0.5,LivInf&gt;0.5),"Must be between -50% and 50%","OK")</f>
        <v>OK</v>
      </c>
    </row>
    <row r="15" customFormat="false" ht="15" hidden="false" customHeight="false" outlineLevel="0" collapsed="false">
      <c r="B15" s="7" t="s">
        <v>20</v>
      </c>
      <c r="C15" s="11"/>
      <c r="D15" s="12" t="n">
        <f aca="false">IF(C15="",DefEsc,C15)</f>
        <v>0.05</v>
      </c>
      <c r="E15" s="13" t="str">
        <f aca="false">IF(OR(Esc&lt;=-0.5,Esc&gt;0.5),"Must be between -50% and 50%","OK")</f>
        <v>OK</v>
      </c>
    </row>
    <row r="16" customFormat="false" ht="15" hidden="false" customHeight="false" outlineLevel="0" collapsed="false">
      <c r="B16" s="7" t="s">
        <v>21</v>
      </c>
      <c r="C16" s="11"/>
      <c r="D16" s="12" t="n">
        <f aca="false">IF(C16="",DefCont,C16)</f>
        <v>0.05</v>
      </c>
      <c r="E16" s="13" t="str">
        <f aca="false">IF(OR(Cont&lt;0,Cont&gt;1),"Must be between 0% and 100%","OK")</f>
        <v>OK</v>
      </c>
    </row>
    <row r="17" customFormat="false" ht="23.85" hidden="false" customHeight="false" outlineLevel="0" collapsed="false">
      <c r="B17" s="7" t="s">
        <v>22</v>
      </c>
      <c r="C17" s="11"/>
      <c r="D17" s="12" t="n">
        <f aca="false">IF(C17="",DefFxDrift,C17)</f>
        <v>0</v>
      </c>
      <c r="E17" s="13" t="str">
        <f aca="false">IF(OR(FxDrift&lt;=-0.5,FxDrift&gt;0.5),"Must be between -50% and 50%","OK")</f>
        <v>OK</v>
      </c>
    </row>
    <row r="18" customFormat="false" ht="15" hidden="false" customHeight="false" outlineLevel="0" collapsed="false">
      <c r="B18" s="7" t="s">
        <v>23</v>
      </c>
      <c r="C18" s="10" t="s">
        <v>24</v>
      </c>
      <c r="D18" s="5" t="str">
        <f aca="false">IF(C18="","Monthly",C18)</f>
        <v>Monthly</v>
      </c>
    </row>
    <row r="19" customFormat="false" ht="15" hidden="false" customHeight="false" outlineLevel="0" collapsed="false">
      <c r="B19" s="14" t="s">
        <v>25</v>
      </c>
      <c r="C19" s="14"/>
      <c r="D19" s="14"/>
      <c r="E19" s="14"/>
      <c r="F19" s="14"/>
      <c r="G19" s="14"/>
    </row>
    <row r="20" customFormat="false" ht="15" hidden="false" customHeight="false" outlineLevel="0" collapsed="false">
      <c r="D20" s="15" t="s">
        <v>26</v>
      </c>
      <c r="E20" s="16" t="b">
        <f aca="false">AND(E12="OK",E13="OK",E14="OK",E15="OK",E16="OK",E17="OK")</f>
        <v>1</v>
      </c>
    </row>
    <row r="22" customFormat="false" ht="15" hidden="false" customHeight="false" outlineLevel="0" collapsed="false">
      <c r="B22" s="6" t="s">
        <v>27</v>
      </c>
      <c r="C22" s="17" t="s">
        <v>28</v>
      </c>
      <c r="D22" s="17" t="s">
        <v>29</v>
      </c>
      <c r="E22" s="17" t="s">
        <v>30</v>
      </c>
      <c r="F22" s="17" t="s">
        <v>31</v>
      </c>
    </row>
    <row r="23" customFormat="false" ht="15" hidden="false" customHeight="false" outlineLevel="0" collapsed="false">
      <c r="B23" s="13" t="s">
        <v>32</v>
      </c>
      <c r="C23" s="5" t="str">
        <f aca="false">IF(1&lt;=NumChildren,"Active","Not used")</f>
        <v>Active</v>
      </c>
      <c r="D23" s="5" t="str">
        <f aca="false">IF(2&lt;=NumChildren,"Active","Not used")</f>
        <v>Active</v>
      </c>
      <c r="E23" s="5" t="str">
        <f aca="false">IF(3&lt;=NumChildren,"Active","Not used")</f>
        <v>Not used</v>
      </c>
      <c r="F23" s="5" t="str">
        <f aca="false">IF(4&lt;=NumChildren,"Active","Not used")</f>
        <v>Not used</v>
      </c>
    </row>
    <row r="24" customFormat="false" ht="15" hidden="false" customHeight="false" outlineLevel="0" collapsed="false">
      <c r="B24" s="7" t="s">
        <v>33</v>
      </c>
      <c r="C24" s="10" t="s">
        <v>28</v>
      </c>
      <c r="D24" s="10" t="s">
        <v>29</v>
      </c>
      <c r="E24" s="10" t="s">
        <v>30</v>
      </c>
      <c r="F24" s="10" t="s">
        <v>31</v>
      </c>
    </row>
    <row r="25" customFormat="false" ht="32.8" hidden="false" customHeight="false" outlineLevel="0" collapsed="false">
      <c r="B25" s="7" t="s">
        <v>34</v>
      </c>
      <c r="C25" s="8" t="n">
        <v>10</v>
      </c>
      <c r="D25" s="8" t="n">
        <v>6</v>
      </c>
      <c r="E25" s="8" t="n">
        <v>3</v>
      </c>
      <c r="F25" s="8" t="n">
        <v>1</v>
      </c>
      <c r="G25" s="18" t="s">
        <v>35</v>
      </c>
    </row>
    <row r="26" customFormat="false" ht="15" hidden="false" customHeight="false" outlineLevel="0" collapsed="false">
      <c r="B26" s="7" t="s">
        <v>36</v>
      </c>
      <c r="C26" s="10" t="s">
        <v>37</v>
      </c>
      <c r="D26" s="10" t="s">
        <v>38</v>
      </c>
      <c r="E26" s="10"/>
      <c r="F26" s="10"/>
    </row>
    <row r="27" customFormat="false" ht="15" hidden="false" customHeight="false" outlineLevel="0" collapsed="false">
      <c r="B27" s="7" t="s">
        <v>39</v>
      </c>
      <c r="C27" s="8"/>
      <c r="D27" s="8"/>
      <c r="E27" s="8"/>
      <c r="F27" s="8"/>
    </row>
    <row r="28" customFormat="false" ht="15" hidden="false" customHeight="false" outlineLevel="0" collapsed="false">
      <c r="B28" s="7" t="s">
        <v>40</v>
      </c>
      <c r="C28" s="10"/>
      <c r="D28" s="10"/>
      <c r="E28" s="10"/>
      <c r="F28" s="10"/>
    </row>
    <row r="29" customFormat="false" ht="15" hidden="false" customHeight="false" outlineLevel="0" collapsed="false">
      <c r="B29" s="7" t="s">
        <v>41</v>
      </c>
      <c r="C29" s="10"/>
      <c r="D29" s="10"/>
      <c r="E29" s="10"/>
      <c r="F29" s="10"/>
    </row>
    <row r="30" customFormat="false" ht="64.15" hidden="false" customHeight="false" outlineLevel="0" collapsed="false">
      <c r="B30" s="7" t="s">
        <v>42</v>
      </c>
      <c r="C30" s="10" t="s">
        <v>43</v>
      </c>
      <c r="D30" s="10" t="s">
        <v>44</v>
      </c>
      <c r="E30" s="10" t="s">
        <v>45</v>
      </c>
      <c r="F30" s="10" t="s">
        <v>46</v>
      </c>
      <c r="G30" s="18" t="s">
        <v>47</v>
      </c>
    </row>
    <row r="31" customFormat="false" ht="15" hidden="false" customHeight="false" outlineLevel="0" collapsed="false">
      <c r="B31" s="7" t="s">
        <v>48</v>
      </c>
      <c r="C31" s="10"/>
      <c r="D31" s="10"/>
      <c r="E31" s="10"/>
      <c r="F31" s="10"/>
    </row>
    <row r="32" customFormat="false" ht="15" hidden="false" customHeight="false" outlineLevel="0" collapsed="false">
      <c r="B32" s="7" t="s">
        <v>49</v>
      </c>
      <c r="C32" s="10"/>
      <c r="D32" s="10"/>
      <c r="E32" s="10"/>
      <c r="F32" s="10"/>
    </row>
    <row r="33" customFormat="false" ht="32.8" hidden="false" customHeight="false" outlineLevel="0" collapsed="false">
      <c r="B33" s="7" t="s">
        <v>50</v>
      </c>
      <c r="C33" s="10" t="s">
        <v>51</v>
      </c>
      <c r="D33" s="10" t="s">
        <v>51</v>
      </c>
      <c r="E33" s="10" t="s">
        <v>51</v>
      </c>
      <c r="F33" s="10" t="s">
        <v>51</v>
      </c>
      <c r="G33" s="18" t="s">
        <v>52</v>
      </c>
    </row>
    <row r="34" customFormat="false" ht="15" hidden="false" customHeight="false" outlineLevel="0" collapsed="false">
      <c r="B34" s="7" t="s">
        <v>53</v>
      </c>
      <c r="C34" s="19"/>
      <c r="D34" s="19"/>
      <c r="E34" s="19"/>
      <c r="F34" s="19"/>
    </row>
    <row r="35" customFormat="false" ht="15" hidden="false" customHeight="false" outlineLevel="0" collapsed="false">
      <c r="B35" s="7" t="s">
        <v>54</v>
      </c>
      <c r="C35" s="20" t="n">
        <v>500000</v>
      </c>
      <c r="D35" s="20" t="n">
        <v>100000</v>
      </c>
      <c r="E35" s="20" t="n">
        <v>0</v>
      </c>
      <c r="F35" s="20" t="n">
        <v>0</v>
      </c>
    </row>
    <row r="36" customFormat="false" ht="15" hidden="false" customHeight="false" outlineLevel="0" collapsed="false">
      <c r="B36" s="7" t="s">
        <v>55</v>
      </c>
      <c r="C36" s="20" t="n">
        <v>10000</v>
      </c>
      <c r="D36" s="20" t="n">
        <v>5000</v>
      </c>
      <c r="E36" s="20" t="n">
        <v>0</v>
      </c>
      <c r="F36" s="20" t="n">
        <v>0</v>
      </c>
    </row>
    <row r="37" customFormat="false" ht="15" hidden="false" customHeight="false" outlineLevel="0" collapsed="false">
      <c r="B37" s="7" t="s">
        <v>56</v>
      </c>
      <c r="C37" s="20" t="n">
        <v>0</v>
      </c>
      <c r="D37" s="20" t="n">
        <v>0</v>
      </c>
      <c r="E37" s="20" t="n">
        <v>0</v>
      </c>
      <c r="F37" s="20" t="n">
        <v>0</v>
      </c>
    </row>
    <row r="38" customFormat="false" ht="15" hidden="false" customHeight="false" outlineLevel="0" collapsed="false">
      <c r="B38" s="7" t="s">
        <v>57</v>
      </c>
      <c r="C38" s="11" t="n">
        <v>0</v>
      </c>
      <c r="D38" s="11" t="n">
        <v>0</v>
      </c>
      <c r="E38" s="11" t="n">
        <v>0</v>
      </c>
      <c r="F38" s="11" t="n">
        <v>0</v>
      </c>
    </row>
    <row r="39" customFormat="false" ht="23.85" hidden="false" customHeight="false" outlineLevel="0" collapsed="false">
      <c r="B39" s="7" t="s">
        <v>58</v>
      </c>
      <c r="C39" s="20" t="n">
        <v>0</v>
      </c>
      <c r="D39" s="20" t="n">
        <v>0</v>
      </c>
      <c r="E39" s="20" t="n">
        <v>0</v>
      </c>
      <c r="F39" s="20" t="n">
        <v>0</v>
      </c>
    </row>
    <row r="40" customFormat="false" ht="23.85" hidden="false" customHeight="false" outlineLevel="0" collapsed="false">
      <c r="B40" s="7" t="s">
        <v>59</v>
      </c>
      <c r="C40" s="20" t="n">
        <v>0</v>
      </c>
      <c r="D40" s="20" t="n">
        <v>0</v>
      </c>
      <c r="E40" s="20" t="n">
        <v>0</v>
      </c>
      <c r="F40" s="20" t="n">
        <v>0</v>
      </c>
    </row>
    <row r="41" customFormat="false" ht="33.75" hidden="false" customHeight="true" outlineLevel="0" collapsed="false">
      <c r="B41" s="21" t="s">
        <v>60</v>
      </c>
      <c r="C41" s="21"/>
      <c r="D41" s="21"/>
      <c r="E41" s="21"/>
      <c r="F41" s="21"/>
      <c r="G41" s="21"/>
    </row>
    <row r="42" customFormat="false" ht="15" hidden="false" customHeight="false" outlineLevel="0" collapsed="false">
      <c r="B42" s="13" t="s">
        <v>61</v>
      </c>
      <c r="C42" s="20"/>
      <c r="D42" s="20"/>
      <c r="E42" s="20"/>
      <c r="F42" s="20"/>
    </row>
    <row r="43" customFormat="false" ht="15" hidden="false" customHeight="false" outlineLevel="0" collapsed="false">
      <c r="B43" s="13" t="s">
        <v>62</v>
      </c>
      <c r="C43" s="20"/>
      <c r="D43" s="20"/>
      <c r="E43" s="20"/>
      <c r="F43" s="20"/>
    </row>
    <row r="44" customFormat="false" ht="15" hidden="false" customHeight="false" outlineLevel="0" collapsed="false">
      <c r="B44" s="13" t="s">
        <v>63</v>
      </c>
      <c r="C44" s="20"/>
      <c r="D44" s="20"/>
      <c r="E44" s="20"/>
      <c r="F44" s="20"/>
    </row>
    <row r="45" customFormat="false" ht="15" hidden="false" customHeight="false" outlineLevel="0" collapsed="false">
      <c r="B45" s="13" t="s">
        <v>64</v>
      </c>
      <c r="C45" s="20"/>
      <c r="D45" s="20"/>
      <c r="E45" s="20"/>
      <c r="F45" s="20"/>
    </row>
    <row r="46" customFormat="false" ht="15" hidden="false" customHeight="false" outlineLevel="0" collapsed="false">
      <c r="B46" s="13" t="s">
        <v>65</v>
      </c>
      <c r="C46" s="20"/>
      <c r="D46" s="20"/>
      <c r="E46" s="20"/>
      <c r="F46" s="20"/>
    </row>
    <row r="47" customFormat="false" ht="15" hidden="false" customHeight="false" outlineLevel="0" collapsed="false">
      <c r="B47" s="13" t="s">
        <v>66</v>
      </c>
      <c r="C47" s="20"/>
      <c r="D47" s="20"/>
      <c r="E47" s="20"/>
      <c r="F47" s="20"/>
    </row>
    <row r="48" customFormat="false" ht="15" hidden="false" customHeight="false" outlineLevel="0" collapsed="false">
      <c r="B48" s="13" t="s">
        <v>67</v>
      </c>
      <c r="C48" s="20"/>
      <c r="D48" s="20"/>
      <c r="E48" s="20"/>
      <c r="F48" s="20"/>
    </row>
    <row r="49" customFormat="false" ht="15" hidden="false" customHeight="false" outlineLevel="0" collapsed="false">
      <c r="B49" s="13" t="s">
        <v>68</v>
      </c>
      <c r="C49" s="20"/>
      <c r="D49" s="20"/>
      <c r="E49" s="20"/>
      <c r="F49" s="20"/>
    </row>
    <row r="50" customFormat="false" ht="15" hidden="false" customHeight="false" outlineLevel="0" collapsed="false">
      <c r="B50" s="13" t="s">
        <v>69</v>
      </c>
      <c r="C50" s="20"/>
      <c r="D50" s="20"/>
      <c r="E50" s="20"/>
      <c r="F50" s="20"/>
    </row>
    <row r="51" customFormat="false" ht="15" hidden="false" customHeight="false" outlineLevel="0" collapsed="false">
      <c r="B51" s="13" t="s">
        <v>70</v>
      </c>
      <c r="C51" s="20"/>
      <c r="D51" s="20"/>
      <c r="E51" s="20"/>
      <c r="F51" s="20"/>
    </row>
    <row r="52" customFormat="false" ht="15" hidden="false" customHeight="false" outlineLevel="0" collapsed="false">
      <c r="B52" s="13" t="s">
        <v>71</v>
      </c>
      <c r="C52" s="20"/>
      <c r="D52" s="20"/>
      <c r="E52" s="20"/>
      <c r="F52" s="20"/>
    </row>
    <row r="53" customFormat="false" ht="15" hidden="false" customHeight="false" outlineLevel="0" collapsed="false">
      <c r="B53" s="13" t="s">
        <v>72</v>
      </c>
      <c r="C53" s="20"/>
      <c r="D53" s="20"/>
      <c r="E53" s="20"/>
      <c r="F53" s="20"/>
    </row>
    <row r="54" customFormat="false" ht="15" hidden="false" customHeight="false" outlineLevel="0" collapsed="false">
      <c r="B54" s="13" t="s">
        <v>73</v>
      </c>
      <c r="C54" s="20"/>
      <c r="D54" s="20"/>
      <c r="E54" s="20"/>
      <c r="F54" s="20"/>
    </row>
  </sheetData>
  <sheetProtection sheet="true" formatColumns="false" formatRows="false"/>
  <mergeCells count="3">
    <mergeCell ref="B2:G2"/>
    <mergeCell ref="B19:G19"/>
    <mergeCell ref="B41:G41"/>
  </mergeCells>
  <conditionalFormatting sqref="C24:F54">
    <cfRule type="expression" priority="2" aboveAverage="0" equalAverage="0" bottom="0" percent="0" rank="0" text="" dxfId="0">
      <formula>C$23="Not used"</formula>
    </cfRule>
  </conditionalFormatting>
  <dataValidations count="10">
    <dataValidation allowBlank="true" errorStyle="stop" operator="between" showDropDown="false" showErrorMessage="false" showInputMessage="false" sqref="C28:F28" type="list">
      <formula1>LST_Country</formula1>
      <formula2>0</formula2>
    </dataValidation>
    <dataValidation allowBlank="true" errorStyle="stop" operator="between" showDropDown="false" showErrorMessage="false" showInputMessage="false" sqref="C29:F29" type="list">
      <formula1>LST_Cat</formula1>
      <formula2>0</formula2>
    </dataValidation>
    <dataValidation allowBlank="true" errorStyle="stop" operator="between" showDropDown="false" showErrorMessage="false" showInputMessage="false" sqref="C30:F30" type="list">
      <formula1>LST_Qual</formula1>
      <formula2>0</formula2>
    </dataValidation>
    <dataValidation allowBlank="true" errorStyle="stop" operator="between" showDropDown="false" showErrorMessage="false" showInputMessage="false" sqref="C33:F33" type="list">
      <formula1>LST_Uni</formula1>
      <formula2>0</formula2>
    </dataValidation>
    <dataValidation allowBlank="true" errorStyle="stop" operator="between" showDropDown="false" showErrorMessage="false" showInputMessage="false" sqref="C9" type="list">
      <formula1>LST_Country</formula1>
      <formula2>0</formula2>
    </dataValidation>
    <dataValidation allowBlank="true" errorStyle="stop" operator="between" showDropDown="false" showErrorMessage="false" showInputMessage="false" sqref="C10" type="list">
      <formula1>LST_Ccy</formula1>
      <formula2>0</formula2>
    </dataValidation>
    <dataValidation allowBlank="true" errorStyle="stop" operator="between" showDropDown="false" showErrorMessage="false" showInputMessage="false" sqref="C18" type="list">
      <formula1>LST_Mode</formula1>
      <formula2>0</formula2>
    </dataValidation>
    <dataValidation allowBlank="false" errorStyle="stop" operator="between" showDropDown="false" showErrorMessage="false" showInputMessage="false" sqref="C6" type="list">
      <formula1>"1,2,3,4"</formula1>
      <formula2>0</formula2>
    </dataValidation>
    <dataValidation allowBlank="false" error="Enter a whole number of years (0–45)" errorStyle="stop" operator="between" showDropDown="false" showErrorMessage="true" showInputMessage="false" sqref="C11 C25:F25 C27:F27" type="whole">
      <formula1>0</formula1>
      <formula2>45</formula2>
    </dataValidation>
    <dataValidation allowBlank="false" error="Enter a percentage from 0% to 100%" errorStyle="stop" operator="between" showDropDown="false" showErrorMessage="true" showInputMessage="false" sqref="C38:F38"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4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1"/>
    <col collapsed="false" customWidth="true" hidden="false" outlineLevel="0" max="3" min="3" style="0" width="22"/>
    <col collapsed="false" customWidth="true" hidden="false" outlineLevel="0" max="4" min="4" style="0" width="26"/>
    <col collapsed="false" customWidth="true" hidden="false" outlineLevel="0" max="5" min="5" style="0" width="30"/>
    <col collapsed="false" customWidth="true" hidden="false" outlineLevel="0" max="6" min="6" style="0" width="16"/>
    <col collapsed="false" customWidth="true" hidden="false" outlineLevel="0" max="7" min="7" style="0" width="22"/>
    <col collapsed="false" customWidth="true" hidden="false" outlineLevel="0" max="9" min="8" style="0" width="16"/>
    <col collapsed="false" customWidth="true" hidden="false" outlineLevel="0" max="10" min="10" style="0" width="9"/>
    <col collapsed="false" customWidth="true" hidden="false" outlineLevel="0" max="11" min="11" style="0" width="10"/>
    <col collapsed="false" customWidth="true" hidden="false" outlineLevel="0" max="13" min="12" style="0" width="13"/>
    <col collapsed="false" customWidth="true" hidden="false" outlineLevel="0" max="18" min="14" style="0" width="11"/>
    <col collapsed="false" customWidth="true" hidden="false" outlineLevel="0" max="19" min="19" style="0" width="13"/>
    <col collapsed="false" customWidth="true" hidden="false" outlineLevel="0" max="20" min="20" style="0" width="12"/>
    <col collapsed="false" customWidth="true" hidden="false" outlineLevel="0" max="23" min="21" style="0" width="11"/>
    <col collapsed="false" customWidth="true" hidden="false" outlineLevel="0" max="24" min="24" style="0" width="9"/>
    <col collapsed="false" customWidth="true" hidden="false" outlineLevel="0" max="25" min="25" style="0" width="11"/>
    <col collapsed="false" customWidth="true" hidden="false" outlineLevel="0" max="26" min="26" style="0" width="10"/>
    <col collapsed="false" customWidth="true" hidden="false" outlineLevel="0" max="27" min="27" style="0" width="40"/>
    <col collapsed="false" customWidth="true" hidden="false" outlineLevel="0" max="28" min="28" style="0" width="36"/>
    <col collapsed="false" customWidth="true" hidden="false" outlineLevel="0" max="29" min="29" style="0" width="12"/>
    <col collapsed="false" customWidth="true" hidden="false" outlineLevel="0" max="30" min="30" style="0" width="16"/>
    <col collapsed="false" customWidth="true" hidden="false" outlineLevel="0" max="31" min="31" style="0" width="30"/>
    <col collapsed="false" customWidth="true" hidden="false" outlineLevel="0" max="32" min="32" style="0" width="70"/>
    <col collapsed="false" customWidth="true" hidden="false" outlineLevel="0" max="34" min="33" style="0" width="30"/>
  </cols>
  <sheetData>
    <row r="1" customFormat="false" ht="19.7" hidden="false" customHeight="false" outlineLevel="0" collapsed="false">
      <c r="A1" s="1" t="s">
        <v>74</v>
      </c>
    </row>
    <row r="2" customFormat="false" ht="15" hidden="false" customHeight="false" outlineLevel="0" collapsed="false">
      <c r="A2" s="15" t="s">
        <v>75</v>
      </c>
    </row>
    <row r="4" customFormat="false" ht="54" hidden="false" customHeight="true" outlineLevel="0" collapsed="false">
      <c r="A4" s="22" t="s">
        <v>76</v>
      </c>
      <c r="B4" s="22" t="s">
        <v>77</v>
      </c>
      <c r="C4" s="22" t="s">
        <v>78</v>
      </c>
      <c r="D4" s="22" t="s">
        <v>79</v>
      </c>
      <c r="E4" s="22" t="s">
        <v>80</v>
      </c>
      <c r="F4" s="22" t="s">
        <v>81</v>
      </c>
      <c r="G4" s="22" t="s">
        <v>82</v>
      </c>
      <c r="H4" s="22" t="s">
        <v>83</v>
      </c>
      <c r="I4" s="22" t="s">
        <v>84</v>
      </c>
      <c r="J4" s="22" t="s">
        <v>85</v>
      </c>
      <c r="K4" s="22" t="s">
        <v>86</v>
      </c>
      <c r="L4" s="22" t="s">
        <v>87</v>
      </c>
      <c r="M4" s="22" t="s">
        <v>88</v>
      </c>
      <c r="N4" s="22" t="s">
        <v>89</v>
      </c>
      <c r="O4" s="22" t="s">
        <v>90</v>
      </c>
      <c r="P4" s="22" t="s">
        <v>91</v>
      </c>
      <c r="Q4" s="22" t="s">
        <v>92</v>
      </c>
      <c r="R4" s="22" t="s">
        <v>93</v>
      </c>
      <c r="S4" s="22" t="s">
        <v>94</v>
      </c>
      <c r="T4" s="22" t="s">
        <v>95</v>
      </c>
      <c r="U4" s="22" t="s">
        <v>96</v>
      </c>
      <c r="V4" s="22" t="s">
        <v>97</v>
      </c>
      <c r="W4" s="22" t="s">
        <v>98</v>
      </c>
      <c r="X4" s="22" t="s">
        <v>99</v>
      </c>
      <c r="Y4" s="22" t="s">
        <v>100</v>
      </c>
      <c r="Z4" s="22" t="s">
        <v>101</v>
      </c>
      <c r="AA4" s="22" t="s">
        <v>102</v>
      </c>
      <c r="AB4" s="22" t="s">
        <v>103</v>
      </c>
      <c r="AC4" s="22" t="s">
        <v>104</v>
      </c>
      <c r="AD4" s="22" t="s">
        <v>105</v>
      </c>
      <c r="AE4" s="22" t="s">
        <v>106</v>
      </c>
      <c r="AF4" s="22" t="s">
        <v>107</v>
      </c>
      <c r="AG4" s="22" t="s">
        <v>108</v>
      </c>
      <c r="AH4" s="22" t="s">
        <v>109</v>
      </c>
    </row>
    <row r="5" customFormat="false" ht="15" hidden="false" customHeight="false" outlineLevel="0" collapsed="false">
      <c r="A5" s="13" t="s">
        <v>110</v>
      </c>
      <c r="B5" s="13" t="s">
        <v>14</v>
      </c>
      <c r="C5" s="13" t="s">
        <v>111</v>
      </c>
      <c r="D5" s="13" t="s">
        <v>112</v>
      </c>
      <c r="E5" s="13" t="s">
        <v>113</v>
      </c>
      <c r="F5" s="13" t="s">
        <v>114</v>
      </c>
      <c r="G5" s="13" t="s">
        <v>115</v>
      </c>
      <c r="H5" s="13" t="s">
        <v>116</v>
      </c>
      <c r="I5" s="13" t="s">
        <v>117</v>
      </c>
      <c r="J5" s="23" t="n">
        <v>2026</v>
      </c>
      <c r="K5" s="23" t="n">
        <v>4</v>
      </c>
      <c r="L5" s="24" t="n">
        <v>433500</v>
      </c>
      <c r="M5" s="24"/>
      <c r="N5" s="24"/>
      <c r="O5" s="24"/>
      <c r="P5" s="24"/>
      <c r="Q5" s="24"/>
      <c r="R5" s="24"/>
      <c r="S5" s="24" t="n">
        <v>10000</v>
      </c>
      <c r="T5" s="24" t="n">
        <v>35000</v>
      </c>
      <c r="U5" s="24" t="n">
        <v>0</v>
      </c>
      <c r="V5" s="24" t="n">
        <v>0</v>
      </c>
      <c r="W5" s="24" t="n">
        <v>0</v>
      </c>
      <c r="X5" s="13" t="s">
        <v>118</v>
      </c>
      <c r="Y5" s="13" t="s">
        <v>119</v>
      </c>
      <c r="Z5" s="13" t="s">
        <v>120</v>
      </c>
      <c r="AA5" s="13" t="s">
        <v>121</v>
      </c>
      <c r="AB5" s="13" t="s">
        <v>122</v>
      </c>
      <c r="AC5" s="13" t="s">
        <v>123</v>
      </c>
      <c r="AD5" s="13" t="s">
        <v>124</v>
      </c>
      <c r="AE5" s="13" t="s">
        <v>125</v>
      </c>
      <c r="AF5" s="13" t="s">
        <v>126</v>
      </c>
      <c r="AG5" s="25" t="str">
        <f aca="false">B5&amp;"|"&amp;C5&amp;"|"&amp;G5&amp;"|"&amp;E5</f>
        <v>Pakistan|Mechanical Engineering|Pakistani national|NUST Islamabad</v>
      </c>
      <c r="AH5" s="25" t="str">
        <f aca="false">B5&amp;"|"&amp;C5&amp;"|"&amp;G5</f>
        <v>Pakistan|Mechanical Engineering|Pakistani national</v>
      </c>
    </row>
    <row r="6" customFormat="false" ht="15" hidden="false" customHeight="false" outlineLevel="0" collapsed="false">
      <c r="A6" s="13" t="s">
        <v>127</v>
      </c>
      <c r="B6" s="13" t="s">
        <v>14</v>
      </c>
      <c r="C6" s="13" t="s">
        <v>128</v>
      </c>
      <c r="D6" s="13" t="s">
        <v>112</v>
      </c>
      <c r="E6" s="13" t="s">
        <v>113</v>
      </c>
      <c r="F6" s="13" t="s">
        <v>114</v>
      </c>
      <c r="G6" s="13" t="s">
        <v>115</v>
      </c>
      <c r="H6" s="13" t="s">
        <v>116</v>
      </c>
      <c r="I6" s="13" t="s">
        <v>117</v>
      </c>
      <c r="J6" s="23" t="n">
        <v>2026</v>
      </c>
      <c r="K6" s="23" t="n">
        <v>4</v>
      </c>
      <c r="L6" s="24" t="n">
        <v>433500</v>
      </c>
      <c r="M6" s="24"/>
      <c r="N6" s="24"/>
      <c r="O6" s="24"/>
      <c r="P6" s="24"/>
      <c r="Q6" s="24"/>
      <c r="R6" s="24"/>
      <c r="S6" s="24" t="n">
        <v>10000</v>
      </c>
      <c r="T6" s="24" t="n">
        <v>35000</v>
      </c>
      <c r="U6" s="24" t="n">
        <v>0</v>
      </c>
      <c r="V6" s="24" t="n">
        <v>0</v>
      </c>
      <c r="W6" s="24" t="n">
        <v>0</v>
      </c>
      <c r="X6" s="13" t="s">
        <v>118</v>
      </c>
      <c r="Y6" s="13" t="s">
        <v>119</v>
      </c>
      <c r="Z6" s="13" t="s">
        <v>120</v>
      </c>
      <c r="AA6" s="13" t="s">
        <v>121</v>
      </c>
      <c r="AB6" s="13" t="s">
        <v>122</v>
      </c>
      <c r="AC6" s="13" t="s">
        <v>123</v>
      </c>
      <c r="AD6" s="13" t="s">
        <v>124</v>
      </c>
      <c r="AE6" s="13" t="s">
        <v>125</v>
      </c>
      <c r="AF6" s="13" t="s">
        <v>126</v>
      </c>
      <c r="AG6" s="25" t="str">
        <f aca="false">B6&amp;"|"&amp;C6&amp;"|"&amp;G6&amp;"|"&amp;E6</f>
        <v>Pakistan|Electrical Engineering|Pakistani national|NUST Islamabad</v>
      </c>
      <c r="AH6" s="25" t="str">
        <f aca="false">B6&amp;"|"&amp;C6&amp;"|"&amp;G6</f>
        <v>Pakistan|Electrical Engineering|Pakistani national</v>
      </c>
    </row>
    <row r="7" customFormat="false" ht="15" hidden="false" customHeight="false" outlineLevel="0" collapsed="false">
      <c r="A7" s="13" t="s">
        <v>129</v>
      </c>
      <c r="B7" s="13" t="s">
        <v>14</v>
      </c>
      <c r="C7" s="13" t="s">
        <v>130</v>
      </c>
      <c r="D7" s="13" t="s">
        <v>112</v>
      </c>
      <c r="E7" s="13" t="s">
        <v>113</v>
      </c>
      <c r="F7" s="13" t="s">
        <v>114</v>
      </c>
      <c r="G7" s="13" t="s">
        <v>115</v>
      </c>
      <c r="H7" s="13" t="s">
        <v>116</v>
      </c>
      <c r="I7" s="13" t="s">
        <v>117</v>
      </c>
      <c r="J7" s="23" t="n">
        <v>2026</v>
      </c>
      <c r="K7" s="23" t="n">
        <v>4</v>
      </c>
      <c r="L7" s="24" t="n">
        <v>433500</v>
      </c>
      <c r="M7" s="24"/>
      <c r="N7" s="24"/>
      <c r="O7" s="24"/>
      <c r="P7" s="24"/>
      <c r="Q7" s="24"/>
      <c r="R7" s="24"/>
      <c r="S7" s="24" t="n">
        <v>10000</v>
      </c>
      <c r="T7" s="24" t="n">
        <v>35000</v>
      </c>
      <c r="U7" s="24" t="n">
        <v>0</v>
      </c>
      <c r="V7" s="24" t="n">
        <v>0</v>
      </c>
      <c r="W7" s="24" t="n">
        <v>0</v>
      </c>
      <c r="X7" s="13" t="s">
        <v>118</v>
      </c>
      <c r="Y7" s="13" t="s">
        <v>119</v>
      </c>
      <c r="Z7" s="13" t="s">
        <v>120</v>
      </c>
      <c r="AA7" s="13" t="s">
        <v>121</v>
      </c>
      <c r="AB7" s="13" t="s">
        <v>122</v>
      </c>
      <c r="AC7" s="13" t="s">
        <v>123</v>
      </c>
      <c r="AD7" s="13" t="s">
        <v>124</v>
      </c>
      <c r="AE7" s="13" t="s">
        <v>125</v>
      </c>
      <c r="AF7" s="13" t="s">
        <v>126</v>
      </c>
      <c r="AG7" s="25" t="str">
        <f aca="false">B7&amp;"|"&amp;C7&amp;"|"&amp;G7&amp;"|"&amp;E7</f>
        <v>Pakistan|Civil Engineering|Pakistani national|NUST Islamabad</v>
      </c>
      <c r="AH7" s="25" t="str">
        <f aca="false">B7&amp;"|"&amp;C7&amp;"|"&amp;G7</f>
        <v>Pakistan|Civil Engineering|Pakistani national</v>
      </c>
    </row>
    <row r="8" customFormat="false" ht="15" hidden="false" customHeight="false" outlineLevel="0" collapsed="false">
      <c r="A8" s="13" t="s">
        <v>131</v>
      </c>
      <c r="B8" s="13" t="s">
        <v>14</v>
      </c>
      <c r="C8" s="13" t="s">
        <v>43</v>
      </c>
      <c r="D8" s="13" t="s">
        <v>132</v>
      </c>
      <c r="E8" s="13" t="s">
        <v>113</v>
      </c>
      <c r="F8" s="13" t="s">
        <v>114</v>
      </c>
      <c r="G8" s="13" t="s">
        <v>115</v>
      </c>
      <c r="H8" s="13" t="s">
        <v>116</v>
      </c>
      <c r="I8" s="13" t="s">
        <v>117</v>
      </c>
      <c r="J8" s="23" t="n">
        <v>2026</v>
      </c>
      <c r="K8" s="23" t="n">
        <v>4</v>
      </c>
      <c r="L8" s="24" t="n">
        <v>433500</v>
      </c>
      <c r="M8" s="24"/>
      <c r="N8" s="24"/>
      <c r="O8" s="24"/>
      <c r="P8" s="24"/>
      <c r="Q8" s="24"/>
      <c r="R8" s="24"/>
      <c r="S8" s="24" t="n">
        <v>10000</v>
      </c>
      <c r="T8" s="24" t="n">
        <v>35000</v>
      </c>
      <c r="U8" s="24" t="n">
        <v>0</v>
      </c>
      <c r="V8" s="24" t="n">
        <v>0</v>
      </c>
      <c r="W8" s="24" t="n">
        <v>0</v>
      </c>
      <c r="X8" s="13" t="s">
        <v>118</v>
      </c>
      <c r="Y8" s="13" t="s">
        <v>119</v>
      </c>
      <c r="Z8" s="13" t="s">
        <v>120</v>
      </c>
      <c r="AA8" s="13" t="s">
        <v>121</v>
      </c>
      <c r="AB8" s="13" t="s">
        <v>122</v>
      </c>
      <c r="AC8" s="13" t="s">
        <v>123</v>
      </c>
      <c r="AD8" s="13" t="s">
        <v>124</v>
      </c>
      <c r="AE8" s="13" t="s">
        <v>125</v>
      </c>
      <c r="AF8" s="13" t="s">
        <v>126</v>
      </c>
      <c r="AG8" s="25" t="str">
        <f aca="false">B8&amp;"|"&amp;C8&amp;"|"&amp;G8&amp;"|"&amp;E8</f>
        <v>Pakistan|Computer Science|Pakistani national|NUST Islamabad</v>
      </c>
      <c r="AH8" s="25" t="str">
        <f aca="false">B8&amp;"|"&amp;C8&amp;"|"&amp;G8</f>
        <v>Pakistan|Computer Science|Pakistani national</v>
      </c>
    </row>
    <row r="9" customFormat="false" ht="15" hidden="false" customHeight="false" outlineLevel="0" collapsed="false">
      <c r="A9" s="13" t="s">
        <v>133</v>
      </c>
      <c r="B9" s="13" t="s">
        <v>14</v>
      </c>
      <c r="C9" s="13" t="s">
        <v>45</v>
      </c>
      <c r="D9" s="13" t="s">
        <v>134</v>
      </c>
      <c r="E9" s="13" t="s">
        <v>113</v>
      </c>
      <c r="F9" s="13" t="s">
        <v>114</v>
      </c>
      <c r="G9" s="13" t="s">
        <v>115</v>
      </c>
      <c r="H9" s="13" t="s">
        <v>116</v>
      </c>
      <c r="I9" s="13" t="s">
        <v>117</v>
      </c>
      <c r="J9" s="23" t="n">
        <v>2026</v>
      </c>
      <c r="K9" s="23" t="n">
        <v>4</v>
      </c>
      <c r="L9" s="24" t="n">
        <v>605900</v>
      </c>
      <c r="M9" s="24"/>
      <c r="N9" s="24"/>
      <c r="O9" s="24"/>
      <c r="P9" s="24"/>
      <c r="Q9" s="24"/>
      <c r="R9" s="24"/>
      <c r="S9" s="24" t="n">
        <v>25000</v>
      </c>
      <c r="T9" s="24" t="n">
        <v>35000</v>
      </c>
      <c r="U9" s="24" t="n">
        <v>0</v>
      </c>
      <c r="V9" s="24" t="n">
        <v>0</v>
      </c>
      <c r="W9" s="24" t="n">
        <v>0</v>
      </c>
      <c r="X9" s="13" t="s">
        <v>118</v>
      </c>
      <c r="Y9" s="13" t="s">
        <v>119</v>
      </c>
      <c r="Z9" s="13" t="s">
        <v>120</v>
      </c>
      <c r="AA9" s="13" t="s">
        <v>121</v>
      </c>
      <c r="AB9" s="13" t="s">
        <v>122</v>
      </c>
      <c r="AC9" s="13" t="s">
        <v>123</v>
      </c>
      <c r="AD9" s="13" t="s">
        <v>124</v>
      </c>
      <c r="AE9" s="13" t="s">
        <v>125</v>
      </c>
      <c r="AF9" s="13" t="s">
        <v>135</v>
      </c>
      <c r="AG9" s="25" t="str">
        <f aca="false">B9&amp;"|"&amp;C9&amp;"|"&amp;G9&amp;"|"&amp;E9</f>
        <v>Pakistan|Business Administration|Pakistani national|NUST Islamabad</v>
      </c>
      <c r="AH9" s="25" t="str">
        <f aca="false">B9&amp;"|"&amp;C9&amp;"|"&amp;G9</f>
        <v>Pakistan|Business Administration|Pakistani national</v>
      </c>
    </row>
    <row r="10" customFormat="false" ht="15" hidden="false" customHeight="false" outlineLevel="0" collapsed="false">
      <c r="A10" s="13" t="s">
        <v>136</v>
      </c>
      <c r="B10" s="13" t="s">
        <v>14</v>
      </c>
      <c r="C10" s="13" t="s">
        <v>46</v>
      </c>
      <c r="D10" s="13" t="s">
        <v>134</v>
      </c>
      <c r="E10" s="13" t="s">
        <v>113</v>
      </c>
      <c r="F10" s="13" t="s">
        <v>114</v>
      </c>
      <c r="G10" s="13" t="s">
        <v>115</v>
      </c>
      <c r="H10" s="13" t="s">
        <v>116</v>
      </c>
      <c r="I10" s="13" t="s">
        <v>117</v>
      </c>
      <c r="J10" s="23" t="n">
        <v>2026</v>
      </c>
      <c r="K10" s="23" t="n">
        <v>4</v>
      </c>
      <c r="L10" s="24" t="n">
        <v>605900</v>
      </c>
      <c r="M10" s="24"/>
      <c r="N10" s="24"/>
      <c r="O10" s="24"/>
      <c r="P10" s="24"/>
      <c r="Q10" s="24"/>
      <c r="R10" s="24"/>
      <c r="S10" s="24" t="n">
        <v>25000</v>
      </c>
      <c r="T10" s="24" t="n">
        <v>35000</v>
      </c>
      <c r="U10" s="24" t="n">
        <v>0</v>
      </c>
      <c r="V10" s="24" t="n">
        <v>0</v>
      </c>
      <c r="W10" s="24" t="n">
        <v>0</v>
      </c>
      <c r="X10" s="13" t="s">
        <v>118</v>
      </c>
      <c r="Y10" s="13" t="s">
        <v>119</v>
      </c>
      <c r="Z10" s="13" t="s">
        <v>120</v>
      </c>
      <c r="AA10" s="13" t="s">
        <v>121</v>
      </c>
      <c r="AB10" s="13" t="s">
        <v>122</v>
      </c>
      <c r="AC10" s="13" t="s">
        <v>123</v>
      </c>
      <c r="AD10" s="13" t="s">
        <v>124</v>
      </c>
      <c r="AE10" s="13" t="s">
        <v>125</v>
      </c>
      <c r="AF10" s="13" t="s">
        <v>135</v>
      </c>
      <c r="AG10" s="25" t="str">
        <f aca="false">B10&amp;"|"&amp;C10&amp;"|"&amp;G10&amp;"|"&amp;E10</f>
        <v>Pakistan|Accounting and Finance|Pakistani national|NUST Islamabad</v>
      </c>
      <c r="AH10" s="25" t="str">
        <f aca="false">B10&amp;"|"&amp;C10&amp;"|"&amp;G10</f>
        <v>Pakistan|Accounting and Finance|Pakistani national</v>
      </c>
    </row>
    <row r="11" customFormat="false" ht="15" hidden="false" customHeight="false" outlineLevel="0" collapsed="false">
      <c r="A11" s="13" t="s">
        <v>137</v>
      </c>
      <c r="B11" s="13" t="s">
        <v>14</v>
      </c>
      <c r="C11" s="13" t="s">
        <v>111</v>
      </c>
      <c r="D11" s="13"/>
      <c r="E11" s="13" t="s">
        <v>113</v>
      </c>
      <c r="F11" s="13" t="s">
        <v>114</v>
      </c>
      <c r="G11" s="13" t="s">
        <v>138</v>
      </c>
      <c r="H11" s="13" t="s">
        <v>116</v>
      </c>
      <c r="I11" s="13" t="s">
        <v>117</v>
      </c>
      <c r="J11" s="23" t="n">
        <v>2026</v>
      </c>
      <c r="K11" s="23" t="n">
        <v>4</v>
      </c>
      <c r="L11" s="24" t="n">
        <v>5400</v>
      </c>
      <c r="M11" s="24"/>
      <c r="N11" s="24"/>
      <c r="O11" s="24"/>
      <c r="P11" s="24"/>
      <c r="Q11" s="24"/>
      <c r="R11" s="24"/>
      <c r="S11" s="24" t="n">
        <v>120</v>
      </c>
      <c r="T11" s="24" t="n">
        <v>600</v>
      </c>
      <c r="U11" s="24" t="n">
        <v>0</v>
      </c>
      <c r="V11" s="24" t="n">
        <v>0</v>
      </c>
      <c r="W11" s="24" t="n">
        <v>0</v>
      </c>
      <c r="X11" s="13" t="s">
        <v>139</v>
      </c>
      <c r="Y11" s="13" t="s">
        <v>119</v>
      </c>
      <c r="Z11" s="13" t="s">
        <v>120</v>
      </c>
      <c r="AA11" s="13" t="s">
        <v>121</v>
      </c>
      <c r="AB11" s="13" t="s">
        <v>122</v>
      </c>
      <c r="AC11" s="13" t="s">
        <v>123</v>
      </c>
      <c r="AD11" s="13" t="s">
        <v>124</v>
      </c>
      <c r="AE11" s="13" t="s">
        <v>125</v>
      </c>
      <c r="AF11" s="13" t="s">
        <v>140</v>
      </c>
      <c r="AG11" s="25" t="str">
        <f aca="false">B11&amp;"|"&amp;C11&amp;"|"&amp;G11&amp;"|"&amp;E11</f>
        <v>Pakistan|Mechanical Engineering|International|NUST Islamabad</v>
      </c>
      <c r="AH11" s="25" t="str">
        <f aca="false">B11&amp;"|"&amp;C11&amp;"|"&amp;G11</f>
        <v>Pakistan|Mechanical Engineering|International</v>
      </c>
    </row>
    <row r="12" customFormat="false" ht="15" hidden="false" customHeight="false" outlineLevel="0" collapsed="false">
      <c r="A12" s="13" t="s">
        <v>141</v>
      </c>
      <c r="B12" s="13" t="s">
        <v>14</v>
      </c>
      <c r="C12" s="13" t="s">
        <v>43</v>
      </c>
      <c r="D12" s="13"/>
      <c r="E12" s="13" t="s">
        <v>113</v>
      </c>
      <c r="F12" s="13" t="s">
        <v>114</v>
      </c>
      <c r="G12" s="13" t="s">
        <v>138</v>
      </c>
      <c r="H12" s="13" t="s">
        <v>116</v>
      </c>
      <c r="I12" s="13" t="s">
        <v>117</v>
      </c>
      <c r="J12" s="23" t="n">
        <v>2026</v>
      </c>
      <c r="K12" s="23" t="n">
        <v>4</v>
      </c>
      <c r="L12" s="24" t="n">
        <v>5400</v>
      </c>
      <c r="M12" s="24"/>
      <c r="N12" s="24"/>
      <c r="O12" s="24"/>
      <c r="P12" s="24"/>
      <c r="Q12" s="24"/>
      <c r="R12" s="24"/>
      <c r="S12" s="24" t="n">
        <v>120</v>
      </c>
      <c r="T12" s="24" t="n">
        <v>600</v>
      </c>
      <c r="U12" s="24" t="n">
        <v>0</v>
      </c>
      <c r="V12" s="24" t="n">
        <v>0</v>
      </c>
      <c r="W12" s="24" t="n">
        <v>0</v>
      </c>
      <c r="X12" s="13" t="s">
        <v>139</v>
      </c>
      <c r="Y12" s="13" t="s">
        <v>119</v>
      </c>
      <c r="Z12" s="13" t="s">
        <v>120</v>
      </c>
      <c r="AA12" s="13" t="s">
        <v>121</v>
      </c>
      <c r="AB12" s="13" t="s">
        <v>122</v>
      </c>
      <c r="AC12" s="13" t="s">
        <v>123</v>
      </c>
      <c r="AD12" s="13" t="s">
        <v>124</v>
      </c>
      <c r="AE12" s="13" t="s">
        <v>125</v>
      </c>
      <c r="AF12" s="13" t="s">
        <v>140</v>
      </c>
      <c r="AG12" s="25" t="str">
        <f aca="false">B12&amp;"|"&amp;C12&amp;"|"&amp;G12&amp;"|"&amp;E12</f>
        <v>Pakistan|Computer Science|International|NUST Islamabad</v>
      </c>
      <c r="AH12" s="25" t="str">
        <f aca="false">B12&amp;"|"&amp;C12&amp;"|"&amp;G12</f>
        <v>Pakistan|Computer Science|International</v>
      </c>
    </row>
    <row r="13" customFormat="false" ht="15" hidden="false" customHeight="false" outlineLevel="0" collapsed="false">
      <c r="A13" s="13" t="s">
        <v>142</v>
      </c>
      <c r="B13" s="13" t="s">
        <v>14</v>
      </c>
      <c r="C13" s="13" t="s">
        <v>45</v>
      </c>
      <c r="D13" s="13"/>
      <c r="E13" s="13" t="s">
        <v>113</v>
      </c>
      <c r="F13" s="13" t="s">
        <v>114</v>
      </c>
      <c r="G13" s="13" t="s">
        <v>138</v>
      </c>
      <c r="H13" s="13" t="s">
        <v>116</v>
      </c>
      <c r="I13" s="13" t="s">
        <v>117</v>
      </c>
      <c r="J13" s="23" t="n">
        <v>2026</v>
      </c>
      <c r="K13" s="23" t="n">
        <v>4</v>
      </c>
      <c r="L13" s="24" t="n">
        <v>5400</v>
      </c>
      <c r="M13" s="24"/>
      <c r="N13" s="24"/>
      <c r="O13" s="24"/>
      <c r="P13" s="24"/>
      <c r="Q13" s="24"/>
      <c r="R13" s="24"/>
      <c r="S13" s="24" t="n">
        <v>170</v>
      </c>
      <c r="T13" s="24" t="n">
        <v>600</v>
      </c>
      <c r="U13" s="24" t="n">
        <v>0</v>
      </c>
      <c r="V13" s="24" t="n">
        <v>0</v>
      </c>
      <c r="W13" s="24" t="n">
        <v>0</v>
      </c>
      <c r="X13" s="13" t="s">
        <v>139</v>
      </c>
      <c r="Y13" s="13" t="s">
        <v>119</v>
      </c>
      <c r="Z13" s="13" t="s">
        <v>120</v>
      </c>
      <c r="AA13" s="13" t="s">
        <v>121</v>
      </c>
      <c r="AB13" s="13" t="s">
        <v>122</v>
      </c>
      <c r="AC13" s="13" t="s">
        <v>123</v>
      </c>
      <c r="AD13" s="13" t="s">
        <v>124</v>
      </c>
      <c r="AE13" s="13" t="s">
        <v>125</v>
      </c>
      <c r="AF13" s="13" t="s">
        <v>143</v>
      </c>
      <c r="AG13" s="25" t="str">
        <f aca="false">B13&amp;"|"&amp;C13&amp;"|"&amp;G13&amp;"|"&amp;E13</f>
        <v>Pakistan|Business Administration|International|NUST Islamabad</v>
      </c>
      <c r="AH13" s="25" t="str">
        <f aca="false">B13&amp;"|"&amp;C13&amp;"|"&amp;G13</f>
        <v>Pakistan|Business Administration|International</v>
      </c>
    </row>
    <row r="14" customFormat="false" ht="15" hidden="false" customHeight="false" outlineLevel="0" collapsed="false">
      <c r="A14" s="13" t="s">
        <v>144</v>
      </c>
      <c r="B14" s="13" t="s">
        <v>14</v>
      </c>
      <c r="C14" s="13" t="s">
        <v>46</v>
      </c>
      <c r="D14" s="13"/>
      <c r="E14" s="13" t="s">
        <v>113</v>
      </c>
      <c r="F14" s="13" t="s">
        <v>114</v>
      </c>
      <c r="G14" s="13" t="s">
        <v>138</v>
      </c>
      <c r="H14" s="13" t="s">
        <v>116</v>
      </c>
      <c r="I14" s="13" t="s">
        <v>117</v>
      </c>
      <c r="J14" s="23" t="n">
        <v>2026</v>
      </c>
      <c r="K14" s="23" t="n">
        <v>4</v>
      </c>
      <c r="L14" s="24" t="n">
        <v>5400</v>
      </c>
      <c r="M14" s="24"/>
      <c r="N14" s="24"/>
      <c r="O14" s="24"/>
      <c r="P14" s="24"/>
      <c r="Q14" s="24"/>
      <c r="R14" s="24"/>
      <c r="S14" s="24" t="n">
        <v>170</v>
      </c>
      <c r="T14" s="24" t="n">
        <v>600</v>
      </c>
      <c r="U14" s="24" t="n">
        <v>0</v>
      </c>
      <c r="V14" s="24" t="n">
        <v>0</v>
      </c>
      <c r="W14" s="24" t="n">
        <v>0</v>
      </c>
      <c r="X14" s="13" t="s">
        <v>139</v>
      </c>
      <c r="Y14" s="13" t="s">
        <v>119</v>
      </c>
      <c r="Z14" s="13" t="s">
        <v>120</v>
      </c>
      <c r="AA14" s="13" t="s">
        <v>121</v>
      </c>
      <c r="AB14" s="13" t="s">
        <v>122</v>
      </c>
      <c r="AC14" s="13" t="s">
        <v>123</v>
      </c>
      <c r="AD14" s="13" t="s">
        <v>124</v>
      </c>
      <c r="AE14" s="13" t="s">
        <v>125</v>
      </c>
      <c r="AF14" s="13" t="s">
        <v>143</v>
      </c>
      <c r="AG14" s="25" t="str">
        <f aca="false">B14&amp;"|"&amp;C14&amp;"|"&amp;G14&amp;"|"&amp;E14</f>
        <v>Pakistan|Accounting and Finance|International|NUST Islamabad</v>
      </c>
      <c r="AH14" s="25" t="str">
        <f aca="false">B14&amp;"|"&amp;C14&amp;"|"&amp;G14</f>
        <v>Pakistan|Accounting and Finance|International</v>
      </c>
    </row>
    <row r="15" customFormat="false" ht="15" hidden="false" customHeight="false" outlineLevel="0" collapsed="false">
      <c r="A15" s="13" t="s">
        <v>145</v>
      </c>
      <c r="B15" s="13" t="s">
        <v>14</v>
      </c>
      <c r="C15" s="13" t="s">
        <v>43</v>
      </c>
      <c r="D15" s="13" t="s">
        <v>146</v>
      </c>
      <c r="E15" s="13" t="s">
        <v>147</v>
      </c>
      <c r="F15" s="13" t="s">
        <v>148</v>
      </c>
      <c r="G15" s="13" t="s">
        <v>115</v>
      </c>
      <c r="H15" s="13" t="s">
        <v>116</v>
      </c>
      <c r="I15" s="13" t="s">
        <v>117</v>
      </c>
      <c r="J15" s="23" t="n">
        <v>2026</v>
      </c>
      <c r="K15" s="23" t="n">
        <v>4</v>
      </c>
      <c r="L15" s="24" t="n">
        <v>1557200</v>
      </c>
      <c r="M15" s="24"/>
      <c r="N15" s="24"/>
      <c r="O15" s="24"/>
      <c r="P15" s="24"/>
      <c r="Q15" s="24"/>
      <c r="R15" s="24"/>
      <c r="S15" s="24" t="n">
        <v>381400</v>
      </c>
      <c r="T15" s="24" t="n">
        <v>176600</v>
      </c>
      <c r="U15" s="24" t="n">
        <v>0</v>
      </c>
      <c r="V15" s="24" t="n">
        <v>0</v>
      </c>
      <c r="W15" s="24" t="n">
        <v>0</v>
      </c>
      <c r="X15" s="13" t="s">
        <v>118</v>
      </c>
      <c r="Y15" s="13" t="s">
        <v>119</v>
      </c>
      <c r="Z15" s="13" t="s">
        <v>120</v>
      </c>
      <c r="AA15" s="13" t="s">
        <v>149</v>
      </c>
      <c r="AB15" s="13" t="s">
        <v>150</v>
      </c>
      <c r="AC15" s="13" t="s">
        <v>123</v>
      </c>
      <c r="AD15" s="13" t="s">
        <v>124</v>
      </c>
      <c r="AE15" s="13" t="s">
        <v>151</v>
      </c>
      <c r="AF15" s="13" t="s">
        <v>152</v>
      </c>
      <c r="AG15" s="25" t="str">
        <f aca="false">B15&amp;"|"&amp;C15&amp;"|"&amp;G15&amp;"|"&amp;E15</f>
        <v>Pakistan|Computer Science|Pakistani national|LUMS Lahore</v>
      </c>
      <c r="AH15" s="25" t="str">
        <f aca="false">B15&amp;"|"&amp;C15&amp;"|"&amp;G15</f>
        <v>Pakistan|Computer Science|Pakistani national</v>
      </c>
    </row>
    <row r="16" customFormat="false" ht="15" hidden="false" customHeight="false" outlineLevel="0" collapsed="false">
      <c r="A16" s="13" t="s">
        <v>153</v>
      </c>
      <c r="B16" s="13" t="s">
        <v>14</v>
      </c>
      <c r="C16" s="13" t="s">
        <v>128</v>
      </c>
      <c r="D16" s="13" t="s">
        <v>154</v>
      </c>
      <c r="E16" s="13" t="s">
        <v>147</v>
      </c>
      <c r="F16" s="13" t="s">
        <v>148</v>
      </c>
      <c r="G16" s="13" t="s">
        <v>115</v>
      </c>
      <c r="H16" s="13" t="s">
        <v>116</v>
      </c>
      <c r="I16" s="13" t="s">
        <v>117</v>
      </c>
      <c r="J16" s="23" t="n">
        <v>2026</v>
      </c>
      <c r="K16" s="23" t="n">
        <v>4</v>
      </c>
      <c r="L16" s="24" t="n">
        <v>1557200</v>
      </c>
      <c r="M16" s="24"/>
      <c r="N16" s="24"/>
      <c r="O16" s="24"/>
      <c r="P16" s="24"/>
      <c r="Q16" s="24"/>
      <c r="R16" s="24"/>
      <c r="S16" s="24" t="n">
        <v>381400</v>
      </c>
      <c r="T16" s="24" t="n">
        <v>176600</v>
      </c>
      <c r="U16" s="24" t="n">
        <v>0</v>
      </c>
      <c r="V16" s="24" t="n">
        <v>0</v>
      </c>
      <c r="W16" s="24" t="n">
        <v>0</v>
      </c>
      <c r="X16" s="13" t="s">
        <v>118</v>
      </c>
      <c r="Y16" s="13" t="s">
        <v>119</v>
      </c>
      <c r="Z16" s="13" t="s">
        <v>120</v>
      </c>
      <c r="AA16" s="13" t="s">
        <v>155</v>
      </c>
      <c r="AB16" s="13" t="s">
        <v>150</v>
      </c>
      <c r="AC16" s="13" t="s">
        <v>123</v>
      </c>
      <c r="AD16" s="13" t="s">
        <v>124</v>
      </c>
      <c r="AE16" s="13" t="s">
        <v>151</v>
      </c>
      <c r="AF16" s="13" t="s">
        <v>152</v>
      </c>
      <c r="AG16" s="25" t="str">
        <f aca="false">B16&amp;"|"&amp;C16&amp;"|"&amp;G16&amp;"|"&amp;E16</f>
        <v>Pakistan|Electrical Engineering|Pakistani national|LUMS Lahore</v>
      </c>
      <c r="AH16" s="25" t="str">
        <f aca="false">B16&amp;"|"&amp;C16&amp;"|"&amp;G16</f>
        <v>Pakistan|Electrical Engineering|Pakistani national</v>
      </c>
    </row>
    <row r="17" customFormat="false" ht="15" hidden="false" customHeight="false" outlineLevel="0" collapsed="false">
      <c r="A17" s="13" t="s">
        <v>156</v>
      </c>
      <c r="B17" s="13" t="s">
        <v>14</v>
      </c>
      <c r="C17" s="13" t="s">
        <v>46</v>
      </c>
      <c r="D17" s="13" t="s">
        <v>157</v>
      </c>
      <c r="E17" s="13" t="s">
        <v>147</v>
      </c>
      <c r="F17" s="13" t="s">
        <v>148</v>
      </c>
      <c r="G17" s="13" t="s">
        <v>115</v>
      </c>
      <c r="H17" s="13" t="s">
        <v>116</v>
      </c>
      <c r="I17" s="13" t="s">
        <v>117</v>
      </c>
      <c r="J17" s="23" t="n">
        <v>2026</v>
      </c>
      <c r="K17" s="23" t="n">
        <v>4</v>
      </c>
      <c r="L17" s="24" t="n">
        <v>1511400</v>
      </c>
      <c r="M17" s="24"/>
      <c r="N17" s="24"/>
      <c r="O17" s="24"/>
      <c r="P17" s="24"/>
      <c r="Q17" s="24"/>
      <c r="R17" s="24"/>
      <c r="S17" s="24" t="n">
        <v>112200</v>
      </c>
      <c r="T17" s="24" t="n">
        <v>176600</v>
      </c>
      <c r="U17" s="24" t="n">
        <v>0</v>
      </c>
      <c r="V17" s="24" t="n">
        <v>0</v>
      </c>
      <c r="W17" s="24" t="n">
        <v>0</v>
      </c>
      <c r="X17" s="13" t="s">
        <v>118</v>
      </c>
      <c r="Y17" s="13" t="s">
        <v>119</v>
      </c>
      <c r="Z17" s="13" t="s">
        <v>120</v>
      </c>
      <c r="AA17" s="13" t="s">
        <v>158</v>
      </c>
      <c r="AB17" s="13" t="s">
        <v>150</v>
      </c>
      <c r="AC17" s="13" t="s">
        <v>123</v>
      </c>
      <c r="AD17" s="13" t="s">
        <v>124</v>
      </c>
      <c r="AE17" s="13" t="s">
        <v>125</v>
      </c>
      <c r="AF17" s="13" t="s">
        <v>159</v>
      </c>
      <c r="AG17" s="25" t="str">
        <f aca="false">B17&amp;"|"&amp;C17&amp;"|"&amp;G17&amp;"|"&amp;E17</f>
        <v>Pakistan|Accounting and Finance|Pakistani national|LUMS Lahore</v>
      </c>
      <c r="AH17" s="25" t="str">
        <f aca="false">B17&amp;"|"&amp;C17&amp;"|"&amp;G17</f>
        <v>Pakistan|Accounting and Finance|Pakistani national</v>
      </c>
    </row>
    <row r="18" customFormat="false" ht="15" hidden="false" customHeight="false" outlineLevel="0" collapsed="false">
      <c r="A18" s="13" t="s">
        <v>160</v>
      </c>
      <c r="B18" s="13" t="s">
        <v>14</v>
      </c>
      <c r="C18" s="13" t="s">
        <v>45</v>
      </c>
      <c r="D18" s="13" t="s">
        <v>161</v>
      </c>
      <c r="E18" s="13" t="s">
        <v>147</v>
      </c>
      <c r="F18" s="13" t="s">
        <v>148</v>
      </c>
      <c r="G18" s="13" t="s">
        <v>115</v>
      </c>
      <c r="H18" s="13" t="s">
        <v>116</v>
      </c>
      <c r="I18" s="13" t="s">
        <v>117</v>
      </c>
      <c r="J18" s="23" t="n">
        <v>2026</v>
      </c>
      <c r="K18" s="23" t="n">
        <v>4</v>
      </c>
      <c r="L18" s="24" t="n">
        <v>1511400</v>
      </c>
      <c r="M18" s="24"/>
      <c r="N18" s="24"/>
      <c r="O18" s="24"/>
      <c r="P18" s="24"/>
      <c r="Q18" s="24"/>
      <c r="R18" s="24"/>
      <c r="S18" s="24" t="n">
        <v>112200</v>
      </c>
      <c r="T18" s="24" t="n">
        <v>176600</v>
      </c>
      <c r="U18" s="24" t="n">
        <v>0</v>
      </c>
      <c r="V18" s="24" t="n">
        <v>0</v>
      </c>
      <c r="W18" s="24" t="n">
        <v>0</v>
      </c>
      <c r="X18" s="13" t="s">
        <v>118</v>
      </c>
      <c r="Y18" s="13" t="s">
        <v>119</v>
      </c>
      <c r="Z18" s="13" t="s">
        <v>120</v>
      </c>
      <c r="AA18" s="13" t="s">
        <v>162</v>
      </c>
      <c r="AB18" s="13" t="s">
        <v>150</v>
      </c>
      <c r="AC18" s="13" t="s">
        <v>123</v>
      </c>
      <c r="AD18" s="13" t="s">
        <v>124</v>
      </c>
      <c r="AE18" s="13" t="s">
        <v>125</v>
      </c>
      <c r="AF18" s="13" t="s">
        <v>159</v>
      </c>
      <c r="AG18" s="25" t="str">
        <f aca="false">B18&amp;"|"&amp;C18&amp;"|"&amp;G18&amp;"|"&amp;E18</f>
        <v>Pakistan|Business Administration|Pakistani national|LUMS Lahore</v>
      </c>
      <c r="AH18" s="25" t="str">
        <f aca="false">B18&amp;"|"&amp;C18&amp;"|"&amp;G18</f>
        <v>Pakistan|Business Administration|Pakistani national</v>
      </c>
    </row>
    <row r="19" customFormat="false" ht="15" hidden="false" customHeight="false" outlineLevel="0" collapsed="false">
      <c r="A19" s="13" t="s">
        <v>163</v>
      </c>
      <c r="B19" s="13" t="s">
        <v>14</v>
      </c>
      <c r="C19" s="13" t="s">
        <v>45</v>
      </c>
      <c r="D19" s="13"/>
      <c r="E19" s="13" t="s">
        <v>164</v>
      </c>
      <c r="F19" s="13" t="s">
        <v>114</v>
      </c>
      <c r="G19" s="13" t="s">
        <v>115</v>
      </c>
      <c r="H19" s="13" t="s">
        <v>116</v>
      </c>
      <c r="I19" s="13" t="s">
        <v>117</v>
      </c>
      <c r="J19" s="23" t="n">
        <v>2026</v>
      </c>
      <c r="K19" s="23" t="n">
        <v>4</v>
      </c>
      <c r="L19" s="24" t="n">
        <v>1039500</v>
      </c>
      <c r="M19" s="24"/>
      <c r="N19" s="24"/>
      <c r="O19" s="24"/>
      <c r="P19" s="24"/>
      <c r="Q19" s="24"/>
      <c r="R19" s="24"/>
      <c r="S19" s="24" t="n">
        <v>14000</v>
      </c>
      <c r="T19" s="24" t="n">
        <v>155000</v>
      </c>
      <c r="U19" s="24" t="n">
        <v>0</v>
      </c>
      <c r="V19" s="24" t="n">
        <v>0</v>
      </c>
      <c r="W19" s="24" t="n">
        <v>0</v>
      </c>
      <c r="X19" s="13" t="s">
        <v>118</v>
      </c>
      <c r="Y19" s="13" t="s">
        <v>119</v>
      </c>
      <c r="Z19" s="13" t="s">
        <v>120</v>
      </c>
      <c r="AA19" s="13" t="s">
        <v>165</v>
      </c>
      <c r="AB19" s="13" t="s">
        <v>166</v>
      </c>
      <c r="AC19" s="13" t="s">
        <v>123</v>
      </c>
      <c r="AD19" s="13" t="s">
        <v>167</v>
      </c>
      <c r="AE19" s="13" t="s">
        <v>168</v>
      </c>
      <c r="AF19" s="13" t="s">
        <v>169</v>
      </c>
      <c r="AG19" s="25" t="str">
        <f aca="false">B19&amp;"|"&amp;C19&amp;"|"&amp;G19&amp;"|"&amp;E19</f>
        <v>Pakistan|Business Administration|Pakistani national|IBA Karachi</v>
      </c>
      <c r="AH19" s="25" t="str">
        <f aca="false">B19&amp;"|"&amp;C19&amp;"|"&amp;G19</f>
        <v>Pakistan|Business Administration|Pakistani national</v>
      </c>
    </row>
    <row r="20" customFormat="false" ht="15" hidden="false" customHeight="false" outlineLevel="0" collapsed="false">
      <c r="A20" s="13" t="s">
        <v>170</v>
      </c>
      <c r="B20" s="13" t="s">
        <v>14</v>
      </c>
      <c r="C20" s="13" t="s">
        <v>46</v>
      </c>
      <c r="D20" s="13"/>
      <c r="E20" s="13" t="s">
        <v>164</v>
      </c>
      <c r="F20" s="13" t="s">
        <v>114</v>
      </c>
      <c r="G20" s="13" t="s">
        <v>115</v>
      </c>
      <c r="H20" s="13" t="s">
        <v>116</v>
      </c>
      <c r="I20" s="13" t="s">
        <v>117</v>
      </c>
      <c r="J20" s="23" t="n">
        <v>2026</v>
      </c>
      <c r="K20" s="23" t="n">
        <v>4</v>
      </c>
      <c r="L20" s="24" t="n">
        <v>1039500</v>
      </c>
      <c r="M20" s="24"/>
      <c r="N20" s="24"/>
      <c r="O20" s="24"/>
      <c r="P20" s="24"/>
      <c r="Q20" s="24"/>
      <c r="R20" s="24"/>
      <c r="S20" s="24" t="n">
        <v>0</v>
      </c>
      <c r="T20" s="24" t="n">
        <v>155000</v>
      </c>
      <c r="U20" s="24" t="n">
        <v>0</v>
      </c>
      <c r="V20" s="24" t="n">
        <v>0</v>
      </c>
      <c r="W20" s="24" t="n">
        <v>0</v>
      </c>
      <c r="X20" s="13" t="s">
        <v>118</v>
      </c>
      <c r="Y20" s="13" t="s">
        <v>119</v>
      </c>
      <c r="Z20" s="13" t="s">
        <v>120</v>
      </c>
      <c r="AA20" s="13" t="s">
        <v>165</v>
      </c>
      <c r="AB20" s="13" t="s">
        <v>166</v>
      </c>
      <c r="AC20" s="13" t="s">
        <v>123</v>
      </c>
      <c r="AD20" s="13" t="s">
        <v>167</v>
      </c>
      <c r="AE20" s="13" t="s">
        <v>168</v>
      </c>
      <c r="AF20" s="13" t="s">
        <v>171</v>
      </c>
      <c r="AG20" s="25" t="str">
        <f aca="false">B20&amp;"|"&amp;C20&amp;"|"&amp;G20&amp;"|"&amp;E20</f>
        <v>Pakistan|Accounting and Finance|Pakistani national|IBA Karachi</v>
      </c>
      <c r="AH20" s="25" t="str">
        <f aca="false">B20&amp;"|"&amp;C20&amp;"|"&amp;G20</f>
        <v>Pakistan|Accounting and Finance|Pakistani national</v>
      </c>
    </row>
    <row r="21" customFormat="false" ht="15" hidden="false" customHeight="false" outlineLevel="0" collapsed="false">
      <c r="A21" s="13" t="s">
        <v>172</v>
      </c>
      <c r="B21" s="13" t="s">
        <v>14</v>
      </c>
      <c r="C21" s="13" t="s">
        <v>43</v>
      </c>
      <c r="D21" s="13"/>
      <c r="E21" s="13" t="s">
        <v>164</v>
      </c>
      <c r="F21" s="13" t="s">
        <v>114</v>
      </c>
      <c r="G21" s="13" t="s">
        <v>115</v>
      </c>
      <c r="H21" s="13" t="s">
        <v>116</v>
      </c>
      <c r="I21" s="13" t="s">
        <v>117</v>
      </c>
      <c r="J21" s="23" t="n">
        <v>2026</v>
      </c>
      <c r="K21" s="23" t="n">
        <v>4</v>
      </c>
      <c r="L21" s="24" t="n">
        <v>1039500</v>
      </c>
      <c r="M21" s="24"/>
      <c r="N21" s="24"/>
      <c r="O21" s="24"/>
      <c r="P21" s="24"/>
      <c r="Q21" s="24"/>
      <c r="R21" s="24"/>
      <c r="S21" s="24" t="n">
        <v>0</v>
      </c>
      <c r="T21" s="24" t="n">
        <v>155000</v>
      </c>
      <c r="U21" s="24" t="n">
        <v>0</v>
      </c>
      <c r="V21" s="24" t="n">
        <v>0</v>
      </c>
      <c r="W21" s="24" t="n">
        <v>0</v>
      </c>
      <c r="X21" s="13" t="s">
        <v>118</v>
      </c>
      <c r="Y21" s="13" t="s">
        <v>119</v>
      </c>
      <c r="Z21" s="13" t="s">
        <v>120</v>
      </c>
      <c r="AA21" s="13" t="s">
        <v>165</v>
      </c>
      <c r="AB21" s="13" t="s">
        <v>166</v>
      </c>
      <c r="AC21" s="13" t="s">
        <v>123</v>
      </c>
      <c r="AD21" s="13" t="s">
        <v>167</v>
      </c>
      <c r="AE21" s="13" t="s">
        <v>168</v>
      </c>
      <c r="AF21" s="13" t="s">
        <v>171</v>
      </c>
      <c r="AG21" s="25" t="str">
        <f aca="false">B21&amp;"|"&amp;C21&amp;"|"&amp;G21&amp;"|"&amp;E21</f>
        <v>Pakistan|Computer Science|Pakistani national|IBA Karachi</v>
      </c>
      <c r="AH21" s="25" t="str">
        <f aca="false">B21&amp;"|"&amp;C21&amp;"|"&amp;G21</f>
        <v>Pakistan|Computer Science|Pakistani national</v>
      </c>
    </row>
    <row r="22" customFormat="false" ht="15" hidden="false" customHeight="false" outlineLevel="0" collapsed="false">
      <c r="A22" s="13" t="s">
        <v>173</v>
      </c>
      <c r="B22" s="13" t="s">
        <v>14</v>
      </c>
      <c r="C22" s="13" t="s">
        <v>44</v>
      </c>
      <c r="D22" s="13" t="s">
        <v>174</v>
      </c>
      <c r="E22" s="13" t="s">
        <v>175</v>
      </c>
      <c r="F22" s="13" t="s">
        <v>148</v>
      </c>
      <c r="G22" s="13" t="s">
        <v>115</v>
      </c>
      <c r="H22" s="13" t="s">
        <v>116</v>
      </c>
      <c r="I22" s="13" t="s">
        <v>176</v>
      </c>
      <c r="J22" s="23" t="n">
        <v>2027</v>
      </c>
      <c r="K22" s="23" t="n">
        <v>5</v>
      </c>
      <c r="L22" s="24" t="n">
        <v>1704000</v>
      </c>
      <c r="M22" s="24" t="n">
        <v>540000</v>
      </c>
      <c r="N22" s="24"/>
      <c r="O22" s="24"/>
      <c r="P22" s="24"/>
      <c r="Q22" s="24"/>
      <c r="R22" s="24"/>
      <c r="S22" s="24" t="n">
        <v>1909000</v>
      </c>
      <c r="T22" s="24" t="n">
        <v>289000</v>
      </c>
      <c r="U22" s="24" t="n">
        <v>0</v>
      </c>
      <c r="V22" s="24" t="n">
        <v>0</v>
      </c>
      <c r="W22" s="24" t="n">
        <v>0</v>
      </c>
      <c r="X22" s="13" t="s">
        <v>118</v>
      </c>
      <c r="Y22" s="13" t="s">
        <v>120</v>
      </c>
      <c r="Z22" s="13" t="s">
        <v>120</v>
      </c>
      <c r="AA22" s="13" t="s">
        <v>177</v>
      </c>
      <c r="AB22" s="13" t="s">
        <v>178</v>
      </c>
      <c r="AC22" s="13" t="s">
        <v>123</v>
      </c>
      <c r="AD22" s="13" t="s">
        <v>124</v>
      </c>
      <c r="AE22" s="13" t="s">
        <v>125</v>
      </c>
      <c r="AF22" s="13" t="s">
        <v>179</v>
      </c>
      <c r="AG22" s="25" t="str">
        <f aca="false">B22&amp;"|"&amp;C22&amp;"|"&amp;G22&amp;"|"&amp;E22</f>
        <v>Pakistan|Medicine — MBBS/MD|Pakistani national|Aga Khan University Karachi</v>
      </c>
      <c r="AH22" s="25" t="str">
        <f aca="false">B22&amp;"|"&amp;C22&amp;"|"&amp;G22</f>
        <v>Pakistan|Medicine — MBBS/MD|Pakistani national</v>
      </c>
    </row>
    <row r="23" customFormat="false" ht="15" hidden="false" customHeight="false" outlineLevel="0" collapsed="false">
      <c r="A23" s="13" t="s">
        <v>180</v>
      </c>
      <c r="B23" s="13" t="s">
        <v>14</v>
      </c>
      <c r="C23" s="13" t="s">
        <v>44</v>
      </c>
      <c r="D23" s="13" t="s">
        <v>174</v>
      </c>
      <c r="E23" s="13" t="s">
        <v>181</v>
      </c>
      <c r="F23" s="13" t="s">
        <v>114</v>
      </c>
      <c r="G23" s="13" t="s">
        <v>115</v>
      </c>
      <c r="H23" s="13" t="s">
        <v>116</v>
      </c>
      <c r="I23" s="13" t="s">
        <v>182</v>
      </c>
      <c r="J23" s="23" t="n">
        <v>2023</v>
      </c>
      <c r="K23" s="23" t="n">
        <v>5</v>
      </c>
      <c r="L23" s="24" t="n">
        <v>1500000</v>
      </c>
      <c r="M23" s="24"/>
      <c r="N23" s="24"/>
      <c r="O23" s="24"/>
      <c r="P23" s="24"/>
      <c r="Q23" s="24"/>
      <c r="R23" s="24"/>
      <c r="S23" s="24" t="n">
        <v>325000</v>
      </c>
      <c r="T23" s="24" t="n">
        <v>50000</v>
      </c>
      <c r="U23" s="24" t="n">
        <v>0</v>
      </c>
      <c r="V23" s="24" t="n">
        <v>0</v>
      </c>
      <c r="W23" s="24" t="n">
        <v>0</v>
      </c>
      <c r="X23" s="13" t="s">
        <v>118</v>
      </c>
      <c r="Y23" s="13" t="s">
        <v>119</v>
      </c>
      <c r="Z23" s="13" t="s">
        <v>119</v>
      </c>
      <c r="AA23" s="13" t="s">
        <v>183</v>
      </c>
      <c r="AB23" s="13" t="s">
        <v>184</v>
      </c>
      <c r="AC23" s="13" t="s">
        <v>123</v>
      </c>
      <c r="AD23" s="13" t="s">
        <v>185</v>
      </c>
      <c r="AE23" s="13" t="s">
        <v>186</v>
      </c>
      <c r="AF23" s="13" t="s">
        <v>187</v>
      </c>
      <c r="AG23" s="25" t="str">
        <f aca="false">B23&amp;"|"&amp;C23&amp;"|"&amp;G23&amp;"|"&amp;E23</f>
        <v>Pakistan|Medicine — MBBS/MD|Pakistani national|NUST School of Health Sciences</v>
      </c>
      <c r="AH23" s="25" t="str">
        <f aca="false">B23&amp;"|"&amp;C23&amp;"|"&amp;G23</f>
        <v>Pakistan|Medicine — MBBS/MD|Pakistani national</v>
      </c>
    </row>
    <row r="24" customFormat="false" ht="15" hidden="false" customHeight="false" outlineLevel="0" collapsed="false">
      <c r="A24" s="13" t="s">
        <v>188</v>
      </c>
      <c r="B24" s="13" t="s">
        <v>14</v>
      </c>
      <c r="C24" s="13" t="s">
        <v>44</v>
      </c>
      <c r="D24" s="13" t="s">
        <v>189</v>
      </c>
      <c r="E24" s="13" t="s">
        <v>190</v>
      </c>
      <c r="F24" s="13" t="s">
        <v>191</v>
      </c>
      <c r="G24" s="13" t="s">
        <v>115</v>
      </c>
      <c r="H24" s="13" t="s">
        <v>116</v>
      </c>
      <c r="I24" s="13" t="s">
        <v>192</v>
      </c>
      <c r="J24" s="23" t="n">
        <v>2025</v>
      </c>
      <c r="K24" s="23" t="n">
        <v>5</v>
      </c>
      <c r="L24" s="24" t="n">
        <v>1800000</v>
      </c>
      <c r="M24" s="24"/>
      <c r="N24" s="24"/>
      <c r="O24" s="24"/>
      <c r="P24" s="24"/>
      <c r="Q24" s="24"/>
      <c r="R24" s="24"/>
      <c r="S24" s="24" t="n">
        <v>0</v>
      </c>
      <c r="T24" s="24" t="n">
        <v>0</v>
      </c>
      <c r="U24" s="24" t="n">
        <v>0</v>
      </c>
      <c r="V24" s="24" t="n">
        <v>0</v>
      </c>
      <c r="W24" s="24" t="n">
        <v>0</v>
      </c>
      <c r="X24" s="13" t="s">
        <v>118</v>
      </c>
      <c r="Y24" s="13" t="s">
        <v>119</v>
      </c>
      <c r="Z24" s="13" t="s">
        <v>119</v>
      </c>
      <c r="AA24" s="13" t="s">
        <v>193</v>
      </c>
      <c r="AB24" s="13" t="s">
        <v>194</v>
      </c>
      <c r="AC24" s="13" t="s">
        <v>123</v>
      </c>
      <c r="AD24" s="13" t="s">
        <v>124</v>
      </c>
      <c r="AE24" s="13" t="s">
        <v>195</v>
      </c>
      <c r="AF24" s="13" t="s">
        <v>196</v>
      </c>
      <c r="AG24" s="25" t="str">
        <f aca="false">B24&amp;"|"&amp;C24&amp;"|"&amp;G24&amp;"|"&amp;E24</f>
        <v>Pakistan|Medicine — MBBS/MD|Pakistani national|PM&amp;DC cap – private medical colleges</v>
      </c>
      <c r="AH24" s="25" t="str">
        <f aca="false">B24&amp;"|"&amp;C24&amp;"|"&amp;G24</f>
        <v>Pakistan|Medicine — MBBS/MD|Pakistani national</v>
      </c>
    </row>
    <row r="25" customFormat="false" ht="15" hidden="false" customHeight="false" outlineLevel="0" collapsed="false">
      <c r="A25" s="13" t="s">
        <v>197</v>
      </c>
      <c r="B25" s="13" t="s">
        <v>198</v>
      </c>
      <c r="C25" s="13" t="s">
        <v>111</v>
      </c>
      <c r="D25" s="13" t="s">
        <v>199</v>
      </c>
      <c r="E25" s="13" t="s">
        <v>200</v>
      </c>
      <c r="F25" s="13" t="s">
        <v>114</v>
      </c>
      <c r="G25" s="13" t="s">
        <v>201</v>
      </c>
      <c r="H25" s="13" t="s">
        <v>116</v>
      </c>
      <c r="I25" s="13" t="s">
        <v>192</v>
      </c>
      <c r="J25" s="23" t="n">
        <v>2025</v>
      </c>
      <c r="K25" s="23" t="n">
        <v>4</v>
      </c>
      <c r="L25" s="24" t="n">
        <v>200000</v>
      </c>
      <c r="M25" s="24"/>
      <c r="N25" s="24"/>
      <c r="O25" s="24"/>
      <c r="P25" s="24"/>
      <c r="Q25" s="24"/>
      <c r="R25" s="24"/>
      <c r="S25" s="24" t="n">
        <v>17300</v>
      </c>
      <c r="T25" s="24" t="n">
        <v>0</v>
      </c>
      <c r="U25" s="24" t="n">
        <v>0</v>
      </c>
      <c r="V25" s="24" t="n">
        <v>0</v>
      </c>
      <c r="W25" s="24" t="n">
        <v>0</v>
      </c>
      <c r="X25" s="13" t="s">
        <v>202</v>
      </c>
      <c r="Y25" s="13" t="s">
        <v>119</v>
      </c>
      <c r="Z25" s="13" t="s">
        <v>120</v>
      </c>
      <c r="AA25" s="13" t="s">
        <v>203</v>
      </c>
      <c r="AB25" s="13" t="s">
        <v>204</v>
      </c>
      <c r="AC25" s="13" t="s">
        <v>123</v>
      </c>
      <c r="AD25" s="13" t="s">
        <v>124</v>
      </c>
      <c r="AE25" s="13" t="s">
        <v>125</v>
      </c>
      <c r="AF25" s="13" t="s">
        <v>205</v>
      </c>
      <c r="AG25" s="25" t="str">
        <f aca="false">B25&amp;"|"&amp;C25&amp;"|"&amp;G25&amp;"|"&amp;E25</f>
        <v>India|Mechanical Engineering|Indian national (general category)|IIT Bombay</v>
      </c>
      <c r="AH25" s="25" t="str">
        <f aca="false">B25&amp;"|"&amp;C25&amp;"|"&amp;G25</f>
        <v>India|Mechanical Engineering|Indian national (general category)</v>
      </c>
    </row>
    <row r="26" customFormat="false" ht="15" hidden="false" customHeight="false" outlineLevel="0" collapsed="false">
      <c r="A26" s="13" t="s">
        <v>206</v>
      </c>
      <c r="B26" s="13" t="s">
        <v>198</v>
      </c>
      <c r="C26" s="13" t="s">
        <v>43</v>
      </c>
      <c r="D26" s="13" t="s">
        <v>199</v>
      </c>
      <c r="E26" s="13" t="s">
        <v>200</v>
      </c>
      <c r="F26" s="13" t="s">
        <v>114</v>
      </c>
      <c r="G26" s="13" t="s">
        <v>201</v>
      </c>
      <c r="H26" s="13" t="s">
        <v>116</v>
      </c>
      <c r="I26" s="13" t="s">
        <v>192</v>
      </c>
      <c r="J26" s="23" t="n">
        <v>2025</v>
      </c>
      <c r="K26" s="23" t="n">
        <v>4</v>
      </c>
      <c r="L26" s="24" t="n">
        <v>200000</v>
      </c>
      <c r="M26" s="24"/>
      <c r="N26" s="24"/>
      <c r="O26" s="24"/>
      <c r="P26" s="24"/>
      <c r="Q26" s="24"/>
      <c r="R26" s="24"/>
      <c r="S26" s="24" t="n">
        <v>17300</v>
      </c>
      <c r="T26" s="24" t="n">
        <v>0</v>
      </c>
      <c r="U26" s="24" t="n">
        <v>0</v>
      </c>
      <c r="V26" s="24" t="n">
        <v>0</v>
      </c>
      <c r="W26" s="24" t="n">
        <v>0</v>
      </c>
      <c r="X26" s="13" t="s">
        <v>202</v>
      </c>
      <c r="Y26" s="13" t="s">
        <v>119</v>
      </c>
      <c r="Z26" s="13" t="s">
        <v>120</v>
      </c>
      <c r="AA26" s="13" t="s">
        <v>203</v>
      </c>
      <c r="AB26" s="13" t="s">
        <v>204</v>
      </c>
      <c r="AC26" s="13" t="s">
        <v>123</v>
      </c>
      <c r="AD26" s="13" t="s">
        <v>124</v>
      </c>
      <c r="AE26" s="13" t="s">
        <v>125</v>
      </c>
      <c r="AF26" s="13" t="s">
        <v>205</v>
      </c>
      <c r="AG26" s="25" t="str">
        <f aca="false">B26&amp;"|"&amp;C26&amp;"|"&amp;G26&amp;"|"&amp;E26</f>
        <v>India|Computer Science|Indian national (general category)|IIT Bombay</v>
      </c>
      <c r="AH26" s="25" t="str">
        <f aca="false">B26&amp;"|"&amp;C26&amp;"|"&amp;G26</f>
        <v>India|Computer Science|Indian national (general category)</v>
      </c>
    </row>
    <row r="27" customFormat="false" ht="15" hidden="false" customHeight="false" outlineLevel="0" collapsed="false">
      <c r="A27" s="13" t="s">
        <v>207</v>
      </c>
      <c r="B27" s="13" t="s">
        <v>198</v>
      </c>
      <c r="C27" s="13" t="s">
        <v>43</v>
      </c>
      <c r="D27" s="13" t="s">
        <v>208</v>
      </c>
      <c r="E27" s="13" t="s">
        <v>209</v>
      </c>
      <c r="F27" s="13" t="s">
        <v>210</v>
      </c>
      <c r="G27" s="13" t="s">
        <v>201</v>
      </c>
      <c r="H27" s="13" t="s">
        <v>116</v>
      </c>
      <c r="I27" s="13" t="s">
        <v>211</v>
      </c>
      <c r="J27" s="23" t="n">
        <v>2024</v>
      </c>
      <c r="K27" s="23" t="n">
        <v>4</v>
      </c>
      <c r="L27" s="24" t="n">
        <v>450000</v>
      </c>
      <c r="M27" s="24"/>
      <c r="N27" s="24"/>
      <c r="O27" s="24"/>
      <c r="P27" s="24"/>
      <c r="Q27" s="24"/>
      <c r="R27" s="24"/>
      <c r="S27" s="24" t="n">
        <v>0</v>
      </c>
      <c r="T27" s="24" t="n">
        <v>2000</v>
      </c>
      <c r="U27" s="24" t="n">
        <v>0</v>
      </c>
      <c r="V27" s="24" t="n">
        <v>0</v>
      </c>
      <c r="W27" s="24" t="n">
        <v>0</v>
      </c>
      <c r="X27" s="13" t="s">
        <v>202</v>
      </c>
      <c r="Y27" s="13" t="s">
        <v>119</v>
      </c>
      <c r="Z27" s="13" t="s">
        <v>120</v>
      </c>
      <c r="AA27" s="13" t="s">
        <v>212</v>
      </c>
      <c r="AB27" s="13" t="s">
        <v>213</v>
      </c>
      <c r="AC27" s="13" t="s">
        <v>123</v>
      </c>
      <c r="AD27" s="13" t="s">
        <v>214</v>
      </c>
      <c r="AE27" s="13" t="s">
        <v>125</v>
      </c>
      <c r="AF27" s="13" t="s">
        <v>215</v>
      </c>
      <c r="AG27" s="25" t="str">
        <f aca="false">B27&amp;"|"&amp;C27&amp;"|"&amp;G27&amp;"|"&amp;E27</f>
        <v>India|Computer Science|Indian national (general category)|IIIT Delhi</v>
      </c>
      <c r="AH27" s="25" t="str">
        <f aca="false">B27&amp;"|"&amp;C27&amp;"|"&amp;G27</f>
        <v>India|Computer Science|Indian national (general category)</v>
      </c>
    </row>
    <row r="28" customFormat="false" ht="15" hidden="false" customHeight="false" outlineLevel="0" collapsed="false">
      <c r="A28" s="13" t="s">
        <v>216</v>
      </c>
      <c r="B28" s="13" t="s">
        <v>198</v>
      </c>
      <c r="C28" s="13" t="s">
        <v>43</v>
      </c>
      <c r="D28" s="13" t="s">
        <v>208</v>
      </c>
      <c r="E28" s="13" t="s">
        <v>217</v>
      </c>
      <c r="F28" s="13" t="s">
        <v>218</v>
      </c>
      <c r="G28" s="13" t="s">
        <v>201</v>
      </c>
      <c r="H28" s="13" t="s">
        <v>116</v>
      </c>
      <c r="I28" s="13" t="s">
        <v>192</v>
      </c>
      <c r="J28" s="23" t="n">
        <v>2025</v>
      </c>
      <c r="K28" s="23" t="n">
        <v>4</v>
      </c>
      <c r="L28" s="24" t="n">
        <v>343000</v>
      </c>
      <c r="M28" s="24"/>
      <c r="N28" s="24"/>
      <c r="O28" s="24"/>
      <c r="P28" s="24"/>
      <c r="Q28" s="24"/>
      <c r="R28" s="24"/>
      <c r="S28" s="24" t="n">
        <v>207000</v>
      </c>
      <c r="T28" s="24" t="n">
        <v>0</v>
      </c>
      <c r="U28" s="24" t="n">
        <v>0</v>
      </c>
      <c r="V28" s="24" t="n">
        <v>0</v>
      </c>
      <c r="W28" s="24" t="n">
        <v>0</v>
      </c>
      <c r="X28" s="13" t="s">
        <v>202</v>
      </c>
      <c r="Y28" s="13" t="s">
        <v>119</v>
      </c>
      <c r="Z28" s="13" t="s">
        <v>120</v>
      </c>
      <c r="AA28" s="13" t="s">
        <v>219</v>
      </c>
      <c r="AB28" s="13" t="s">
        <v>220</v>
      </c>
      <c r="AC28" s="13" t="s">
        <v>123</v>
      </c>
      <c r="AD28" s="13" t="s">
        <v>124</v>
      </c>
      <c r="AE28" s="13" t="s">
        <v>125</v>
      </c>
      <c r="AF28" s="13" t="s">
        <v>221</v>
      </c>
      <c r="AG28" s="25" t="str">
        <f aca="false">B28&amp;"|"&amp;C28&amp;"|"&amp;G28&amp;"|"&amp;E28</f>
        <v>India|Computer Science|Indian national (general category)|Manipal Institute of Technology (MAHE)</v>
      </c>
      <c r="AH28" s="25" t="str">
        <f aca="false">B28&amp;"|"&amp;C28&amp;"|"&amp;G28</f>
        <v>India|Computer Science|Indian national (general category)</v>
      </c>
    </row>
    <row r="29" customFormat="false" ht="15" hidden="false" customHeight="false" outlineLevel="0" collapsed="false">
      <c r="A29" s="13" t="s">
        <v>222</v>
      </c>
      <c r="B29" s="13" t="s">
        <v>198</v>
      </c>
      <c r="C29" s="13" t="s">
        <v>111</v>
      </c>
      <c r="D29" s="13" t="s">
        <v>223</v>
      </c>
      <c r="E29" s="13" t="s">
        <v>217</v>
      </c>
      <c r="F29" s="13" t="s">
        <v>218</v>
      </c>
      <c r="G29" s="13" t="s">
        <v>201</v>
      </c>
      <c r="H29" s="13" t="s">
        <v>116</v>
      </c>
      <c r="I29" s="13" t="s">
        <v>192</v>
      </c>
      <c r="J29" s="23" t="n">
        <v>2025</v>
      </c>
      <c r="K29" s="23" t="n">
        <v>4</v>
      </c>
      <c r="L29" s="24" t="n">
        <v>263000</v>
      </c>
      <c r="M29" s="24"/>
      <c r="N29" s="24"/>
      <c r="O29" s="24"/>
      <c r="P29" s="24"/>
      <c r="Q29" s="24"/>
      <c r="R29" s="24"/>
      <c r="S29" s="24" t="n">
        <v>161000</v>
      </c>
      <c r="T29" s="24" t="n">
        <v>0</v>
      </c>
      <c r="U29" s="24" t="n">
        <v>0</v>
      </c>
      <c r="V29" s="24" t="n">
        <v>0</v>
      </c>
      <c r="W29" s="24" t="n">
        <v>0</v>
      </c>
      <c r="X29" s="13" t="s">
        <v>202</v>
      </c>
      <c r="Y29" s="13" t="s">
        <v>119</v>
      </c>
      <c r="Z29" s="13" t="s">
        <v>120</v>
      </c>
      <c r="AA29" s="13" t="s">
        <v>219</v>
      </c>
      <c r="AB29" s="13" t="s">
        <v>220</v>
      </c>
      <c r="AC29" s="13" t="s">
        <v>123</v>
      </c>
      <c r="AD29" s="13" t="s">
        <v>124</v>
      </c>
      <c r="AE29" s="13" t="s">
        <v>125</v>
      </c>
      <c r="AF29" s="13" t="s">
        <v>221</v>
      </c>
      <c r="AG29" s="25" t="str">
        <f aca="false">B29&amp;"|"&amp;C29&amp;"|"&amp;G29&amp;"|"&amp;E29</f>
        <v>India|Mechanical Engineering|Indian national (general category)|Manipal Institute of Technology (MAHE)</v>
      </c>
      <c r="AH29" s="25" t="str">
        <f aca="false">B29&amp;"|"&amp;C29&amp;"|"&amp;G29</f>
        <v>India|Mechanical Engineering|Indian national (general category)</v>
      </c>
    </row>
    <row r="30" customFormat="false" ht="15" hidden="false" customHeight="false" outlineLevel="0" collapsed="false">
      <c r="A30" s="13" t="s">
        <v>224</v>
      </c>
      <c r="B30" s="13" t="s">
        <v>198</v>
      </c>
      <c r="C30" s="13" t="s">
        <v>44</v>
      </c>
      <c r="D30" s="13" t="s">
        <v>174</v>
      </c>
      <c r="E30" s="13" t="s">
        <v>225</v>
      </c>
      <c r="F30" s="13" t="s">
        <v>218</v>
      </c>
      <c r="G30" s="13" t="s">
        <v>201</v>
      </c>
      <c r="H30" s="13" t="s">
        <v>116</v>
      </c>
      <c r="I30" s="13" t="s">
        <v>192</v>
      </c>
      <c r="J30" s="23" t="n">
        <v>2025</v>
      </c>
      <c r="K30" s="23" t="n">
        <v>5.5</v>
      </c>
      <c r="L30" s="24" t="n">
        <v>1099000</v>
      </c>
      <c r="M30" s="24"/>
      <c r="N30" s="24"/>
      <c r="O30" s="24"/>
      <c r="P30" s="24"/>
      <c r="Q30" s="24"/>
      <c r="R30" s="24"/>
      <c r="S30" s="24" t="n">
        <v>671000</v>
      </c>
      <c r="T30" s="24" t="n">
        <v>0</v>
      </c>
      <c r="U30" s="24" t="n">
        <v>0</v>
      </c>
      <c r="V30" s="24" t="n">
        <v>0</v>
      </c>
      <c r="W30" s="24" t="n">
        <v>0</v>
      </c>
      <c r="X30" s="13" t="s">
        <v>202</v>
      </c>
      <c r="Y30" s="13" t="s">
        <v>119</v>
      </c>
      <c r="Z30" s="13" t="s">
        <v>120</v>
      </c>
      <c r="AA30" s="13" t="s">
        <v>219</v>
      </c>
      <c r="AB30" s="13" t="s">
        <v>220</v>
      </c>
      <c r="AC30" s="13" t="s">
        <v>123</v>
      </c>
      <c r="AD30" s="13" t="s">
        <v>124</v>
      </c>
      <c r="AE30" s="13" t="s">
        <v>125</v>
      </c>
      <c r="AF30" s="13" t="s">
        <v>226</v>
      </c>
      <c r="AG30" s="25" t="str">
        <f aca="false">B30&amp;"|"&amp;C30&amp;"|"&amp;G30&amp;"|"&amp;E30</f>
        <v>India|Medicine — MBBS/MD|Indian national (general category)|Kasturba Medical College Manipal (MAHE)</v>
      </c>
      <c r="AH30" s="25" t="str">
        <f aca="false">B30&amp;"|"&amp;C30&amp;"|"&amp;G30</f>
        <v>India|Medicine — MBBS/MD|Indian national (general category)</v>
      </c>
    </row>
    <row r="31" customFormat="false" ht="15" hidden="false" customHeight="false" outlineLevel="0" collapsed="false">
      <c r="A31" s="13" t="s">
        <v>227</v>
      </c>
      <c r="B31" s="13" t="s">
        <v>198</v>
      </c>
      <c r="C31" s="13" t="s">
        <v>45</v>
      </c>
      <c r="D31" s="13" t="s">
        <v>228</v>
      </c>
      <c r="E31" s="13" t="s">
        <v>229</v>
      </c>
      <c r="F31" s="13" t="s">
        <v>218</v>
      </c>
      <c r="G31" s="13" t="s">
        <v>201</v>
      </c>
      <c r="H31" s="13" t="s">
        <v>116</v>
      </c>
      <c r="I31" s="13" t="s">
        <v>192</v>
      </c>
      <c r="J31" s="23" t="n">
        <v>2025</v>
      </c>
      <c r="K31" s="23" t="n">
        <v>4</v>
      </c>
      <c r="L31" s="24" t="n">
        <v>147000</v>
      </c>
      <c r="M31" s="24"/>
      <c r="N31" s="24"/>
      <c r="O31" s="24"/>
      <c r="P31" s="24"/>
      <c r="Q31" s="24"/>
      <c r="R31" s="24"/>
      <c r="S31" s="24" t="n">
        <v>90000</v>
      </c>
      <c r="T31" s="24" t="n">
        <v>0</v>
      </c>
      <c r="U31" s="24" t="n">
        <v>0</v>
      </c>
      <c r="V31" s="24" t="n">
        <v>0</v>
      </c>
      <c r="W31" s="24" t="n">
        <v>0</v>
      </c>
      <c r="X31" s="13" t="s">
        <v>202</v>
      </c>
      <c r="Y31" s="13" t="s">
        <v>119</v>
      </c>
      <c r="Z31" s="13" t="s">
        <v>120</v>
      </c>
      <c r="AA31" s="13" t="s">
        <v>219</v>
      </c>
      <c r="AB31" s="13" t="s">
        <v>220</v>
      </c>
      <c r="AC31" s="13" t="s">
        <v>123</v>
      </c>
      <c r="AD31" s="13" t="s">
        <v>124</v>
      </c>
      <c r="AE31" s="13" t="s">
        <v>125</v>
      </c>
      <c r="AF31" s="13" t="s">
        <v>221</v>
      </c>
      <c r="AG31" s="25" t="str">
        <f aca="false">B31&amp;"|"&amp;C31&amp;"|"&amp;G31&amp;"|"&amp;E31</f>
        <v>India|Business Administration|Indian national (general category)|Manipal School of Commerce &amp; Economics (MAHE)</v>
      </c>
      <c r="AH31" s="25" t="str">
        <f aca="false">B31&amp;"|"&amp;C31&amp;"|"&amp;G31</f>
        <v>India|Business Administration|Indian national (general category)</v>
      </c>
    </row>
    <row r="32" customFormat="false" ht="15" hidden="false" customHeight="false" outlineLevel="0" collapsed="false">
      <c r="A32" s="13" t="s">
        <v>230</v>
      </c>
      <c r="B32" s="13" t="s">
        <v>198</v>
      </c>
      <c r="C32" s="13" t="s">
        <v>46</v>
      </c>
      <c r="D32" s="13" t="s">
        <v>231</v>
      </c>
      <c r="E32" s="13" t="s">
        <v>229</v>
      </c>
      <c r="F32" s="13" t="s">
        <v>218</v>
      </c>
      <c r="G32" s="13" t="s">
        <v>201</v>
      </c>
      <c r="H32" s="13" t="s">
        <v>116</v>
      </c>
      <c r="I32" s="13" t="s">
        <v>192</v>
      </c>
      <c r="J32" s="23" t="n">
        <v>2025</v>
      </c>
      <c r="K32" s="23" t="n">
        <v>4</v>
      </c>
      <c r="L32" s="24" t="n">
        <v>135000</v>
      </c>
      <c r="M32" s="24"/>
      <c r="N32" s="24"/>
      <c r="O32" s="24"/>
      <c r="P32" s="24"/>
      <c r="Q32" s="24"/>
      <c r="R32" s="24"/>
      <c r="S32" s="24" t="n">
        <v>81000</v>
      </c>
      <c r="T32" s="24" t="n">
        <v>0</v>
      </c>
      <c r="U32" s="24" t="n">
        <v>0</v>
      </c>
      <c r="V32" s="24" t="n">
        <v>0</v>
      </c>
      <c r="W32" s="24" t="n">
        <v>0</v>
      </c>
      <c r="X32" s="13" t="s">
        <v>202</v>
      </c>
      <c r="Y32" s="13" t="s">
        <v>119</v>
      </c>
      <c r="Z32" s="13" t="s">
        <v>120</v>
      </c>
      <c r="AA32" s="13" t="s">
        <v>219</v>
      </c>
      <c r="AB32" s="13" t="s">
        <v>220</v>
      </c>
      <c r="AC32" s="13" t="s">
        <v>123</v>
      </c>
      <c r="AD32" s="13" t="s">
        <v>124</v>
      </c>
      <c r="AE32" s="13" t="s">
        <v>125</v>
      </c>
      <c r="AF32" s="13" t="s">
        <v>221</v>
      </c>
      <c r="AG32" s="25" t="str">
        <f aca="false">B32&amp;"|"&amp;C32&amp;"|"&amp;G32&amp;"|"&amp;E32</f>
        <v>India|Accounting and Finance|Indian national (general category)|Manipal School of Commerce &amp; Economics (MAHE)</v>
      </c>
      <c r="AH32" s="25" t="str">
        <f aca="false">B32&amp;"|"&amp;C32&amp;"|"&amp;G32</f>
        <v>India|Accounting and Finance|Indian national (general category)</v>
      </c>
    </row>
    <row r="33" customFormat="false" ht="15" hidden="false" customHeight="false" outlineLevel="0" collapsed="false">
      <c r="A33" s="13" t="s">
        <v>232</v>
      </c>
      <c r="B33" s="13" t="s">
        <v>198</v>
      </c>
      <c r="C33" s="13" t="s">
        <v>45</v>
      </c>
      <c r="D33" s="13" t="s">
        <v>233</v>
      </c>
      <c r="E33" s="13" t="s">
        <v>234</v>
      </c>
      <c r="F33" s="13" t="s">
        <v>218</v>
      </c>
      <c r="G33" s="13" t="s">
        <v>201</v>
      </c>
      <c r="H33" s="13" t="s">
        <v>116</v>
      </c>
      <c r="I33" s="13" t="s">
        <v>235</v>
      </c>
      <c r="J33" s="23" t="n">
        <v>2026</v>
      </c>
      <c r="K33" s="23" t="n">
        <v>4</v>
      </c>
      <c r="L33" s="24" t="n">
        <v>287000</v>
      </c>
      <c r="M33" s="24"/>
      <c r="N33" s="24"/>
      <c r="O33" s="24"/>
      <c r="P33" s="24"/>
      <c r="Q33" s="24"/>
      <c r="R33" s="24"/>
      <c r="S33" s="24" t="n">
        <v>0</v>
      </c>
      <c r="T33" s="24" t="n">
        <v>8000</v>
      </c>
      <c r="U33" s="24" t="n">
        <v>0</v>
      </c>
      <c r="V33" s="24" t="n">
        <v>0</v>
      </c>
      <c r="W33" s="24" t="n">
        <v>0</v>
      </c>
      <c r="X33" s="13" t="s">
        <v>202</v>
      </c>
      <c r="Y33" s="13" t="s">
        <v>119</v>
      </c>
      <c r="Z33" s="13" t="s">
        <v>120</v>
      </c>
      <c r="AA33" s="13" t="s">
        <v>236</v>
      </c>
      <c r="AB33" s="13" t="s">
        <v>237</v>
      </c>
      <c r="AC33" s="13" t="s">
        <v>123</v>
      </c>
      <c r="AD33" s="13" t="s">
        <v>124</v>
      </c>
      <c r="AE33" s="13" t="s">
        <v>238</v>
      </c>
      <c r="AF33" s="13" t="s">
        <v>239</v>
      </c>
      <c r="AG33" s="25" t="str">
        <f aca="false">B33&amp;"|"&amp;C33&amp;"|"&amp;G33&amp;"|"&amp;E33</f>
        <v>India|Business Administration|Indian national (general category)|CHRIST University Bengaluru</v>
      </c>
      <c r="AH33" s="25" t="str">
        <f aca="false">B33&amp;"|"&amp;C33&amp;"|"&amp;G33</f>
        <v>India|Business Administration|Indian national (general category)</v>
      </c>
    </row>
    <row r="34" customFormat="false" ht="15" hidden="false" customHeight="false" outlineLevel="0" collapsed="false">
      <c r="A34" s="13" t="s">
        <v>240</v>
      </c>
      <c r="B34" s="13" t="s">
        <v>198</v>
      </c>
      <c r="C34" s="13" t="s">
        <v>45</v>
      </c>
      <c r="D34" s="13" t="s">
        <v>233</v>
      </c>
      <c r="E34" s="13" t="s">
        <v>234</v>
      </c>
      <c r="F34" s="13" t="s">
        <v>218</v>
      </c>
      <c r="G34" s="13" t="s">
        <v>138</v>
      </c>
      <c r="H34" s="13" t="s">
        <v>116</v>
      </c>
      <c r="I34" s="13" t="s">
        <v>235</v>
      </c>
      <c r="J34" s="23" t="n">
        <v>2026</v>
      </c>
      <c r="K34" s="23" t="n">
        <v>4</v>
      </c>
      <c r="L34" s="24" t="n">
        <v>5800</v>
      </c>
      <c r="M34" s="24"/>
      <c r="N34" s="24"/>
      <c r="O34" s="24"/>
      <c r="P34" s="24"/>
      <c r="Q34" s="24"/>
      <c r="R34" s="24"/>
      <c r="S34" s="24" t="n">
        <v>0</v>
      </c>
      <c r="T34" s="24" t="n">
        <v>0</v>
      </c>
      <c r="U34" s="24" t="n">
        <v>0</v>
      </c>
      <c r="V34" s="24" t="n">
        <v>0</v>
      </c>
      <c r="W34" s="24" t="n">
        <v>0</v>
      </c>
      <c r="X34" s="13" t="s">
        <v>139</v>
      </c>
      <c r="Y34" s="13" t="s">
        <v>119</v>
      </c>
      <c r="Z34" s="13" t="s">
        <v>120</v>
      </c>
      <c r="AA34" s="13" t="s">
        <v>236</v>
      </c>
      <c r="AB34" s="13" t="s">
        <v>237</v>
      </c>
      <c r="AC34" s="13" t="s">
        <v>123</v>
      </c>
      <c r="AD34" s="13" t="s">
        <v>124</v>
      </c>
      <c r="AE34" s="13" t="s">
        <v>238</v>
      </c>
      <c r="AF34" s="13" t="s">
        <v>241</v>
      </c>
      <c r="AG34" s="25" t="str">
        <f aca="false">B34&amp;"|"&amp;C34&amp;"|"&amp;G34&amp;"|"&amp;E34</f>
        <v>India|Business Administration|International|CHRIST University Bengaluru</v>
      </c>
      <c r="AH34" s="25" t="str">
        <f aca="false">B34&amp;"|"&amp;C34&amp;"|"&amp;G34</f>
        <v>India|Business Administration|International</v>
      </c>
    </row>
    <row r="35" customFormat="false" ht="15" hidden="false" customHeight="false" outlineLevel="0" collapsed="false">
      <c r="A35" s="13" t="s">
        <v>242</v>
      </c>
      <c r="B35" s="13" t="s">
        <v>198</v>
      </c>
      <c r="C35" s="13" t="s">
        <v>46</v>
      </c>
      <c r="D35" s="13" t="s">
        <v>231</v>
      </c>
      <c r="E35" s="13" t="s">
        <v>243</v>
      </c>
      <c r="F35" s="13" t="s">
        <v>114</v>
      </c>
      <c r="G35" s="13" t="s">
        <v>201</v>
      </c>
      <c r="H35" s="13" t="s">
        <v>116</v>
      </c>
      <c r="I35" s="13" t="s">
        <v>192</v>
      </c>
      <c r="J35" s="23" t="n">
        <v>2025</v>
      </c>
      <c r="K35" s="23" t="n">
        <v>3</v>
      </c>
      <c r="L35" s="24" t="n">
        <v>180</v>
      </c>
      <c r="M35" s="24"/>
      <c r="N35" s="24"/>
      <c r="O35" s="24"/>
      <c r="P35" s="24"/>
      <c r="Q35" s="24"/>
      <c r="R35" s="24"/>
      <c r="S35" s="24" t="n">
        <v>15475</v>
      </c>
      <c r="T35" s="24" t="n">
        <v>0</v>
      </c>
      <c r="U35" s="24" t="n">
        <v>0</v>
      </c>
      <c r="V35" s="24" t="n">
        <v>0</v>
      </c>
      <c r="W35" s="24" t="n">
        <v>0</v>
      </c>
      <c r="X35" s="13" t="s">
        <v>202</v>
      </c>
      <c r="Y35" s="13" t="s">
        <v>119</v>
      </c>
      <c r="Z35" s="13" t="s">
        <v>120</v>
      </c>
      <c r="AA35" s="13" t="s">
        <v>244</v>
      </c>
      <c r="AB35" s="13" t="s">
        <v>245</v>
      </c>
      <c r="AC35" s="13" t="s">
        <v>123</v>
      </c>
      <c r="AD35" s="13" t="s">
        <v>124</v>
      </c>
      <c r="AE35" s="13" t="s">
        <v>125</v>
      </c>
      <c r="AF35" s="13" t="s">
        <v>246</v>
      </c>
      <c r="AG35" s="25" t="str">
        <f aca="false">B35&amp;"|"&amp;C35&amp;"|"&amp;G35&amp;"|"&amp;E35</f>
        <v>India|Accounting and Finance|Indian national (general category)|Bharati College, University of Delhi</v>
      </c>
      <c r="AH35" s="25" t="str">
        <f aca="false">B35&amp;"|"&amp;C35&amp;"|"&amp;G35</f>
        <v>India|Accounting and Finance|Indian national (general category)</v>
      </c>
    </row>
    <row r="36" customFormat="false" ht="15" hidden="false" customHeight="false" outlineLevel="0" collapsed="false">
      <c r="A36" s="13" t="s">
        <v>247</v>
      </c>
      <c r="B36" s="13" t="s">
        <v>248</v>
      </c>
      <c r="C36" s="13" t="s">
        <v>111</v>
      </c>
      <c r="D36" s="13"/>
      <c r="E36" s="13" t="s">
        <v>249</v>
      </c>
      <c r="F36" s="13" t="s">
        <v>114</v>
      </c>
      <c r="G36" s="13" t="s">
        <v>138</v>
      </c>
      <c r="H36" s="13" t="s">
        <v>116</v>
      </c>
      <c r="I36" s="13" t="s">
        <v>117</v>
      </c>
      <c r="J36" s="23" t="n">
        <v>2026</v>
      </c>
      <c r="K36" s="23" t="n">
        <v>4</v>
      </c>
      <c r="L36" s="24" t="n">
        <v>35846</v>
      </c>
      <c r="M36" s="24" t="n">
        <v>17048</v>
      </c>
      <c r="N36" s="24" t="n">
        <v>0</v>
      </c>
      <c r="O36" s="24" t="n">
        <v>3418</v>
      </c>
      <c r="P36" s="24" t="n">
        <v>3720</v>
      </c>
      <c r="Q36" s="24" t="n">
        <v>1200</v>
      </c>
      <c r="R36" s="24" t="n">
        <v>3240</v>
      </c>
      <c r="S36" s="24" t="n">
        <v>0</v>
      </c>
      <c r="T36" s="24" t="n">
        <v>0</v>
      </c>
      <c r="U36" s="24" t="n">
        <v>0</v>
      </c>
      <c r="V36" s="24" t="n">
        <v>0</v>
      </c>
      <c r="W36" s="24" t="n">
        <v>0</v>
      </c>
      <c r="X36" s="13" t="s">
        <v>139</v>
      </c>
      <c r="Y36" s="13" t="s">
        <v>120</v>
      </c>
      <c r="Z36" s="13" t="s">
        <v>120</v>
      </c>
      <c r="AA36" s="13" t="s">
        <v>250</v>
      </c>
      <c r="AB36" s="13" t="s">
        <v>251</v>
      </c>
      <c r="AC36" s="13" t="s">
        <v>123</v>
      </c>
      <c r="AD36" s="13" t="s">
        <v>124</v>
      </c>
      <c r="AE36" s="13" t="s">
        <v>252</v>
      </c>
      <c r="AF36" s="13" t="s">
        <v>253</v>
      </c>
      <c r="AG36" s="25" t="str">
        <f aca="false">B36&amp;"|"&amp;C36&amp;"|"&amp;G36&amp;"|"&amp;E36</f>
        <v>USA|Mechanical Engineering|International|University of Kentucky</v>
      </c>
      <c r="AH36" s="25" t="str">
        <f aca="false">B36&amp;"|"&amp;C36&amp;"|"&amp;G36</f>
        <v>USA|Mechanical Engineering|International</v>
      </c>
    </row>
    <row r="37" customFormat="false" ht="15" hidden="false" customHeight="false" outlineLevel="0" collapsed="false">
      <c r="A37" s="13" t="s">
        <v>254</v>
      </c>
      <c r="B37" s="13" t="s">
        <v>248</v>
      </c>
      <c r="C37" s="13" t="s">
        <v>43</v>
      </c>
      <c r="D37" s="13"/>
      <c r="E37" s="13" t="s">
        <v>249</v>
      </c>
      <c r="F37" s="13" t="s">
        <v>114</v>
      </c>
      <c r="G37" s="13" t="s">
        <v>138</v>
      </c>
      <c r="H37" s="13" t="s">
        <v>116</v>
      </c>
      <c r="I37" s="13" t="s">
        <v>117</v>
      </c>
      <c r="J37" s="23" t="n">
        <v>2026</v>
      </c>
      <c r="K37" s="23" t="n">
        <v>4</v>
      </c>
      <c r="L37" s="24" t="n">
        <v>35846</v>
      </c>
      <c r="M37" s="24" t="n">
        <v>17048</v>
      </c>
      <c r="N37" s="24" t="n">
        <v>0</v>
      </c>
      <c r="O37" s="24" t="n">
        <v>3418</v>
      </c>
      <c r="P37" s="24" t="n">
        <v>3720</v>
      </c>
      <c r="Q37" s="24" t="n">
        <v>1200</v>
      </c>
      <c r="R37" s="24" t="n">
        <v>3240</v>
      </c>
      <c r="S37" s="24" t="n">
        <v>0</v>
      </c>
      <c r="T37" s="24" t="n">
        <v>0</v>
      </c>
      <c r="U37" s="24" t="n">
        <v>0</v>
      </c>
      <c r="V37" s="24" t="n">
        <v>0</v>
      </c>
      <c r="W37" s="24" t="n">
        <v>0</v>
      </c>
      <c r="X37" s="13" t="s">
        <v>139</v>
      </c>
      <c r="Y37" s="13" t="s">
        <v>120</v>
      </c>
      <c r="Z37" s="13" t="s">
        <v>120</v>
      </c>
      <c r="AA37" s="13" t="s">
        <v>250</v>
      </c>
      <c r="AB37" s="13" t="s">
        <v>251</v>
      </c>
      <c r="AC37" s="13" t="s">
        <v>123</v>
      </c>
      <c r="AD37" s="13" t="s">
        <v>124</v>
      </c>
      <c r="AE37" s="13" t="s">
        <v>252</v>
      </c>
      <c r="AF37" s="13" t="s">
        <v>253</v>
      </c>
      <c r="AG37" s="25" t="str">
        <f aca="false">B37&amp;"|"&amp;C37&amp;"|"&amp;G37&amp;"|"&amp;E37</f>
        <v>USA|Computer Science|International|University of Kentucky</v>
      </c>
      <c r="AH37" s="25" t="str">
        <f aca="false">B37&amp;"|"&amp;C37&amp;"|"&amp;G37</f>
        <v>USA|Computer Science|International</v>
      </c>
    </row>
    <row r="38" customFormat="false" ht="15" hidden="false" customHeight="false" outlineLevel="0" collapsed="false">
      <c r="A38" s="13" t="s">
        <v>255</v>
      </c>
      <c r="B38" s="13" t="s">
        <v>248</v>
      </c>
      <c r="C38" s="13" t="s">
        <v>45</v>
      </c>
      <c r="D38" s="13"/>
      <c r="E38" s="13" t="s">
        <v>249</v>
      </c>
      <c r="F38" s="13" t="s">
        <v>114</v>
      </c>
      <c r="G38" s="13" t="s">
        <v>138</v>
      </c>
      <c r="H38" s="13" t="s">
        <v>116</v>
      </c>
      <c r="I38" s="13" t="s">
        <v>117</v>
      </c>
      <c r="J38" s="23" t="n">
        <v>2026</v>
      </c>
      <c r="K38" s="23" t="n">
        <v>4</v>
      </c>
      <c r="L38" s="24" t="n">
        <v>35846</v>
      </c>
      <c r="M38" s="24" t="n">
        <v>17048</v>
      </c>
      <c r="N38" s="24" t="n">
        <v>0</v>
      </c>
      <c r="O38" s="24" t="n">
        <v>3418</v>
      </c>
      <c r="P38" s="24" t="n">
        <v>3720</v>
      </c>
      <c r="Q38" s="24" t="n">
        <v>1200</v>
      </c>
      <c r="R38" s="24" t="n">
        <v>3240</v>
      </c>
      <c r="S38" s="24" t="n">
        <v>0</v>
      </c>
      <c r="T38" s="24" t="n">
        <v>0</v>
      </c>
      <c r="U38" s="24" t="n">
        <v>0</v>
      </c>
      <c r="V38" s="24" t="n">
        <v>0</v>
      </c>
      <c r="W38" s="24" t="n">
        <v>0</v>
      </c>
      <c r="X38" s="13" t="s">
        <v>139</v>
      </c>
      <c r="Y38" s="13" t="s">
        <v>120</v>
      </c>
      <c r="Z38" s="13" t="s">
        <v>120</v>
      </c>
      <c r="AA38" s="13" t="s">
        <v>250</v>
      </c>
      <c r="AB38" s="13" t="s">
        <v>251</v>
      </c>
      <c r="AC38" s="13" t="s">
        <v>123</v>
      </c>
      <c r="AD38" s="13" t="s">
        <v>124</v>
      </c>
      <c r="AE38" s="13" t="s">
        <v>252</v>
      </c>
      <c r="AF38" s="13" t="s">
        <v>253</v>
      </c>
      <c r="AG38" s="25" t="str">
        <f aca="false">B38&amp;"|"&amp;C38&amp;"|"&amp;G38&amp;"|"&amp;E38</f>
        <v>USA|Business Administration|International|University of Kentucky</v>
      </c>
      <c r="AH38" s="25" t="str">
        <f aca="false">B38&amp;"|"&amp;C38&amp;"|"&amp;G38</f>
        <v>USA|Business Administration|International</v>
      </c>
    </row>
    <row r="39" customFormat="false" ht="15" hidden="false" customHeight="false" outlineLevel="0" collapsed="false">
      <c r="A39" s="13" t="s">
        <v>256</v>
      </c>
      <c r="B39" s="13" t="s">
        <v>248</v>
      </c>
      <c r="C39" s="13" t="s">
        <v>46</v>
      </c>
      <c r="D39" s="13"/>
      <c r="E39" s="13" t="s">
        <v>249</v>
      </c>
      <c r="F39" s="13" t="s">
        <v>114</v>
      </c>
      <c r="G39" s="13" t="s">
        <v>138</v>
      </c>
      <c r="H39" s="13" t="s">
        <v>116</v>
      </c>
      <c r="I39" s="13" t="s">
        <v>117</v>
      </c>
      <c r="J39" s="23" t="n">
        <v>2026</v>
      </c>
      <c r="K39" s="23" t="n">
        <v>4</v>
      </c>
      <c r="L39" s="24" t="n">
        <v>35846</v>
      </c>
      <c r="M39" s="24" t="n">
        <v>17048</v>
      </c>
      <c r="N39" s="24" t="n">
        <v>0</v>
      </c>
      <c r="O39" s="24" t="n">
        <v>3418</v>
      </c>
      <c r="P39" s="24" t="n">
        <v>3720</v>
      </c>
      <c r="Q39" s="24" t="n">
        <v>1200</v>
      </c>
      <c r="R39" s="24" t="n">
        <v>3240</v>
      </c>
      <c r="S39" s="24" t="n">
        <v>0</v>
      </c>
      <c r="T39" s="24" t="n">
        <v>0</v>
      </c>
      <c r="U39" s="24" t="n">
        <v>0</v>
      </c>
      <c r="V39" s="24" t="n">
        <v>0</v>
      </c>
      <c r="W39" s="24" t="n">
        <v>0</v>
      </c>
      <c r="X39" s="13" t="s">
        <v>139</v>
      </c>
      <c r="Y39" s="13" t="s">
        <v>120</v>
      </c>
      <c r="Z39" s="13" t="s">
        <v>120</v>
      </c>
      <c r="AA39" s="13" t="s">
        <v>250</v>
      </c>
      <c r="AB39" s="13" t="s">
        <v>251</v>
      </c>
      <c r="AC39" s="13" t="s">
        <v>123</v>
      </c>
      <c r="AD39" s="13" t="s">
        <v>124</v>
      </c>
      <c r="AE39" s="13" t="s">
        <v>252</v>
      </c>
      <c r="AF39" s="13" t="s">
        <v>253</v>
      </c>
      <c r="AG39" s="25" t="str">
        <f aca="false">B39&amp;"|"&amp;C39&amp;"|"&amp;G39&amp;"|"&amp;E39</f>
        <v>USA|Accounting and Finance|International|University of Kentucky</v>
      </c>
      <c r="AH39" s="25" t="str">
        <f aca="false">B39&amp;"|"&amp;C39&amp;"|"&amp;G39</f>
        <v>USA|Accounting and Finance|International</v>
      </c>
    </row>
    <row r="40" customFormat="false" ht="15" hidden="false" customHeight="false" outlineLevel="0" collapsed="false">
      <c r="A40" s="13" t="s">
        <v>257</v>
      </c>
      <c r="B40" s="13" t="s">
        <v>248</v>
      </c>
      <c r="C40" s="13" t="s">
        <v>43</v>
      </c>
      <c r="D40" s="13" t="s">
        <v>258</v>
      </c>
      <c r="E40" s="13" t="s">
        <v>259</v>
      </c>
      <c r="F40" s="13" t="s">
        <v>114</v>
      </c>
      <c r="G40" s="13" t="s">
        <v>138</v>
      </c>
      <c r="H40" s="13" t="s">
        <v>116</v>
      </c>
      <c r="I40" s="13" t="s">
        <v>117</v>
      </c>
      <c r="J40" s="23" t="n">
        <v>2026</v>
      </c>
      <c r="K40" s="23" t="n">
        <v>4</v>
      </c>
      <c r="L40" s="24" t="n">
        <v>36154</v>
      </c>
      <c r="M40" s="24"/>
      <c r="N40" s="24"/>
      <c r="O40" s="24"/>
      <c r="P40" s="24"/>
      <c r="Q40" s="24"/>
      <c r="R40" s="24"/>
      <c r="S40" s="24" t="n">
        <v>0</v>
      </c>
      <c r="T40" s="24" t="n">
        <v>0</v>
      </c>
      <c r="U40" s="24" t="n">
        <v>0</v>
      </c>
      <c r="V40" s="24" t="n">
        <v>0</v>
      </c>
      <c r="W40" s="24" t="n">
        <v>0</v>
      </c>
      <c r="X40" s="13" t="s">
        <v>139</v>
      </c>
      <c r="Y40" s="13" t="s">
        <v>119</v>
      </c>
      <c r="Z40" s="13" t="s">
        <v>120</v>
      </c>
      <c r="AA40" s="13" t="s">
        <v>260</v>
      </c>
      <c r="AB40" s="13" t="s">
        <v>261</v>
      </c>
      <c r="AC40" s="13" t="s">
        <v>123</v>
      </c>
      <c r="AD40" s="13" t="s">
        <v>124</v>
      </c>
      <c r="AE40" s="13" t="s">
        <v>125</v>
      </c>
      <c r="AF40" s="13" t="s">
        <v>262</v>
      </c>
      <c r="AG40" s="25" t="str">
        <f aca="false">B40&amp;"|"&amp;C40&amp;"|"&amp;G40&amp;"|"&amp;E40</f>
        <v>USA|Computer Science|International|Purdue University (West Lafayette)</v>
      </c>
      <c r="AH40" s="25" t="str">
        <f aca="false">B40&amp;"|"&amp;C40&amp;"|"&amp;G40</f>
        <v>USA|Computer Science|International</v>
      </c>
    </row>
    <row r="41" customFormat="false" ht="15" hidden="false" customHeight="false" outlineLevel="0" collapsed="false">
      <c r="A41" s="13" t="s">
        <v>263</v>
      </c>
      <c r="B41" s="13" t="s">
        <v>248</v>
      </c>
      <c r="C41" s="13" t="s">
        <v>45</v>
      </c>
      <c r="D41" s="13" t="s">
        <v>264</v>
      </c>
      <c r="E41" s="13" t="s">
        <v>259</v>
      </c>
      <c r="F41" s="13" t="s">
        <v>114</v>
      </c>
      <c r="G41" s="13" t="s">
        <v>138</v>
      </c>
      <c r="H41" s="13" t="s">
        <v>116</v>
      </c>
      <c r="I41" s="13" t="s">
        <v>117</v>
      </c>
      <c r="J41" s="23" t="n">
        <v>2026</v>
      </c>
      <c r="K41" s="23" t="n">
        <v>4</v>
      </c>
      <c r="L41" s="24" t="n">
        <v>35540</v>
      </c>
      <c r="M41" s="24"/>
      <c r="N41" s="24"/>
      <c r="O41" s="24"/>
      <c r="P41" s="24"/>
      <c r="Q41" s="24"/>
      <c r="R41" s="24"/>
      <c r="S41" s="24" t="n">
        <v>0</v>
      </c>
      <c r="T41" s="24" t="n">
        <v>0</v>
      </c>
      <c r="U41" s="24" t="n">
        <v>0</v>
      </c>
      <c r="V41" s="24" t="n">
        <v>0</v>
      </c>
      <c r="W41" s="24" t="n">
        <v>0</v>
      </c>
      <c r="X41" s="13" t="s">
        <v>139</v>
      </c>
      <c r="Y41" s="13" t="s">
        <v>119</v>
      </c>
      <c r="Z41" s="13" t="s">
        <v>120</v>
      </c>
      <c r="AA41" s="13" t="s">
        <v>260</v>
      </c>
      <c r="AB41" s="13" t="s">
        <v>261</v>
      </c>
      <c r="AC41" s="13" t="s">
        <v>123</v>
      </c>
      <c r="AD41" s="13" t="s">
        <v>124</v>
      </c>
      <c r="AE41" s="13" t="s">
        <v>125</v>
      </c>
      <c r="AF41" s="13" t="s">
        <v>262</v>
      </c>
      <c r="AG41" s="25" t="str">
        <f aca="false">B41&amp;"|"&amp;C41&amp;"|"&amp;G41&amp;"|"&amp;E41</f>
        <v>USA|Business Administration|International|Purdue University (West Lafayette)</v>
      </c>
      <c r="AH41" s="25" t="str">
        <f aca="false">B41&amp;"|"&amp;C41&amp;"|"&amp;G41</f>
        <v>USA|Business Administration|International</v>
      </c>
    </row>
    <row r="42" customFormat="false" ht="15" hidden="false" customHeight="false" outlineLevel="0" collapsed="false">
      <c r="A42" s="13" t="s">
        <v>265</v>
      </c>
      <c r="B42" s="13" t="s">
        <v>248</v>
      </c>
      <c r="C42" s="13" t="s">
        <v>46</v>
      </c>
      <c r="D42" s="13" t="s">
        <v>264</v>
      </c>
      <c r="E42" s="13" t="s">
        <v>259</v>
      </c>
      <c r="F42" s="13" t="s">
        <v>114</v>
      </c>
      <c r="G42" s="13" t="s">
        <v>138</v>
      </c>
      <c r="H42" s="13" t="s">
        <v>116</v>
      </c>
      <c r="I42" s="13" t="s">
        <v>117</v>
      </c>
      <c r="J42" s="23" t="n">
        <v>2026</v>
      </c>
      <c r="K42" s="23" t="n">
        <v>4</v>
      </c>
      <c r="L42" s="24" t="n">
        <v>35540</v>
      </c>
      <c r="M42" s="24"/>
      <c r="N42" s="24"/>
      <c r="O42" s="24"/>
      <c r="P42" s="24"/>
      <c r="Q42" s="24"/>
      <c r="R42" s="24"/>
      <c r="S42" s="24" t="n">
        <v>0</v>
      </c>
      <c r="T42" s="24" t="n">
        <v>0</v>
      </c>
      <c r="U42" s="24" t="n">
        <v>0</v>
      </c>
      <c r="V42" s="24" t="n">
        <v>0</v>
      </c>
      <c r="W42" s="24" t="n">
        <v>0</v>
      </c>
      <c r="X42" s="13" t="s">
        <v>139</v>
      </c>
      <c r="Y42" s="13" t="s">
        <v>119</v>
      </c>
      <c r="Z42" s="13" t="s">
        <v>120</v>
      </c>
      <c r="AA42" s="13" t="s">
        <v>260</v>
      </c>
      <c r="AB42" s="13" t="s">
        <v>261</v>
      </c>
      <c r="AC42" s="13" t="s">
        <v>123</v>
      </c>
      <c r="AD42" s="13" t="s">
        <v>124</v>
      </c>
      <c r="AE42" s="13" t="s">
        <v>125</v>
      </c>
      <c r="AF42" s="13" t="s">
        <v>262</v>
      </c>
      <c r="AG42" s="25" t="str">
        <f aca="false">B42&amp;"|"&amp;C42&amp;"|"&amp;G42&amp;"|"&amp;E42</f>
        <v>USA|Accounting and Finance|International|Purdue University (West Lafayette)</v>
      </c>
      <c r="AH42" s="25" t="str">
        <f aca="false">B42&amp;"|"&amp;C42&amp;"|"&amp;G42</f>
        <v>USA|Accounting and Finance|International</v>
      </c>
    </row>
    <row r="43" customFormat="false" ht="15" hidden="false" customHeight="false" outlineLevel="0" collapsed="false">
      <c r="A43" s="13" t="s">
        <v>266</v>
      </c>
      <c r="B43" s="13" t="s">
        <v>248</v>
      </c>
      <c r="C43" s="13" t="s">
        <v>111</v>
      </c>
      <c r="D43" s="13"/>
      <c r="E43" s="13" t="s">
        <v>267</v>
      </c>
      <c r="F43" s="13" t="s">
        <v>114</v>
      </c>
      <c r="G43" s="13" t="s">
        <v>138</v>
      </c>
      <c r="H43" s="13" t="s">
        <v>116</v>
      </c>
      <c r="I43" s="13" t="s">
        <v>117</v>
      </c>
      <c r="J43" s="23" t="n">
        <v>2026</v>
      </c>
      <c r="K43" s="23" t="n">
        <v>4</v>
      </c>
      <c r="L43" s="24" t="n">
        <v>43009</v>
      </c>
      <c r="M43" s="24" t="n">
        <v>18819</v>
      </c>
      <c r="N43" s="24" t="n">
        <v>0</v>
      </c>
      <c r="O43" s="24" t="n">
        <v>1650</v>
      </c>
      <c r="P43" s="24" t="n">
        <v>2765</v>
      </c>
      <c r="Q43" s="24" t="n">
        <v>1320</v>
      </c>
      <c r="R43" s="24" t="n">
        <v>2343</v>
      </c>
      <c r="S43" s="24" t="n">
        <v>0</v>
      </c>
      <c r="T43" s="24" t="n">
        <v>0</v>
      </c>
      <c r="U43" s="24" t="n">
        <v>0</v>
      </c>
      <c r="V43" s="24" t="n">
        <v>0</v>
      </c>
      <c r="W43" s="24" t="n">
        <v>0</v>
      </c>
      <c r="X43" s="13" t="s">
        <v>139</v>
      </c>
      <c r="Y43" s="13" t="s">
        <v>120</v>
      </c>
      <c r="Z43" s="13" t="s">
        <v>120</v>
      </c>
      <c r="AA43" s="13" t="s">
        <v>268</v>
      </c>
      <c r="AB43" s="13" t="s">
        <v>269</v>
      </c>
      <c r="AC43" s="13" t="s">
        <v>123</v>
      </c>
      <c r="AD43" s="13" t="s">
        <v>124</v>
      </c>
      <c r="AE43" s="13" t="s">
        <v>125</v>
      </c>
      <c r="AF43" s="13" t="s">
        <v>270</v>
      </c>
      <c r="AG43" s="25" t="str">
        <f aca="false">B43&amp;"|"&amp;C43&amp;"|"&amp;G43&amp;"|"&amp;E43</f>
        <v>USA|Mechanical Engineering|International|Arizona State University</v>
      </c>
      <c r="AH43" s="25" t="str">
        <f aca="false">B43&amp;"|"&amp;C43&amp;"|"&amp;G43</f>
        <v>USA|Mechanical Engineering|International</v>
      </c>
    </row>
    <row r="44" customFormat="false" ht="15" hidden="false" customHeight="false" outlineLevel="0" collapsed="false">
      <c r="A44" s="13" t="s">
        <v>271</v>
      </c>
      <c r="B44" s="13" t="s">
        <v>248</v>
      </c>
      <c r="C44" s="13" t="s">
        <v>43</v>
      </c>
      <c r="D44" s="13"/>
      <c r="E44" s="13" t="s">
        <v>267</v>
      </c>
      <c r="F44" s="13" t="s">
        <v>114</v>
      </c>
      <c r="G44" s="13" t="s">
        <v>138</v>
      </c>
      <c r="H44" s="13" t="s">
        <v>116</v>
      </c>
      <c r="I44" s="13" t="s">
        <v>117</v>
      </c>
      <c r="J44" s="23" t="n">
        <v>2026</v>
      </c>
      <c r="K44" s="23" t="n">
        <v>4</v>
      </c>
      <c r="L44" s="24" t="n">
        <v>43009</v>
      </c>
      <c r="M44" s="24" t="n">
        <v>18819</v>
      </c>
      <c r="N44" s="24" t="n">
        <v>0</v>
      </c>
      <c r="O44" s="24" t="n">
        <v>1650</v>
      </c>
      <c r="P44" s="24" t="n">
        <v>2765</v>
      </c>
      <c r="Q44" s="24" t="n">
        <v>1320</v>
      </c>
      <c r="R44" s="24" t="n">
        <v>2343</v>
      </c>
      <c r="S44" s="24" t="n">
        <v>0</v>
      </c>
      <c r="T44" s="24" t="n">
        <v>0</v>
      </c>
      <c r="U44" s="24" t="n">
        <v>0</v>
      </c>
      <c r="V44" s="24" t="n">
        <v>0</v>
      </c>
      <c r="W44" s="24" t="n">
        <v>0</v>
      </c>
      <c r="X44" s="13" t="s">
        <v>139</v>
      </c>
      <c r="Y44" s="13" t="s">
        <v>120</v>
      </c>
      <c r="Z44" s="13" t="s">
        <v>120</v>
      </c>
      <c r="AA44" s="13" t="s">
        <v>268</v>
      </c>
      <c r="AB44" s="13" t="s">
        <v>269</v>
      </c>
      <c r="AC44" s="13" t="s">
        <v>123</v>
      </c>
      <c r="AD44" s="13" t="s">
        <v>124</v>
      </c>
      <c r="AE44" s="13" t="s">
        <v>125</v>
      </c>
      <c r="AF44" s="13" t="s">
        <v>270</v>
      </c>
      <c r="AG44" s="25" t="str">
        <f aca="false">B44&amp;"|"&amp;C44&amp;"|"&amp;G44&amp;"|"&amp;E44</f>
        <v>USA|Computer Science|International|Arizona State University</v>
      </c>
      <c r="AH44" s="25" t="str">
        <f aca="false">B44&amp;"|"&amp;C44&amp;"|"&amp;G44</f>
        <v>USA|Computer Science|International</v>
      </c>
    </row>
    <row r="45" customFormat="false" ht="15" hidden="false" customHeight="false" outlineLevel="0" collapsed="false">
      <c r="A45" s="13" t="s">
        <v>272</v>
      </c>
      <c r="B45" s="13" t="s">
        <v>248</v>
      </c>
      <c r="C45" s="13" t="s">
        <v>45</v>
      </c>
      <c r="D45" s="13"/>
      <c r="E45" s="13" t="s">
        <v>267</v>
      </c>
      <c r="F45" s="13" t="s">
        <v>114</v>
      </c>
      <c r="G45" s="13" t="s">
        <v>138</v>
      </c>
      <c r="H45" s="13" t="s">
        <v>116</v>
      </c>
      <c r="I45" s="13" t="s">
        <v>117</v>
      </c>
      <c r="J45" s="23" t="n">
        <v>2026</v>
      </c>
      <c r="K45" s="23" t="n">
        <v>4</v>
      </c>
      <c r="L45" s="24" t="n">
        <v>43009</v>
      </c>
      <c r="M45" s="24" t="n">
        <v>18819</v>
      </c>
      <c r="N45" s="24" t="n">
        <v>0</v>
      </c>
      <c r="O45" s="24" t="n">
        <v>1650</v>
      </c>
      <c r="P45" s="24" t="n">
        <v>2765</v>
      </c>
      <c r="Q45" s="24" t="n">
        <v>1320</v>
      </c>
      <c r="R45" s="24" t="n">
        <v>2343</v>
      </c>
      <c r="S45" s="24" t="n">
        <v>0</v>
      </c>
      <c r="T45" s="24" t="n">
        <v>0</v>
      </c>
      <c r="U45" s="24" t="n">
        <v>0</v>
      </c>
      <c r="V45" s="24" t="n">
        <v>0</v>
      </c>
      <c r="W45" s="24" t="n">
        <v>0</v>
      </c>
      <c r="X45" s="13" t="s">
        <v>139</v>
      </c>
      <c r="Y45" s="13" t="s">
        <v>120</v>
      </c>
      <c r="Z45" s="13" t="s">
        <v>120</v>
      </c>
      <c r="AA45" s="13" t="s">
        <v>268</v>
      </c>
      <c r="AB45" s="13" t="s">
        <v>269</v>
      </c>
      <c r="AC45" s="13" t="s">
        <v>123</v>
      </c>
      <c r="AD45" s="13" t="s">
        <v>124</v>
      </c>
      <c r="AE45" s="13" t="s">
        <v>125</v>
      </c>
      <c r="AF45" s="13" t="s">
        <v>270</v>
      </c>
      <c r="AG45" s="25" t="str">
        <f aca="false">B45&amp;"|"&amp;C45&amp;"|"&amp;G45&amp;"|"&amp;E45</f>
        <v>USA|Business Administration|International|Arizona State University</v>
      </c>
      <c r="AH45" s="25" t="str">
        <f aca="false">B45&amp;"|"&amp;C45&amp;"|"&amp;G45</f>
        <v>USA|Business Administration|International</v>
      </c>
    </row>
    <row r="46" customFormat="false" ht="15" hidden="false" customHeight="false" outlineLevel="0" collapsed="false">
      <c r="A46" s="13" t="s">
        <v>273</v>
      </c>
      <c r="B46" s="13" t="s">
        <v>248</v>
      </c>
      <c r="C46" s="13" t="s">
        <v>46</v>
      </c>
      <c r="D46" s="13"/>
      <c r="E46" s="13" t="s">
        <v>267</v>
      </c>
      <c r="F46" s="13" t="s">
        <v>114</v>
      </c>
      <c r="G46" s="13" t="s">
        <v>138</v>
      </c>
      <c r="H46" s="13" t="s">
        <v>116</v>
      </c>
      <c r="I46" s="13" t="s">
        <v>117</v>
      </c>
      <c r="J46" s="23" t="n">
        <v>2026</v>
      </c>
      <c r="K46" s="23" t="n">
        <v>4</v>
      </c>
      <c r="L46" s="24" t="n">
        <v>43009</v>
      </c>
      <c r="M46" s="24" t="n">
        <v>18819</v>
      </c>
      <c r="N46" s="24" t="n">
        <v>0</v>
      </c>
      <c r="O46" s="24" t="n">
        <v>1650</v>
      </c>
      <c r="P46" s="24" t="n">
        <v>2765</v>
      </c>
      <c r="Q46" s="24" t="n">
        <v>1320</v>
      </c>
      <c r="R46" s="24" t="n">
        <v>2343</v>
      </c>
      <c r="S46" s="24" t="n">
        <v>0</v>
      </c>
      <c r="T46" s="24" t="n">
        <v>0</v>
      </c>
      <c r="U46" s="24" t="n">
        <v>0</v>
      </c>
      <c r="V46" s="24" t="n">
        <v>0</v>
      </c>
      <c r="W46" s="24" t="n">
        <v>0</v>
      </c>
      <c r="X46" s="13" t="s">
        <v>139</v>
      </c>
      <c r="Y46" s="13" t="s">
        <v>120</v>
      </c>
      <c r="Z46" s="13" t="s">
        <v>120</v>
      </c>
      <c r="AA46" s="13" t="s">
        <v>268</v>
      </c>
      <c r="AB46" s="13" t="s">
        <v>269</v>
      </c>
      <c r="AC46" s="13" t="s">
        <v>123</v>
      </c>
      <c r="AD46" s="13" t="s">
        <v>124</v>
      </c>
      <c r="AE46" s="13" t="s">
        <v>125</v>
      </c>
      <c r="AF46" s="13" t="s">
        <v>270</v>
      </c>
      <c r="AG46" s="25" t="str">
        <f aca="false">B46&amp;"|"&amp;C46&amp;"|"&amp;G46&amp;"|"&amp;E46</f>
        <v>USA|Accounting and Finance|International|Arizona State University</v>
      </c>
      <c r="AH46" s="25" t="str">
        <f aca="false">B46&amp;"|"&amp;C46&amp;"|"&amp;G46</f>
        <v>USA|Accounting and Finance|International</v>
      </c>
    </row>
    <row r="47" customFormat="false" ht="15" hidden="false" customHeight="false" outlineLevel="0" collapsed="false">
      <c r="A47" s="13" t="s">
        <v>274</v>
      </c>
      <c r="B47" s="13" t="s">
        <v>248</v>
      </c>
      <c r="C47" s="13" t="s">
        <v>44</v>
      </c>
      <c r="D47" s="13" t="s">
        <v>275</v>
      </c>
      <c r="E47" s="13" t="s">
        <v>276</v>
      </c>
      <c r="F47" s="13" t="s">
        <v>114</v>
      </c>
      <c r="G47" s="13" t="s">
        <v>277</v>
      </c>
      <c r="H47" s="13" t="s">
        <v>278</v>
      </c>
      <c r="I47" s="13" t="s">
        <v>117</v>
      </c>
      <c r="J47" s="23" t="n">
        <v>2026</v>
      </c>
      <c r="K47" s="23" t="n">
        <v>4</v>
      </c>
      <c r="L47" s="24" t="n">
        <v>81960</v>
      </c>
      <c r="M47" s="24" t="n">
        <v>33236</v>
      </c>
      <c r="N47" s="24" t="n">
        <v>0</v>
      </c>
      <c r="O47" s="24" t="n">
        <v>2100</v>
      </c>
      <c r="P47" s="24"/>
      <c r="Q47" s="24" t="n">
        <v>150</v>
      </c>
      <c r="R47" s="24"/>
      <c r="S47" s="24" t="n">
        <v>0</v>
      </c>
      <c r="T47" s="24" t="n">
        <v>0</v>
      </c>
      <c r="U47" s="24" t="n">
        <v>0</v>
      </c>
      <c r="V47" s="24" t="n">
        <v>0</v>
      </c>
      <c r="W47" s="24" t="n">
        <v>0</v>
      </c>
      <c r="X47" s="13" t="s">
        <v>139</v>
      </c>
      <c r="Y47" s="13" t="s">
        <v>120</v>
      </c>
      <c r="Z47" s="13" t="s">
        <v>120</v>
      </c>
      <c r="AA47" s="13" t="s">
        <v>279</v>
      </c>
      <c r="AB47" s="13" t="s">
        <v>280</v>
      </c>
      <c r="AC47" s="13" t="s">
        <v>123</v>
      </c>
      <c r="AD47" s="13" t="s">
        <v>124</v>
      </c>
      <c r="AE47" s="13" t="s">
        <v>125</v>
      </c>
      <c r="AF47" s="13" t="s">
        <v>281</v>
      </c>
      <c r="AG47" s="25" t="str">
        <f aca="false">B47&amp;"|"&amp;C47&amp;"|"&amp;G47&amp;"|"&amp;E47</f>
        <v>USA|Medicine — MBBS/MD|Non-resident (out-of-state)|University of Michigan Medical School</v>
      </c>
      <c r="AH47" s="25" t="str">
        <f aca="false">B47&amp;"|"&amp;C47&amp;"|"&amp;G47</f>
        <v>USA|Medicine — MBBS/MD|Non-resident (out-of-state)</v>
      </c>
    </row>
    <row r="48" customFormat="false" ht="15" hidden="false" customHeight="false" outlineLevel="0" collapsed="false">
      <c r="A48" s="13" t="s">
        <v>282</v>
      </c>
      <c r="B48" s="13" t="s">
        <v>248</v>
      </c>
      <c r="C48" s="13" t="s">
        <v>44</v>
      </c>
      <c r="D48" s="13" t="s">
        <v>275</v>
      </c>
      <c r="E48" s="13" t="s">
        <v>283</v>
      </c>
      <c r="F48" s="13" t="s">
        <v>114</v>
      </c>
      <c r="G48" s="13" t="s">
        <v>277</v>
      </c>
      <c r="H48" s="13" t="s">
        <v>278</v>
      </c>
      <c r="I48" s="13" t="s">
        <v>117</v>
      </c>
      <c r="J48" s="23" t="n">
        <v>2026</v>
      </c>
      <c r="K48" s="23" t="n">
        <v>4</v>
      </c>
      <c r="L48" s="24" t="n">
        <v>77567</v>
      </c>
      <c r="M48" s="24" t="n">
        <v>29500</v>
      </c>
      <c r="N48" s="24" t="n">
        <v>0</v>
      </c>
      <c r="O48" s="24" t="n">
        <v>2000</v>
      </c>
      <c r="P48" s="24"/>
      <c r="Q48" s="24" t="n">
        <v>2190</v>
      </c>
      <c r="R48" s="24"/>
      <c r="S48" s="24" t="n">
        <v>7677</v>
      </c>
      <c r="T48" s="24" t="n">
        <v>0</v>
      </c>
      <c r="U48" s="24" t="n">
        <v>0</v>
      </c>
      <c r="V48" s="24" t="n">
        <v>0</v>
      </c>
      <c r="W48" s="24" t="n">
        <v>0</v>
      </c>
      <c r="X48" s="13" t="s">
        <v>139</v>
      </c>
      <c r="Y48" s="13" t="s">
        <v>120</v>
      </c>
      <c r="Z48" s="13" t="s">
        <v>120</v>
      </c>
      <c r="AA48" s="13" t="s">
        <v>284</v>
      </c>
      <c r="AB48" s="13" t="s">
        <v>280</v>
      </c>
      <c r="AC48" s="13" t="s">
        <v>123</v>
      </c>
      <c r="AD48" s="13" t="s">
        <v>124</v>
      </c>
      <c r="AE48" s="13" t="s">
        <v>125</v>
      </c>
      <c r="AF48" s="13" t="s">
        <v>285</v>
      </c>
      <c r="AG48" s="25" t="str">
        <f aca="false">B48&amp;"|"&amp;C48&amp;"|"&amp;G48&amp;"|"&amp;E48</f>
        <v>USA|Medicine — MBBS/MD|Non-resident (out-of-state)|University of Maryland School of Medicine</v>
      </c>
      <c r="AH48" s="25" t="str">
        <f aca="false">B48&amp;"|"&amp;C48&amp;"|"&amp;G48</f>
        <v>USA|Medicine — MBBS/MD|Non-resident (out-of-state)</v>
      </c>
    </row>
    <row r="49" customFormat="false" ht="15" hidden="false" customHeight="false" outlineLevel="0" collapsed="false">
      <c r="A49" s="13" t="s">
        <v>286</v>
      </c>
      <c r="B49" s="13" t="s">
        <v>248</v>
      </c>
      <c r="C49" s="13" t="s">
        <v>44</v>
      </c>
      <c r="D49" s="13" t="s">
        <v>275</v>
      </c>
      <c r="E49" s="13" t="s">
        <v>287</v>
      </c>
      <c r="F49" s="13" t="s">
        <v>114</v>
      </c>
      <c r="G49" s="13" t="s">
        <v>277</v>
      </c>
      <c r="H49" s="13" t="s">
        <v>278</v>
      </c>
      <c r="I49" s="13" t="s">
        <v>117</v>
      </c>
      <c r="J49" s="23" t="n">
        <v>2026</v>
      </c>
      <c r="K49" s="23" t="n">
        <v>4</v>
      </c>
      <c r="L49" s="24" t="n">
        <v>63419</v>
      </c>
      <c r="M49" s="24" t="n">
        <v>15320</v>
      </c>
      <c r="N49" s="24" t="n">
        <v>7448</v>
      </c>
      <c r="O49" s="24" t="n">
        <v>2072</v>
      </c>
      <c r="P49" s="24" t="n">
        <v>3606</v>
      </c>
      <c r="Q49" s="24" t="n">
        <v>1200</v>
      </c>
      <c r="R49" s="24" t="n">
        <v>3100</v>
      </c>
      <c r="S49" s="24" t="n">
        <v>0</v>
      </c>
      <c r="T49" s="24" t="n">
        <v>0</v>
      </c>
      <c r="U49" s="24" t="n">
        <v>0</v>
      </c>
      <c r="V49" s="24" t="n">
        <v>0</v>
      </c>
      <c r="W49" s="24" t="n">
        <v>0</v>
      </c>
      <c r="X49" s="13" t="s">
        <v>139</v>
      </c>
      <c r="Y49" s="13" t="s">
        <v>120</v>
      </c>
      <c r="Z49" s="13" t="s">
        <v>120</v>
      </c>
      <c r="AA49" s="13" t="s">
        <v>288</v>
      </c>
      <c r="AB49" s="13" t="s">
        <v>280</v>
      </c>
      <c r="AC49" s="13" t="s">
        <v>123</v>
      </c>
      <c r="AD49" s="13" t="s">
        <v>124</v>
      </c>
      <c r="AE49" s="13" t="s">
        <v>125</v>
      </c>
      <c r="AF49" s="13" t="s">
        <v>289</v>
      </c>
      <c r="AG49" s="25" t="str">
        <f aca="false">B49&amp;"|"&amp;C49&amp;"|"&amp;G49&amp;"|"&amp;E49</f>
        <v>USA|Medicine — MBBS/MD|Non-resident (out-of-state)|UNC School of Medicine</v>
      </c>
      <c r="AH49" s="25" t="str">
        <f aca="false">B49&amp;"|"&amp;C49&amp;"|"&amp;G49</f>
        <v>USA|Medicine — MBBS/MD|Non-resident (out-of-state)</v>
      </c>
    </row>
    <row r="50" customFormat="false" ht="15" hidden="false" customHeight="false" outlineLevel="0" collapsed="false">
      <c r="A50" s="13" t="s">
        <v>290</v>
      </c>
      <c r="B50" s="13" t="s">
        <v>291</v>
      </c>
      <c r="C50" s="13" t="s">
        <v>43</v>
      </c>
      <c r="D50" s="13" t="s">
        <v>292</v>
      </c>
      <c r="E50" s="13" t="s">
        <v>293</v>
      </c>
      <c r="F50" s="13" t="s">
        <v>114</v>
      </c>
      <c r="G50" s="13" t="s">
        <v>138</v>
      </c>
      <c r="H50" s="13" t="s">
        <v>116</v>
      </c>
      <c r="I50" s="13" t="s">
        <v>117</v>
      </c>
      <c r="J50" s="23" t="n">
        <v>2026</v>
      </c>
      <c r="K50" s="23" t="n">
        <v>3</v>
      </c>
      <c r="L50" s="24" t="n">
        <v>37800</v>
      </c>
      <c r="M50" s="24"/>
      <c r="N50" s="24"/>
      <c r="O50" s="24"/>
      <c r="P50" s="24"/>
      <c r="Q50" s="24"/>
      <c r="R50" s="24"/>
      <c r="S50" s="24" t="n">
        <v>0</v>
      </c>
      <c r="T50" s="24" t="n">
        <v>0</v>
      </c>
      <c r="U50" s="24" t="n">
        <v>0</v>
      </c>
      <c r="V50" s="24" t="n">
        <v>0</v>
      </c>
      <c r="W50" s="24" t="n">
        <v>0</v>
      </c>
      <c r="X50" s="13" t="s">
        <v>294</v>
      </c>
      <c r="Y50" s="13" t="s">
        <v>119</v>
      </c>
      <c r="Z50" s="13" t="s">
        <v>120</v>
      </c>
      <c r="AA50" s="13" t="s">
        <v>295</v>
      </c>
      <c r="AB50" s="13" t="s">
        <v>296</v>
      </c>
      <c r="AC50" s="13" t="s">
        <v>123</v>
      </c>
      <c r="AD50" s="13" t="s">
        <v>124</v>
      </c>
      <c r="AE50" s="13" t="s">
        <v>125</v>
      </c>
      <c r="AF50" s="13" t="s">
        <v>297</v>
      </c>
      <c r="AG50" s="25" t="str">
        <f aca="false">B50&amp;"|"&amp;C50&amp;"|"&amp;G50&amp;"|"&amp;E50</f>
        <v>UK|Computer Science|International|University of Manchester</v>
      </c>
      <c r="AH50" s="25" t="str">
        <f aca="false">B50&amp;"|"&amp;C50&amp;"|"&amp;G50</f>
        <v>UK|Computer Science|International</v>
      </c>
    </row>
    <row r="51" customFormat="false" ht="15" hidden="false" customHeight="false" outlineLevel="0" collapsed="false">
      <c r="A51" s="13" t="s">
        <v>298</v>
      </c>
      <c r="B51" s="13" t="s">
        <v>291</v>
      </c>
      <c r="C51" s="13" t="s">
        <v>43</v>
      </c>
      <c r="D51" s="13" t="s">
        <v>292</v>
      </c>
      <c r="E51" s="13" t="s">
        <v>293</v>
      </c>
      <c r="F51" s="13" t="s">
        <v>114</v>
      </c>
      <c r="G51" s="13" t="s">
        <v>299</v>
      </c>
      <c r="H51" s="13" t="s">
        <v>116</v>
      </c>
      <c r="I51" s="13" t="s">
        <v>117</v>
      </c>
      <c r="J51" s="23" t="n">
        <v>2026</v>
      </c>
      <c r="K51" s="23" t="n">
        <v>3</v>
      </c>
      <c r="L51" s="24" t="n">
        <v>9790</v>
      </c>
      <c r="M51" s="24"/>
      <c r="N51" s="24"/>
      <c r="O51" s="24"/>
      <c r="P51" s="24"/>
      <c r="Q51" s="24"/>
      <c r="R51" s="24"/>
      <c r="S51" s="24" t="n">
        <v>0</v>
      </c>
      <c r="T51" s="24" t="n">
        <v>0</v>
      </c>
      <c r="U51" s="24" t="n">
        <v>0</v>
      </c>
      <c r="V51" s="24" t="n">
        <v>0</v>
      </c>
      <c r="W51" s="24" t="n">
        <v>0</v>
      </c>
      <c r="X51" s="13" t="s">
        <v>294</v>
      </c>
      <c r="Y51" s="13" t="s">
        <v>119</v>
      </c>
      <c r="Z51" s="13" t="s">
        <v>120</v>
      </c>
      <c r="AA51" s="13" t="s">
        <v>295</v>
      </c>
      <c r="AB51" s="13" t="s">
        <v>296</v>
      </c>
      <c r="AC51" s="13" t="s">
        <v>123</v>
      </c>
      <c r="AD51" s="13" t="s">
        <v>124</v>
      </c>
      <c r="AE51" s="13" t="s">
        <v>125</v>
      </c>
      <c r="AF51" s="13" t="s">
        <v>300</v>
      </c>
      <c r="AG51" s="25" t="str">
        <f aca="false">B51&amp;"|"&amp;C51&amp;"|"&amp;G51&amp;"|"&amp;E51</f>
        <v>UK|Computer Science|UK (Home)|University of Manchester</v>
      </c>
      <c r="AH51" s="25" t="str">
        <f aca="false">B51&amp;"|"&amp;C51&amp;"|"&amp;G51</f>
        <v>UK|Computer Science|UK (Home)</v>
      </c>
    </row>
    <row r="52" customFormat="false" ht="15" hidden="false" customHeight="false" outlineLevel="0" collapsed="false">
      <c r="A52" s="13" t="s">
        <v>301</v>
      </c>
      <c r="B52" s="13" t="s">
        <v>291</v>
      </c>
      <c r="C52" s="13" t="s">
        <v>111</v>
      </c>
      <c r="D52" s="13" t="s">
        <v>302</v>
      </c>
      <c r="E52" s="13" t="s">
        <v>293</v>
      </c>
      <c r="F52" s="13" t="s">
        <v>114</v>
      </c>
      <c r="G52" s="13" t="s">
        <v>138</v>
      </c>
      <c r="H52" s="13" t="s">
        <v>116</v>
      </c>
      <c r="I52" s="13" t="s">
        <v>117</v>
      </c>
      <c r="J52" s="23" t="n">
        <v>2026</v>
      </c>
      <c r="K52" s="23" t="n">
        <v>4</v>
      </c>
      <c r="L52" s="24" t="n">
        <v>35700</v>
      </c>
      <c r="M52" s="24"/>
      <c r="N52" s="24"/>
      <c r="O52" s="24"/>
      <c r="P52" s="24"/>
      <c r="Q52" s="24"/>
      <c r="R52" s="24"/>
      <c r="S52" s="24" t="n">
        <v>0</v>
      </c>
      <c r="T52" s="24" t="n">
        <v>0</v>
      </c>
      <c r="U52" s="24" t="n">
        <v>0</v>
      </c>
      <c r="V52" s="24" t="n">
        <v>0</v>
      </c>
      <c r="W52" s="24" t="n">
        <v>0</v>
      </c>
      <c r="X52" s="13" t="s">
        <v>294</v>
      </c>
      <c r="Y52" s="13" t="s">
        <v>119</v>
      </c>
      <c r="Z52" s="13" t="s">
        <v>120</v>
      </c>
      <c r="AA52" s="13" t="s">
        <v>303</v>
      </c>
      <c r="AB52" s="13" t="s">
        <v>296</v>
      </c>
      <c r="AC52" s="13" t="s">
        <v>123</v>
      </c>
      <c r="AD52" s="13" t="s">
        <v>124</v>
      </c>
      <c r="AE52" s="13" t="s">
        <v>125</v>
      </c>
      <c r="AF52" s="13" t="s">
        <v>297</v>
      </c>
      <c r="AG52" s="25" t="str">
        <f aca="false">B52&amp;"|"&amp;C52&amp;"|"&amp;G52&amp;"|"&amp;E52</f>
        <v>UK|Mechanical Engineering|International|University of Manchester</v>
      </c>
      <c r="AH52" s="25" t="str">
        <f aca="false">B52&amp;"|"&amp;C52&amp;"|"&amp;G52</f>
        <v>UK|Mechanical Engineering|International</v>
      </c>
    </row>
    <row r="53" customFormat="false" ht="15" hidden="false" customHeight="false" outlineLevel="0" collapsed="false">
      <c r="A53" s="13" t="s">
        <v>304</v>
      </c>
      <c r="B53" s="13" t="s">
        <v>291</v>
      </c>
      <c r="C53" s="13" t="s">
        <v>111</v>
      </c>
      <c r="D53" s="13" t="s">
        <v>302</v>
      </c>
      <c r="E53" s="13" t="s">
        <v>293</v>
      </c>
      <c r="F53" s="13" t="s">
        <v>114</v>
      </c>
      <c r="G53" s="13" t="s">
        <v>299</v>
      </c>
      <c r="H53" s="13" t="s">
        <v>116</v>
      </c>
      <c r="I53" s="13" t="s">
        <v>117</v>
      </c>
      <c r="J53" s="23" t="n">
        <v>2026</v>
      </c>
      <c r="K53" s="23" t="n">
        <v>4</v>
      </c>
      <c r="L53" s="24" t="n">
        <v>9790</v>
      </c>
      <c r="M53" s="24"/>
      <c r="N53" s="24"/>
      <c r="O53" s="24"/>
      <c r="P53" s="24"/>
      <c r="Q53" s="24"/>
      <c r="R53" s="24"/>
      <c r="S53" s="24" t="n">
        <v>0</v>
      </c>
      <c r="T53" s="24" t="n">
        <v>0</v>
      </c>
      <c r="U53" s="24" t="n">
        <v>0</v>
      </c>
      <c r="V53" s="24" t="n">
        <v>0</v>
      </c>
      <c r="W53" s="24" t="n">
        <v>0</v>
      </c>
      <c r="X53" s="13" t="s">
        <v>294</v>
      </c>
      <c r="Y53" s="13" t="s">
        <v>119</v>
      </c>
      <c r="Z53" s="13" t="s">
        <v>120</v>
      </c>
      <c r="AA53" s="13" t="s">
        <v>303</v>
      </c>
      <c r="AB53" s="13" t="s">
        <v>296</v>
      </c>
      <c r="AC53" s="13" t="s">
        <v>123</v>
      </c>
      <c r="AD53" s="13" t="s">
        <v>124</v>
      </c>
      <c r="AE53" s="13" t="s">
        <v>125</v>
      </c>
      <c r="AF53" s="13" t="s">
        <v>300</v>
      </c>
      <c r="AG53" s="25" t="str">
        <f aca="false">B53&amp;"|"&amp;C53&amp;"|"&amp;G53&amp;"|"&amp;E53</f>
        <v>UK|Mechanical Engineering|UK (Home)|University of Manchester</v>
      </c>
      <c r="AH53" s="25" t="str">
        <f aca="false">B53&amp;"|"&amp;C53&amp;"|"&amp;G53</f>
        <v>UK|Mechanical Engineering|UK (Home)</v>
      </c>
    </row>
    <row r="54" customFormat="false" ht="15" hidden="false" customHeight="false" outlineLevel="0" collapsed="false">
      <c r="A54" s="13" t="s">
        <v>305</v>
      </c>
      <c r="B54" s="13" t="s">
        <v>291</v>
      </c>
      <c r="C54" s="13" t="s">
        <v>46</v>
      </c>
      <c r="D54" s="13" t="s">
        <v>306</v>
      </c>
      <c r="E54" s="13" t="s">
        <v>293</v>
      </c>
      <c r="F54" s="13" t="s">
        <v>114</v>
      </c>
      <c r="G54" s="13" t="s">
        <v>138</v>
      </c>
      <c r="H54" s="13" t="s">
        <v>116</v>
      </c>
      <c r="I54" s="13" t="s">
        <v>117</v>
      </c>
      <c r="J54" s="23" t="n">
        <v>2026</v>
      </c>
      <c r="K54" s="23" t="n">
        <v>3</v>
      </c>
      <c r="L54" s="24" t="n">
        <v>33100</v>
      </c>
      <c r="M54" s="24"/>
      <c r="N54" s="24"/>
      <c r="O54" s="24"/>
      <c r="P54" s="24"/>
      <c r="Q54" s="24"/>
      <c r="R54" s="24"/>
      <c r="S54" s="24" t="n">
        <v>0</v>
      </c>
      <c r="T54" s="24" t="n">
        <v>0</v>
      </c>
      <c r="U54" s="24" t="n">
        <v>0</v>
      </c>
      <c r="V54" s="24" t="n">
        <v>0</v>
      </c>
      <c r="W54" s="24" t="n">
        <v>0</v>
      </c>
      <c r="X54" s="13" t="s">
        <v>294</v>
      </c>
      <c r="Y54" s="13" t="s">
        <v>119</v>
      </c>
      <c r="Z54" s="13" t="s">
        <v>120</v>
      </c>
      <c r="AA54" s="13" t="s">
        <v>307</v>
      </c>
      <c r="AB54" s="13" t="s">
        <v>296</v>
      </c>
      <c r="AC54" s="13" t="s">
        <v>123</v>
      </c>
      <c r="AD54" s="13" t="s">
        <v>124</v>
      </c>
      <c r="AE54" s="13" t="s">
        <v>125</v>
      </c>
      <c r="AF54" s="13" t="s">
        <v>297</v>
      </c>
      <c r="AG54" s="25" t="str">
        <f aca="false">B54&amp;"|"&amp;C54&amp;"|"&amp;G54&amp;"|"&amp;E54</f>
        <v>UK|Accounting and Finance|International|University of Manchester</v>
      </c>
      <c r="AH54" s="25" t="str">
        <f aca="false">B54&amp;"|"&amp;C54&amp;"|"&amp;G54</f>
        <v>UK|Accounting and Finance|International</v>
      </c>
    </row>
    <row r="55" customFormat="false" ht="15" hidden="false" customHeight="false" outlineLevel="0" collapsed="false">
      <c r="A55" s="13" t="s">
        <v>308</v>
      </c>
      <c r="B55" s="13" t="s">
        <v>291</v>
      </c>
      <c r="C55" s="13" t="s">
        <v>46</v>
      </c>
      <c r="D55" s="13" t="s">
        <v>306</v>
      </c>
      <c r="E55" s="13" t="s">
        <v>293</v>
      </c>
      <c r="F55" s="13" t="s">
        <v>114</v>
      </c>
      <c r="G55" s="13" t="s">
        <v>299</v>
      </c>
      <c r="H55" s="13" t="s">
        <v>116</v>
      </c>
      <c r="I55" s="13" t="s">
        <v>117</v>
      </c>
      <c r="J55" s="23" t="n">
        <v>2026</v>
      </c>
      <c r="K55" s="23" t="n">
        <v>3</v>
      </c>
      <c r="L55" s="24" t="n">
        <v>9790</v>
      </c>
      <c r="M55" s="24"/>
      <c r="N55" s="24"/>
      <c r="O55" s="24"/>
      <c r="P55" s="24"/>
      <c r="Q55" s="24"/>
      <c r="R55" s="24"/>
      <c r="S55" s="24" t="n">
        <v>0</v>
      </c>
      <c r="T55" s="24" t="n">
        <v>0</v>
      </c>
      <c r="U55" s="24" t="n">
        <v>0</v>
      </c>
      <c r="V55" s="24" t="n">
        <v>0</v>
      </c>
      <c r="W55" s="24" t="n">
        <v>0</v>
      </c>
      <c r="X55" s="13" t="s">
        <v>294</v>
      </c>
      <c r="Y55" s="13" t="s">
        <v>119</v>
      </c>
      <c r="Z55" s="13" t="s">
        <v>120</v>
      </c>
      <c r="AA55" s="13" t="s">
        <v>307</v>
      </c>
      <c r="AB55" s="13" t="s">
        <v>296</v>
      </c>
      <c r="AC55" s="13" t="s">
        <v>123</v>
      </c>
      <c r="AD55" s="13" t="s">
        <v>124</v>
      </c>
      <c r="AE55" s="13" t="s">
        <v>125</v>
      </c>
      <c r="AF55" s="13" t="s">
        <v>300</v>
      </c>
      <c r="AG55" s="25" t="str">
        <f aca="false">B55&amp;"|"&amp;C55&amp;"|"&amp;G55&amp;"|"&amp;E55</f>
        <v>UK|Accounting and Finance|UK (Home)|University of Manchester</v>
      </c>
      <c r="AH55" s="25" t="str">
        <f aca="false">B55&amp;"|"&amp;C55&amp;"|"&amp;G55</f>
        <v>UK|Accounting and Finance|UK (Home)</v>
      </c>
    </row>
    <row r="56" customFormat="false" ht="15" hidden="false" customHeight="false" outlineLevel="0" collapsed="false">
      <c r="A56" s="13" t="s">
        <v>309</v>
      </c>
      <c r="B56" s="13" t="s">
        <v>291</v>
      </c>
      <c r="C56" s="13" t="s">
        <v>44</v>
      </c>
      <c r="D56" s="13" t="s">
        <v>310</v>
      </c>
      <c r="E56" s="13" t="s">
        <v>293</v>
      </c>
      <c r="F56" s="13" t="s">
        <v>114</v>
      </c>
      <c r="G56" s="13" t="s">
        <v>138</v>
      </c>
      <c r="H56" s="13" t="s">
        <v>116</v>
      </c>
      <c r="I56" s="13" t="s">
        <v>117</v>
      </c>
      <c r="J56" s="23" t="n">
        <v>2026</v>
      </c>
      <c r="K56" s="23" t="n">
        <v>5</v>
      </c>
      <c r="L56" s="24" t="n">
        <v>52500</v>
      </c>
      <c r="M56" s="24"/>
      <c r="N56" s="24"/>
      <c r="O56" s="24"/>
      <c r="P56" s="24"/>
      <c r="Q56" s="24"/>
      <c r="R56" s="24"/>
      <c r="S56" s="24" t="n">
        <v>0</v>
      </c>
      <c r="T56" s="24" t="n">
        <v>0</v>
      </c>
      <c r="U56" s="24" t="n">
        <v>0</v>
      </c>
      <c r="V56" s="24" t="n">
        <v>0</v>
      </c>
      <c r="W56" s="24" t="n">
        <v>0</v>
      </c>
      <c r="X56" s="13" t="s">
        <v>294</v>
      </c>
      <c r="Y56" s="13" t="s">
        <v>119</v>
      </c>
      <c r="Z56" s="13" t="s">
        <v>120</v>
      </c>
      <c r="AA56" s="13" t="s">
        <v>311</v>
      </c>
      <c r="AB56" s="13" t="s">
        <v>296</v>
      </c>
      <c r="AC56" s="13" t="s">
        <v>123</v>
      </c>
      <c r="AD56" s="13" t="s">
        <v>124</v>
      </c>
      <c r="AE56" s="13" t="s">
        <v>151</v>
      </c>
      <c r="AF56" s="13" t="s">
        <v>312</v>
      </c>
      <c r="AG56" s="25" t="str">
        <f aca="false">B56&amp;"|"&amp;C56&amp;"|"&amp;G56&amp;"|"&amp;E56</f>
        <v>UK|Medicine — MBBS/MD|International|University of Manchester</v>
      </c>
      <c r="AH56" s="25" t="str">
        <f aca="false">B56&amp;"|"&amp;C56&amp;"|"&amp;G56</f>
        <v>UK|Medicine — MBBS/MD|International</v>
      </c>
    </row>
    <row r="57" customFormat="false" ht="15" hidden="false" customHeight="false" outlineLevel="0" collapsed="false">
      <c r="A57" s="13" t="s">
        <v>313</v>
      </c>
      <c r="B57" s="13" t="s">
        <v>291</v>
      </c>
      <c r="C57" s="13" t="s">
        <v>44</v>
      </c>
      <c r="D57" s="13" t="s">
        <v>310</v>
      </c>
      <c r="E57" s="13" t="s">
        <v>293</v>
      </c>
      <c r="F57" s="13" t="s">
        <v>114</v>
      </c>
      <c r="G57" s="13" t="s">
        <v>299</v>
      </c>
      <c r="H57" s="13" t="s">
        <v>116</v>
      </c>
      <c r="I57" s="13" t="s">
        <v>117</v>
      </c>
      <c r="J57" s="23" t="n">
        <v>2026</v>
      </c>
      <c r="K57" s="23" t="n">
        <v>5</v>
      </c>
      <c r="L57" s="24" t="n">
        <v>9790</v>
      </c>
      <c r="M57" s="24"/>
      <c r="N57" s="24"/>
      <c r="O57" s="24"/>
      <c r="P57" s="24"/>
      <c r="Q57" s="24"/>
      <c r="R57" s="24"/>
      <c r="S57" s="24" t="n">
        <v>0</v>
      </c>
      <c r="T57" s="24" t="n">
        <v>0</v>
      </c>
      <c r="U57" s="24" t="n">
        <v>0</v>
      </c>
      <c r="V57" s="24" t="n">
        <v>0</v>
      </c>
      <c r="W57" s="24" t="n">
        <v>0</v>
      </c>
      <c r="X57" s="13" t="s">
        <v>294</v>
      </c>
      <c r="Y57" s="13" t="s">
        <v>119</v>
      </c>
      <c r="Z57" s="13" t="s">
        <v>120</v>
      </c>
      <c r="AA57" s="13" t="s">
        <v>311</v>
      </c>
      <c r="AB57" s="13" t="s">
        <v>296</v>
      </c>
      <c r="AC57" s="13" t="s">
        <v>123</v>
      </c>
      <c r="AD57" s="13" t="s">
        <v>124</v>
      </c>
      <c r="AE57" s="13" t="s">
        <v>125</v>
      </c>
      <c r="AF57" s="13"/>
      <c r="AG57" s="25" t="str">
        <f aca="false">B57&amp;"|"&amp;C57&amp;"|"&amp;G57&amp;"|"&amp;E57</f>
        <v>UK|Medicine — MBBS/MD|UK (Home)|University of Manchester</v>
      </c>
      <c r="AH57" s="25" t="str">
        <f aca="false">B57&amp;"|"&amp;C57&amp;"|"&amp;G57</f>
        <v>UK|Medicine — MBBS/MD|UK (Home)</v>
      </c>
    </row>
    <row r="58" customFormat="false" ht="15" hidden="false" customHeight="false" outlineLevel="0" collapsed="false">
      <c r="A58" s="13" t="s">
        <v>314</v>
      </c>
      <c r="B58" s="13" t="s">
        <v>291</v>
      </c>
      <c r="C58" s="13" t="s">
        <v>43</v>
      </c>
      <c r="D58" s="13" t="s">
        <v>315</v>
      </c>
      <c r="E58" s="13" t="s">
        <v>316</v>
      </c>
      <c r="F58" s="13" t="s">
        <v>114</v>
      </c>
      <c r="G58" s="13" t="s">
        <v>138</v>
      </c>
      <c r="H58" s="13" t="s">
        <v>116</v>
      </c>
      <c r="I58" s="13" t="s">
        <v>192</v>
      </c>
      <c r="J58" s="23" t="n">
        <v>2025</v>
      </c>
      <c r="K58" s="23" t="n">
        <v>3</v>
      </c>
      <c r="L58" s="24" t="n">
        <v>32250</v>
      </c>
      <c r="M58" s="24"/>
      <c r="N58" s="24"/>
      <c r="O58" s="24"/>
      <c r="P58" s="24"/>
      <c r="Q58" s="24"/>
      <c r="R58" s="24"/>
      <c r="S58" s="24" t="n">
        <v>0</v>
      </c>
      <c r="T58" s="24" t="n">
        <v>0</v>
      </c>
      <c r="U58" s="24" t="n">
        <v>0</v>
      </c>
      <c r="V58" s="24" t="n">
        <v>0</v>
      </c>
      <c r="W58" s="24" t="n">
        <v>0</v>
      </c>
      <c r="X58" s="13" t="s">
        <v>294</v>
      </c>
      <c r="Y58" s="13" t="s">
        <v>119</v>
      </c>
      <c r="Z58" s="13" t="s">
        <v>120</v>
      </c>
      <c r="AA58" s="13" t="s">
        <v>317</v>
      </c>
      <c r="AB58" s="13" t="s">
        <v>318</v>
      </c>
      <c r="AC58" s="13" t="s">
        <v>123</v>
      </c>
      <c r="AD58" s="13" t="s">
        <v>214</v>
      </c>
      <c r="AE58" s="13" t="s">
        <v>125</v>
      </c>
      <c r="AF58" s="13" t="s">
        <v>319</v>
      </c>
      <c r="AG58" s="25" t="str">
        <f aca="false">B58&amp;"|"&amp;C58&amp;"|"&amp;G58&amp;"|"&amp;E58</f>
        <v>UK|Computer Science|International|University of Leeds</v>
      </c>
      <c r="AH58" s="25" t="str">
        <f aca="false">B58&amp;"|"&amp;C58&amp;"|"&amp;G58</f>
        <v>UK|Computer Science|International</v>
      </c>
    </row>
    <row r="59" customFormat="false" ht="15" hidden="false" customHeight="false" outlineLevel="0" collapsed="false">
      <c r="A59" s="13" t="s">
        <v>320</v>
      </c>
      <c r="B59" s="13" t="s">
        <v>291</v>
      </c>
      <c r="C59" s="13" t="s">
        <v>111</v>
      </c>
      <c r="D59" s="13" t="s">
        <v>321</v>
      </c>
      <c r="E59" s="13" t="s">
        <v>316</v>
      </c>
      <c r="F59" s="13" t="s">
        <v>114</v>
      </c>
      <c r="G59" s="13" t="s">
        <v>138</v>
      </c>
      <c r="H59" s="13" t="s">
        <v>116</v>
      </c>
      <c r="I59" s="13" t="s">
        <v>192</v>
      </c>
      <c r="J59" s="23" t="n">
        <v>2025</v>
      </c>
      <c r="K59" s="23" t="n">
        <v>3</v>
      </c>
      <c r="L59" s="24" t="n">
        <v>32250</v>
      </c>
      <c r="M59" s="24"/>
      <c r="N59" s="24"/>
      <c r="O59" s="24"/>
      <c r="P59" s="24"/>
      <c r="Q59" s="24"/>
      <c r="R59" s="24"/>
      <c r="S59" s="24" t="n">
        <v>0</v>
      </c>
      <c r="T59" s="24" t="n">
        <v>0</v>
      </c>
      <c r="U59" s="24" t="n">
        <v>0</v>
      </c>
      <c r="V59" s="24" t="n">
        <v>0</v>
      </c>
      <c r="W59" s="24" t="n">
        <v>0</v>
      </c>
      <c r="X59" s="13" t="s">
        <v>294</v>
      </c>
      <c r="Y59" s="13" t="s">
        <v>119</v>
      </c>
      <c r="Z59" s="13" t="s">
        <v>120</v>
      </c>
      <c r="AA59" s="13" t="s">
        <v>322</v>
      </c>
      <c r="AB59" s="13" t="s">
        <v>318</v>
      </c>
      <c r="AC59" s="13" t="s">
        <v>123</v>
      </c>
      <c r="AD59" s="13" t="s">
        <v>214</v>
      </c>
      <c r="AE59" s="13" t="s">
        <v>125</v>
      </c>
      <c r="AF59" s="13" t="s">
        <v>319</v>
      </c>
      <c r="AG59" s="25" t="str">
        <f aca="false">B59&amp;"|"&amp;C59&amp;"|"&amp;G59&amp;"|"&amp;E59</f>
        <v>UK|Mechanical Engineering|International|University of Leeds</v>
      </c>
      <c r="AH59" s="25" t="str">
        <f aca="false">B59&amp;"|"&amp;C59&amp;"|"&amp;G59</f>
        <v>UK|Mechanical Engineering|International</v>
      </c>
    </row>
    <row r="60" customFormat="false" ht="15" hidden="false" customHeight="false" outlineLevel="0" collapsed="false">
      <c r="A60" s="13" t="s">
        <v>323</v>
      </c>
      <c r="B60" s="13" t="s">
        <v>291</v>
      </c>
      <c r="C60" s="13" t="s">
        <v>46</v>
      </c>
      <c r="D60" s="13" t="s">
        <v>324</v>
      </c>
      <c r="E60" s="13" t="s">
        <v>316</v>
      </c>
      <c r="F60" s="13" t="s">
        <v>114</v>
      </c>
      <c r="G60" s="13" t="s">
        <v>138</v>
      </c>
      <c r="H60" s="13" t="s">
        <v>116</v>
      </c>
      <c r="I60" s="13" t="s">
        <v>192</v>
      </c>
      <c r="J60" s="23" t="n">
        <v>2025</v>
      </c>
      <c r="K60" s="23" t="n">
        <v>3</v>
      </c>
      <c r="L60" s="24" t="n">
        <v>30500</v>
      </c>
      <c r="M60" s="24"/>
      <c r="N60" s="24"/>
      <c r="O60" s="24"/>
      <c r="P60" s="24"/>
      <c r="Q60" s="24"/>
      <c r="R60" s="24"/>
      <c r="S60" s="24" t="n">
        <v>0</v>
      </c>
      <c r="T60" s="24" t="n">
        <v>0</v>
      </c>
      <c r="U60" s="24" t="n">
        <v>0</v>
      </c>
      <c r="V60" s="24" t="n">
        <v>0</v>
      </c>
      <c r="W60" s="24" t="n">
        <v>0</v>
      </c>
      <c r="X60" s="13" t="s">
        <v>294</v>
      </c>
      <c r="Y60" s="13" t="s">
        <v>119</v>
      </c>
      <c r="Z60" s="13" t="s">
        <v>120</v>
      </c>
      <c r="AA60" s="13" t="s">
        <v>325</v>
      </c>
      <c r="AB60" s="13" t="s">
        <v>318</v>
      </c>
      <c r="AC60" s="13" t="s">
        <v>123</v>
      </c>
      <c r="AD60" s="13" t="s">
        <v>214</v>
      </c>
      <c r="AE60" s="13" t="s">
        <v>125</v>
      </c>
      <c r="AF60" s="13" t="s">
        <v>319</v>
      </c>
      <c r="AG60" s="25" t="str">
        <f aca="false">B60&amp;"|"&amp;C60&amp;"|"&amp;G60&amp;"|"&amp;E60</f>
        <v>UK|Accounting and Finance|International|University of Leeds</v>
      </c>
      <c r="AH60" s="25" t="str">
        <f aca="false">B60&amp;"|"&amp;C60&amp;"|"&amp;G60</f>
        <v>UK|Accounting and Finance|International</v>
      </c>
    </row>
    <row r="61" customFormat="false" ht="15" hidden="false" customHeight="false" outlineLevel="0" collapsed="false">
      <c r="A61" s="13" t="s">
        <v>326</v>
      </c>
      <c r="B61" s="13" t="s">
        <v>291</v>
      </c>
      <c r="C61" s="13" t="s">
        <v>45</v>
      </c>
      <c r="D61" s="13" t="s">
        <v>327</v>
      </c>
      <c r="E61" s="13" t="s">
        <v>316</v>
      </c>
      <c r="F61" s="13" t="s">
        <v>114</v>
      </c>
      <c r="G61" s="13" t="s">
        <v>299</v>
      </c>
      <c r="H61" s="13" t="s">
        <v>116</v>
      </c>
      <c r="I61" s="13" t="s">
        <v>117</v>
      </c>
      <c r="J61" s="23" t="n">
        <v>2026</v>
      </c>
      <c r="K61" s="23" t="n">
        <v>3</v>
      </c>
      <c r="L61" s="24" t="n">
        <v>9790</v>
      </c>
      <c r="M61" s="24"/>
      <c r="N61" s="24"/>
      <c r="O61" s="24"/>
      <c r="P61" s="24"/>
      <c r="Q61" s="24"/>
      <c r="R61" s="24"/>
      <c r="S61" s="24" t="n">
        <v>0</v>
      </c>
      <c r="T61" s="24" t="n">
        <v>0</v>
      </c>
      <c r="U61" s="24" t="n">
        <v>0</v>
      </c>
      <c r="V61" s="24" t="n">
        <v>0</v>
      </c>
      <c r="W61" s="24" t="n">
        <v>0</v>
      </c>
      <c r="X61" s="13" t="s">
        <v>294</v>
      </c>
      <c r="Y61" s="13" t="s">
        <v>119</v>
      </c>
      <c r="Z61" s="13" t="s">
        <v>120</v>
      </c>
      <c r="AA61" s="13" t="s">
        <v>328</v>
      </c>
      <c r="AB61" s="13" t="s">
        <v>329</v>
      </c>
      <c r="AC61" s="13" t="s">
        <v>123</v>
      </c>
      <c r="AD61" s="13" t="s">
        <v>124</v>
      </c>
      <c r="AE61" s="13" t="s">
        <v>125</v>
      </c>
      <c r="AF61" s="13" t="s">
        <v>330</v>
      </c>
      <c r="AG61" s="25" t="str">
        <f aca="false">B61&amp;"|"&amp;C61&amp;"|"&amp;G61&amp;"|"&amp;E61</f>
        <v>UK|Business Administration|UK (Home)|University of Leeds</v>
      </c>
      <c r="AH61" s="25" t="str">
        <f aca="false">B61&amp;"|"&amp;C61&amp;"|"&amp;G61</f>
        <v>UK|Business Administration|UK (Home)</v>
      </c>
    </row>
    <row r="62" customFormat="false" ht="15" hidden="false" customHeight="false" outlineLevel="0" collapsed="false">
      <c r="A62" s="13" t="s">
        <v>331</v>
      </c>
      <c r="B62" s="13" t="s">
        <v>332</v>
      </c>
      <c r="C62" s="13" t="s">
        <v>111</v>
      </c>
      <c r="D62" s="13" t="s">
        <v>333</v>
      </c>
      <c r="E62" s="13" t="s">
        <v>334</v>
      </c>
      <c r="F62" s="13" t="s">
        <v>114</v>
      </c>
      <c r="G62" s="13" t="s">
        <v>138</v>
      </c>
      <c r="H62" s="13" t="s">
        <v>116</v>
      </c>
      <c r="I62" s="13" t="s">
        <v>335</v>
      </c>
      <c r="J62" s="23" t="n">
        <v>2026</v>
      </c>
      <c r="K62" s="23" t="n">
        <v>4</v>
      </c>
      <c r="L62" s="24" t="n">
        <v>61500</v>
      </c>
      <c r="M62" s="24"/>
      <c r="N62" s="24"/>
      <c r="O62" s="24"/>
      <c r="P62" s="24"/>
      <c r="Q62" s="24"/>
      <c r="R62" s="24"/>
      <c r="S62" s="24" t="n">
        <v>0</v>
      </c>
      <c r="T62" s="24" t="n">
        <v>0</v>
      </c>
      <c r="U62" s="24" t="n">
        <v>0</v>
      </c>
      <c r="V62" s="24" t="n">
        <v>0</v>
      </c>
      <c r="W62" s="24" t="n">
        <v>0</v>
      </c>
      <c r="X62" s="13" t="s">
        <v>336</v>
      </c>
      <c r="Y62" s="13" t="s">
        <v>119</v>
      </c>
      <c r="Z62" s="13" t="s">
        <v>120</v>
      </c>
      <c r="AA62" s="13" t="s">
        <v>337</v>
      </c>
      <c r="AB62" s="13" t="s">
        <v>338</v>
      </c>
      <c r="AC62" s="13" t="s">
        <v>123</v>
      </c>
      <c r="AD62" s="13" t="s">
        <v>124</v>
      </c>
      <c r="AE62" s="13" t="s">
        <v>125</v>
      </c>
      <c r="AF62" s="13" t="s">
        <v>339</v>
      </c>
      <c r="AG62" s="25" t="str">
        <f aca="false">B62&amp;"|"&amp;C62&amp;"|"&amp;G62&amp;"|"&amp;E62</f>
        <v>Australia|Mechanical Engineering|International|UNSW Sydney</v>
      </c>
      <c r="AH62" s="25" t="str">
        <f aca="false">B62&amp;"|"&amp;C62&amp;"|"&amp;G62</f>
        <v>Australia|Mechanical Engineering|International</v>
      </c>
    </row>
    <row r="63" customFormat="false" ht="15" hidden="false" customHeight="false" outlineLevel="0" collapsed="false">
      <c r="A63" s="13" t="s">
        <v>340</v>
      </c>
      <c r="B63" s="13" t="s">
        <v>332</v>
      </c>
      <c r="C63" s="13" t="s">
        <v>43</v>
      </c>
      <c r="D63" s="13" t="s">
        <v>341</v>
      </c>
      <c r="E63" s="13" t="s">
        <v>334</v>
      </c>
      <c r="F63" s="13" t="s">
        <v>114</v>
      </c>
      <c r="G63" s="13" t="s">
        <v>138</v>
      </c>
      <c r="H63" s="13" t="s">
        <v>116</v>
      </c>
      <c r="I63" s="13" t="s">
        <v>335</v>
      </c>
      <c r="J63" s="23" t="n">
        <v>2026</v>
      </c>
      <c r="K63" s="23" t="n">
        <v>3</v>
      </c>
      <c r="L63" s="24" t="n">
        <v>61000</v>
      </c>
      <c r="M63" s="24"/>
      <c r="N63" s="24"/>
      <c r="O63" s="24"/>
      <c r="P63" s="24"/>
      <c r="Q63" s="24"/>
      <c r="R63" s="24"/>
      <c r="S63" s="24" t="n">
        <v>0</v>
      </c>
      <c r="T63" s="24" t="n">
        <v>0</v>
      </c>
      <c r="U63" s="24" t="n">
        <v>0</v>
      </c>
      <c r="V63" s="24" t="n">
        <v>0</v>
      </c>
      <c r="W63" s="24" t="n">
        <v>0</v>
      </c>
      <c r="X63" s="13" t="s">
        <v>336</v>
      </c>
      <c r="Y63" s="13" t="s">
        <v>119</v>
      </c>
      <c r="Z63" s="13" t="s">
        <v>120</v>
      </c>
      <c r="AA63" s="13" t="s">
        <v>342</v>
      </c>
      <c r="AB63" s="13" t="s">
        <v>338</v>
      </c>
      <c r="AC63" s="13" t="s">
        <v>123</v>
      </c>
      <c r="AD63" s="13" t="s">
        <v>124</v>
      </c>
      <c r="AE63" s="13" t="s">
        <v>125</v>
      </c>
      <c r="AF63" s="13" t="s">
        <v>339</v>
      </c>
      <c r="AG63" s="25" t="str">
        <f aca="false">B63&amp;"|"&amp;C63&amp;"|"&amp;G63&amp;"|"&amp;E63</f>
        <v>Australia|Computer Science|International|UNSW Sydney</v>
      </c>
      <c r="AH63" s="25" t="str">
        <f aca="false">B63&amp;"|"&amp;C63&amp;"|"&amp;G63</f>
        <v>Australia|Computer Science|International</v>
      </c>
    </row>
    <row r="64" customFormat="false" ht="15" hidden="false" customHeight="false" outlineLevel="0" collapsed="false">
      <c r="A64" s="13" t="s">
        <v>343</v>
      </c>
      <c r="B64" s="13" t="s">
        <v>332</v>
      </c>
      <c r="C64" s="13" t="s">
        <v>45</v>
      </c>
      <c r="D64" s="13" t="s">
        <v>344</v>
      </c>
      <c r="E64" s="13" t="s">
        <v>334</v>
      </c>
      <c r="F64" s="13" t="s">
        <v>114</v>
      </c>
      <c r="G64" s="13" t="s">
        <v>138</v>
      </c>
      <c r="H64" s="13" t="s">
        <v>116</v>
      </c>
      <c r="I64" s="13" t="s">
        <v>335</v>
      </c>
      <c r="J64" s="23" t="n">
        <v>2026</v>
      </c>
      <c r="K64" s="23" t="n">
        <v>3</v>
      </c>
      <c r="L64" s="24" t="n">
        <v>56500</v>
      </c>
      <c r="M64" s="24"/>
      <c r="N64" s="24"/>
      <c r="O64" s="24"/>
      <c r="P64" s="24"/>
      <c r="Q64" s="24"/>
      <c r="R64" s="24"/>
      <c r="S64" s="24" t="n">
        <v>0</v>
      </c>
      <c r="T64" s="24" t="n">
        <v>0</v>
      </c>
      <c r="U64" s="24" t="n">
        <v>0</v>
      </c>
      <c r="V64" s="24" t="n">
        <v>0</v>
      </c>
      <c r="W64" s="24" t="n">
        <v>0</v>
      </c>
      <c r="X64" s="13" t="s">
        <v>336</v>
      </c>
      <c r="Y64" s="13" t="s">
        <v>119</v>
      </c>
      <c r="Z64" s="13" t="s">
        <v>120</v>
      </c>
      <c r="AA64" s="13" t="s">
        <v>345</v>
      </c>
      <c r="AB64" s="13" t="s">
        <v>338</v>
      </c>
      <c r="AC64" s="13" t="s">
        <v>123</v>
      </c>
      <c r="AD64" s="13" t="s">
        <v>124</v>
      </c>
      <c r="AE64" s="13" t="s">
        <v>125</v>
      </c>
      <c r="AF64" s="13" t="s">
        <v>339</v>
      </c>
      <c r="AG64" s="25" t="str">
        <f aca="false">B64&amp;"|"&amp;C64&amp;"|"&amp;G64&amp;"|"&amp;E64</f>
        <v>Australia|Business Administration|International|UNSW Sydney</v>
      </c>
      <c r="AH64" s="25" t="str">
        <f aca="false">B64&amp;"|"&amp;C64&amp;"|"&amp;G64</f>
        <v>Australia|Business Administration|International</v>
      </c>
    </row>
    <row r="65" customFormat="false" ht="15" hidden="false" customHeight="false" outlineLevel="0" collapsed="false">
      <c r="A65" s="13" t="s">
        <v>346</v>
      </c>
      <c r="B65" s="13" t="s">
        <v>332</v>
      </c>
      <c r="C65" s="13" t="s">
        <v>46</v>
      </c>
      <c r="D65" s="13" t="s">
        <v>347</v>
      </c>
      <c r="E65" s="13" t="s">
        <v>334</v>
      </c>
      <c r="F65" s="13" t="s">
        <v>114</v>
      </c>
      <c r="G65" s="13" t="s">
        <v>138</v>
      </c>
      <c r="H65" s="13" t="s">
        <v>116</v>
      </c>
      <c r="I65" s="13" t="s">
        <v>335</v>
      </c>
      <c r="J65" s="23" t="n">
        <v>2026</v>
      </c>
      <c r="K65" s="23" t="n">
        <v>3</v>
      </c>
      <c r="L65" s="24" t="n">
        <v>56500</v>
      </c>
      <c r="M65" s="24"/>
      <c r="N65" s="24"/>
      <c r="O65" s="24"/>
      <c r="P65" s="24"/>
      <c r="Q65" s="24"/>
      <c r="R65" s="24"/>
      <c r="S65" s="24" t="n">
        <v>0</v>
      </c>
      <c r="T65" s="24" t="n">
        <v>0</v>
      </c>
      <c r="U65" s="24" t="n">
        <v>0</v>
      </c>
      <c r="V65" s="24" t="n">
        <v>0</v>
      </c>
      <c r="W65" s="24" t="n">
        <v>0</v>
      </c>
      <c r="X65" s="13" t="s">
        <v>336</v>
      </c>
      <c r="Y65" s="13" t="s">
        <v>119</v>
      </c>
      <c r="Z65" s="13" t="s">
        <v>120</v>
      </c>
      <c r="AA65" s="13" t="s">
        <v>345</v>
      </c>
      <c r="AB65" s="13" t="s">
        <v>338</v>
      </c>
      <c r="AC65" s="13" t="s">
        <v>123</v>
      </c>
      <c r="AD65" s="13" t="s">
        <v>124</v>
      </c>
      <c r="AE65" s="13" t="s">
        <v>125</v>
      </c>
      <c r="AF65" s="13" t="s">
        <v>339</v>
      </c>
      <c r="AG65" s="25" t="str">
        <f aca="false">B65&amp;"|"&amp;C65&amp;"|"&amp;G65&amp;"|"&amp;E65</f>
        <v>Australia|Accounting and Finance|International|UNSW Sydney</v>
      </c>
      <c r="AH65" s="25" t="str">
        <f aca="false">B65&amp;"|"&amp;C65&amp;"|"&amp;G65</f>
        <v>Australia|Accounting and Finance|International</v>
      </c>
    </row>
    <row r="66" customFormat="false" ht="15" hidden="false" customHeight="false" outlineLevel="0" collapsed="false">
      <c r="A66" s="13" t="s">
        <v>348</v>
      </c>
      <c r="B66" s="13" t="s">
        <v>332</v>
      </c>
      <c r="C66" s="13" t="s">
        <v>44</v>
      </c>
      <c r="D66" s="13" t="s">
        <v>349</v>
      </c>
      <c r="E66" s="13" t="s">
        <v>334</v>
      </c>
      <c r="F66" s="13" t="s">
        <v>114</v>
      </c>
      <c r="G66" s="13" t="s">
        <v>138</v>
      </c>
      <c r="H66" s="13" t="s">
        <v>116</v>
      </c>
      <c r="I66" s="13" t="s">
        <v>335</v>
      </c>
      <c r="J66" s="23" t="n">
        <v>2026</v>
      </c>
      <c r="K66" s="23" t="n">
        <v>6</v>
      </c>
      <c r="L66" s="24" t="n">
        <v>95500</v>
      </c>
      <c r="M66" s="24"/>
      <c r="N66" s="24"/>
      <c r="O66" s="24"/>
      <c r="P66" s="24"/>
      <c r="Q66" s="24"/>
      <c r="R66" s="24"/>
      <c r="S66" s="24" t="n">
        <v>0</v>
      </c>
      <c r="T66" s="24" t="n">
        <v>0</v>
      </c>
      <c r="U66" s="24" t="n">
        <v>0</v>
      </c>
      <c r="V66" s="24" t="n">
        <v>0</v>
      </c>
      <c r="W66" s="24" t="n">
        <v>0</v>
      </c>
      <c r="X66" s="13" t="s">
        <v>336</v>
      </c>
      <c r="Y66" s="13" t="s">
        <v>119</v>
      </c>
      <c r="Z66" s="13" t="s">
        <v>120</v>
      </c>
      <c r="AA66" s="13" t="s">
        <v>350</v>
      </c>
      <c r="AB66" s="13" t="s">
        <v>338</v>
      </c>
      <c r="AC66" s="13" t="s">
        <v>123</v>
      </c>
      <c r="AD66" s="13" t="s">
        <v>124</v>
      </c>
      <c r="AE66" s="13" t="s">
        <v>125</v>
      </c>
      <c r="AF66" s="13" t="s">
        <v>351</v>
      </c>
      <c r="AG66" s="25" t="str">
        <f aca="false">B66&amp;"|"&amp;C66&amp;"|"&amp;G66&amp;"|"&amp;E66</f>
        <v>Australia|Medicine — MBBS/MD|International|UNSW Sydney</v>
      </c>
      <c r="AH66" s="25" t="str">
        <f aca="false">B66&amp;"|"&amp;C66&amp;"|"&amp;G66</f>
        <v>Australia|Medicine — MBBS/MD|International</v>
      </c>
    </row>
    <row r="67" customFormat="false" ht="15" hidden="false" customHeight="false" outlineLevel="0" collapsed="false">
      <c r="A67" s="13" t="s">
        <v>352</v>
      </c>
      <c r="B67" s="13" t="s">
        <v>332</v>
      </c>
      <c r="C67" s="13" t="s">
        <v>111</v>
      </c>
      <c r="D67" s="13" t="s">
        <v>333</v>
      </c>
      <c r="E67" s="13" t="s">
        <v>353</v>
      </c>
      <c r="F67" s="13" t="s">
        <v>114</v>
      </c>
      <c r="G67" s="13" t="s">
        <v>138</v>
      </c>
      <c r="H67" s="13" t="s">
        <v>116</v>
      </c>
      <c r="I67" s="13" t="s">
        <v>335</v>
      </c>
      <c r="J67" s="23" t="n">
        <v>2026</v>
      </c>
      <c r="K67" s="23" t="n">
        <v>4</v>
      </c>
      <c r="L67" s="24" t="n">
        <v>58056</v>
      </c>
      <c r="M67" s="24"/>
      <c r="N67" s="24"/>
      <c r="O67" s="24"/>
      <c r="P67" s="24"/>
      <c r="Q67" s="24"/>
      <c r="R67" s="24"/>
      <c r="S67" s="24" t="n">
        <v>0</v>
      </c>
      <c r="T67" s="24" t="n">
        <v>0</v>
      </c>
      <c r="U67" s="24" t="n">
        <v>0</v>
      </c>
      <c r="V67" s="24" t="n">
        <v>0</v>
      </c>
      <c r="W67" s="24" t="n">
        <v>0</v>
      </c>
      <c r="X67" s="13" t="s">
        <v>336</v>
      </c>
      <c r="Y67" s="13" t="s">
        <v>119</v>
      </c>
      <c r="Z67" s="13" t="s">
        <v>120</v>
      </c>
      <c r="AA67" s="13" t="s">
        <v>354</v>
      </c>
      <c r="AB67" s="13" t="s">
        <v>355</v>
      </c>
      <c r="AC67" s="13" t="s">
        <v>123</v>
      </c>
      <c r="AD67" s="13" t="s">
        <v>124</v>
      </c>
      <c r="AE67" s="13" t="s">
        <v>125</v>
      </c>
      <c r="AF67" s="13" t="s">
        <v>356</v>
      </c>
      <c r="AG67" s="25" t="str">
        <f aca="false">B67&amp;"|"&amp;C67&amp;"|"&amp;G67&amp;"|"&amp;E67</f>
        <v>Australia|Mechanical Engineering|International|University of Queensland</v>
      </c>
      <c r="AH67" s="25" t="str">
        <f aca="false">B67&amp;"|"&amp;C67&amp;"|"&amp;G67</f>
        <v>Australia|Mechanical Engineering|International</v>
      </c>
    </row>
    <row r="68" customFormat="false" ht="15" hidden="false" customHeight="false" outlineLevel="0" collapsed="false">
      <c r="A68" s="13" t="s">
        <v>357</v>
      </c>
      <c r="B68" s="13" t="s">
        <v>332</v>
      </c>
      <c r="C68" s="13" t="s">
        <v>43</v>
      </c>
      <c r="D68" s="13" t="s">
        <v>358</v>
      </c>
      <c r="E68" s="13" t="s">
        <v>353</v>
      </c>
      <c r="F68" s="13" t="s">
        <v>114</v>
      </c>
      <c r="G68" s="13" t="s">
        <v>138</v>
      </c>
      <c r="H68" s="13" t="s">
        <v>116</v>
      </c>
      <c r="I68" s="13" t="s">
        <v>335</v>
      </c>
      <c r="J68" s="23" t="n">
        <v>2026</v>
      </c>
      <c r="K68" s="23" t="n">
        <v>3</v>
      </c>
      <c r="L68" s="24" t="n">
        <v>58056</v>
      </c>
      <c r="M68" s="24"/>
      <c r="N68" s="24"/>
      <c r="O68" s="24"/>
      <c r="P68" s="24"/>
      <c r="Q68" s="24"/>
      <c r="R68" s="24"/>
      <c r="S68" s="24" t="n">
        <v>0</v>
      </c>
      <c r="T68" s="24" t="n">
        <v>0</v>
      </c>
      <c r="U68" s="24" t="n">
        <v>0</v>
      </c>
      <c r="V68" s="24" t="n">
        <v>0</v>
      </c>
      <c r="W68" s="24" t="n">
        <v>0</v>
      </c>
      <c r="X68" s="13" t="s">
        <v>336</v>
      </c>
      <c r="Y68" s="13" t="s">
        <v>119</v>
      </c>
      <c r="Z68" s="13" t="s">
        <v>120</v>
      </c>
      <c r="AA68" s="13" t="s">
        <v>359</v>
      </c>
      <c r="AB68" s="13" t="s">
        <v>355</v>
      </c>
      <c r="AC68" s="13" t="s">
        <v>123</v>
      </c>
      <c r="AD68" s="13" t="s">
        <v>124</v>
      </c>
      <c r="AE68" s="13" t="s">
        <v>125</v>
      </c>
      <c r="AF68" s="13" t="s">
        <v>356</v>
      </c>
      <c r="AG68" s="25" t="str">
        <f aca="false">B68&amp;"|"&amp;C68&amp;"|"&amp;G68&amp;"|"&amp;E68</f>
        <v>Australia|Computer Science|International|University of Queensland</v>
      </c>
      <c r="AH68" s="25" t="str">
        <f aca="false">B68&amp;"|"&amp;C68&amp;"|"&amp;G68</f>
        <v>Australia|Computer Science|International</v>
      </c>
    </row>
    <row r="69" customFormat="false" ht="15" hidden="false" customHeight="false" outlineLevel="0" collapsed="false">
      <c r="A69" s="13" t="s">
        <v>360</v>
      </c>
      <c r="B69" s="13" t="s">
        <v>361</v>
      </c>
      <c r="C69" s="13" t="s">
        <v>111</v>
      </c>
      <c r="D69" s="13" t="s">
        <v>362</v>
      </c>
      <c r="E69" s="13" t="s">
        <v>363</v>
      </c>
      <c r="F69" s="13" t="s">
        <v>114</v>
      </c>
      <c r="G69" s="13" t="s">
        <v>364</v>
      </c>
      <c r="H69" s="13" t="s">
        <v>116</v>
      </c>
      <c r="I69" s="13" t="s">
        <v>117</v>
      </c>
      <c r="J69" s="23" t="n">
        <v>2026</v>
      </c>
      <c r="K69" s="23" t="n">
        <v>3</v>
      </c>
      <c r="L69" s="24" t="n">
        <v>3000</v>
      </c>
      <c r="M69" s="24"/>
      <c r="N69" s="24"/>
      <c r="O69" s="24"/>
      <c r="P69" s="24"/>
      <c r="Q69" s="24"/>
      <c r="R69" s="24"/>
      <c r="S69" s="24" t="n">
        <v>0</v>
      </c>
      <c r="T69" s="24" t="n">
        <v>0</v>
      </c>
      <c r="U69" s="24" t="n">
        <v>0</v>
      </c>
      <c r="V69" s="24" t="n">
        <v>0</v>
      </c>
      <c r="W69" s="24" t="n">
        <v>0</v>
      </c>
      <c r="X69" s="13" t="s">
        <v>365</v>
      </c>
      <c r="Y69" s="13" t="s">
        <v>119</v>
      </c>
      <c r="Z69" s="13" t="s">
        <v>120</v>
      </c>
      <c r="AA69" s="13" t="s">
        <v>366</v>
      </c>
      <c r="AB69" s="13" t="s">
        <v>367</v>
      </c>
      <c r="AC69" s="13" t="s">
        <v>123</v>
      </c>
      <c r="AD69" s="13" t="s">
        <v>124</v>
      </c>
      <c r="AE69" s="13" t="s">
        <v>368</v>
      </c>
      <c r="AF69" s="13" t="s">
        <v>369</v>
      </c>
      <c r="AG69" s="25" t="str">
        <f aca="false">B69&amp;"|"&amp;C69&amp;"|"&amp;G69&amp;"|"&amp;E69</f>
        <v>Germany|Mechanical Engineering|Non-EU international|Karlsruhe Institute of Technology (KIT)</v>
      </c>
      <c r="AH69" s="25" t="str">
        <f aca="false">B69&amp;"|"&amp;C69&amp;"|"&amp;G69</f>
        <v>Germany|Mechanical Engineering|Non-EU international</v>
      </c>
    </row>
    <row r="70" customFormat="false" ht="15" hidden="false" customHeight="false" outlineLevel="0" collapsed="false">
      <c r="A70" s="13" t="s">
        <v>370</v>
      </c>
      <c r="B70" s="13" t="s">
        <v>361</v>
      </c>
      <c r="C70" s="13" t="s">
        <v>43</v>
      </c>
      <c r="D70" s="13" t="s">
        <v>371</v>
      </c>
      <c r="E70" s="13" t="s">
        <v>363</v>
      </c>
      <c r="F70" s="13" t="s">
        <v>114</v>
      </c>
      <c r="G70" s="13" t="s">
        <v>364</v>
      </c>
      <c r="H70" s="13" t="s">
        <v>116</v>
      </c>
      <c r="I70" s="13" t="s">
        <v>117</v>
      </c>
      <c r="J70" s="23" t="n">
        <v>2026</v>
      </c>
      <c r="K70" s="23" t="n">
        <v>3</v>
      </c>
      <c r="L70" s="24" t="n">
        <v>3000</v>
      </c>
      <c r="M70" s="24"/>
      <c r="N70" s="24"/>
      <c r="O70" s="24"/>
      <c r="P70" s="24"/>
      <c r="Q70" s="24"/>
      <c r="R70" s="24"/>
      <c r="S70" s="24" t="n">
        <v>0</v>
      </c>
      <c r="T70" s="24" t="n">
        <v>0</v>
      </c>
      <c r="U70" s="24" t="n">
        <v>0</v>
      </c>
      <c r="V70" s="24" t="n">
        <v>0</v>
      </c>
      <c r="W70" s="24" t="n">
        <v>0</v>
      </c>
      <c r="X70" s="13" t="s">
        <v>365</v>
      </c>
      <c r="Y70" s="13" t="s">
        <v>119</v>
      </c>
      <c r="Z70" s="13" t="s">
        <v>120</v>
      </c>
      <c r="AA70" s="13" t="s">
        <v>366</v>
      </c>
      <c r="AB70" s="13" t="s">
        <v>367</v>
      </c>
      <c r="AC70" s="13" t="s">
        <v>123</v>
      </c>
      <c r="AD70" s="13" t="s">
        <v>124</v>
      </c>
      <c r="AE70" s="13" t="s">
        <v>368</v>
      </c>
      <c r="AF70" s="13" t="s">
        <v>369</v>
      </c>
      <c r="AG70" s="25" t="str">
        <f aca="false">B70&amp;"|"&amp;C70&amp;"|"&amp;G70&amp;"|"&amp;E70</f>
        <v>Germany|Computer Science|Non-EU international|Karlsruhe Institute of Technology (KIT)</v>
      </c>
      <c r="AH70" s="25" t="str">
        <f aca="false">B70&amp;"|"&amp;C70&amp;"|"&amp;G70</f>
        <v>Germany|Computer Science|Non-EU international</v>
      </c>
    </row>
    <row r="71" customFormat="false" ht="15" hidden="false" customHeight="false" outlineLevel="0" collapsed="false">
      <c r="A71" s="13" t="s">
        <v>372</v>
      </c>
      <c r="B71" s="13" t="s">
        <v>361</v>
      </c>
      <c r="C71" s="13" t="s">
        <v>45</v>
      </c>
      <c r="D71" s="13" t="s">
        <v>373</v>
      </c>
      <c r="E71" s="13" t="s">
        <v>374</v>
      </c>
      <c r="F71" s="13" t="s">
        <v>114</v>
      </c>
      <c r="G71" s="13" t="s">
        <v>364</v>
      </c>
      <c r="H71" s="13" t="s">
        <v>116</v>
      </c>
      <c r="I71" s="13" t="s">
        <v>117</v>
      </c>
      <c r="J71" s="23" t="n">
        <v>2026</v>
      </c>
      <c r="K71" s="23" t="n">
        <v>3</v>
      </c>
      <c r="L71" s="24" t="n">
        <v>3000</v>
      </c>
      <c r="M71" s="24"/>
      <c r="N71" s="24"/>
      <c r="O71" s="24"/>
      <c r="P71" s="24"/>
      <c r="Q71" s="24"/>
      <c r="R71" s="24"/>
      <c r="S71" s="24" t="n">
        <v>388</v>
      </c>
      <c r="T71" s="24" t="n">
        <v>0</v>
      </c>
      <c r="U71" s="24" t="n">
        <v>0</v>
      </c>
      <c r="V71" s="24" t="n">
        <v>0</v>
      </c>
      <c r="W71" s="24" t="n">
        <v>0</v>
      </c>
      <c r="X71" s="13" t="s">
        <v>365</v>
      </c>
      <c r="Y71" s="13" t="s">
        <v>119</v>
      </c>
      <c r="Z71" s="13" t="s">
        <v>120</v>
      </c>
      <c r="AA71" s="13" t="s">
        <v>375</v>
      </c>
      <c r="AB71" s="13" t="s">
        <v>376</v>
      </c>
      <c r="AC71" s="13" t="s">
        <v>123</v>
      </c>
      <c r="AD71" s="13" t="s">
        <v>124</v>
      </c>
      <c r="AE71" s="13" t="s">
        <v>125</v>
      </c>
      <c r="AF71" s="13" t="s">
        <v>377</v>
      </c>
      <c r="AG71" s="25" t="str">
        <f aca="false">B71&amp;"|"&amp;C71&amp;"|"&amp;G71&amp;"|"&amp;E71</f>
        <v>Germany|Business Administration|Non-EU international|University of Mannheim</v>
      </c>
      <c r="AH71" s="25" t="str">
        <f aca="false">B71&amp;"|"&amp;C71&amp;"|"&amp;G71</f>
        <v>Germany|Business Administration|Non-EU international</v>
      </c>
    </row>
    <row r="72" customFormat="false" ht="15" hidden="false" customHeight="false" outlineLevel="0" collapsed="false">
      <c r="A72" s="13" t="s">
        <v>378</v>
      </c>
      <c r="B72" s="13" t="s">
        <v>361</v>
      </c>
      <c r="C72" s="13" t="s">
        <v>44</v>
      </c>
      <c r="D72" s="13" t="s">
        <v>379</v>
      </c>
      <c r="E72" s="13" t="s">
        <v>380</v>
      </c>
      <c r="F72" s="13" t="s">
        <v>114</v>
      </c>
      <c r="G72" s="13" t="s">
        <v>364</v>
      </c>
      <c r="H72" s="13" t="s">
        <v>116</v>
      </c>
      <c r="I72" s="13" t="s">
        <v>335</v>
      </c>
      <c r="J72" s="23" t="n">
        <v>2026</v>
      </c>
      <c r="K72" s="23" t="n">
        <v>6</v>
      </c>
      <c r="L72" s="24" t="n">
        <v>3000</v>
      </c>
      <c r="M72" s="24"/>
      <c r="N72" s="24"/>
      <c r="O72" s="24"/>
      <c r="P72" s="24"/>
      <c r="Q72" s="24"/>
      <c r="R72" s="24"/>
      <c r="S72" s="24" t="n">
        <v>379.6</v>
      </c>
      <c r="T72" s="24" t="n">
        <v>0</v>
      </c>
      <c r="U72" s="24" t="n">
        <v>0</v>
      </c>
      <c r="V72" s="24" t="n">
        <v>0</v>
      </c>
      <c r="W72" s="24" t="n">
        <v>0</v>
      </c>
      <c r="X72" s="13" t="s">
        <v>365</v>
      </c>
      <c r="Y72" s="13" t="s">
        <v>119</v>
      </c>
      <c r="Z72" s="13" t="s">
        <v>120</v>
      </c>
      <c r="AA72" s="13" t="s">
        <v>381</v>
      </c>
      <c r="AB72" s="13" t="s">
        <v>382</v>
      </c>
      <c r="AC72" s="13" t="s">
        <v>123</v>
      </c>
      <c r="AD72" s="13" t="s">
        <v>124</v>
      </c>
      <c r="AE72" s="13" t="s">
        <v>383</v>
      </c>
      <c r="AF72" s="13" t="s">
        <v>384</v>
      </c>
      <c r="AG72" s="25" t="str">
        <f aca="false">B72&amp;"|"&amp;C72&amp;"|"&amp;G72&amp;"|"&amp;E72</f>
        <v>Germany|Medicine — MBBS/MD|Non-EU international|Heidelberg University</v>
      </c>
      <c r="AH72" s="25" t="str">
        <f aca="false">B72&amp;"|"&amp;C72&amp;"|"&amp;G72</f>
        <v>Germany|Medicine — MBBS/MD|Non-EU international</v>
      </c>
    </row>
    <row r="73" customFormat="false" ht="15" hidden="false" customHeight="false" outlineLevel="0" collapsed="false">
      <c r="A73" s="13" t="s">
        <v>385</v>
      </c>
      <c r="B73" s="13" t="s">
        <v>361</v>
      </c>
      <c r="C73" s="13" t="s">
        <v>111</v>
      </c>
      <c r="D73" s="13" t="s">
        <v>386</v>
      </c>
      <c r="E73" s="13" t="s">
        <v>387</v>
      </c>
      <c r="F73" s="13" t="s">
        <v>114</v>
      </c>
      <c r="G73" s="13" t="s">
        <v>364</v>
      </c>
      <c r="H73" s="13" t="s">
        <v>116</v>
      </c>
      <c r="I73" s="13" t="s">
        <v>388</v>
      </c>
      <c r="J73" s="23" t="n">
        <v>2021</v>
      </c>
      <c r="K73" s="23" t="n">
        <v>3</v>
      </c>
      <c r="L73" s="24" t="n">
        <v>0</v>
      </c>
      <c r="M73" s="24"/>
      <c r="N73" s="24"/>
      <c r="O73" s="24"/>
      <c r="P73" s="24"/>
      <c r="Q73" s="24"/>
      <c r="R73" s="24"/>
      <c r="S73" s="24" t="n">
        <v>600.38</v>
      </c>
      <c r="T73" s="24" t="n">
        <v>0</v>
      </c>
      <c r="U73" s="24" t="n">
        <v>0</v>
      </c>
      <c r="V73" s="24" t="n">
        <v>0</v>
      </c>
      <c r="W73" s="24" t="n">
        <v>0</v>
      </c>
      <c r="X73" s="13" t="s">
        <v>365</v>
      </c>
      <c r="Y73" s="13" t="s">
        <v>119</v>
      </c>
      <c r="Z73" s="13" t="s">
        <v>119</v>
      </c>
      <c r="AA73" s="13" t="s">
        <v>389</v>
      </c>
      <c r="AB73" s="13" t="s">
        <v>390</v>
      </c>
      <c r="AC73" s="13" t="s">
        <v>123</v>
      </c>
      <c r="AD73" s="13" t="s">
        <v>185</v>
      </c>
      <c r="AE73" s="13" t="s">
        <v>186</v>
      </c>
      <c r="AF73" s="13" t="s">
        <v>391</v>
      </c>
      <c r="AG73" s="25" t="str">
        <f aca="false">B73&amp;"|"&amp;C73&amp;"|"&amp;G73&amp;"|"&amp;E73</f>
        <v>Germany|Mechanical Engineering|Non-EU international|RWTH Aachen University</v>
      </c>
      <c r="AH73" s="25" t="str">
        <f aca="false">B73&amp;"|"&amp;C73&amp;"|"&amp;G73</f>
        <v>Germany|Mechanical Engineering|Non-EU international</v>
      </c>
    </row>
    <row r="74" customFormat="false" ht="15" hidden="false" customHeight="false" outlineLevel="0" collapsed="false">
      <c r="A74" s="13" t="s">
        <v>392</v>
      </c>
      <c r="B74" s="13" t="s">
        <v>361</v>
      </c>
      <c r="C74" s="13" t="s">
        <v>43</v>
      </c>
      <c r="D74" s="13" t="s">
        <v>393</v>
      </c>
      <c r="E74" s="13" t="s">
        <v>387</v>
      </c>
      <c r="F74" s="13" t="s">
        <v>114</v>
      </c>
      <c r="G74" s="13" t="s">
        <v>364</v>
      </c>
      <c r="H74" s="13" t="s">
        <v>116</v>
      </c>
      <c r="I74" s="13" t="s">
        <v>388</v>
      </c>
      <c r="J74" s="23" t="n">
        <v>2021</v>
      </c>
      <c r="K74" s="23" t="n">
        <v>3</v>
      </c>
      <c r="L74" s="24" t="n">
        <v>0</v>
      </c>
      <c r="M74" s="24"/>
      <c r="N74" s="24"/>
      <c r="O74" s="24"/>
      <c r="P74" s="24"/>
      <c r="Q74" s="24"/>
      <c r="R74" s="24"/>
      <c r="S74" s="24" t="n">
        <v>600.38</v>
      </c>
      <c r="T74" s="24" t="n">
        <v>0</v>
      </c>
      <c r="U74" s="24" t="n">
        <v>0</v>
      </c>
      <c r="V74" s="24" t="n">
        <v>0</v>
      </c>
      <c r="W74" s="24" t="n">
        <v>0</v>
      </c>
      <c r="X74" s="13" t="s">
        <v>365</v>
      </c>
      <c r="Y74" s="13" t="s">
        <v>119</v>
      </c>
      <c r="Z74" s="13" t="s">
        <v>119</v>
      </c>
      <c r="AA74" s="13" t="s">
        <v>389</v>
      </c>
      <c r="AB74" s="13" t="s">
        <v>390</v>
      </c>
      <c r="AC74" s="13" t="s">
        <v>123</v>
      </c>
      <c r="AD74" s="13" t="s">
        <v>185</v>
      </c>
      <c r="AE74" s="13" t="s">
        <v>186</v>
      </c>
      <c r="AF74" s="13" t="s">
        <v>391</v>
      </c>
      <c r="AG74" s="25" t="str">
        <f aca="false">B74&amp;"|"&amp;C74&amp;"|"&amp;G74&amp;"|"&amp;E74</f>
        <v>Germany|Computer Science|Non-EU international|RWTH Aachen University</v>
      </c>
      <c r="AH74" s="25" t="str">
        <f aca="false">B74&amp;"|"&amp;C74&amp;"|"&amp;G74</f>
        <v>Germany|Computer Science|Non-EU international</v>
      </c>
    </row>
    <row r="75" customFormat="false" ht="15" hidden="false" customHeight="false" outlineLevel="0" collapsed="false">
      <c r="A75" s="13" t="s">
        <v>394</v>
      </c>
      <c r="B75" s="13" t="s">
        <v>361</v>
      </c>
      <c r="C75" s="13" t="s">
        <v>43</v>
      </c>
      <c r="D75" s="13" t="s">
        <v>395</v>
      </c>
      <c r="E75" s="13" t="s">
        <v>396</v>
      </c>
      <c r="F75" s="13" t="s">
        <v>114</v>
      </c>
      <c r="G75" s="13" t="s">
        <v>364</v>
      </c>
      <c r="H75" s="13" t="s">
        <v>116</v>
      </c>
      <c r="I75" s="13" t="s">
        <v>397</v>
      </c>
      <c r="J75" s="23" t="n">
        <v>2026</v>
      </c>
      <c r="K75" s="23" t="n">
        <v>3</v>
      </c>
      <c r="L75" s="24" t="n">
        <v>4000</v>
      </c>
      <c r="M75" s="24"/>
      <c r="N75" s="24"/>
      <c r="O75" s="24"/>
      <c r="P75" s="24"/>
      <c r="Q75" s="24"/>
      <c r="R75" s="24"/>
      <c r="S75" s="24" t="n">
        <v>194</v>
      </c>
      <c r="T75" s="24" t="n">
        <v>0</v>
      </c>
      <c r="U75" s="24" t="n">
        <v>0</v>
      </c>
      <c r="V75" s="24" t="n">
        <v>0</v>
      </c>
      <c r="W75" s="24" t="n">
        <v>0</v>
      </c>
      <c r="X75" s="13" t="s">
        <v>365</v>
      </c>
      <c r="Y75" s="13" t="s">
        <v>119</v>
      </c>
      <c r="Z75" s="13" t="s">
        <v>119</v>
      </c>
      <c r="AA75" s="13" t="s">
        <v>398</v>
      </c>
      <c r="AB75" s="13" t="s">
        <v>399</v>
      </c>
      <c r="AC75" s="13" t="s">
        <v>123</v>
      </c>
      <c r="AD75" s="13" t="s">
        <v>167</v>
      </c>
      <c r="AE75" s="13" t="s">
        <v>400</v>
      </c>
      <c r="AF75" s="13" t="s">
        <v>401</v>
      </c>
      <c r="AG75" s="25" t="str">
        <f aca="false">B75&amp;"|"&amp;C75&amp;"|"&amp;G75&amp;"|"&amp;E75</f>
        <v>Germany|Computer Science|Non-EU international|Technical University of Munich (TUM)</v>
      </c>
      <c r="AH75" s="25" t="str">
        <f aca="false">B75&amp;"|"&amp;C75&amp;"|"&amp;G75</f>
        <v>Germany|Computer Science|Non-EU international</v>
      </c>
    </row>
    <row r="76" customFormat="false" ht="15" hidden="false" customHeight="false" outlineLevel="0" collapsed="false">
      <c r="A76" s="13" t="s">
        <v>402</v>
      </c>
      <c r="B76" s="13" t="s">
        <v>361</v>
      </c>
      <c r="C76" s="13" t="s">
        <v>111</v>
      </c>
      <c r="D76" s="13" t="s">
        <v>386</v>
      </c>
      <c r="E76" s="13" t="s">
        <v>396</v>
      </c>
      <c r="F76" s="13" t="s">
        <v>114</v>
      </c>
      <c r="G76" s="13" t="s">
        <v>364</v>
      </c>
      <c r="H76" s="13" t="s">
        <v>116</v>
      </c>
      <c r="I76" s="13" t="s">
        <v>397</v>
      </c>
      <c r="J76" s="23" t="n">
        <v>2026</v>
      </c>
      <c r="K76" s="23" t="n">
        <v>3</v>
      </c>
      <c r="L76" s="24" t="n">
        <v>4000</v>
      </c>
      <c r="M76" s="24"/>
      <c r="N76" s="24"/>
      <c r="O76" s="24"/>
      <c r="P76" s="24"/>
      <c r="Q76" s="24"/>
      <c r="R76" s="24"/>
      <c r="S76" s="24" t="n">
        <v>194</v>
      </c>
      <c r="T76" s="24" t="n">
        <v>0</v>
      </c>
      <c r="U76" s="24" t="n">
        <v>0</v>
      </c>
      <c r="V76" s="24" t="n">
        <v>0</v>
      </c>
      <c r="W76" s="24" t="n">
        <v>0</v>
      </c>
      <c r="X76" s="13" t="s">
        <v>365</v>
      </c>
      <c r="Y76" s="13" t="s">
        <v>119</v>
      </c>
      <c r="Z76" s="13" t="s">
        <v>119</v>
      </c>
      <c r="AA76" s="13" t="s">
        <v>398</v>
      </c>
      <c r="AB76" s="13" t="s">
        <v>399</v>
      </c>
      <c r="AC76" s="13" t="s">
        <v>123</v>
      </c>
      <c r="AD76" s="13" t="s">
        <v>167</v>
      </c>
      <c r="AE76" s="13" t="s">
        <v>400</v>
      </c>
      <c r="AF76" s="13" t="s">
        <v>401</v>
      </c>
      <c r="AG76" s="25" t="str">
        <f aca="false">B76&amp;"|"&amp;C76&amp;"|"&amp;G76&amp;"|"&amp;E76</f>
        <v>Germany|Mechanical Engineering|Non-EU international|Technical University of Munich (TUM)</v>
      </c>
      <c r="AH76" s="25" t="str">
        <f aca="false">B76&amp;"|"&amp;C76&amp;"|"&amp;G76</f>
        <v>Germany|Mechanical Engineering|Non-EU international</v>
      </c>
    </row>
    <row r="77" customFormat="false" ht="15" hidden="false" customHeight="false" outlineLevel="0" collapsed="false">
      <c r="A77" s="13" t="s">
        <v>403</v>
      </c>
      <c r="B77" s="13" t="s">
        <v>361</v>
      </c>
      <c r="C77" s="13" t="s">
        <v>45</v>
      </c>
      <c r="D77" s="13" t="s">
        <v>404</v>
      </c>
      <c r="E77" s="13" t="s">
        <v>396</v>
      </c>
      <c r="F77" s="13" t="s">
        <v>114</v>
      </c>
      <c r="G77" s="13" t="s">
        <v>364</v>
      </c>
      <c r="H77" s="13" t="s">
        <v>116</v>
      </c>
      <c r="I77" s="13" t="s">
        <v>397</v>
      </c>
      <c r="J77" s="23" t="n">
        <v>2026</v>
      </c>
      <c r="K77" s="23" t="n">
        <v>3</v>
      </c>
      <c r="L77" s="24" t="n">
        <v>4000</v>
      </c>
      <c r="M77" s="24"/>
      <c r="N77" s="24"/>
      <c r="O77" s="24"/>
      <c r="P77" s="24"/>
      <c r="Q77" s="24"/>
      <c r="R77" s="24"/>
      <c r="S77" s="24" t="n">
        <v>194</v>
      </c>
      <c r="T77" s="24" t="n">
        <v>0</v>
      </c>
      <c r="U77" s="24" t="n">
        <v>0</v>
      </c>
      <c r="V77" s="24" t="n">
        <v>0</v>
      </c>
      <c r="W77" s="24" t="n">
        <v>0</v>
      </c>
      <c r="X77" s="13" t="s">
        <v>365</v>
      </c>
      <c r="Y77" s="13" t="s">
        <v>119</v>
      </c>
      <c r="Z77" s="13" t="s">
        <v>119</v>
      </c>
      <c r="AA77" s="13" t="s">
        <v>398</v>
      </c>
      <c r="AB77" s="13" t="s">
        <v>399</v>
      </c>
      <c r="AC77" s="13" t="s">
        <v>123</v>
      </c>
      <c r="AD77" s="13" t="s">
        <v>167</v>
      </c>
      <c r="AE77" s="13" t="s">
        <v>400</v>
      </c>
      <c r="AF77" s="13" t="s">
        <v>401</v>
      </c>
      <c r="AG77" s="25" t="str">
        <f aca="false">B77&amp;"|"&amp;C77&amp;"|"&amp;G77&amp;"|"&amp;E77</f>
        <v>Germany|Business Administration|Non-EU international|Technical University of Munich (TUM)</v>
      </c>
      <c r="AH77" s="25" t="str">
        <f aca="false">B77&amp;"|"&amp;C77&amp;"|"&amp;G77</f>
        <v>Germany|Business Administration|Non-EU international</v>
      </c>
    </row>
    <row r="78" customFormat="false" ht="15" hidden="false" customHeight="false" outlineLevel="0" collapsed="false">
      <c r="AG78" s="13" t="str">
        <f aca="false">IF(B78="","",B78&amp;"|"&amp;C78&amp;"|"&amp;G78&amp;"|"&amp;E78)</f>
        <v/>
      </c>
      <c r="AH78" s="13" t="str">
        <f aca="false">IF(B78="","",B78&amp;"|"&amp;C78&amp;"|"&amp;G78)</f>
        <v/>
      </c>
    </row>
    <row r="79" customFormat="false" ht="15" hidden="false" customHeight="false" outlineLevel="0" collapsed="false">
      <c r="AG79" s="13" t="str">
        <f aca="false">IF(B79="","",B79&amp;"|"&amp;C79&amp;"|"&amp;G79&amp;"|"&amp;E79)</f>
        <v/>
      </c>
      <c r="AH79" s="13" t="str">
        <f aca="false">IF(B79="","",B79&amp;"|"&amp;C79&amp;"|"&amp;G79)</f>
        <v/>
      </c>
    </row>
    <row r="80" customFormat="false" ht="15" hidden="false" customHeight="false" outlineLevel="0" collapsed="false">
      <c r="AG80" s="13" t="str">
        <f aca="false">IF(B80="","",B80&amp;"|"&amp;C80&amp;"|"&amp;G80&amp;"|"&amp;E80)</f>
        <v/>
      </c>
      <c r="AH80" s="13" t="str">
        <f aca="false">IF(B80="","",B80&amp;"|"&amp;C80&amp;"|"&amp;G80)</f>
        <v/>
      </c>
    </row>
    <row r="81" customFormat="false" ht="15" hidden="false" customHeight="false" outlineLevel="0" collapsed="false">
      <c r="AG81" s="13" t="str">
        <f aca="false">IF(B81="","",B81&amp;"|"&amp;C81&amp;"|"&amp;G81&amp;"|"&amp;E81)</f>
        <v/>
      </c>
      <c r="AH81" s="13" t="str">
        <f aca="false">IF(B81="","",B81&amp;"|"&amp;C81&amp;"|"&amp;G81)</f>
        <v/>
      </c>
    </row>
    <row r="82" customFormat="false" ht="15" hidden="false" customHeight="false" outlineLevel="0" collapsed="false">
      <c r="AG82" s="13" t="str">
        <f aca="false">IF(B82="","",B82&amp;"|"&amp;C82&amp;"|"&amp;G82&amp;"|"&amp;E82)</f>
        <v/>
      </c>
      <c r="AH82" s="13" t="str">
        <f aca="false">IF(B82="","",B82&amp;"|"&amp;C82&amp;"|"&amp;G82)</f>
        <v/>
      </c>
    </row>
    <row r="83" customFormat="false" ht="15" hidden="false" customHeight="false" outlineLevel="0" collapsed="false">
      <c r="AG83" s="13" t="str">
        <f aca="false">IF(B83="","",B83&amp;"|"&amp;C83&amp;"|"&amp;G83&amp;"|"&amp;E83)</f>
        <v/>
      </c>
      <c r="AH83" s="13" t="str">
        <f aca="false">IF(B83="","",B83&amp;"|"&amp;C83&amp;"|"&amp;G83)</f>
        <v/>
      </c>
    </row>
    <row r="84" customFormat="false" ht="15" hidden="false" customHeight="false" outlineLevel="0" collapsed="false">
      <c r="AG84" s="13" t="str">
        <f aca="false">IF(B84="","",B84&amp;"|"&amp;C84&amp;"|"&amp;G84&amp;"|"&amp;E84)</f>
        <v/>
      </c>
      <c r="AH84" s="13" t="str">
        <f aca="false">IF(B84="","",B84&amp;"|"&amp;C84&amp;"|"&amp;G84)</f>
        <v/>
      </c>
    </row>
    <row r="85" customFormat="false" ht="15" hidden="false" customHeight="false" outlineLevel="0" collapsed="false">
      <c r="AG85" s="13" t="str">
        <f aca="false">IF(B85="","",B85&amp;"|"&amp;C85&amp;"|"&amp;G85&amp;"|"&amp;E85)</f>
        <v/>
      </c>
      <c r="AH85" s="13" t="str">
        <f aca="false">IF(B85="","",B85&amp;"|"&amp;C85&amp;"|"&amp;G85)</f>
        <v/>
      </c>
    </row>
    <row r="86" customFormat="false" ht="15" hidden="false" customHeight="false" outlineLevel="0" collapsed="false">
      <c r="AG86" s="13" t="str">
        <f aca="false">IF(B86="","",B86&amp;"|"&amp;C86&amp;"|"&amp;G86&amp;"|"&amp;E86)</f>
        <v/>
      </c>
      <c r="AH86" s="13" t="str">
        <f aca="false">IF(B86="","",B86&amp;"|"&amp;C86&amp;"|"&amp;G86)</f>
        <v/>
      </c>
    </row>
    <row r="87" customFormat="false" ht="15" hidden="false" customHeight="false" outlineLevel="0" collapsed="false">
      <c r="AG87" s="13" t="str">
        <f aca="false">IF(B87="","",B87&amp;"|"&amp;C87&amp;"|"&amp;G87&amp;"|"&amp;E87)</f>
        <v/>
      </c>
      <c r="AH87" s="13" t="str">
        <f aca="false">IF(B87="","",B87&amp;"|"&amp;C87&amp;"|"&amp;G87)</f>
        <v/>
      </c>
    </row>
    <row r="88" customFormat="false" ht="15" hidden="false" customHeight="false" outlineLevel="0" collapsed="false">
      <c r="AG88" s="13" t="str">
        <f aca="false">IF(B88="","",B88&amp;"|"&amp;C88&amp;"|"&amp;G88&amp;"|"&amp;E88)</f>
        <v/>
      </c>
      <c r="AH88" s="13" t="str">
        <f aca="false">IF(B88="","",B88&amp;"|"&amp;C88&amp;"|"&amp;G88)</f>
        <v/>
      </c>
    </row>
    <row r="89" customFormat="false" ht="15" hidden="false" customHeight="false" outlineLevel="0" collapsed="false">
      <c r="AG89" s="13" t="str">
        <f aca="false">IF(B89="","",B89&amp;"|"&amp;C89&amp;"|"&amp;G89&amp;"|"&amp;E89)</f>
        <v/>
      </c>
      <c r="AH89" s="13" t="str">
        <f aca="false">IF(B89="","",B89&amp;"|"&amp;C89&amp;"|"&amp;G89)</f>
        <v/>
      </c>
    </row>
    <row r="90" customFormat="false" ht="15" hidden="false" customHeight="false" outlineLevel="0" collapsed="false">
      <c r="AG90" s="13" t="str">
        <f aca="false">IF(B90="","",B90&amp;"|"&amp;C90&amp;"|"&amp;G90&amp;"|"&amp;E90)</f>
        <v/>
      </c>
      <c r="AH90" s="13" t="str">
        <f aca="false">IF(B90="","",B90&amp;"|"&amp;C90&amp;"|"&amp;G90)</f>
        <v/>
      </c>
    </row>
    <row r="91" customFormat="false" ht="15" hidden="false" customHeight="false" outlineLevel="0" collapsed="false">
      <c r="AG91" s="13" t="str">
        <f aca="false">IF(B91="","",B91&amp;"|"&amp;C91&amp;"|"&amp;G91&amp;"|"&amp;E91)</f>
        <v/>
      </c>
      <c r="AH91" s="13" t="str">
        <f aca="false">IF(B91="","",B91&amp;"|"&amp;C91&amp;"|"&amp;G91)</f>
        <v/>
      </c>
    </row>
    <row r="92" customFormat="false" ht="15" hidden="false" customHeight="false" outlineLevel="0" collapsed="false">
      <c r="AG92" s="13" t="str">
        <f aca="false">IF(B92="","",B92&amp;"|"&amp;C92&amp;"|"&amp;G92&amp;"|"&amp;E92)</f>
        <v/>
      </c>
      <c r="AH92" s="13" t="str">
        <f aca="false">IF(B92="","",B92&amp;"|"&amp;C92&amp;"|"&amp;G92)</f>
        <v/>
      </c>
    </row>
    <row r="93" customFormat="false" ht="15" hidden="false" customHeight="false" outlineLevel="0" collapsed="false">
      <c r="AG93" s="13" t="str">
        <f aca="false">IF(B93="","",B93&amp;"|"&amp;C93&amp;"|"&amp;G93&amp;"|"&amp;E93)</f>
        <v/>
      </c>
      <c r="AH93" s="13" t="str">
        <f aca="false">IF(B93="","",B93&amp;"|"&amp;C93&amp;"|"&amp;G93)</f>
        <v/>
      </c>
    </row>
    <row r="94" customFormat="false" ht="15" hidden="false" customHeight="false" outlineLevel="0" collapsed="false">
      <c r="AG94" s="13" t="str">
        <f aca="false">IF(B94="","",B94&amp;"|"&amp;C94&amp;"|"&amp;G94&amp;"|"&amp;E94)</f>
        <v/>
      </c>
      <c r="AH94" s="13" t="str">
        <f aca="false">IF(B94="","",B94&amp;"|"&amp;C94&amp;"|"&amp;G94)</f>
        <v/>
      </c>
    </row>
    <row r="95" customFormat="false" ht="15" hidden="false" customHeight="false" outlineLevel="0" collapsed="false">
      <c r="AG95" s="13" t="str">
        <f aca="false">IF(B95="","",B95&amp;"|"&amp;C95&amp;"|"&amp;G95&amp;"|"&amp;E95)</f>
        <v/>
      </c>
      <c r="AH95" s="13" t="str">
        <f aca="false">IF(B95="","",B95&amp;"|"&amp;C95&amp;"|"&amp;G95)</f>
        <v/>
      </c>
    </row>
    <row r="96" customFormat="false" ht="15" hidden="false" customHeight="false" outlineLevel="0" collapsed="false">
      <c r="AG96" s="13" t="str">
        <f aca="false">IF(B96="","",B96&amp;"|"&amp;C96&amp;"|"&amp;G96&amp;"|"&amp;E96)</f>
        <v/>
      </c>
      <c r="AH96" s="13" t="str">
        <f aca="false">IF(B96="","",B96&amp;"|"&amp;C96&amp;"|"&amp;G96)</f>
        <v/>
      </c>
    </row>
    <row r="97" customFormat="false" ht="15" hidden="false" customHeight="false" outlineLevel="0" collapsed="false">
      <c r="AG97" s="13" t="str">
        <f aca="false">IF(B97="","",B97&amp;"|"&amp;C97&amp;"|"&amp;G97&amp;"|"&amp;E97)</f>
        <v/>
      </c>
      <c r="AH97" s="13" t="str">
        <f aca="false">IF(B97="","",B97&amp;"|"&amp;C97&amp;"|"&amp;G97)</f>
        <v/>
      </c>
    </row>
    <row r="98" customFormat="false" ht="15" hidden="false" customHeight="false" outlineLevel="0" collapsed="false">
      <c r="AG98" s="13" t="str">
        <f aca="false">IF(B98="","",B98&amp;"|"&amp;C98&amp;"|"&amp;G98&amp;"|"&amp;E98)</f>
        <v/>
      </c>
      <c r="AH98" s="13" t="str">
        <f aca="false">IF(B98="","",B98&amp;"|"&amp;C98&amp;"|"&amp;G98)</f>
        <v/>
      </c>
    </row>
    <row r="99" customFormat="false" ht="15" hidden="false" customHeight="false" outlineLevel="0" collapsed="false">
      <c r="AG99" s="13" t="str">
        <f aca="false">IF(B99="","",B99&amp;"|"&amp;C99&amp;"|"&amp;G99&amp;"|"&amp;E99)</f>
        <v/>
      </c>
      <c r="AH99" s="13" t="str">
        <f aca="false">IF(B99="","",B99&amp;"|"&amp;C99&amp;"|"&amp;G99)</f>
        <v/>
      </c>
    </row>
    <row r="100" customFormat="false" ht="15" hidden="false" customHeight="false" outlineLevel="0" collapsed="false">
      <c r="AG100" s="13" t="str">
        <f aca="false">IF(B100="","",B100&amp;"|"&amp;C100&amp;"|"&amp;G100&amp;"|"&amp;E100)</f>
        <v/>
      </c>
      <c r="AH100" s="13" t="str">
        <f aca="false">IF(B100="","",B100&amp;"|"&amp;C100&amp;"|"&amp;G100)</f>
        <v/>
      </c>
    </row>
    <row r="101" customFormat="false" ht="15" hidden="false" customHeight="false" outlineLevel="0" collapsed="false">
      <c r="AG101" s="13" t="str">
        <f aca="false">IF(B101="","",B101&amp;"|"&amp;C101&amp;"|"&amp;G101&amp;"|"&amp;E101)</f>
        <v/>
      </c>
      <c r="AH101" s="13" t="str">
        <f aca="false">IF(B101="","",B101&amp;"|"&amp;C101&amp;"|"&amp;G101)</f>
        <v/>
      </c>
    </row>
    <row r="102" customFormat="false" ht="15" hidden="false" customHeight="false" outlineLevel="0" collapsed="false">
      <c r="AG102" s="13" t="str">
        <f aca="false">IF(B102="","",B102&amp;"|"&amp;C102&amp;"|"&amp;G102&amp;"|"&amp;E102)</f>
        <v/>
      </c>
      <c r="AH102" s="13" t="str">
        <f aca="false">IF(B102="","",B102&amp;"|"&amp;C102&amp;"|"&amp;G102)</f>
        <v/>
      </c>
    </row>
    <row r="103" customFormat="false" ht="15" hidden="false" customHeight="false" outlineLevel="0" collapsed="false">
      <c r="AG103" s="13" t="str">
        <f aca="false">IF(B103="","",B103&amp;"|"&amp;C103&amp;"|"&amp;G103&amp;"|"&amp;E103)</f>
        <v/>
      </c>
      <c r="AH103" s="13" t="str">
        <f aca="false">IF(B103="","",B103&amp;"|"&amp;C103&amp;"|"&amp;G103)</f>
        <v/>
      </c>
    </row>
    <row r="104" customFormat="false" ht="15" hidden="false" customHeight="false" outlineLevel="0" collapsed="false">
      <c r="AG104" s="13" t="str">
        <f aca="false">IF(B104="","",B104&amp;"|"&amp;C104&amp;"|"&amp;G104&amp;"|"&amp;E104)</f>
        <v/>
      </c>
      <c r="AH104" s="13" t="str">
        <f aca="false">IF(B104="","",B104&amp;"|"&amp;C104&amp;"|"&amp;G104)</f>
        <v/>
      </c>
    </row>
    <row r="105" customFormat="false" ht="15" hidden="false" customHeight="false" outlineLevel="0" collapsed="false">
      <c r="AG105" s="13" t="str">
        <f aca="false">IF(B105="","",B105&amp;"|"&amp;C105&amp;"|"&amp;G105&amp;"|"&amp;E105)</f>
        <v/>
      </c>
      <c r="AH105" s="13" t="str">
        <f aca="false">IF(B105="","",B105&amp;"|"&amp;C105&amp;"|"&amp;G105)</f>
        <v/>
      </c>
    </row>
    <row r="106" customFormat="false" ht="15" hidden="false" customHeight="false" outlineLevel="0" collapsed="false">
      <c r="AG106" s="13" t="str">
        <f aca="false">IF(B106="","",B106&amp;"|"&amp;C106&amp;"|"&amp;G106&amp;"|"&amp;E106)</f>
        <v/>
      </c>
      <c r="AH106" s="13" t="str">
        <f aca="false">IF(B106="","",B106&amp;"|"&amp;C106&amp;"|"&amp;G106)</f>
        <v/>
      </c>
    </row>
    <row r="107" customFormat="false" ht="15" hidden="false" customHeight="false" outlineLevel="0" collapsed="false">
      <c r="AG107" s="13" t="str">
        <f aca="false">IF(B107="","",B107&amp;"|"&amp;C107&amp;"|"&amp;G107&amp;"|"&amp;E107)</f>
        <v/>
      </c>
      <c r="AH107" s="13" t="str">
        <f aca="false">IF(B107="","",B107&amp;"|"&amp;C107&amp;"|"&amp;G107)</f>
        <v/>
      </c>
    </row>
    <row r="108" customFormat="false" ht="15" hidden="false" customHeight="false" outlineLevel="0" collapsed="false">
      <c r="AG108" s="13" t="str">
        <f aca="false">IF(B108="","",B108&amp;"|"&amp;C108&amp;"|"&amp;G108&amp;"|"&amp;E108)</f>
        <v/>
      </c>
      <c r="AH108" s="13" t="str">
        <f aca="false">IF(B108="","",B108&amp;"|"&amp;C108&amp;"|"&amp;G108)</f>
        <v/>
      </c>
    </row>
    <row r="109" customFormat="false" ht="15" hidden="false" customHeight="false" outlineLevel="0" collapsed="false">
      <c r="AG109" s="13" t="str">
        <f aca="false">IF(B109="","",B109&amp;"|"&amp;C109&amp;"|"&amp;G109&amp;"|"&amp;E109)</f>
        <v/>
      </c>
      <c r="AH109" s="13" t="str">
        <f aca="false">IF(B109="","",B109&amp;"|"&amp;C109&amp;"|"&amp;G109)</f>
        <v/>
      </c>
    </row>
    <row r="110" customFormat="false" ht="15" hidden="false" customHeight="false" outlineLevel="0" collapsed="false">
      <c r="AG110" s="13" t="str">
        <f aca="false">IF(B110="","",B110&amp;"|"&amp;C110&amp;"|"&amp;G110&amp;"|"&amp;E110)</f>
        <v/>
      </c>
      <c r="AH110" s="13" t="str">
        <f aca="false">IF(B110="","",B110&amp;"|"&amp;C110&amp;"|"&amp;G110)</f>
        <v/>
      </c>
    </row>
    <row r="111" customFormat="false" ht="15" hidden="false" customHeight="false" outlineLevel="0" collapsed="false">
      <c r="AG111" s="13" t="str">
        <f aca="false">IF(B111="","",B111&amp;"|"&amp;C111&amp;"|"&amp;G111&amp;"|"&amp;E111)</f>
        <v/>
      </c>
      <c r="AH111" s="13" t="str">
        <f aca="false">IF(B111="","",B111&amp;"|"&amp;C111&amp;"|"&amp;G111)</f>
        <v/>
      </c>
    </row>
    <row r="112" customFormat="false" ht="15" hidden="false" customHeight="false" outlineLevel="0" collapsed="false">
      <c r="AG112" s="13" t="str">
        <f aca="false">IF(B112="","",B112&amp;"|"&amp;C112&amp;"|"&amp;G112&amp;"|"&amp;E112)</f>
        <v/>
      </c>
      <c r="AH112" s="13" t="str">
        <f aca="false">IF(B112="","",B112&amp;"|"&amp;C112&amp;"|"&amp;G112)</f>
        <v/>
      </c>
    </row>
    <row r="113" customFormat="false" ht="15" hidden="false" customHeight="false" outlineLevel="0" collapsed="false">
      <c r="AG113" s="13" t="str">
        <f aca="false">IF(B113="","",B113&amp;"|"&amp;C113&amp;"|"&amp;G113&amp;"|"&amp;E113)</f>
        <v/>
      </c>
      <c r="AH113" s="13" t="str">
        <f aca="false">IF(B113="","",B113&amp;"|"&amp;C113&amp;"|"&amp;G113)</f>
        <v/>
      </c>
    </row>
    <row r="114" customFormat="false" ht="15" hidden="false" customHeight="false" outlineLevel="0" collapsed="false">
      <c r="AG114" s="13" t="str">
        <f aca="false">IF(B114="","",B114&amp;"|"&amp;C114&amp;"|"&amp;G114&amp;"|"&amp;E114)</f>
        <v/>
      </c>
      <c r="AH114" s="13" t="str">
        <f aca="false">IF(B114="","",B114&amp;"|"&amp;C114&amp;"|"&amp;G114)</f>
        <v/>
      </c>
    </row>
    <row r="115" customFormat="false" ht="15" hidden="false" customHeight="false" outlineLevel="0" collapsed="false">
      <c r="AG115" s="13" t="str">
        <f aca="false">IF(B115="","",B115&amp;"|"&amp;C115&amp;"|"&amp;G115&amp;"|"&amp;E115)</f>
        <v/>
      </c>
      <c r="AH115" s="13" t="str">
        <f aca="false">IF(B115="","",B115&amp;"|"&amp;C115&amp;"|"&amp;G115)</f>
        <v/>
      </c>
    </row>
    <row r="116" customFormat="false" ht="15" hidden="false" customHeight="false" outlineLevel="0" collapsed="false">
      <c r="AG116" s="13" t="str">
        <f aca="false">IF(B116="","",B116&amp;"|"&amp;C116&amp;"|"&amp;G116&amp;"|"&amp;E116)</f>
        <v/>
      </c>
      <c r="AH116" s="13" t="str">
        <f aca="false">IF(B116="","",B116&amp;"|"&amp;C116&amp;"|"&amp;G116)</f>
        <v/>
      </c>
    </row>
    <row r="117" customFormat="false" ht="15" hidden="false" customHeight="false" outlineLevel="0" collapsed="false">
      <c r="AG117" s="13" t="str">
        <f aca="false">IF(B117="","",B117&amp;"|"&amp;C117&amp;"|"&amp;G117&amp;"|"&amp;E117)</f>
        <v/>
      </c>
      <c r="AH117" s="13" t="str">
        <f aca="false">IF(B117="","",B117&amp;"|"&amp;C117&amp;"|"&amp;G117)</f>
        <v/>
      </c>
    </row>
    <row r="118" customFormat="false" ht="15" hidden="false" customHeight="false" outlineLevel="0" collapsed="false">
      <c r="AG118" s="13" t="str">
        <f aca="false">IF(B118="","",B118&amp;"|"&amp;C118&amp;"|"&amp;G118&amp;"|"&amp;E118)</f>
        <v/>
      </c>
      <c r="AH118" s="13" t="str">
        <f aca="false">IF(B118="","",B118&amp;"|"&amp;C118&amp;"|"&amp;G118)</f>
        <v/>
      </c>
    </row>
    <row r="119" customFormat="false" ht="15" hidden="false" customHeight="false" outlineLevel="0" collapsed="false">
      <c r="AG119" s="13" t="str">
        <f aca="false">IF(B119="","",B119&amp;"|"&amp;C119&amp;"|"&amp;G119&amp;"|"&amp;E119)</f>
        <v/>
      </c>
      <c r="AH119" s="13" t="str">
        <f aca="false">IF(B119="","",B119&amp;"|"&amp;C119&amp;"|"&amp;G119)</f>
        <v/>
      </c>
    </row>
    <row r="120" customFormat="false" ht="15" hidden="false" customHeight="false" outlineLevel="0" collapsed="false">
      <c r="AG120" s="13" t="str">
        <f aca="false">IF(B120="","",B120&amp;"|"&amp;C120&amp;"|"&amp;G120&amp;"|"&amp;E120)</f>
        <v/>
      </c>
      <c r="AH120" s="13" t="str">
        <f aca="false">IF(B120="","",B120&amp;"|"&amp;C120&amp;"|"&amp;G120)</f>
        <v/>
      </c>
    </row>
    <row r="121" customFormat="false" ht="15" hidden="false" customHeight="false" outlineLevel="0" collapsed="false">
      <c r="AG121" s="13" t="str">
        <f aca="false">IF(B121="","",B121&amp;"|"&amp;C121&amp;"|"&amp;G121&amp;"|"&amp;E121)</f>
        <v/>
      </c>
      <c r="AH121" s="13" t="str">
        <f aca="false">IF(B121="","",B121&amp;"|"&amp;C121&amp;"|"&amp;G121)</f>
        <v/>
      </c>
    </row>
    <row r="122" customFormat="false" ht="15" hidden="false" customHeight="false" outlineLevel="0" collapsed="false">
      <c r="AG122" s="13" t="str">
        <f aca="false">IF(B122="","",B122&amp;"|"&amp;C122&amp;"|"&amp;G122&amp;"|"&amp;E122)</f>
        <v/>
      </c>
      <c r="AH122" s="13" t="str">
        <f aca="false">IF(B122="","",B122&amp;"|"&amp;C122&amp;"|"&amp;G122)</f>
        <v/>
      </c>
    </row>
    <row r="123" customFormat="false" ht="15" hidden="false" customHeight="false" outlineLevel="0" collapsed="false">
      <c r="AG123" s="13" t="str">
        <f aca="false">IF(B123="","",B123&amp;"|"&amp;C123&amp;"|"&amp;G123&amp;"|"&amp;E123)</f>
        <v/>
      </c>
      <c r="AH123" s="13" t="str">
        <f aca="false">IF(B123="","",B123&amp;"|"&amp;C123&amp;"|"&amp;G123)</f>
        <v/>
      </c>
    </row>
    <row r="124" customFormat="false" ht="15" hidden="false" customHeight="false" outlineLevel="0" collapsed="false">
      <c r="AG124" s="13" t="str">
        <f aca="false">IF(B124="","",B124&amp;"|"&amp;C124&amp;"|"&amp;G124&amp;"|"&amp;E124)</f>
        <v/>
      </c>
      <c r="AH124" s="13" t="str">
        <f aca="false">IF(B124="","",B124&amp;"|"&amp;C124&amp;"|"&amp;G124)</f>
        <v/>
      </c>
    </row>
    <row r="125" customFormat="false" ht="15" hidden="false" customHeight="false" outlineLevel="0" collapsed="false">
      <c r="AG125" s="13" t="str">
        <f aca="false">IF(B125="","",B125&amp;"|"&amp;C125&amp;"|"&amp;G125&amp;"|"&amp;E125)</f>
        <v/>
      </c>
      <c r="AH125" s="13" t="str">
        <f aca="false">IF(B125="","",B125&amp;"|"&amp;C125&amp;"|"&amp;G125)</f>
        <v/>
      </c>
    </row>
    <row r="126" customFormat="false" ht="15" hidden="false" customHeight="false" outlineLevel="0" collapsed="false">
      <c r="AG126" s="13" t="str">
        <f aca="false">IF(B126="","",B126&amp;"|"&amp;C126&amp;"|"&amp;G126&amp;"|"&amp;E126)</f>
        <v/>
      </c>
      <c r="AH126" s="13" t="str">
        <f aca="false">IF(B126="","",B126&amp;"|"&amp;C126&amp;"|"&amp;G126)</f>
        <v/>
      </c>
    </row>
    <row r="127" customFormat="false" ht="15" hidden="false" customHeight="false" outlineLevel="0" collapsed="false">
      <c r="AG127" s="13" t="str">
        <f aca="false">IF(B127="","",B127&amp;"|"&amp;C127&amp;"|"&amp;G127&amp;"|"&amp;E127)</f>
        <v/>
      </c>
      <c r="AH127" s="13" t="str">
        <f aca="false">IF(B127="","",B127&amp;"|"&amp;C127&amp;"|"&amp;G127)</f>
        <v/>
      </c>
    </row>
    <row r="128" customFormat="false" ht="15" hidden="false" customHeight="false" outlineLevel="0" collapsed="false">
      <c r="AG128" s="13" t="str">
        <f aca="false">IF(B128="","",B128&amp;"|"&amp;C128&amp;"|"&amp;G128&amp;"|"&amp;E128)</f>
        <v/>
      </c>
      <c r="AH128" s="13" t="str">
        <f aca="false">IF(B128="","",B128&amp;"|"&amp;C128&amp;"|"&amp;G128)</f>
        <v/>
      </c>
    </row>
    <row r="129" customFormat="false" ht="15" hidden="false" customHeight="false" outlineLevel="0" collapsed="false">
      <c r="AG129" s="13" t="str">
        <f aca="false">IF(B129="","",B129&amp;"|"&amp;C129&amp;"|"&amp;G129&amp;"|"&amp;E129)</f>
        <v/>
      </c>
      <c r="AH129" s="13" t="str">
        <f aca="false">IF(B129="","",B129&amp;"|"&amp;C129&amp;"|"&amp;G129)</f>
        <v/>
      </c>
    </row>
    <row r="130" customFormat="false" ht="15" hidden="false" customHeight="false" outlineLevel="0" collapsed="false">
      <c r="AG130" s="13" t="str">
        <f aca="false">IF(B130="","",B130&amp;"|"&amp;C130&amp;"|"&amp;G130&amp;"|"&amp;E130)</f>
        <v/>
      </c>
      <c r="AH130" s="13" t="str">
        <f aca="false">IF(B130="","",B130&amp;"|"&amp;C130&amp;"|"&amp;G130)</f>
        <v/>
      </c>
    </row>
    <row r="131" customFormat="false" ht="15" hidden="false" customHeight="false" outlineLevel="0" collapsed="false">
      <c r="AG131" s="13" t="str">
        <f aca="false">IF(B131="","",B131&amp;"|"&amp;C131&amp;"|"&amp;G131&amp;"|"&amp;E131)</f>
        <v/>
      </c>
      <c r="AH131" s="13" t="str">
        <f aca="false">IF(B131="","",B131&amp;"|"&amp;C131&amp;"|"&amp;G131)</f>
        <v/>
      </c>
    </row>
    <row r="132" customFormat="false" ht="15" hidden="false" customHeight="false" outlineLevel="0" collapsed="false">
      <c r="AG132" s="13" t="str">
        <f aca="false">IF(B132="","",B132&amp;"|"&amp;C132&amp;"|"&amp;G132&amp;"|"&amp;E132)</f>
        <v/>
      </c>
      <c r="AH132" s="13" t="str">
        <f aca="false">IF(B132="","",B132&amp;"|"&amp;C132&amp;"|"&amp;G132)</f>
        <v/>
      </c>
    </row>
    <row r="133" customFormat="false" ht="15" hidden="false" customHeight="false" outlineLevel="0" collapsed="false">
      <c r="AG133" s="13" t="str">
        <f aca="false">IF(B133="","",B133&amp;"|"&amp;C133&amp;"|"&amp;G133&amp;"|"&amp;E133)</f>
        <v/>
      </c>
      <c r="AH133" s="13" t="str">
        <f aca="false">IF(B133="","",B133&amp;"|"&amp;C133&amp;"|"&amp;G133)</f>
        <v/>
      </c>
    </row>
    <row r="134" customFormat="false" ht="15" hidden="false" customHeight="false" outlineLevel="0" collapsed="false">
      <c r="AG134" s="13" t="str">
        <f aca="false">IF(B134="","",B134&amp;"|"&amp;C134&amp;"|"&amp;G134&amp;"|"&amp;E134)</f>
        <v/>
      </c>
      <c r="AH134" s="13" t="str">
        <f aca="false">IF(B134="","",B134&amp;"|"&amp;C134&amp;"|"&amp;G134)</f>
        <v/>
      </c>
    </row>
    <row r="135" customFormat="false" ht="15" hidden="false" customHeight="false" outlineLevel="0" collapsed="false">
      <c r="AG135" s="13" t="str">
        <f aca="false">IF(B135="","",B135&amp;"|"&amp;C135&amp;"|"&amp;G135&amp;"|"&amp;E135)</f>
        <v/>
      </c>
      <c r="AH135" s="13" t="str">
        <f aca="false">IF(B135="","",B135&amp;"|"&amp;C135&amp;"|"&amp;G135)</f>
        <v/>
      </c>
    </row>
    <row r="136" customFormat="false" ht="15" hidden="false" customHeight="false" outlineLevel="0" collapsed="false">
      <c r="AG136" s="13" t="str">
        <f aca="false">IF(B136="","",B136&amp;"|"&amp;C136&amp;"|"&amp;G136&amp;"|"&amp;E136)</f>
        <v/>
      </c>
      <c r="AH136" s="13" t="str">
        <f aca="false">IF(B136="","",B136&amp;"|"&amp;C136&amp;"|"&amp;G136)</f>
        <v/>
      </c>
    </row>
    <row r="137" customFormat="false" ht="15" hidden="false" customHeight="false" outlineLevel="0" collapsed="false">
      <c r="AG137" s="13" t="str">
        <f aca="false">IF(B137="","",B137&amp;"|"&amp;C137&amp;"|"&amp;G137&amp;"|"&amp;E137)</f>
        <v/>
      </c>
      <c r="AH137" s="13" t="str">
        <f aca="false">IF(B137="","",B137&amp;"|"&amp;C137&amp;"|"&amp;G137)</f>
        <v/>
      </c>
    </row>
    <row r="138" customFormat="false" ht="15" hidden="false" customHeight="false" outlineLevel="0" collapsed="false">
      <c r="AG138" s="13" t="str">
        <f aca="false">IF(B138="","",B138&amp;"|"&amp;C138&amp;"|"&amp;G138&amp;"|"&amp;E138)</f>
        <v/>
      </c>
      <c r="AH138" s="13" t="str">
        <f aca="false">IF(B138="","",B138&amp;"|"&amp;C138&amp;"|"&amp;G138)</f>
        <v/>
      </c>
    </row>
    <row r="139" customFormat="false" ht="15" hidden="false" customHeight="false" outlineLevel="0" collapsed="false">
      <c r="AG139" s="13" t="str">
        <f aca="false">IF(B139="","",B139&amp;"|"&amp;C139&amp;"|"&amp;G139&amp;"|"&amp;E139)</f>
        <v/>
      </c>
      <c r="AH139" s="13" t="str">
        <f aca="false">IF(B139="","",B139&amp;"|"&amp;C139&amp;"|"&amp;G139)</f>
        <v/>
      </c>
    </row>
    <row r="140" customFormat="false" ht="15" hidden="false" customHeight="false" outlineLevel="0" collapsed="false">
      <c r="AG140" s="13" t="str">
        <f aca="false">IF(B140="","",B140&amp;"|"&amp;C140&amp;"|"&amp;G140&amp;"|"&amp;E140)</f>
        <v/>
      </c>
      <c r="AH140" s="13" t="str">
        <f aca="false">IF(B140="","",B140&amp;"|"&amp;C140&amp;"|"&amp;G140)</f>
        <v/>
      </c>
    </row>
    <row r="141" customFormat="false" ht="15" hidden="false" customHeight="false" outlineLevel="0" collapsed="false">
      <c r="AG141" s="13" t="str">
        <f aca="false">IF(B141="","",B141&amp;"|"&amp;C141&amp;"|"&amp;G141&amp;"|"&amp;E141)</f>
        <v/>
      </c>
      <c r="AH141" s="13" t="str">
        <f aca="false">IF(B141="","",B141&amp;"|"&amp;C141&amp;"|"&amp;G141)</f>
        <v/>
      </c>
    </row>
    <row r="142" customFormat="false" ht="15" hidden="false" customHeight="false" outlineLevel="0" collapsed="false">
      <c r="AG142" s="13" t="str">
        <f aca="false">IF(B142="","",B142&amp;"|"&amp;C142&amp;"|"&amp;G142&amp;"|"&amp;E142)</f>
        <v/>
      </c>
      <c r="AH142" s="13" t="str">
        <f aca="false">IF(B142="","",B142&amp;"|"&amp;C142&amp;"|"&amp;G142)</f>
        <v/>
      </c>
    </row>
    <row r="143" customFormat="false" ht="15" hidden="false" customHeight="false" outlineLevel="0" collapsed="false">
      <c r="AG143" s="13" t="str">
        <f aca="false">IF(B143="","",B143&amp;"|"&amp;C143&amp;"|"&amp;G143&amp;"|"&amp;E143)</f>
        <v/>
      </c>
      <c r="AH143" s="13" t="str">
        <f aca="false">IF(B143="","",B143&amp;"|"&amp;C143&amp;"|"&amp;G143)</f>
        <v/>
      </c>
    </row>
    <row r="144" customFormat="false" ht="15" hidden="false" customHeight="false" outlineLevel="0" collapsed="false">
      <c r="AG144" s="13" t="str">
        <f aca="false">IF(B144="","",B144&amp;"|"&amp;C144&amp;"|"&amp;G144&amp;"|"&amp;E144)</f>
        <v/>
      </c>
      <c r="AH144" s="13" t="str">
        <f aca="false">IF(B144="","",B144&amp;"|"&amp;C144&amp;"|"&amp;G144)</f>
        <v/>
      </c>
    </row>
    <row r="145" customFormat="false" ht="15" hidden="false" customHeight="false" outlineLevel="0" collapsed="false">
      <c r="AG145" s="13" t="str">
        <f aca="false">IF(B145="","",B145&amp;"|"&amp;C145&amp;"|"&amp;G145&amp;"|"&amp;E145)</f>
        <v/>
      </c>
      <c r="AH145" s="13" t="str">
        <f aca="false">IF(B145="","",B145&amp;"|"&amp;C145&amp;"|"&amp;G145)</f>
        <v/>
      </c>
    </row>
    <row r="146" customFormat="false" ht="15" hidden="false" customHeight="false" outlineLevel="0" collapsed="false">
      <c r="AG146" s="13" t="str">
        <f aca="false">IF(B146="","",B146&amp;"|"&amp;C146&amp;"|"&amp;G146&amp;"|"&amp;E146)</f>
        <v/>
      </c>
      <c r="AH146" s="13" t="str">
        <f aca="false">IF(B146="","",B146&amp;"|"&amp;C146&amp;"|"&amp;G146)</f>
        <v/>
      </c>
    </row>
    <row r="147" customFormat="false" ht="15" hidden="false" customHeight="false" outlineLevel="0" collapsed="false">
      <c r="AG147" s="13" t="str">
        <f aca="false">IF(B147="","",B147&amp;"|"&amp;C147&amp;"|"&amp;G147&amp;"|"&amp;E147)</f>
        <v/>
      </c>
      <c r="AH147" s="13" t="str">
        <f aca="false">IF(B147="","",B147&amp;"|"&amp;C147&amp;"|"&amp;G147)</f>
        <v/>
      </c>
    </row>
    <row r="148" customFormat="false" ht="15" hidden="false" customHeight="false" outlineLevel="0" collapsed="false">
      <c r="AG148" s="13" t="str">
        <f aca="false">IF(B148="","",B148&amp;"|"&amp;C148&amp;"|"&amp;G148&amp;"|"&amp;E148)</f>
        <v/>
      </c>
      <c r="AH148" s="13" t="str">
        <f aca="false">IF(B148="","",B148&amp;"|"&amp;C148&amp;"|"&amp;G148)</f>
        <v/>
      </c>
    </row>
    <row r="149" customFormat="false" ht="15" hidden="false" customHeight="false" outlineLevel="0" collapsed="false">
      <c r="AG149" s="13" t="str">
        <f aca="false">IF(B149="","",B149&amp;"|"&amp;C149&amp;"|"&amp;G149&amp;"|"&amp;E149)</f>
        <v/>
      </c>
      <c r="AH149" s="13" t="str">
        <f aca="false">IF(B149="","",B149&amp;"|"&amp;C149&amp;"|"&amp;G149)</f>
        <v/>
      </c>
    </row>
    <row r="150" customFormat="false" ht="15" hidden="false" customHeight="false" outlineLevel="0" collapsed="false">
      <c r="AG150" s="13" t="str">
        <f aca="false">IF(B150="","",B150&amp;"|"&amp;C150&amp;"|"&amp;G150&amp;"|"&amp;E150)</f>
        <v/>
      </c>
      <c r="AH150" s="13" t="str">
        <f aca="false">IF(B150="","",B150&amp;"|"&amp;C150&amp;"|"&amp;G150)</f>
        <v/>
      </c>
    </row>
    <row r="151" customFormat="false" ht="15" hidden="false" customHeight="false" outlineLevel="0" collapsed="false">
      <c r="AG151" s="13" t="str">
        <f aca="false">IF(B151="","",B151&amp;"|"&amp;C151&amp;"|"&amp;G151&amp;"|"&amp;E151)</f>
        <v/>
      </c>
      <c r="AH151" s="13" t="str">
        <f aca="false">IF(B151="","",B151&amp;"|"&amp;C151&amp;"|"&amp;G151)</f>
        <v/>
      </c>
    </row>
    <row r="152" customFormat="false" ht="15" hidden="false" customHeight="false" outlineLevel="0" collapsed="false">
      <c r="AG152" s="13" t="str">
        <f aca="false">IF(B152="","",B152&amp;"|"&amp;C152&amp;"|"&amp;G152&amp;"|"&amp;E152)</f>
        <v/>
      </c>
      <c r="AH152" s="13" t="str">
        <f aca="false">IF(B152="","",B152&amp;"|"&amp;C152&amp;"|"&amp;G152)</f>
        <v/>
      </c>
    </row>
    <row r="153" customFormat="false" ht="15" hidden="false" customHeight="false" outlineLevel="0" collapsed="false">
      <c r="AG153" s="13" t="str">
        <f aca="false">IF(B153="","",B153&amp;"|"&amp;C153&amp;"|"&amp;G153&amp;"|"&amp;E153)</f>
        <v/>
      </c>
      <c r="AH153" s="13" t="str">
        <f aca="false">IF(B153="","",B153&amp;"|"&amp;C153&amp;"|"&amp;G153)</f>
        <v/>
      </c>
    </row>
    <row r="154" customFormat="false" ht="15" hidden="false" customHeight="false" outlineLevel="0" collapsed="false">
      <c r="AG154" s="13" t="str">
        <f aca="false">IF(B154="","",B154&amp;"|"&amp;C154&amp;"|"&amp;G154&amp;"|"&amp;E154)</f>
        <v/>
      </c>
      <c r="AH154" s="13" t="str">
        <f aca="false">IF(B154="","",B154&amp;"|"&amp;C154&amp;"|"&amp;G154)</f>
        <v/>
      </c>
    </row>
    <row r="155" customFormat="false" ht="15" hidden="false" customHeight="false" outlineLevel="0" collapsed="false">
      <c r="AG155" s="13" t="str">
        <f aca="false">IF(B155="","",B155&amp;"|"&amp;C155&amp;"|"&amp;G155&amp;"|"&amp;E155)</f>
        <v/>
      </c>
      <c r="AH155" s="13" t="str">
        <f aca="false">IF(B155="","",B155&amp;"|"&amp;C155&amp;"|"&amp;G155)</f>
        <v/>
      </c>
    </row>
    <row r="156" customFormat="false" ht="15" hidden="false" customHeight="false" outlineLevel="0" collapsed="false">
      <c r="AG156" s="13" t="str">
        <f aca="false">IF(B156="","",B156&amp;"|"&amp;C156&amp;"|"&amp;G156&amp;"|"&amp;E156)</f>
        <v/>
      </c>
      <c r="AH156" s="13" t="str">
        <f aca="false">IF(B156="","",B156&amp;"|"&amp;C156&amp;"|"&amp;G156)</f>
        <v/>
      </c>
    </row>
    <row r="157" customFormat="false" ht="15" hidden="false" customHeight="false" outlineLevel="0" collapsed="false">
      <c r="AG157" s="13" t="str">
        <f aca="false">IF(B157="","",B157&amp;"|"&amp;C157&amp;"|"&amp;G157&amp;"|"&amp;E157)</f>
        <v/>
      </c>
      <c r="AH157" s="13" t="str">
        <f aca="false">IF(B157="","",B157&amp;"|"&amp;C157&amp;"|"&amp;G157)</f>
        <v/>
      </c>
    </row>
    <row r="158" customFormat="false" ht="15" hidden="false" customHeight="false" outlineLevel="0" collapsed="false">
      <c r="AG158" s="13" t="str">
        <f aca="false">IF(B158="","",B158&amp;"|"&amp;C158&amp;"|"&amp;G158&amp;"|"&amp;E158)</f>
        <v/>
      </c>
      <c r="AH158" s="13" t="str">
        <f aca="false">IF(B158="","",B158&amp;"|"&amp;C158&amp;"|"&amp;G158)</f>
        <v/>
      </c>
    </row>
    <row r="159" customFormat="false" ht="15" hidden="false" customHeight="false" outlineLevel="0" collapsed="false">
      <c r="AG159" s="13" t="str">
        <f aca="false">IF(B159="","",B159&amp;"|"&amp;C159&amp;"|"&amp;G159&amp;"|"&amp;E159)</f>
        <v/>
      </c>
      <c r="AH159" s="13" t="str">
        <f aca="false">IF(B159="","",B159&amp;"|"&amp;C159&amp;"|"&amp;G159)</f>
        <v/>
      </c>
    </row>
    <row r="160" customFormat="false" ht="15" hidden="false" customHeight="false" outlineLevel="0" collapsed="false">
      <c r="AG160" s="13" t="str">
        <f aca="false">IF(B160="","",B160&amp;"|"&amp;C160&amp;"|"&amp;G160&amp;"|"&amp;E160)</f>
        <v/>
      </c>
      <c r="AH160" s="13" t="str">
        <f aca="false">IF(B160="","",B160&amp;"|"&amp;C160&amp;"|"&amp;G160)</f>
        <v/>
      </c>
    </row>
    <row r="161" customFormat="false" ht="15" hidden="false" customHeight="false" outlineLevel="0" collapsed="false">
      <c r="AG161" s="13" t="str">
        <f aca="false">IF(B161="","",B161&amp;"|"&amp;C161&amp;"|"&amp;G161&amp;"|"&amp;E161)</f>
        <v/>
      </c>
      <c r="AH161" s="13" t="str">
        <f aca="false">IF(B161="","",B161&amp;"|"&amp;C161&amp;"|"&amp;G161)</f>
        <v/>
      </c>
    </row>
    <row r="162" customFormat="false" ht="15" hidden="false" customHeight="false" outlineLevel="0" collapsed="false">
      <c r="AG162" s="13" t="str">
        <f aca="false">IF(B162="","",B162&amp;"|"&amp;C162&amp;"|"&amp;G162&amp;"|"&amp;E162)</f>
        <v/>
      </c>
      <c r="AH162" s="13" t="str">
        <f aca="false">IF(B162="","",B162&amp;"|"&amp;C162&amp;"|"&amp;G162)</f>
        <v/>
      </c>
    </row>
    <row r="163" customFormat="false" ht="15" hidden="false" customHeight="false" outlineLevel="0" collapsed="false">
      <c r="AG163" s="13" t="str">
        <f aca="false">IF(B163="","",B163&amp;"|"&amp;C163&amp;"|"&amp;G163&amp;"|"&amp;E163)</f>
        <v/>
      </c>
      <c r="AH163" s="13" t="str">
        <f aca="false">IF(B163="","",B163&amp;"|"&amp;C163&amp;"|"&amp;G163)</f>
        <v/>
      </c>
    </row>
    <row r="164" customFormat="false" ht="15" hidden="false" customHeight="false" outlineLevel="0" collapsed="false">
      <c r="AG164" s="13" t="str">
        <f aca="false">IF(B164="","",B164&amp;"|"&amp;C164&amp;"|"&amp;G164&amp;"|"&amp;E164)</f>
        <v/>
      </c>
      <c r="AH164" s="13" t="str">
        <f aca="false">IF(B164="","",B164&amp;"|"&amp;C164&amp;"|"&amp;G164)</f>
        <v/>
      </c>
    </row>
    <row r="165" customFormat="false" ht="15" hidden="false" customHeight="false" outlineLevel="0" collapsed="false">
      <c r="AG165" s="13" t="str">
        <f aca="false">IF(B165="","",B165&amp;"|"&amp;C165&amp;"|"&amp;G165&amp;"|"&amp;E165)</f>
        <v/>
      </c>
      <c r="AH165" s="13" t="str">
        <f aca="false">IF(B165="","",B165&amp;"|"&amp;C165&amp;"|"&amp;G165)</f>
        <v/>
      </c>
    </row>
    <row r="166" customFormat="false" ht="15" hidden="false" customHeight="false" outlineLevel="0" collapsed="false">
      <c r="AG166" s="13" t="str">
        <f aca="false">IF(B166="","",B166&amp;"|"&amp;C166&amp;"|"&amp;G166&amp;"|"&amp;E166)</f>
        <v/>
      </c>
      <c r="AH166" s="13" t="str">
        <f aca="false">IF(B166="","",B166&amp;"|"&amp;C166&amp;"|"&amp;G166)</f>
        <v/>
      </c>
    </row>
    <row r="167" customFormat="false" ht="15" hidden="false" customHeight="false" outlineLevel="0" collapsed="false">
      <c r="AG167" s="13" t="str">
        <f aca="false">IF(B167="","",B167&amp;"|"&amp;C167&amp;"|"&amp;G167&amp;"|"&amp;E167)</f>
        <v/>
      </c>
      <c r="AH167" s="13" t="str">
        <f aca="false">IF(B167="","",B167&amp;"|"&amp;C167&amp;"|"&amp;G167)</f>
        <v/>
      </c>
    </row>
    <row r="168" customFormat="false" ht="15" hidden="false" customHeight="false" outlineLevel="0" collapsed="false">
      <c r="AG168" s="13" t="str">
        <f aca="false">IF(B168="","",B168&amp;"|"&amp;C168&amp;"|"&amp;G168&amp;"|"&amp;E168)</f>
        <v/>
      </c>
      <c r="AH168" s="13" t="str">
        <f aca="false">IF(B168="","",B168&amp;"|"&amp;C168&amp;"|"&amp;G168)</f>
        <v/>
      </c>
    </row>
    <row r="169" customFormat="false" ht="15" hidden="false" customHeight="false" outlineLevel="0" collapsed="false">
      <c r="AG169" s="13" t="str">
        <f aca="false">IF(B169="","",B169&amp;"|"&amp;C169&amp;"|"&amp;G169&amp;"|"&amp;E169)</f>
        <v/>
      </c>
      <c r="AH169" s="13" t="str">
        <f aca="false">IF(B169="","",B169&amp;"|"&amp;C169&amp;"|"&amp;G169)</f>
        <v/>
      </c>
    </row>
    <row r="170" customFormat="false" ht="15" hidden="false" customHeight="false" outlineLevel="0" collapsed="false">
      <c r="AG170" s="13" t="str">
        <f aca="false">IF(B170="","",B170&amp;"|"&amp;C170&amp;"|"&amp;G170&amp;"|"&amp;E170)</f>
        <v/>
      </c>
      <c r="AH170" s="13" t="str">
        <f aca="false">IF(B170="","",B170&amp;"|"&amp;C170&amp;"|"&amp;G170)</f>
        <v/>
      </c>
    </row>
    <row r="171" customFormat="false" ht="15" hidden="false" customHeight="false" outlineLevel="0" collapsed="false">
      <c r="AG171" s="13" t="str">
        <f aca="false">IF(B171="","",B171&amp;"|"&amp;C171&amp;"|"&amp;G171&amp;"|"&amp;E171)</f>
        <v/>
      </c>
      <c r="AH171" s="13" t="str">
        <f aca="false">IF(B171="","",B171&amp;"|"&amp;C171&amp;"|"&amp;G171)</f>
        <v/>
      </c>
    </row>
    <row r="172" customFormat="false" ht="15" hidden="false" customHeight="false" outlineLevel="0" collapsed="false">
      <c r="AG172" s="13" t="str">
        <f aca="false">IF(B172="","",B172&amp;"|"&amp;C172&amp;"|"&amp;G172&amp;"|"&amp;E172)</f>
        <v/>
      </c>
      <c r="AH172" s="13" t="str">
        <f aca="false">IF(B172="","",B172&amp;"|"&amp;C172&amp;"|"&amp;G172)</f>
        <v/>
      </c>
    </row>
    <row r="173" customFormat="false" ht="15" hidden="false" customHeight="false" outlineLevel="0" collapsed="false">
      <c r="AG173" s="13" t="str">
        <f aca="false">IF(B173="","",B173&amp;"|"&amp;C173&amp;"|"&amp;G173&amp;"|"&amp;E173)</f>
        <v/>
      </c>
      <c r="AH173" s="13" t="str">
        <f aca="false">IF(B173="","",B173&amp;"|"&amp;C173&amp;"|"&amp;G173)</f>
        <v/>
      </c>
    </row>
    <row r="174" customFormat="false" ht="15" hidden="false" customHeight="false" outlineLevel="0" collapsed="false">
      <c r="AG174" s="13" t="str">
        <f aca="false">IF(B174="","",B174&amp;"|"&amp;C174&amp;"|"&amp;G174&amp;"|"&amp;E174)</f>
        <v/>
      </c>
      <c r="AH174" s="13" t="str">
        <f aca="false">IF(B174="","",B174&amp;"|"&amp;C174&amp;"|"&amp;G174)</f>
        <v/>
      </c>
    </row>
    <row r="175" customFormat="false" ht="15" hidden="false" customHeight="false" outlineLevel="0" collapsed="false">
      <c r="AG175" s="13" t="str">
        <f aca="false">IF(B175="","",B175&amp;"|"&amp;C175&amp;"|"&amp;G175&amp;"|"&amp;E175)</f>
        <v/>
      </c>
      <c r="AH175" s="13" t="str">
        <f aca="false">IF(B175="","",B175&amp;"|"&amp;C175&amp;"|"&amp;G175)</f>
        <v/>
      </c>
    </row>
    <row r="176" customFormat="false" ht="15" hidden="false" customHeight="false" outlineLevel="0" collapsed="false">
      <c r="AG176" s="13" t="str">
        <f aca="false">IF(B176="","",B176&amp;"|"&amp;C176&amp;"|"&amp;G176&amp;"|"&amp;E176)</f>
        <v/>
      </c>
      <c r="AH176" s="13" t="str">
        <f aca="false">IF(B176="","",B176&amp;"|"&amp;C176&amp;"|"&amp;G176)</f>
        <v/>
      </c>
    </row>
    <row r="177" customFormat="false" ht="15" hidden="false" customHeight="false" outlineLevel="0" collapsed="false">
      <c r="AG177" s="13" t="str">
        <f aca="false">IF(B177="","",B177&amp;"|"&amp;C177&amp;"|"&amp;G177&amp;"|"&amp;E177)</f>
        <v/>
      </c>
      <c r="AH177" s="13" t="str">
        <f aca="false">IF(B177="","",B177&amp;"|"&amp;C177&amp;"|"&amp;G177)</f>
        <v/>
      </c>
    </row>
    <row r="180" customFormat="false" ht="15" hidden="false" customHeight="false" outlineLevel="0" collapsed="false">
      <c r="A180" s="6" t="s">
        <v>405</v>
      </c>
    </row>
    <row r="181" customFormat="false" ht="15" hidden="false" customHeight="false" outlineLevel="0" collapsed="false">
      <c r="A181" s="15" t="s">
        <v>406</v>
      </c>
    </row>
    <row r="182" customFormat="false" ht="54" hidden="false" customHeight="true" outlineLevel="0" collapsed="false">
      <c r="A182" s="22" t="s">
        <v>108</v>
      </c>
      <c r="B182" s="22" t="s">
        <v>77</v>
      </c>
      <c r="C182" s="22" t="s">
        <v>78</v>
      </c>
      <c r="D182" s="22" t="s">
        <v>82</v>
      </c>
      <c r="E182" s="22" t="s">
        <v>99</v>
      </c>
      <c r="F182" s="22" t="s">
        <v>407</v>
      </c>
      <c r="G182" s="22" t="s">
        <v>408</v>
      </c>
      <c r="H182" s="22" t="s">
        <v>409</v>
      </c>
      <c r="I182" s="22" t="s">
        <v>410</v>
      </c>
      <c r="J182" s="22" t="s">
        <v>411</v>
      </c>
      <c r="K182" s="22" t="s">
        <v>412</v>
      </c>
      <c r="L182" s="22" t="s">
        <v>413</v>
      </c>
      <c r="M182" s="22" t="s">
        <v>414</v>
      </c>
      <c r="N182" s="22" t="s">
        <v>415</v>
      </c>
      <c r="O182" s="22" t="s">
        <v>416</v>
      </c>
      <c r="P182" s="22" t="s">
        <v>417</v>
      </c>
      <c r="Q182" s="22" t="s">
        <v>418</v>
      </c>
      <c r="R182" s="22" t="s">
        <v>419</v>
      </c>
    </row>
    <row r="183" customFormat="false" ht="15" hidden="false" customHeight="false" outlineLevel="0" collapsed="false">
      <c r="A183" s="25" t="str">
        <f aca="false">B183&amp;"|"&amp;C183&amp;"|"&amp;D183</f>
        <v>Pakistan|Mechanical Engineering|Pakistani national</v>
      </c>
      <c r="B183" s="13" t="s">
        <v>14</v>
      </c>
      <c r="C183" s="13" t="s">
        <v>111</v>
      </c>
      <c r="D183" s="13" t="s">
        <v>115</v>
      </c>
      <c r="E183" s="26" t="str">
        <f aca="false" t="array" ref="E183:E183">IFERROR(INDEX(EC_Ccy,MATCH(1,(EC_Key3=$A183)*(EC_Inc="Yes"),0)),"")</f>
        <v>PKR</v>
      </c>
      <c r="F183" s="27" t="n">
        <f aca="false">COUNTIFS(EC_Country,$B183,EC_Qual,$C183,EC_Cat,$D183,EC_Inc,"Yes",EC_Ccy,$E183)</f>
        <v>1</v>
      </c>
      <c r="G183" s="28" t="n">
        <f aca="false">IF($F183=0,0,AVERAGEIFS(EC_Tuition,EC_Country,$B183,EC_Qual,$C183,EC_Cat,$D183,EC_Inc,"Yes",EC_Ccy,$E183))</f>
        <v>433500</v>
      </c>
      <c r="H183" s="28" t="n">
        <f aca="false" t="array" ref="H183:H183">IF($F183=0,0,MEDIAN(IF((EC_Key3=$A183)*(EC_Inc="Yes")*(EC_Ccy=$E183)*(EC_Tuition&lt;&gt;""),EC_Tuition)))</f>
        <v>433500</v>
      </c>
      <c r="I183" s="28" t="n">
        <f aca="false" t="array" ref="I183:I183">IF($F183=0,0,MIN(IF((EC_Key3=$A183)*(EC_Inc="Yes")*(EC_Ccy=$E183)*(EC_Tuition&lt;&gt;""),EC_Tuition)))</f>
        <v>433500</v>
      </c>
      <c r="J183" s="28" t="n">
        <f aca="false" t="array" ref="J183:J183">IF($F183=0,0,MAX(IF((EC_Key3=$A183)*(EC_Inc="Yes")*(EC_Ccy=$E183)*(EC_Tuition&lt;&gt;""),EC_Tuition)))</f>
        <v>433500</v>
      </c>
      <c r="K183" s="28" t="n">
        <f aca="false">IF($F183=0,0,AVERAGEIFS(EC_Other,EC_Country,$B183,EC_Qual,$C183,EC_Cat,$D183,EC_Inc,"Yes",EC_Ccy,$E183))</f>
        <v>10000</v>
      </c>
      <c r="L183" s="28" t="n">
        <f aca="false">IF($F183=0,0,AVERAGEIFS(EC_Adm,EC_Country,$B183,EC_Qual,$C183,EC_Cat,$D183,EC_Inc,"Yes",EC_Ccy,$E183))</f>
        <v>35000</v>
      </c>
      <c r="M183" s="28" t="n">
        <f aca="false">IF($F183=0,0,AVERAGEIFS(EC_OtherOT,EC_Country,$B183,EC_Qual,$C183,EC_Cat,$D183,EC_Inc,"Yes",EC_Ccy,$E183))</f>
        <v>0</v>
      </c>
      <c r="N183" s="29" t="n">
        <f aca="false">IF($F183=0,0,AVERAGEIFS(EC_Dur,EC_Country,$B183,EC_Qual,$C183,EC_Cat,$D183,EC_Inc,"Yes",EC_Ccy,$E183))</f>
        <v>4</v>
      </c>
      <c r="O183" s="27" t="n">
        <f aca="false">IF($F183=0,PlanStartYear,ROUND(AVERAGEIFS(EC_FYS,EC_Country,$B183,EC_Qual,$C183,EC_Cat,$D183,EC_Inc,"Yes",EC_Ccy,$E183),0))</f>
        <v>2026</v>
      </c>
      <c r="P183" s="28" t="n">
        <f aca="false">IF(IFERROR(MATCH($B183&amp;"|"&amp;$D183,LV_Key,0),IFERROR(MATCH($B183&amp;"|All",LV_Key,0),IFERROR(MATCH($B183,LV_Country,0),0)))=0,0,INDEX(LV_Total,IFERROR(MATCH($B183&amp;"|"&amp;$D183,LV_Key,0),IFERROR(MATCH($B183&amp;"|All",LV_Key,0),IFERROR(MATCH($B183,LV_Country,0),0))))/INDEX(FX_Rate,MATCH(INDEX(LV_Ccy,IFERROR(MATCH($B183&amp;"|"&amp;$D183,LV_Key,0),IFERROR(MATCH($B183&amp;"|All",LV_Key,0),IFERROR(MATCH($B183,LV_Country,0),0)))),FX_Ccy,0))*INDEX(FX_Rate,MATCH($E183,FX_Ccy,0)))</f>
        <v>197600</v>
      </c>
      <c r="Q183" s="28" t="n">
        <f aca="false">G183+K183+P183</f>
        <v>641100</v>
      </c>
      <c r="R183" s="13" t="str">
        <f aca="false">IF(F183=0,"No valid records",IF(F183=1,"Single-institution benchmark","Average of "&amp;F183&amp;" universities"))</f>
        <v>Single-institution benchmark</v>
      </c>
    </row>
    <row r="184" customFormat="false" ht="15" hidden="false" customHeight="false" outlineLevel="0" collapsed="false">
      <c r="A184" s="25" t="str">
        <f aca="false">B184&amp;"|"&amp;C184&amp;"|"&amp;D184</f>
        <v>Pakistan|Electrical Engineering|Pakistani national</v>
      </c>
      <c r="B184" s="13" t="s">
        <v>14</v>
      </c>
      <c r="C184" s="13" t="s">
        <v>128</v>
      </c>
      <c r="D184" s="13" t="s">
        <v>115</v>
      </c>
      <c r="E184" s="26" t="str">
        <f aca="false" t="array" ref="E184:E184">IFERROR(INDEX(EC_Ccy,MATCH(1,(EC_Key3=$A184)*(EC_Inc="Yes"),0)),"")</f>
        <v>PKR</v>
      </c>
      <c r="F184" s="27" t="n">
        <f aca="false">COUNTIFS(EC_Country,$B184,EC_Qual,$C184,EC_Cat,$D184,EC_Inc,"Yes",EC_Ccy,$E184)</f>
        <v>2</v>
      </c>
      <c r="G184" s="28" t="n">
        <f aca="false">IF($F184=0,0,AVERAGEIFS(EC_Tuition,EC_Country,$B184,EC_Qual,$C184,EC_Cat,$D184,EC_Inc,"Yes",EC_Ccy,$E184))</f>
        <v>995350</v>
      </c>
      <c r="H184" s="28" t="n">
        <f aca="false" t="array" ref="H184:H184">IF($F184=0,0,MEDIAN(IF((EC_Key3=$A184)*(EC_Inc="Yes")*(EC_Ccy=$E184)*(EC_Tuition&lt;&gt;""),EC_Tuition)))</f>
        <v>995350</v>
      </c>
      <c r="I184" s="28" t="n">
        <f aca="false" t="array" ref="I184:I184">IF($F184=0,0,MIN(IF((EC_Key3=$A184)*(EC_Inc="Yes")*(EC_Ccy=$E184)*(EC_Tuition&lt;&gt;""),EC_Tuition)))</f>
        <v>433500</v>
      </c>
      <c r="J184" s="28" t="n">
        <f aca="false" t="array" ref="J184:J184">IF($F184=0,0,MAX(IF((EC_Key3=$A184)*(EC_Inc="Yes")*(EC_Ccy=$E184)*(EC_Tuition&lt;&gt;""),EC_Tuition)))</f>
        <v>1557200</v>
      </c>
      <c r="K184" s="28" t="n">
        <f aca="false">IF($F184=0,0,AVERAGEIFS(EC_Other,EC_Country,$B184,EC_Qual,$C184,EC_Cat,$D184,EC_Inc,"Yes",EC_Ccy,$E184))</f>
        <v>195700</v>
      </c>
      <c r="L184" s="28" t="n">
        <f aca="false">IF($F184=0,0,AVERAGEIFS(EC_Adm,EC_Country,$B184,EC_Qual,$C184,EC_Cat,$D184,EC_Inc,"Yes",EC_Ccy,$E184))</f>
        <v>105800</v>
      </c>
      <c r="M184" s="28" t="n">
        <f aca="false">IF($F184=0,0,AVERAGEIFS(EC_OtherOT,EC_Country,$B184,EC_Qual,$C184,EC_Cat,$D184,EC_Inc,"Yes",EC_Ccy,$E184))</f>
        <v>0</v>
      </c>
      <c r="N184" s="29" t="n">
        <f aca="false">IF($F184=0,0,AVERAGEIFS(EC_Dur,EC_Country,$B184,EC_Qual,$C184,EC_Cat,$D184,EC_Inc,"Yes",EC_Ccy,$E184))</f>
        <v>4</v>
      </c>
      <c r="O184" s="27" t="n">
        <f aca="false">IF($F184=0,PlanStartYear,ROUND(AVERAGEIFS(EC_FYS,EC_Country,$B184,EC_Qual,$C184,EC_Cat,$D184,EC_Inc,"Yes",EC_Ccy,$E184),0))</f>
        <v>2026</v>
      </c>
      <c r="P184" s="28" t="n">
        <f aca="false">IF(IFERROR(MATCH($B184&amp;"|"&amp;$D184,LV_Key,0),IFERROR(MATCH($B184&amp;"|All",LV_Key,0),IFERROR(MATCH($B184,LV_Country,0),0)))=0,0,INDEX(LV_Total,IFERROR(MATCH($B184&amp;"|"&amp;$D184,LV_Key,0),IFERROR(MATCH($B184&amp;"|All",LV_Key,0),IFERROR(MATCH($B184,LV_Country,0),0))))/INDEX(FX_Rate,MATCH(INDEX(LV_Ccy,IFERROR(MATCH($B184&amp;"|"&amp;$D184,LV_Key,0),IFERROR(MATCH($B184&amp;"|All",LV_Key,0),IFERROR(MATCH($B184,LV_Country,0),0)))),FX_Ccy,0))*INDEX(FX_Rate,MATCH($E184,FX_Ccy,0)))</f>
        <v>197600</v>
      </c>
      <c r="Q184" s="28" t="n">
        <f aca="false">G184+K184+P184</f>
        <v>1388650</v>
      </c>
      <c r="R184" s="13" t="str">
        <f aca="false">IF(F184=0,"No valid records",IF(F184=1,"Single-institution benchmark","Average of "&amp;F184&amp;" universities"))</f>
        <v>Average of 2 universities</v>
      </c>
    </row>
    <row r="185" customFormat="false" ht="15" hidden="false" customHeight="false" outlineLevel="0" collapsed="false">
      <c r="A185" s="25" t="str">
        <f aca="false">B185&amp;"|"&amp;C185&amp;"|"&amp;D185</f>
        <v>Pakistan|Civil Engineering|Pakistani national</v>
      </c>
      <c r="B185" s="13" t="s">
        <v>14</v>
      </c>
      <c r="C185" s="13" t="s">
        <v>130</v>
      </c>
      <c r="D185" s="13" t="s">
        <v>115</v>
      </c>
      <c r="E185" s="26" t="str">
        <f aca="false" t="array" ref="E185:E185">IFERROR(INDEX(EC_Ccy,MATCH(1,(EC_Key3=$A185)*(EC_Inc="Yes"),0)),"")</f>
        <v>PKR</v>
      </c>
      <c r="F185" s="27" t="n">
        <f aca="false">COUNTIFS(EC_Country,$B185,EC_Qual,$C185,EC_Cat,$D185,EC_Inc,"Yes",EC_Ccy,$E185)</f>
        <v>1</v>
      </c>
      <c r="G185" s="28" t="n">
        <f aca="false">IF($F185=0,0,AVERAGEIFS(EC_Tuition,EC_Country,$B185,EC_Qual,$C185,EC_Cat,$D185,EC_Inc,"Yes",EC_Ccy,$E185))</f>
        <v>433500</v>
      </c>
      <c r="H185" s="28" t="n">
        <f aca="false" t="array" ref="H185:H185">IF($F185=0,0,MEDIAN(IF((EC_Key3=$A185)*(EC_Inc="Yes")*(EC_Ccy=$E185)*(EC_Tuition&lt;&gt;""),EC_Tuition)))</f>
        <v>433500</v>
      </c>
      <c r="I185" s="28" t="n">
        <f aca="false" t="array" ref="I185:I185">IF($F185=0,0,MIN(IF((EC_Key3=$A185)*(EC_Inc="Yes")*(EC_Ccy=$E185)*(EC_Tuition&lt;&gt;""),EC_Tuition)))</f>
        <v>433500</v>
      </c>
      <c r="J185" s="28" t="n">
        <f aca="false" t="array" ref="J185:J185">IF($F185=0,0,MAX(IF((EC_Key3=$A185)*(EC_Inc="Yes")*(EC_Ccy=$E185)*(EC_Tuition&lt;&gt;""),EC_Tuition)))</f>
        <v>433500</v>
      </c>
      <c r="K185" s="28" t="n">
        <f aca="false">IF($F185=0,0,AVERAGEIFS(EC_Other,EC_Country,$B185,EC_Qual,$C185,EC_Cat,$D185,EC_Inc,"Yes",EC_Ccy,$E185))</f>
        <v>10000</v>
      </c>
      <c r="L185" s="28" t="n">
        <f aca="false">IF($F185=0,0,AVERAGEIFS(EC_Adm,EC_Country,$B185,EC_Qual,$C185,EC_Cat,$D185,EC_Inc,"Yes",EC_Ccy,$E185))</f>
        <v>35000</v>
      </c>
      <c r="M185" s="28" t="n">
        <f aca="false">IF($F185=0,0,AVERAGEIFS(EC_OtherOT,EC_Country,$B185,EC_Qual,$C185,EC_Cat,$D185,EC_Inc,"Yes",EC_Ccy,$E185))</f>
        <v>0</v>
      </c>
      <c r="N185" s="29" t="n">
        <f aca="false">IF($F185=0,0,AVERAGEIFS(EC_Dur,EC_Country,$B185,EC_Qual,$C185,EC_Cat,$D185,EC_Inc,"Yes",EC_Ccy,$E185))</f>
        <v>4</v>
      </c>
      <c r="O185" s="27" t="n">
        <f aca="false">IF($F185=0,PlanStartYear,ROUND(AVERAGEIFS(EC_FYS,EC_Country,$B185,EC_Qual,$C185,EC_Cat,$D185,EC_Inc,"Yes",EC_Ccy,$E185),0))</f>
        <v>2026</v>
      </c>
      <c r="P185" s="28" t="n">
        <f aca="false">IF(IFERROR(MATCH($B185&amp;"|"&amp;$D185,LV_Key,0),IFERROR(MATCH($B185&amp;"|All",LV_Key,0),IFERROR(MATCH($B185,LV_Country,0),0)))=0,0,INDEX(LV_Total,IFERROR(MATCH($B185&amp;"|"&amp;$D185,LV_Key,0),IFERROR(MATCH($B185&amp;"|All",LV_Key,0),IFERROR(MATCH($B185,LV_Country,0),0))))/INDEX(FX_Rate,MATCH(INDEX(LV_Ccy,IFERROR(MATCH($B185&amp;"|"&amp;$D185,LV_Key,0),IFERROR(MATCH($B185&amp;"|All",LV_Key,0),IFERROR(MATCH($B185,LV_Country,0),0)))),FX_Ccy,0))*INDEX(FX_Rate,MATCH($E185,FX_Ccy,0)))</f>
        <v>197600</v>
      </c>
      <c r="Q185" s="28" t="n">
        <f aca="false">G185+K185+P185</f>
        <v>641100</v>
      </c>
      <c r="R185" s="13" t="str">
        <f aca="false">IF(F185=0,"No valid records",IF(F185=1,"Single-institution benchmark","Average of "&amp;F185&amp;" universities"))</f>
        <v>Single-institution benchmark</v>
      </c>
    </row>
    <row r="186" customFormat="false" ht="15" hidden="false" customHeight="false" outlineLevel="0" collapsed="false">
      <c r="A186" s="25" t="str">
        <f aca="false">B186&amp;"|"&amp;C186&amp;"|"&amp;D186</f>
        <v>Pakistan|Computer Science|Pakistani national</v>
      </c>
      <c r="B186" s="13" t="s">
        <v>14</v>
      </c>
      <c r="C186" s="13" t="s">
        <v>43</v>
      </c>
      <c r="D186" s="13" t="s">
        <v>115</v>
      </c>
      <c r="E186" s="26" t="str">
        <f aca="false" t="array" ref="E186:E186">IFERROR(INDEX(EC_Ccy,MATCH(1,(EC_Key3=$A186)*(EC_Inc="Yes"),0)),"")</f>
        <v>PKR</v>
      </c>
      <c r="F186" s="27" t="n">
        <f aca="false">COUNTIFS(EC_Country,$B186,EC_Qual,$C186,EC_Cat,$D186,EC_Inc,"Yes",EC_Ccy,$E186)</f>
        <v>3</v>
      </c>
      <c r="G186" s="28" t="n">
        <f aca="false">IF($F186=0,0,AVERAGEIFS(EC_Tuition,EC_Country,$B186,EC_Qual,$C186,EC_Cat,$D186,EC_Inc,"Yes",EC_Ccy,$E186))</f>
        <v>1010066.66666667</v>
      </c>
      <c r="H186" s="28" t="n">
        <f aca="false" t="array" ref="H186:H186">IF($F186=0,0,MEDIAN(IF((EC_Key3=$A186)*(EC_Inc="Yes")*(EC_Ccy=$E186)*(EC_Tuition&lt;&gt;""),EC_Tuition)))</f>
        <v>1039500</v>
      </c>
      <c r="I186" s="28" t="n">
        <f aca="false" t="array" ref="I186:I186">IF($F186=0,0,MIN(IF((EC_Key3=$A186)*(EC_Inc="Yes")*(EC_Ccy=$E186)*(EC_Tuition&lt;&gt;""),EC_Tuition)))</f>
        <v>433500</v>
      </c>
      <c r="J186" s="28" t="n">
        <f aca="false" t="array" ref="J186:J186">IF($F186=0,0,MAX(IF((EC_Key3=$A186)*(EC_Inc="Yes")*(EC_Ccy=$E186)*(EC_Tuition&lt;&gt;""),EC_Tuition)))</f>
        <v>1557200</v>
      </c>
      <c r="K186" s="28" t="n">
        <f aca="false">IF($F186=0,0,AVERAGEIFS(EC_Other,EC_Country,$B186,EC_Qual,$C186,EC_Cat,$D186,EC_Inc,"Yes",EC_Ccy,$E186))</f>
        <v>130466.666666667</v>
      </c>
      <c r="L186" s="28" t="n">
        <f aca="false">IF($F186=0,0,AVERAGEIFS(EC_Adm,EC_Country,$B186,EC_Qual,$C186,EC_Cat,$D186,EC_Inc,"Yes",EC_Ccy,$E186))</f>
        <v>122200</v>
      </c>
      <c r="M186" s="28" t="n">
        <f aca="false">IF($F186=0,0,AVERAGEIFS(EC_OtherOT,EC_Country,$B186,EC_Qual,$C186,EC_Cat,$D186,EC_Inc,"Yes",EC_Ccy,$E186))</f>
        <v>0</v>
      </c>
      <c r="N186" s="29" t="n">
        <f aca="false">IF($F186=0,0,AVERAGEIFS(EC_Dur,EC_Country,$B186,EC_Qual,$C186,EC_Cat,$D186,EC_Inc,"Yes",EC_Ccy,$E186))</f>
        <v>4</v>
      </c>
      <c r="O186" s="27" t="n">
        <f aca="false">IF($F186=0,PlanStartYear,ROUND(AVERAGEIFS(EC_FYS,EC_Country,$B186,EC_Qual,$C186,EC_Cat,$D186,EC_Inc,"Yes",EC_Ccy,$E186),0))</f>
        <v>2026</v>
      </c>
      <c r="P186" s="28" t="n">
        <f aca="false">IF(IFERROR(MATCH($B186&amp;"|"&amp;$D186,LV_Key,0),IFERROR(MATCH($B186&amp;"|All",LV_Key,0),IFERROR(MATCH($B186,LV_Country,0),0)))=0,0,INDEX(LV_Total,IFERROR(MATCH($B186&amp;"|"&amp;$D186,LV_Key,0),IFERROR(MATCH($B186&amp;"|All",LV_Key,0),IFERROR(MATCH($B186,LV_Country,0),0))))/INDEX(FX_Rate,MATCH(INDEX(LV_Ccy,IFERROR(MATCH($B186&amp;"|"&amp;$D186,LV_Key,0),IFERROR(MATCH($B186&amp;"|All",LV_Key,0),IFERROR(MATCH($B186,LV_Country,0),0)))),FX_Ccy,0))*INDEX(FX_Rate,MATCH($E186,FX_Ccy,0)))</f>
        <v>197600</v>
      </c>
      <c r="Q186" s="28" t="n">
        <f aca="false">G186+K186+P186</f>
        <v>1338133.33333333</v>
      </c>
      <c r="R186" s="13" t="str">
        <f aca="false">IF(F186=0,"No valid records",IF(F186=1,"Single-institution benchmark","Average of "&amp;F186&amp;" universities"))</f>
        <v>Average of 3 universities</v>
      </c>
    </row>
    <row r="187" customFormat="false" ht="15" hidden="false" customHeight="false" outlineLevel="0" collapsed="false">
      <c r="A187" s="25" t="str">
        <f aca="false">B187&amp;"|"&amp;C187&amp;"|"&amp;D187</f>
        <v>Pakistan|Business Administration|Pakistani national</v>
      </c>
      <c r="B187" s="13" t="s">
        <v>14</v>
      </c>
      <c r="C187" s="13" t="s">
        <v>45</v>
      </c>
      <c r="D187" s="13" t="s">
        <v>115</v>
      </c>
      <c r="E187" s="26" t="str">
        <f aca="false" t="array" ref="E187:E187">IFERROR(INDEX(EC_Ccy,MATCH(1,(EC_Key3=$A187)*(EC_Inc="Yes"),0)),"")</f>
        <v>PKR</v>
      </c>
      <c r="F187" s="27" t="n">
        <f aca="false">COUNTIFS(EC_Country,$B187,EC_Qual,$C187,EC_Cat,$D187,EC_Inc,"Yes",EC_Ccy,$E187)</f>
        <v>3</v>
      </c>
      <c r="G187" s="28" t="n">
        <f aca="false">IF($F187=0,0,AVERAGEIFS(EC_Tuition,EC_Country,$B187,EC_Qual,$C187,EC_Cat,$D187,EC_Inc,"Yes",EC_Ccy,$E187))</f>
        <v>1052266.66666667</v>
      </c>
      <c r="H187" s="28" t="n">
        <f aca="false" t="array" ref="H187:H187">IF($F187=0,0,MEDIAN(IF((EC_Key3=$A187)*(EC_Inc="Yes")*(EC_Ccy=$E187)*(EC_Tuition&lt;&gt;""),EC_Tuition)))</f>
        <v>1039500</v>
      </c>
      <c r="I187" s="28" t="n">
        <f aca="false" t="array" ref="I187:I187">IF($F187=0,0,MIN(IF((EC_Key3=$A187)*(EC_Inc="Yes")*(EC_Ccy=$E187)*(EC_Tuition&lt;&gt;""),EC_Tuition)))</f>
        <v>605900</v>
      </c>
      <c r="J187" s="28" t="n">
        <f aca="false" t="array" ref="J187:J187">IF($F187=0,0,MAX(IF((EC_Key3=$A187)*(EC_Inc="Yes")*(EC_Ccy=$E187)*(EC_Tuition&lt;&gt;""),EC_Tuition)))</f>
        <v>1511400</v>
      </c>
      <c r="K187" s="28" t="n">
        <f aca="false">IF($F187=0,0,AVERAGEIFS(EC_Other,EC_Country,$B187,EC_Qual,$C187,EC_Cat,$D187,EC_Inc,"Yes",EC_Ccy,$E187))</f>
        <v>50400</v>
      </c>
      <c r="L187" s="28" t="n">
        <f aca="false">IF($F187=0,0,AVERAGEIFS(EC_Adm,EC_Country,$B187,EC_Qual,$C187,EC_Cat,$D187,EC_Inc,"Yes",EC_Ccy,$E187))</f>
        <v>122200</v>
      </c>
      <c r="M187" s="28" t="n">
        <f aca="false">IF($F187=0,0,AVERAGEIFS(EC_OtherOT,EC_Country,$B187,EC_Qual,$C187,EC_Cat,$D187,EC_Inc,"Yes",EC_Ccy,$E187))</f>
        <v>0</v>
      </c>
      <c r="N187" s="29" t="n">
        <f aca="false">IF($F187=0,0,AVERAGEIFS(EC_Dur,EC_Country,$B187,EC_Qual,$C187,EC_Cat,$D187,EC_Inc,"Yes",EC_Ccy,$E187))</f>
        <v>4</v>
      </c>
      <c r="O187" s="27" t="n">
        <f aca="false">IF($F187=0,PlanStartYear,ROUND(AVERAGEIFS(EC_FYS,EC_Country,$B187,EC_Qual,$C187,EC_Cat,$D187,EC_Inc,"Yes",EC_Ccy,$E187),0))</f>
        <v>2026</v>
      </c>
      <c r="P187" s="28" t="n">
        <f aca="false">IF(IFERROR(MATCH($B187&amp;"|"&amp;$D187,LV_Key,0),IFERROR(MATCH($B187&amp;"|All",LV_Key,0),IFERROR(MATCH($B187,LV_Country,0),0)))=0,0,INDEX(LV_Total,IFERROR(MATCH($B187&amp;"|"&amp;$D187,LV_Key,0),IFERROR(MATCH($B187&amp;"|All",LV_Key,0),IFERROR(MATCH($B187,LV_Country,0),0))))/INDEX(FX_Rate,MATCH(INDEX(LV_Ccy,IFERROR(MATCH($B187&amp;"|"&amp;$D187,LV_Key,0),IFERROR(MATCH($B187&amp;"|All",LV_Key,0),IFERROR(MATCH($B187,LV_Country,0),0)))),FX_Ccy,0))*INDEX(FX_Rate,MATCH($E187,FX_Ccy,0)))</f>
        <v>197600</v>
      </c>
      <c r="Q187" s="28" t="n">
        <f aca="false">G187+K187+P187</f>
        <v>1300266.66666667</v>
      </c>
      <c r="R187" s="13" t="str">
        <f aca="false">IF(F187=0,"No valid records",IF(F187=1,"Single-institution benchmark","Average of "&amp;F187&amp;" universities"))</f>
        <v>Average of 3 universities</v>
      </c>
    </row>
    <row r="188" customFormat="false" ht="15" hidden="false" customHeight="false" outlineLevel="0" collapsed="false">
      <c r="A188" s="25" t="str">
        <f aca="false">B188&amp;"|"&amp;C188&amp;"|"&amp;D188</f>
        <v>Pakistan|Accounting and Finance|Pakistani national</v>
      </c>
      <c r="B188" s="13" t="s">
        <v>14</v>
      </c>
      <c r="C188" s="13" t="s">
        <v>46</v>
      </c>
      <c r="D188" s="13" t="s">
        <v>115</v>
      </c>
      <c r="E188" s="26" t="str">
        <f aca="false" t="array" ref="E188:E188">IFERROR(INDEX(EC_Ccy,MATCH(1,(EC_Key3=$A188)*(EC_Inc="Yes"),0)),"")</f>
        <v>PKR</v>
      </c>
      <c r="F188" s="27" t="n">
        <f aca="false">COUNTIFS(EC_Country,$B188,EC_Qual,$C188,EC_Cat,$D188,EC_Inc,"Yes",EC_Ccy,$E188)</f>
        <v>3</v>
      </c>
      <c r="G188" s="28" t="n">
        <f aca="false">IF($F188=0,0,AVERAGEIFS(EC_Tuition,EC_Country,$B188,EC_Qual,$C188,EC_Cat,$D188,EC_Inc,"Yes",EC_Ccy,$E188))</f>
        <v>1052266.66666667</v>
      </c>
      <c r="H188" s="28" t="n">
        <f aca="false" t="array" ref="H188:H188">IF($F188=0,0,MEDIAN(IF((EC_Key3=$A188)*(EC_Inc="Yes")*(EC_Ccy=$E188)*(EC_Tuition&lt;&gt;""),EC_Tuition)))</f>
        <v>1039500</v>
      </c>
      <c r="I188" s="28" t="n">
        <f aca="false" t="array" ref="I188:I188">IF($F188=0,0,MIN(IF((EC_Key3=$A188)*(EC_Inc="Yes")*(EC_Ccy=$E188)*(EC_Tuition&lt;&gt;""),EC_Tuition)))</f>
        <v>605900</v>
      </c>
      <c r="J188" s="28" t="n">
        <f aca="false" t="array" ref="J188:J188">IF($F188=0,0,MAX(IF((EC_Key3=$A188)*(EC_Inc="Yes")*(EC_Ccy=$E188)*(EC_Tuition&lt;&gt;""),EC_Tuition)))</f>
        <v>1511400</v>
      </c>
      <c r="K188" s="28" t="n">
        <f aca="false">IF($F188=0,0,AVERAGEIFS(EC_Other,EC_Country,$B188,EC_Qual,$C188,EC_Cat,$D188,EC_Inc,"Yes",EC_Ccy,$E188))</f>
        <v>45733.3333333333</v>
      </c>
      <c r="L188" s="28" t="n">
        <f aca="false">IF($F188=0,0,AVERAGEIFS(EC_Adm,EC_Country,$B188,EC_Qual,$C188,EC_Cat,$D188,EC_Inc,"Yes",EC_Ccy,$E188))</f>
        <v>122200</v>
      </c>
      <c r="M188" s="28" t="n">
        <f aca="false">IF($F188=0,0,AVERAGEIFS(EC_OtherOT,EC_Country,$B188,EC_Qual,$C188,EC_Cat,$D188,EC_Inc,"Yes",EC_Ccy,$E188))</f>
        <v>0</v>
      </c>
      <c r="N188" s="29" t="n">
        <f aca="false">IF($F188=0,0,AVERAGEIFS(EC_Dur,EC_Country,$B188,EC_Qual,$C188,EC_Cat,$D188,EC_Inc,"Yes",EC_Ccy,$E188))</f>
        <v>4</v>
      </c>
      <c r="O188" s="27" t="n">
        <f aca="false">IF($F188=0,PlanStartYear,ROUND(AVERAGEIFS(EC_FYS,EC_Country,$B188,EC_Qual,$C188,EC_Cat,$D188,EC_Inc,"Yes",EC_Ccy,$E188),0))</f>
        <v>2026</v>
      </c>
      <c r="P188" s="28" t="n">
        <f aca="false">IF(IFERROR(MATCH($B188&amp;"|"&amp;$D188,LV_Key,0),IFERROR(MATCH($B188&amp;"|All",LV_Key,0),IFERROR(MATCH($B188,LV_Country,0),0)))=0,0,INDEX(LV_Total,IFERROR(MATCH($B188&amp;"|"&amp;$D188,LV_Key,0),IFERROR(MATCH($B188&amp;"|All",LV_Key,0),IFERROR(MATCH($B188,LV_Country,0),0))))/INDEX(FX_Rate,MATCH(INDEX(LV_Ccy,IFERROR(MATCH($B188&amp;"|"&amp;$D188,LV_Key,0),IFERROR(MATCH($B188&amp;"|All",LV_Key,0),IFERROR(MATCH($B188,LV_Country,0),0)))),FX_Ccy,0))*INDEX(FX_Rate,MATCH($E188,FX_Ccy,0)))</f>
        <v>197600</v>
      </c>
      <c r="Q188" s="28" t="n">
        <f aca="false">G188+K188+P188</f>
        <v>1295600</v>
      </c>
      <c r="R188" s="13" t="str">
        <f aca="false">IF(F188=0,"No valid records",IF(F188=1,"Single-institution benchmark","Average of "&amp;F188&amp;" universities"))</f>
        <v>Average of 3 universities</v>
      </c>
    </row>
    <row r="189" customFormat="false" ht="15" hidden="false" customHeight="false" outlineLevel="0" collapsed="false">
      <c r="A189" s="25" t="str">
        <f aca="false">B189&amp;"|"&amp;C189&amp;"|"&amp;D189</f>
        <v>Pakistan|Mechanical Engineering|International</v>
      </c>
      <c r="B189" s="13" t="s">
        <v>14</v>
      </c>
      <c r="C189" s="13" t="s">
        <v>111</v>
      </c>
      <c r="D189" s="13" t="s">
        <v>138</v>
      </c>
      <c r="E189" s="26" t="str">
        <f aca="false" t="array" ref="E189:E189">IFERROR(INDEX(EC_Ccy,MATCH(1,(EC_Key3=$A189)*(EC_Inc="Yes"),0)),"")</f>
        <v>USD</v>
      </c>
      <c r="F189" s="27" t="n">
        <f aca="false">COUNTIFS(EC_Country,$B189,EC_Qual,$C189,EC_Cat,$D189,EC_Inc,"Yes",EC_Ccy,$E189)</f>
        <v>1</v>
      </c>
      <c r="G189" s="28" t="n">
        <f aca="false">IF($F189=0,0,AVERAGEIFS(EC_Tuition,EC_Country,$B189,EC_Qual,$C189,EC_Cat,$D189,EC_Inc,"Yes",EC_Ccy,$E189))</f>
        <v>5400</v>
      </c>
      <c r="H189" s="28" t="n">
        <f aca="false" t="array" ref="H189:H189">IF($F189=0,0,MEDIAN(IF((EC_Key3=$A189)*(EC_Inc="Yes")*(EC_Ccy=$E189)*(EC_Tuition&lt;&gt;""),EC_Tuition)))</f>
        <v>5400</v>
      </c>
      <c r="I189" s="28" t="n">
        <f aca="false" t="array" ref="I189:I189">IF($F189=0,0,MIN(IF((EC_Key3=$A189)*(EC_Inc="Yes")*(EC_Ccy=$E189)*(EC_Tuition&lt;&gt;""),EC_Tuition)))</f>
        <v>5400</v>
      </c>
      <c r="J189" s="28" t="n">
        <f aca="false" t="array" ref="J189:J189">IF($F189=0,0,MAX(IF((EC_Key3=$A189)*(EC_Inc="Yes")*(EC_Ccy=$E189)*(EC_Tuition&lt;&gt;""),EC_Tuition)))</f>
        <v>5400</v>
      </c>
      <c r="K189" s="28" t="n">
        <f aca="false">IF($F189=0,0,AVERAGEIFS(EC_Other,EC_Country,$B189,EC_Qual,$C189,EC_Cat,$D189,EC_Inc,"Yes",EC_Ccy,$E189))</f>
        <v>120</v>
      </c>
      <c r="L189" s="28" t="n">
        <f aca="false">IF($F189=0,0,AVERAGEIFS(EC_Adm,EC_Country,$B189,EC_Qual,$C189,EC_Cat,$D189,EC_Inc,"Yes",EC_Ccy,$E189))</f>
        <v>600</v>
      </c>
      <c r="M189" s="28" t="n">
        <f aca="false">IF($F189=0,0,AVERAGEIFS(EC_OtherOT,EC_Country,$B189,EC_Qual,$C189,EC_Cat,$D189,EC_Inc,"Yes",EC_Ccy,$E189))</f>
        <v>0</v>
      </c>
      <c r="N189" s="29" t="n">
        <f aca="false">IF($F189=0,0,AVERAGEIFS(EC_Dur,EC_Country,$B189,EC_Qual,$C189,EC_Cat,$D189,EC_Inc,"Yes",EC_Ccy,$E189))</f>
        <v>4</v>
      </c>
      <c r="O189" s="27" t="n">
        <f aca="false">IF($F189=0,PlanStartYear,ROUND(AVERAGEIFS(EC_FYS,EC_Country,$B189,EC_Qual,$C189,EC_Cat,$D189,EC_Inc,"Yes",EC_Ccy,$E189),0))</f>
        <v>2026</v>
      </c>
      <c r="P189" s="28" t="n">
        <f aca="false">IF(IFERROR(MATCH($B189&amp;"|"&amp;$D189,LV_Key,0),IFERROR(MATCH($B189&amp;"|All",LV_Key,0),IFERROR(MATCH($B189,LV_Country,0),0)))=0,0,INDEX(LV_Total,IFERROR(MATCH($B189&amp;"|"&amp;$D189,LV_Key,0),IFERROR(MATCH($B189&amp;"|All",LV_Key,0),IFERROR(MATCH($B189,LV_Country,0),0))))/INDEX(FX_Rate,MATCH(INDEX(LV_Ccy,IFERROR(MATCH($B189&amp;"|"&amp;$D189,LV_Key,0),IFERROR(MATCH($B189&amp;"|All",LV_Key,0),IFERROR(MATCH($B189,LV_Country,0),0)))),FX_Ccy,0))*INDEX(FX_Rate,MATCH($E189,FX_Ccy,0)))</f>
        <v>713.094302390959</v>
      </c>
      <c r="Q189" s="28" t="n">
        <f aca="false">G189+K189+P189</f>
        <v>6233.09430239096</v>
      </c>
      <c r="R189" s="13" t="str">
        <f aca="false">IF(F189=0,"No valid records",IF(F189=1,"Single-institution benchmark","Average of "&amp;F189&amp;" universities"))</f>
        <v>Single-institution benchmark</v>
      </c>
    </row>
    <row r="190" customFormat="false" ht="15" hidden="false" customHeight="false" outlineLevel="0" collapsed="false">
      <c r="A190" s="25" t="str">
        <f aca="false">B190&amp;"|"&amp;C190&amp;"|"&amp;D190</f>
        <v>Pakistan|Computer Science|International</v>
      </c>
      <c r="B190" s="13" t="s">
        <v>14</v>
      </c>
      <c r="C190" s="13" t="s">
        <v>43</v>
      </c>
      <c r="D190" s="13" t="s">
        <v>138</v>
      </c>
      <c r="E190" s="26" t="str">
        <f aca="false" t="array" ref="E190:E190">IFERROR(INDEX(EC_Ccy,MATCH(1,(EC_Key3=$A190)*(EC_Inc="Yes"),0)),"")</f>
        <v>USD</v>
      </c>
      <c r="F190" s="27" t="n">
        <f aca="false">COUNTIFS(EC_Country,$B190,EC_Qual,$C190,EC_Cat,$D190,EC_Inc,"Yes",EC_Ccy,$E190)</f>
        <v>1</v>
      </c>
      <c r="G190" s="28" t="n">
        <f aca="false">IF($F190=0,0,AVERAGEIFS(EC_Tuition,EC_Country,$B190,EC_Qual,$C190,EC_Cat,$D190,EC_Inc,"Yes",EC_Ccy,$E190))</f>
        <v>5400</v>
      </c>
      <c r="H190" s="28" t="n">
        <f aca="false" t="array" ref="H190:H190">IF($F190=0,0,MEDIAN(IF((EC_Key3=$A190)*(EC_Inc="Yes")*(EC_Ccy=$E190)*(EC_Tuition&lt;&gt;""),EC_Tuition)))</f>
        <v>5400</v>
      </c>
      <c r="I190" s="28" t="n">
        <f aca="false" t="array" ref="I190:I190">IF($F190=0,0,MIN(IF((EC_Key3=$A190)*(EC_Inc="Yes")*(EC_Ccy=$E190)*(EC_Tuition&lt;&gt;""),EC_Tuition)))</f>
        <v>5400</v>
      </c>
      <c r="J190" s="28" t="n">
        <f aca="false" t="array" ref="J190:J190">IF($F190=0,0,MAX(IF((EC_Key3=$A190)*(EC_Inc="Yes")*(EC_Ccy=$E190)*(EC_Tuition&lt;&gt;""),EC_Tuition)))</f>
        <v>5400</v>
      </c>
      <c r="K190" s="28" t="n">
        <f aca="false">IF($F190=0,0,AVERAGEIFS(EC_Other,EC_Country,$B190,EC_Qual,$C190,EC_Cat,$D190,EC_Inc,"Yes",EC_Ccy,$E190))</f>
        <v>120</v>
      </c>
      <c r="L190" s="28" t="n">
        <f aca="false">IF($F190=0,0,AVERAGEIFS(EC_Adm,EC_Country,$B190,EC_Qual,$C190,EC_Cat,$D190,EC_Inc,"Yes",EC_Ccy,$E190))</f>
        <v>600</v>
      </c>
      <c r="M190" s="28" t="n">
        <f aca="false">IF($F190=0,0,AVERAGEIFS(EC_OtherOT,EC_Country,$B190,EC_Qual,$C190,EC_Cat,$D190,EC_Inc,"Yes",EC_Ccy,$E190))</f>
        <v>0</v>
      </c>
      <c r="N190" s="29" t="n">
        <f aca="false">IF($F190=0,0,AVERAGEIFS(EC_Dur,EC_Country,$B190,EC_Qual,$C190,EC_Cat,$D190,EC_Inc,"Yes",EC_Ccy,$E190))</f>
        <v>4</v>
      </c>
      <c r="O190" s="27" t="n">
        <f aca="false">IF($F190=0,PlanStartYear,ROUND(AVERAGEIFS(EC_FYS,EC_Country,$B190,EC_Qual,$C190,EC_Cat,$D190,EC_Inc,"Yes",EC_Ccy,$E190),0))</f>
        <v>2026</v>
      </c>
      <c r="P190" s="28" t="n">
        <f aca="false">IF(IFERROR(MATCH($B190&amp;"|"&amp;$D190,LV_Key,0),IFERROR(MATCH($B190&amp;"|All",LV_Key,0),IFERROR(MATCH($B190,LV_Country,0),0)))=0,0,INDEX(LV_Total,IFERROR(MATCH($B190&amp;"|"&amp;$D190,LV_Key,0),IFERROR(MATCH($B190&amp;"|All",LV_Key,0),IFERROR(MATCH($B190,LV_Country,0),0))))/INDEX(FX_Rate,MATCH(INDEX(LV_Ccy,IFERROR(MATCH($B190&amp;"|"&amp;$D190,LV_Key,0),IFERROR(MATCH($B190&amp;"|All",LV_Key,0),IFERROR(MATCH($B190,LV_Country,0),0)))),FX_Ccy,0))*INDEX(FX_Rate,MATCH($E190,FX_Ccy,0)))</f>
        <v>713.094302390959</v>
      </c>
      <c r="Q190" s="28" t="n">
        <f aca="false">G190+K190+P190</f>
        <v>6233.09430239096</v>
      </c>
      <c r="R190" s="13" t="str">
        <f aca="false">IF(F190=0,"No valid records",IF(F190=1,"Single-institution benchmark","Average of "&amp;F190&amp;" universities"))</f>
        <v>Single-institution benchmark</v>
      </c>
    </row>
    <row r="191" customFormat="false" ht="15" hidden="false" customHeight="false" outlineLevel="0" collapsed="false">
      <c r="A191" s="25" t="str">
        <f aca="false">B191&amp;"|"&amp;C191&amp;"|"&amp;D191</f>
        <v>Pakistan|Business Administration|International</v>
      </c>
      <c r="B191" s="13" t="s">
        <v>14</v>
      </c>
      <c r="C191" s="13" t="s">
        <v>45</v>
      </c>
      <c r="D191" s="13" t="s">
        <v>138</v>
      </c>
      <c r="E191" s="26" t="str">
        <f aca="false" t="array" ref="E191:E191">IFERROR(INDEX(EC_Ccy,MATCH(1,(EC_Key3=$A191)*(EC_Inc="Yes"),0)),"")</f>
        <v>USD</v>
      </c>
      <c r="F191" s="27" t="n">
        <f aca="false">COUNTIFS(EC_Country,$B191,EC_Qual,$C191,EC_Cat,$D191,EC_Inc,"Yes",EC_Ccy,$E191)</f>
        <v>1</v>
      </c>
      <c r="G191" s="28" t="n">
        <f aca="false">IF($F191=0,0,AVERAGEIFS(EC_Tuition,EC_Country,$B191,EC_Qual,$C191,EC_Cat,$D191,EC_Inc,"Yes",EC_Ccy,$E191))</f>
        <v>5400</v>
      </c>
      <c r="H191" s="28" t="n">
        <f aca="false" t="array" ref="H191:H191">IF($F191=0,0,MEDIAN(IF((EC_Key3=$A191)*(EC_Inc="Yes")*(EC_Ccy=$E191)*(EC_Tuition&lt;&gt;""),EC_Tuition)))</f>
        <v>5400</v>
      </c>
      <c r="I191" s="28" t="n">
        <f aca="false" t="array" ref="I191:I191">IF($F191=0,0,MIN(IF((EC_Key3=$A191)*(EC_Inc="Yes")*(EC_Ccy=$E191)*(EC_Tuition&lt;&gt;""),EC_Tuition)))</f>
        <v>5400</v>
      </c>
      <c r="J191" s="28" t="n">
        <f aca="false" t="array" ref="J191:J191">IF($F191=0,0,MAX(IF((EC_Key3=$A191)*(EC_Inc="Yes")*(EC_Ccy=$E191)*(EC_Tuition&lt;&gt;""),EC_Tuition)))</f>
        <v>5400</v>
      </c>
      <c r="K191" s="28" t="n">
        <f aca="false">IF($F191=0,0,AVERAGEIFS(EC_Other,EC_Country,$B191,EC_Qual,$C191,EC_Cat,$D191,EC_Inc,"Yes",EC_Ccy,$E191))</f>
        <v>170</v>
      </c>
      <c r="L191" s="28" t="n">
        <f aca="false">IF($F191=0,0,AVERAGEIFS(EC_Adm,EC_Country,$B191,EC_Qual,$C191,EC_Cat,$D191,EC_Inc,"Yes",EC_Ccy,$E191))</f>
        <v>600</v>
      </c>
      <c r="M191" s="28" t="n">
        <f aca="false">IF($F191=0,0,AVERAGEIFS(EC_OtherOT,EC_Country,$B191,EC_Qual,$C191,EC_Cat,$D191,EC_Inc,"Yes",EC_Ccy,$E191))</f>
        <v>0</v>
      </c>
      <c r="N191" s="29" t="n">
        <f aca="false">IF($F191=0,0,AVERAGEIFS(EC_Dur,EC_Country,$B191,EC_Qual,$C191,EC_Cat,$D191,EC_Inc,"Yes",EC_Ccy,$E191))</f>
        <v>4</v>
      </c>
      <c r="O191" s="27" t="n">
        <f aca="false">IF($F191=0,PlanStartYear,ROUND(AVERAGEIFS(EC_FYS,EC_Country,$B191,EC_Qual,$C191,EC_Cat,$D191,EC_Inc,"Yes",EC_Ccy,$E191),0))</f>
        <v>2026</v>
      </c>
      <c r="P191" s="28" t="n">
        <f aca="false">IF(IFERROR(MATCH($B191&amp;"|"&amp;$D191,LV_Key,0),IFERROR(MATCH($B191&amp;"|All",LV_Key,0),IFERROR(MATCH($B191,LV_Country,0),0)))=0,0,INDEX(LV_Total,IFERROR(MATCH($B191&amp;"|"&amp;$D191,LV_Key,0),IFERROR(MATCH($B191&amp;"|All",LV_Key,0),IFERROR(MATCH($B191,LV_Country,0),0))))/INDEX(FX_Rate,MATCH(INDEX(LV_Ccy,IFERROR(MATCH($B191&amp;"|"&amp;$D191,LV_Key,0),IFERROR(MATCH($B191&amp;"|All",LV_Key,0),IFERROR(MATCH($B191,LV_Country,0),0)))),FX_Ccy,0))*INDEX(FX_Rate,MATCH($E191,FX_Ccy,0)))</f>
        <v>713.094302390959</v>
      </c>
      <c r="Q191" s="28" t="n">
        <f aca="false">G191+K191+P191</f>
        <v>6283.09430239096</v>
      </c>
      <c r="R191" s="13" t="str">
        <f aca="false">IF(F191=0,"No valid records",IF(F191=1,"Single-institution benchmark","Average of "&amp;F191&amp;" universities"))</f>
        <v>Single-institution benchmark</v>
      </c>
    </row>
    <row r="192" customFormat="false" ht="15" hidden="false" customHeight="false" outlineLevel="0" collapsed="false">
      <c r="A192" s="25" t="str">
        <f aca="false">B192&amp;"|"&amp;C192&amp;"|"&amp;D192</f>
        <v>Pakistan|Accounting and Finance|International</v>
      </c>
      <c r="B192" s="13" t="s">
        <v>14</v>
      </c>
      <c r="C192" s="13" t="s">
        <v>46</v>
      </c>
      <c r="D192" s="13" t="s">
        <v>138</v>
      </c>
      <c r="E192" s="26" t="str">
        <f aca="false" t="array" ref="E192:E192">IFERROR(INDEX(EC_Ccy,MATCH(1,(EC_Key3=$A192)*(EC_Inc="Yes"),0)),"")</f>
        <v>USD</v>
      </c>
      <c r="F192" s="27" t="n">
        <f aca="false">COUNTIFS(EC_Country,$B192,EC_Qual,$C192,EC_Cat,$D192,EC_Inc,"Yes",EC_Ccy,$E192)</f>
        <v>1</v>
      </c>
      <c r="G192" s="28" t="n">
        <f aca="false">IF($F192=0,0,AVERAGEIFS(EC_Tuition,EC_Country,$B192,EC_Qual,$C192,EC_Cat,$D192,EC_Inc,"Yes",EC_Ccy,$E192))</f>
        <v>5400</v>
      </c>
      <c r="H192" s="28" t="n">
        <f aca="false" t="array" ref="H192:H192">IF($F192=0,0,MEDIAN(IF((EC_Key3=$A192)*(EC_Inc="Yes")*(EC_Ccy=$E192)*(EC_Tuition&lt;&gt;""),EC_Tuition)))</f>
        <v>5400</v>
      </c>
      <c r="I192" s="28" t="n">
        <f aca="false" t="array" ref="I192:I192">IF($F192=0,0,MIN(IF((EC_Key3=$A192)*(EC_Inc="Yes")*(EC_Ccy=$E192)*(EC_Tuition&lt;&gt;""),EC_Tuition)))</f>
        <v>5400</v>
      </c>
      <c r="J192" s="28" t="n">
        <f aca="false" t="array" ref="J192:J192">IF($F192=0,0,MAX(IF((EC_Key3=$A192)*(EC_Inc="Yes")*(EC_Ccy=$E192)*(EC_Tuition&lt;&gt;""),EC_Tuition)))</f>
        <v>5400</v>
      </c>
      <c r="K192" s="28" t="n">
        <f aca="false">IF($F192=0,0,AVERAGEIFS(EC_Other,EC_Country,$B192,EC_Qual,$C192,EC_Cat,$D192,EC_Inc,"Yes",EC_Ccy,$E192))</f>
        <v>170</v>
      </c>
      <c r="L192" s="28" t="n">
        <f aca="false">IF($F192=0,0,AVERAGEIFS(EC_Adm,EC_Country,$B192,EC_Qual,$C192,EC_Cat,$D192,EC_Inc,"Yes",EC_Ccy,$E192))</f>
        <v>600</v>
      </c>
      <c r="M192" s="28" t="n">
        <f aca="false">IF($F192=0,0,AVERAGEIFS(EC_OtherOT,EC_Country,$B192,EC_Qual,$C192,EC_Cat,$D192,EC_Inc,"Yes",EC_Ccy,$E192))</f>
        <v>0</v>
      </c>
      <c r="N192" s="29" t="n">
        <f aca="false">IF($F192=0,0,AVERAGEIFS(EC_Dur,EC_Country,$B192,EC_Qual,$C192,EC_Cat,$D192,EC_Inc,"Yes",EC_Ccy,$E192))</f>
        <v>4</v>
      </c>
      <c r="O192" s="27" t="n">
        <f aca="false">IF($F192=0,PlanStartYear,ROUND(AVERAGEIFS(EC_FYS,EC_Country,$B192,EC_Qual,$C192,EC_Cat,$D192,EC_Inc,"Yes",EC_Ccy,$E192),0))</f>
        <v>2026</v>
      </c>
      <c r="P192" s="28" t="n">
        <f aca="false">IF(IFERROR(MATCH($B192&amp;"|"&amp;$D192,LV_Key,0),IFERROR(MATCH($B192&amp;"|All",LV_Key,0),IFERROR(MATCH($B192,LV_Country,0),0)))=0,0,INDEX(LV_Total,IFERROR(MATCH($B192&amp;"|"&amp;$D192,LV_Key,0),IFERROR(MATCH($B192&amp;"|All",LV_Key,0),IFERROR(MATCH($B192,LV_Country,0),0))))/INDEX(FX_Rate,MATCH(INDEX(LV_Ccy,IFERROR(MATCH($B192&amp;"|"&amp;$D192,LV_Key,0),IFERROR(MATCH($B192&amp;"|All",LV_Key,0),IFERROR(MATCH($B192,LV_Country,0),0)))),FX_Ccy,0))*INDEX(FX_Rate,MATCH($E192,FX_Ccy,0)))</f>
        <v>713.094302390959</v>
      </c>
      <c r="Q192" s="28" t="n">
        <f aca="false">G192+K192+P192</f>
        <v>6283.09430239096</v>
      </c>
      <c r="R192" s="13" t="str">
        <f aca="false">IF(F192=0,"No valid records",IF(F192=1,"Single-institution benchmark","Average of "&amp;F192&amp;" universities"))</f>
        <v>Single-institution benchmark</v>
      </c>
    </row>
    <row r="193" customFormat="false" ht="15" hidden="false" customHeight="false" outlineLevel="0" collapsed="false">
      <c r="A193" s="25" t="str">
        <f aca="false">B193&amp;"|"&amp;C193&amp;"|"&amp;D193</f>
        <v>Pakistan|Medicine — MBBS/MD|Pakistani national</v>
      </c>
      <c r="B193" s="13" t="s">
        <v>14</v>
      </c>
      <c r="C193" s="13" t="s">
        <v>44</v>
      </c>
      <c r="D193" s="13" t="s">
        <v>115</v>
      </c>
      <c r="E193" s="26" t="str">
        <f aca="false" t="array" ref="E193:E193">IFERROR(INDEX(EC_Ccy,MATCH(1,(EC_Key3=$A193)*(EC_Inc="Yes"),0)),"")</f>
        <v>PKR</v>
      </c>
      <c r="F193" s="27" t="n">
        <f aca="false">COUNTIFS(EC_Country,$B193,EC_Qual,$C193,EC_Cat,$D193,EC_Inc,"Yes",EC_Ccy,$E193)</f>
        <v>1</v>
      </c>
      <c r="G193" s="28" t="n">
        <f aca="false">IF($F193=0,0,AVERAGEIFS(EC_Tuition,EC_Country,$B193,EC_Qual,$C193,EC_Cat,$D193,EC_Inc,"Yes",EC_Ccy,$E193))</f>
        <v>1704000</v>
      </c>
      <c r="H193" s="28" t="n">
        <f aca="false" t="array" ref="H193:H193">IF($F193=0,0,MEDIAN(IF((EC_Key3=$A193)*(EC_Inc="Yes")*(EC_Ccy=$E193)*(EC_Tuition&lt;&gt;""),EC_Tuition)))</f>
        <v>1704000</v>
      </c>
      <c r="I193" s="28" t="n">
        <f aca="false" t="array" ref="I193:I193">IF($F193=0,0,MIN(IF((EC_Key3=$A193)*(EC_Inc="Yes")*(EC_Ccy=$E193)*(EC_Tuition&lt;&gt;""),EC_Tuition)))</f>
        <v>1704000</v>
      </c>
      <c r="J193" s="28" t="n">
        <f aca="false" t="array" ref="J193:J193">IF($F193=0,0,MAX(IF((EC_Key3=$A193)*(EC_Inc="Yes")*(EC_Ccy=$E193)*(EC_Tuition&lt;&gt;""),EC_Tuition)))</f>
        <v>1704000</v>
      </c>
      <c r="K193" s="28" t="n">
        <f aca="false">IF($F193=0,0,AVERAGEIFS(EC_Other,EC_Country,$B193,EC_Qual,$C193,EC_Cat,$D193,EC_Inc,"Yes",EC_Ccy,$E193))</f>
        <v>1909000</v>
      </c>
      <c r="L193" s="28" t="n">
        <f aca="false">IF($F193=0,0,AVERAGEIFS(EC_Adm,EC_Country,$B193,EC_Qual,$C193,EC_Cat,$D193,EC_Inc,"Yes",EC_Ccy,$E193))</f>
        <v>289000</v>
      </c>
      <c r="M193" s="28" t="n">
        <f aca="false">IF($F193=0,0,AVERAGEIFS(EC_OtherOT,EC_Country,$B193,EC_Qual,$C193,EC_Cat,$D193,EC_Inc,"Yes",EC_Ccy,$E193))</f>
        <v>0</v>
      </c>
      <c r="N193" s="29" t="n">
        <f aca="false">IF($F193=0,0,AVERAGEIFS(EC_Dur,EC_Country,$B193,EC_Qual,$C193,EC_Cat,$D193,EC_Inc,"Yes",EC_Ccy,$E193))</f>
        <v>5</v>
      </c>
      <c r="O193" s="27" t="n">
        <f aca="false">IF($F193=0,PlanStartYear,ROUND(AVERAGEIFS(EC_FYS,EC_Country,$B193,EC_Qual,$C193,EC_Cat,$D193,EC_Inc,"Yes",EC_Ccy,$E193),0))</f>
        <v>2027</v>
      </c>
      <c r="P193" s="28" t="n">
        <f aca="false">IF(IFERROR(MATCH($B193&amp;"|"&amp;$D193,LV_Key,0),IFERROR(MATCH($B193&amp;"|All",LV_Key,0),IFERROR(MATCH($B193,LV_Country,0),0)))=0,0,INDEX(LV_Total,IFERROR(MATCH($B193&amp;"|"&amp;$D193,LV_Key,0),IFERROR(MATCH($B193&amp;"|All",LV_Key,0),IFERROR(MATCH($B193,LV_Country,0),0))))/INDEX(FX_Rate,MATCH(INDEX(LV_Ccy,IFERROR(MATCH($B193&amp;"|"&amp;$D193,LV_Key,0),IFERROR(MATCH($B193&amp;"|All",LV_Key,0),IFERROR(MATCH($B193,LV_Country,0),0)))),FX_Ccy,0))*INDEX(FX_Rate,MATCH($E193,FX_Ccy,0)))</f>
        <v>197600</v>
      </c>
      <c r="Q193" s="28" t="n">
        <f aca="false">G193+K193+P193</f>
        <v>3810600</v>
      </c>
      <c r="R193" s="13" t="str">
        <f aca="false">IF(F193=0,"No valid records",IF(F193=1,"Single-institution benchmark","Average of "&amp;F193&amp;" universities"))</f>
        <v>Single-institution benchmark</v>
      </c>
    </row>
    <row r="194" customFormat="false" ht="15" hidden="false" customHeight="false" outlineLevel="0" collapsed="false">
      <c r="A194" s="25" t="str">
        <f aca="false">B194&amp;"|"&amp;C194&amp;"|"&amp;D194</f>
        <v>India|Mechanical Engineering|Indian national (general category)</v>
      </c>
      <c r="B194" s="13" t="s">
        <v>198</v>
      </c>
      <c r="C194" s="13" t="s">
        <v>111</v>
      </c>
      <c r="D194" s="13" t="s">
        <v>201</v>
      </c>
      <c r="E194" s="26" t="str">
        <f aca="false" t="array" ref="E194:E194">IFERROR(INDEX(EC_Ccy,MATCH(1,(EC_Key3=$A194)*(EC_Inc="Yes"),0)),"")</f>
        <v>INR</v>
      </c>
      <c r="F194" s="27" t="n">
        <f aca="false">COUNTIFS(EC_Country,$B194,EC_Qual,$C194,EC_Cat,$D194,EC_Inc,"Yes",EC_Ccy,$E194)</f>
        <v>2</v>
      </c>
      <c r="G194" s="28" t="n">
        <f aca="false">IF($F194=0,0,AVERAGEIFS(EC_Tuition,EC_Country,$B194,EC_Qual,$C194,EC_Cat,$D194,EC_Inc,"Yes",EC_Ccy,$E194))</f>
        <v>231500</v>
      </c>
      <c r="H194" s="28" t="n">
        <f aca="false" t="array" ref="H194:H194">IF($F194=0,0,MEDIAN(IF((EC_Key3=$A194)*(EC_Inc="Yes")*(EC_Ccy=$E194)*(EC_Tuition&lt;&gt;""),EC_Tuition)))</f>
        <v>231500</v>
      </c>
      <c r="I194" s="28" t="n">
        <f aca="false" t="array" ref="I194:I194">IF($F194=0,0,MIN(IF((EC_Key3=$A194)*(EC_Inc="Yes")*(EC_Ccy=$E194)*(EC_Tuition&lt;&gt;""),EC_Tuition)))</f>
        <v>200000</v>
      </c>
      <c r="J194" s="28" t="n">
        <f aca="false" t="array" ref="J194:J194">IF($F194=0,0,MAX(IF((EC_Key3=$A194)*(EC_Inc="Yes")*(EC_Ccy=$E194)*(EC_Tuition&lt;&gt;""),EC_Tuition)))</f>
        <v>263000</v>
      </c>
      <c r="K194" s="28" t="n">
        <f aca="false">IF($F194=0,0,AVERAGEIFS(EC_Other,EC_Country,$B194,EC_Qual,$C194,EC_Cat,$D194,EC_Inc,"Yes",EC_Ccy,$E194))</f>
        <v>89150</v>
      </c>
      <c r="L194" s="28" t="n">
        <f aca="false">IF($F194=0,0,AVERAGEIFS(EC_Adm,EC_Country,$B194,EC_Qual,$C194,EC_Cat,$D194,EC_Inc,"Yes",EC_Ccy,$E194))</f>
        <v>0</v>
      </c>
      <c r="M194" s="28" t="n">
        <f aca="false">IF($F194=0,0,AVERAGEIFS(EC_OtherOT,EC_Country,$B194,EC_Qual,$C194,EC_Cat,$D194,EC_Inc,"Yes",EC_Ccy,$E194))</f>
        <v>0</v>
      </c>
      <c r="N194" s="29" t="n">
        <f aca="false">IF($F194=0,0,AVERAGEIFS(EC_Dur,EC_Country,$B194,EC_Qual,$C194,EC_Cat,$D194,EC_Inc,"Yes",EC_Ccy,$E194))</f>
        <v>4</v>
      </c>
      <c r="O194" s="27" t="n">
        <f aca="false">IF($F194=0,PlanStartYear,ROUND(AVERAGEIFS(EC_FYS,EC_Country,$B194,EC_Qual,$C194,EC_Cat,$D194,EC_Inc,"Yes",EC_Ccy,$E194),0))</f>
        <v>2025</v>
      </c>
      <c r="P194" s="28" t="n">
        <f aca="false">IF(IFERROR(MATCH($B194&amp;"|"&amp;$D194,LV_Key,0),IFERROR(MATCH($B194&amp;"|All",LV_Key,0),IFERROR(MATCH($B194,LV_Country,0),0)))=0,0,INDEX(LV_Total,IFERROR(MATCH($B194&amp;"|"&amp;$D194,LV_Key,0),IFERROR(MATCH($B194&amp;"|All",LV_Key,0),IFERROR(MATCH($B194,LV_Country,0),0))))/INDEX(FX_Rate,MATCH(INDEX(LV_Ccy,IFERROR(MATCH($B194&amp;"|"&amp;$D194,LV_Key,0),IFERROR(MATCH($B194&amp;"|All",LV_Key,0),IFERROR(MATCH($B194,LV_Country,0),0)))),FX_Ccy,0))*INDEX(FX_Rate,MATCH($E194,FX_Ccy,0)))</f>
        <v>88000</v>
      </c>
      <c r="Q194" s="28" t="n">
        <f aca="false">G194+K194+P194</f>
        <v>408650</v>
      </c>
      <c r="R194" s="13" t="str">
        <f aca="false">IF(F194=0,"No valid records",IF(F194=1,"Single-institution benchmark","Average of "&amp;F194&amp;" universities"))</f>
        <v>Average of 2 universities</v>
      </c>
    </row>
    <row r="195" customFormat="false" ht="15" hidden="false" customHeight="false" outlineLevel="0" collapsed="false">
      <c r="A195" s="25" t="str">
        <f aca="false">B195&amp;"|"&amp;C195&amp;"|"&amp;D195</f>
        <v>India|Computer Science|Indian national (general category)</v>
      </c>
      <c r="B195" s="13" t="s">
        <v>198</v>
      </c>
      <c r="C195" s="13" t="s">
        <v>43</v>
      </c>
      <c r="D195" s="13" t="s">
        <v>201</v>
      </c>
      <c r="E195" s="26" t="str">
        <f aca="false" t="array" ref="E195:E195">IFERROR(INDEX(EC_Ccy,MATCH(1,(EC_Key3=$A195)*(EC_Inc="Yes"),0)),"")</f>
        <v>INR</v>
      </c>
      <c r="F195" s="27" t="n">
        <f aca="false">COUNTIFS(EC_Country,$B195,EC_Qual,$C195,EC_Cat,$D195,EC_Inc,"Yes",EC_Ccy,$E195)</f>
        <v>3</v>
      </c>
      <c r="G195" s="28" t="n">
        <f aca="false">IF($F195=0,0,AVERAGEIFS(EC_Tuition,EC_Country,$B195,EC_Qual,$C195,EC_Cat,$D195,EC_Inc,"Yes",EC_Ccy,$E195))</f>
        <v>331000</v>
      </c>
      <c r="H195" s="28" t="n">
        <f aca="false" t="array" ref="H195:H195">IF($F195=0,0,MEDIAN(IF((EC_Key3=$A195)*(EC_Inc="Yes")*(EC_Ccy=$E195)*(EC_Tuition&lt;&gt;""),EC_Tuition)))</f>
        <v>343000</v>
      </c>
      <c r="I195" s="28" t="n">
        <f aca="false" t="array" ref="I195:I195">IF($F195=0,0,MIN(IF((EC_Key3=$A195)*(EC_Inc="Yes")*(EC_Ccy=$E195)*(EC_Tuition&lt;&gt;""),EC_Tuition)))</f>
        <v>200000</v>
      </c>
      <c r="J195" s="28" t="n">
        <f aca="false" t="array" ref="J195:J195">IF($F195=0,0,MAX(IF((EC_Key3=$A195)*(EC_Inc="Yes")*(EC_Ccy=$E195)*(EC_Tuition&lt;&gt;""),EC_Tuition)))</f>
        <v>450000</v>
      </c>
      <c r="K195" s="28" t="n">
        <f aca="false">IF($F195=0,0,AVERAGEIFS(EC_Other,EC_Country,$B195,EC_Qual,$C195,EC_Cat,$D195,EC_Inc,"Yes",EC_Ccy,$E195))</f>
        <v>74766.6666666667</v>
      </c>
      <c r="L195" s="28" t="n">
        <f aca="false">IF($F195=0,0,AVERAGEIFS(EC_Adm,EC_Country,$B195,EC_Qual,$C195,EC_Cat,$D195,EC_Inc,"Yes",EC_Ccy,$E195))</f>
        <v>666.666666666667</v>
      </c>
      <c r="M195" s="28" t="n">
        <f aca="false">IF($F195=0,0,AVERAGEIFS(EC_OtherOT,EC_Country,$B195,EC_Qual,$C195,EC_Cat,$D195,EC_Inc,"Yes",EC_Ccy,$E195))</f>
        <v>0</v>
      </c>
      <c r="N195" s="29" t="n">
        <f aca="false">IF($F195=0,0,AVERAGEIFS(EC_Dur,EC_Country,$B195,EC_Qual,$C195,EC_Cat,$D195,EC_Inc,"Yes",EC_Ccy,$E195))</f>
        <v>4</v>
      </c>
      <c r="O195" s="27" t="n">
        <f aca="false">IF($F195=0,PlanStartYear,ROUND(AVERAGEIFS(EC_FYS,EC_Country,$B195,EC_Qual,$C195,EC_Cat,$D195,EC_Inc,"Yes",EC_Ccy,$E195),0))</f>
        <v>2025</v>
      </c>
      <c r="P195" s="28" t="n">
        <f aca="false">IF(IFERROR(MATCH($B195&amp;"|"&amp;$D195,LV_Key,0),IFERROR(MATCH($B195&amp;"|All",LV_Key,0),IFERROR(MATCH($B195,LV_Country,0),0)))=0,0,INDEX(LV_Total,IFERROR(MATCH($B195&amp;"|"&amp;$D195,LV_Key,0),IFERROR(MATCH($B195&amp;"|All",LV_Key,0),IFERROR(MATCH($B195,LV_Country,0),0))))/INDEX(FX_Rate,MATCH(INDEX(LV_Ccy,IFERROR(MATCH($B195&amp;"|"&amp;$D195,LV_Key,0),IFERROR(MATCH($B195&amp;"|All",LV_Key,0),IFERROR(MATCH($B195,LV_Country,0),0)))),FX_Ccy,0))*INDEX(FX_Rate,MATCH($E195,FX_Ccy,0)))</f>
        <v>88000</v>
      </c>
      <c r="Q195" s="28" t="n">
        <f aca="false">G195+K195+P195</f>
        <v>493766.666666667</v>
      </c>
      <c r="R195" s="13" t="str">
        <f aca="false">IF(F195=0,"No valid records",IF(F195=1,"Single-institution benchmark","Average of "&amp;F195&amp;" universities"))</f>
        <v>Average of 3 universities</v>
      </c>
    </row>
    <row r="196" customFormat="false" ht="15" hidden="false" customHeight="false" outlineLevel="0" collapsed="false">
      <c r="A196" s="25" t="str">
        <f aca="false">B196&amp;"|"&amp;C196&amp;"|"&amp;D196</f>
        <v>India|Medicine — MBBS/MD|Indian national (general category)</v>
      </c>
      <c r="B196" s="13" t="s">
        <v>198</v>
      </c>
      <c r="C196" s="13" t="s">
        <v>44</v>
      </c>
      <c r="D196" s="13" t="s">
        <v>201</v>
      </c>
      <c r="E196" s="26" t="str">
        <f aca="false" t="array" ref="E196:E196">IFERROR(INDEX(EC_Ccy,MATCH(1,(EC_Key3=$A196)*(EC_Inc="Yes"),0)),"")</f>
        <v>INR</v>
      </c>
      <c r="F196" s="27" t="n">
        <f aca="false">COUNTIFS(EC_Country,$B196,EC_Qual,$C196,EC_Cat,$D196,EC_Inc,"Yes",EC_Ccy,$E196)</f>
        <v>1</v>
      </c>
      <c r="G196" s="28" t="n">
        <f aca="false">IF($F196=0,0,AVERAGEIFS(EC_Tuition,EC_Country,$B196,EC_Qual,$C196,EC_Cat,$D196,EC_Inc,"Yes",EC_Ccy,$E196))</f>
        <v>1099000</v>
      </c>
      <c r="H196" s="28" t="n">
        <f aca="false" t="array" ref="H196:H196">IF($F196=0,0,MEDIAN(IF((EC_Key3=$A196)*(EC_Inc="Yes")*(EC_Ccy=$E196)*(EC_Tuition&lt;&gt;""),EC_Tuition)))</f>
        <v>1099000</v>
      </c>
      <c r="I196" s="28" t="n">
        <f aca="false" t="array" ref="I196:I196">IF($F196=0,0,MIN(IF((EC_Key3=$A196)*(EC_Inc="Yes")*(EC_Ccy=$E196)*(EC_Tuition&lt;&gt;""),EC_Tuition)))</f>
        <v>1099000</v>
      </c>
      <c r="J196" s="28" t="n">
        <f aca="false" t="array" ref="J196:J196">IF($F196=0,0,MAX(IF((EC_Key3=$A196)*(EC_Inc="Yes")*(EC_Ccy=$E196)*(EC_Tuition&lt;&gt;""),EC_Tuition)))</f>
        <v>1099000</v>
      </c>
      <c r="K196" s="28" t="n">
        <f aca="false">IF($F196=0,0,AVERAGEIFS(EC_Other,EC_Country,$B196,EC_Qual,$C196,EC_Cat,$D196,EC_Inc,"Yes",EC_Ccy,$E196))</f>
        <v>671000</v>
      </c>
      <c r="L196" s="28" t="n">
        <f aca="false">IF($F196=0,0,AVERAGEIFS(EC_Adm,EC_Country,$B196,EC_Qual,$C196,EC_Cat,$D196,EC_Inc,"Yes",EC_Ccy,$E196))</f>
        <v>0</v>
      </c>
      <c r="M196" s="28" t="n">
        <f aca="false">IF($F196=0,0,AVERAGEIFS(EC_OtherOT,EC_Country,$B196,EC_Qual,$C196,EC_Cat,$D196,EC_Inc,"Yes",EC_Ccy,$E196))</f>
        <v>0</v>
      </c>
      <c r="N196" s="29" t="n">
        <f aca="false">IF($F196=0,0,AVERAGEIFS(EC_Dur,EC_Country,$B196,EC_Qual,$C196,EC_Cat,$D196,EC_Inc,"Yes",EC_Ccy,$E196))</f>
        <v>5.5</v>
      </c>
      <c r="O196" s="27" t="n">
        <f aca="false">IF($F196=0,PlanStartYear,ROUND(AVERAGEIFS(EC_FYS,EC_Country,$B196,EC_Qual,$C196,EC_Cat,$D196,EC_Inc,"Yes",EC_Ccy,$E196),0))</f>
        <v>2025</v>
      </c>
      <c r="P196" s="28" t="n">
        <f aca="false">IF(IFERROR(MATCH($B196&amp;"|"&amp;$D196,LV_Key,0),IFERROR(MATCH($B196&amp;"|All",LV_Key,0),IFERROR(MATCH($B196,LV_Country,0),0)))=0,0,INDEX(LV_Total,IFERROR(MATCH($B196&amp;"|"&amp;$D196,LV_Key,0),IFERROR(MATCH($B196&amp;"|All",LV_Key,0),IFERROR(MATCH($B196,LV_Country,0),0))))/INDEX(FX_Rate,MATCH(INDEX(LV_Ccy,IFERROR(MATCH($B196&amp;"|"&amp;$D196,LV_Key,0),IFERROR(MATCH($B196&amp;"|All",LV_Key,0),IFERROR(MATCH($B196,LV_Country,0),0)))),FX_Ccy,0))*INDEX(FX_Rate,MATCH($E196,FX_Ccy,0)))</f>
        <v>88000</v>
      </c>
      <c r="Q196" s="28" t="n">
        <f aca="false">G196+K196+P196</f>
        <v>1858000</v>
      </c>
      <c r="R196" s="13" t="str">
        <f aca="false">IF(F196=0,"No valid records",IF(F196=1,"Single-institution benchmark","Average of "&amp;F196&amp;" universities"))</f>
        <v>Single-institution benchmark</v>
      </c>
    </row>
    <row r="197" customFormat="false" ht="15" hidden="false" customHeight="false" outlineLevel="0" collapsed="false">
      <c r="A197" s="25" t="str">
        <f aca="false">B197&amp;"|"&amp;C197&amp;"|"&amp;D197</f>
        <v>India|Business Administration|Indian national (general category)</v>
      </c>
      <c r="B197" s="13" t="s">
        <v>198</v>
      </c>
      <c r="C197" s="13" t="s">
        <v>45</v>
      </c>
      <c r="D197" s="13" t="s">
        <v>201</v>
      </c>
      <c r="E197" s="26" t="str">
        <f aca="false" t="array" ref="E197:E197">IFERROR(INDEX(EC_Ccy,MATCH(1,(EC_Key3=$A197)*(EC_Inc="Yes"),0)),"")</f>
        <v>INR</v>
      </c>
      <c r="F197" s="27" t="n">
        <f aca="false">COUNTIFS(EC_Country,$B197,EC_Qual,$C197,EC_Cat,$D197,EC_Inc,"Yes",EC_Ccy,$E197)</f>
        <v>2</v>
      </c>
      <c r="G197" s="28" t="n">
        <f aca="false">IF($F197=0,0,AVERAGEIFS(EC_Tuition,EC_Country,$B197,EC_Qual,$C197,EC_Cat,$D197,EC_Inc,"Yes",EC_Ccy,$E197))</f>
        <v>217000</v>
      </c>
      <c r="H197" s="28" t="n">
        <f aca="false" t="array" ref="H197:H197">IF($F197=0,0,MEDIAN(IF((EC_Key3=$A197)*(EC_Inc="Yes")*(EC_Ccy=$E197)*(EC_Tuition&lt;&gt;""),EC_Tuition)))</f>
        <v>217000</v>
      </c>
      <c r="I197" s="28" t="n">
        <f aca="false" t="array" ref="I197:I197">IF($F197=0,0,MIN(IF((EC_Key3=$A197)*(EC_Inc="Yes")*(EC_Ccy=$E197)*(EC_Tuition&lt;&gt;""),EC_Tuition)))</f>
        <v>147000</v>
      </c>
      <c r="J197" s="28" t="n">
        <f aca="false" t="array" ref="J197:J197">IF($F197=0,0,MAX(IF((EC_Key3=$A197)*(EC_Inc="Yes")*(EC_Ccy=$E197)*(EC_Tuition&lt;&gt;""),EC_Tuition)))</f>
        <v>287000</v>
      </c>
      <c r="K197" s="28" t="n">
        <f aca="false">IF($F197=0,0,AVERAGEIFS(EC_Other,EC_Country,$B197,EC_Qual,$C197,EC_Cat,$D197,EC_Inc,"Yes",EC_Ccy,$E197))</f>
        <v>45000</v>
      </c>
      <c r="L197" s="28" t="n">
        <f aca="false">IF($F197=0,0,AVERAGEIFS(EC_Adm,EC_Country,$B197,EC_Qual,$C197,EC_Cat,$D197,EC_Inc,"Yes",EC_Ccy,$E197))</f>
        <v>4000</v>
      </c>
      <c r="M197" s="28" t="n">
        <f aca="false">IF($F197=0,0,AVERAGEIFS(EC_OtherOT,EC_Country,$B197,EC_Qual,$C197,EC_Cat,$D197,EC_Inc,"Yes",EC_Ccy,$E197))</f>
        <v>0</v>
      </c>
      <c r="N197" s="29" t="n">
        <f aca="false">IF($F197=0,0,AVERAGEIFS(EC_Dur,EC_Country,$B197,EC_Qual,$C197,EC_Cat,$D197,EC_Inc,"Yes",EC_Ccy,$E197))</f>
        <v>4</v>
      </c>
      <c r="O197" s="27" t="n">
        <f aca="false">IF($F197=0,PlanStartYear,ROUND(AVERAGEIFS(EC_FYS,EC_Country,$B197,EC_Qual,$C197,EC_Cat,$D197,EC_Inc,"Yes",EC_Ccy,$E197),0))</f>
        <v>2026</v>
      </c>
      <c r="P197" s="28" t="n">
        <f aca="false">IF(IFERROR(MATCH($B197&amp;"|"&amp;$D197,LV_Key,0),IFERROR(MATCH($B197&amp;"|All",LV_Key,0),IFERROR(MATCH($B197,LV_Country,0),0)))=0,0,INDEX(LV_Total,IFERROR(MATCH($B197&amp;"|"&amp;$D197,LV_Key,0),IFERROR(MATCH($B197&amp;"|All",LV_Key,0),IFERROR(MATCH($B197,LV_Country,0),0))))/INDEX(FX_Rate,MATCH(INDEX(LV_Ccy,IFERROR(MATCH($B197&amp;"|"&amp;$D197,LV_Key,0),IFERROR(MATCH($B197&amp;"|All",LV_Key,0),IFERROR(MATCH($B197,LV_Country,0),0)))),FX_Ccy,0))*INDEX(FX_Rate,MATCH($E197,FX_Ccy,0)))</f>
        <v>88000</v>
      </c>
      <c r="Q197" s="28" t="n">
        <f aca="false">G197+K197+P197</f>
        <v>350000</v>
      </c>
      <c r="R197" s="13" t="str">
        <f aca="false">IF(F197=0,"No valid records",IF(F197=1,"Single-institution benchmark","Average of "&amp;F197&amp;" universities"))</f>
        <v>Average of 2 universities</v>
      </c>
    </row>
    <row r="198" customFormat="false" ht="15" hidden="false" customHeight="false" outlineLevel="0" collapsed="false">
      <c r="A198" s="25" t="str">
        <f aca="false">B198&amp;"|"&amp;C198&amp;"|"&amp;D198</f>
        <v>India|Accounting and Finance|Indian national (general category)</v>
      </c>
      <c r="B198" s="13" t="s">
        <v>198</v>
      </c>
      <c r="C198" s="13" t="s">
        <v>46</v>
      </c>
      <c r="D198" s="13" t="s">
        <v>201</v>
      </c>
      <c r="E198" s="26" t="str">
        <f aca="false" t="array" ref="E198:E198">IFERROR(INDEX(EC_Ccy,MATCH(1,(EC_Key3=$A198)*(EC_Inc="Yes"),0)),"")</f>
        <v>INR</v>
      </c>
      <c r="F198" s="27" t="n">
        <f aca="false">COUNTIFS(EC_Country,$B198,EC_Qual,$C198,EC_Cat,$D198,EC_Inc,"Yes",EC_Ccy,$E198)</f>
        <v>2</v>
      </c>
      <c r="G198" s="28" t="n">
        <f aca="false">IF($F198=0,0,AVERAGEIFS(EC_Tuition,EC_Country,$B198,EC_Qual,$C198,EC_Cat,$D198,EC_Inc,"Yes",EC_Ccy,$E198))</f>
        <v>67590</v>
      </c>
      <c r="H198" s="28" t="n">
        <f aca="false" t="array" ref="H198:H198">IF($F198=0,0,MEDIAN(IF((EC_Key3=$A198)*(EC_Inc="Yes")*(EC_Ccy=$E198)*(EC_Tuition&lt;&gt;""),EC_Tuition)))</f>
        <v>67590</v>
      </c>
      <c r="I198" s="28" t="n">
        <f aca="false" t="array" ref="I198:I198">IF($F198=0,0,MIN(IF((EC_Key3=$A198)*(EC_Inc="Yes")*(EC_Ccy=$E198)*(EC_Tuition&lt;&gt;""),EC_Tuition)))</f>
        <v>180</v>
      </c>
      <c r="J198" s="28" t="n">
        <f aca="false" t="array" ref="J198:J198">IF($F198=0,0,MAX(IF((EC_Key3=$A198)*(EC_Inc="Yes")*(EC_Ccy=$E198)*(EC_Tuition&lt;&gt;""),EC_Tuition)))</f>
        <v>135000</v>
      </c>
      <c r="K198" s="28" t="n">
        <f aca="false">IF($F198=0,0,AVERAGEIFS(EC_Other,EC_Country,$B198,EC_Qual,$C198,EC_Cat,$D198,EC_Inc,"Yes",EC_Ccy,$E198))</f>
        <v>48237.5</v>
      </c>
      <c r="L198" s="28" t="n">
        <f aca="false">IF($F198=0,0,AVERAGEIFS(EC_Adm,EC_Country,$B198,EC_Qual,$C198,EC_Cat,$D198,EC_Inc,"Yes",EC_Ccy,$E198))</f>
        <v>0</v>
      </c>
      <c r="M198" s="28" t="n">
        <f aca="false">IF($F198=0,0,AVERAGEIFS(EC_OtherOT,EC_Country,$B198,EC_Qual,$C198,EC_Cat,$D198,EC_Inc,"Yes",EC_Ccy,$E198))</f>
        <v>0</v>
      </c>
      <c r="N198" s="29" t="n">
        <f aca="false">IF($F198=0,0,AVERAGEIFS(EC_Dur,EC_Country,$B198,EC_Qual,$C198,EC_Cat,$D198,EC_Inc,"Yes",EC_Ccy,$E198))</f>
        <v>3.5</v>
      </c>
      <c r="O198" s="27" t="n">
        <f aca="false">IF($F198=0,PlanStartYear,ROUND(AVERAGEIFS(EC_FYS,EC_Country,$B198,EC_Qual,$C198,EC_Cat,$D198,EC_Inc,"Yes",EC_Ccy,$E198),0))</f>
        <v>2025</v>
      </c>
      <c r="P198" s="28" t="n">
        <f aca="false">IF(IFERROR(MATCH($B198&amp;"|"&amp;$D198,LV_Key,0),IFERROR(MATCH($B198&amp;"|All",LV_Key,0),IFERROR(MATCH($B198,LV_Country,0),0)))=0,0,INDEX(LV_Total,IFERROR(MATCH($B198&amp;"|"&amp;$D198,LV_Key,0),IFERROR(MATCH($B198&amp;"|All",LV_Key,0),IFERROR(MATCH($B198,LV_Country,0),0))))/INDEX(FX_Rate,MATCH(INDEX(LV_Ccy,IFERROR(MATCH($B198&amp;"|"&amp;$D198,LV_Key,0),IFERROR(MATCH($B198&amp;"|All",LV_Key,0),IFERROR(MATCH($B198,LV_Country,0),0)))),FX_Ccy,0))*INDEX(FX_Rate,MATCH($E198,FX_Ccy,0)))</f>
        <v>88000</v>
      </c>
      <c r="Q198" s="28" t="n">
        <f aca="false">G198+K198+P198</f>
        <v>203827.5</v>
      </c>
      <c r="R198" s="13" t="str">
        <f aca="false">IF(F198=0,"No valid records",IF(F198=1,"Single-institution benchmark","Average of "&amp;F198&amp;" universities"))</f>
        <v>Average of 2 universities</v>
      </c>
    </row>
    <row r="199" customFormat="false" ht="15" hidden="false" customHeight="false" outlineLevel="0" collapsed="false">
      <c r="A199" s="25" t="str">
        <f aca="false">B199&amp;"|"&amp;C199&amp;"|"&amp;D199</f>
        <v>India|Business Administration|International</v>
      </c>
      <c r="B199" s="13" t="s">
        <v>198</v>
      </c>
      <c r="C199" s="13" t="s">
        <v>45</v>
      </c>
      <c r="D199" s="13" t="s">
        <v>138</v>
      </c>
      <c r="E199" s="26" t="str">
        <f aca="false" t="array" ref="E199:E199">IFERROR(INDEX(EC_Ccy,MATCH(1,(EC_Key3=$A199)*(EC_Inc="Yes"),0)),"")</f>
        <v>USD</v>
      </c>
      <c r="F199" s="27" t="n">
        <f aca="false">COUNTIFS(EC_Country,$B199,EC_Qual,$C199,EC_Cat,$D199,EC_Inc,"Yes",EC_Ccy,$E199)</f>
        <v>1</v>
      </c>
      <c r="G199" s="28" t="n">
        <f aca="false">IF($F199=0,0,AVERAGEIFS(EC_Tuition,EC_Country,$B199,EC_Qual,$C199,EC_Cat,$D199,EC_Inc,"Yes",EC_Ccy,$E199))</f>
        <v>5800</v>
      </c>
      <c r="H199" s="28" t="n">
        <f aca="false" t="array" ref="H199:H199">IF($F199=0,0,MEDIAN(IF((EC_Key3=$A199)*(EC_Inc="Yes")*(EC_Ccy=$E199)*(EC_Tuition&lt;&gt;""),EC_Tuition)))</f>
        <v>5800</v>
      </c>
      <c r="I199" s="28" t="n">
        <f aca="false" t="array" ref="I199:I199">IF($F199=0,0,MIN(IF((EC_Key3=$A199)*(EC_Inc="Yes")*(EC_Ccy=$E199)*(EC_Tuition&lt;&gt;""),EC_Tuition)))</f>
        <v>5800</v>
      </c>
      <c r="J199" s="28" t="n">
        <f aca="false" t="array" ref="J199:J199">IF($F199=0,0,MAX(IF((EC_Key3=$A199)*(EC_Inc="Yes")*(EC_Ccy=$E199)*(EC_Tuition&lt;&gt;""),EC_Tuition)))</f>
        <v>5800</v>
      </c>
      <c r="K199" s="28" t="n">
        <f aca="false">IF($F199=0,0,AVERAGEIFS(EC_Other,EC_Country,$B199,EC_Qual,$C199,EC_Cat,$D199,EC_Inc,"Yes",EC_Ccy,$E199))</f>
        <v>0</v>
      </c>
      <c r="L199" s="28" t="n">
        <f aca="false">IF($F199=0,0,AVERAGEIFS(EC_Adm,EC_Country,$B199,EC_Qual,$C199,EC_Cat,$D199,EC_Inc,"Yes",EC_Ccy,$E199))</f>
        <v>0</v>
      </c>
      <c r="M199" s="28" t="n">
        <f aca="false">IF($F199=0,0,AVERAGEIFS(EC_OtherOT,EC_Country,$B199,EC_Qual,$C199,EC_Cat,$D199,EC_Inc,"Yes",EC_Ccy,$E199))</f>
        <v>0</v>
      </c>
      <c r="N199" s="29" t="n">
        <f aca="false">IF($F199=0,0,AVERAGEIFS(EC_Dur,EC_Country,$B199,EC_Qual,$C199,EC_Cat,$D199,EC_Inc,"Yes",EC_Ccy,$E199))</f>
        <v>4</v>
      </c>
      <c r="O199" s="27" t="n">
        <f aca="false">IF($F199=0,PlanStartYear,ROUND(AVERAGEIFS(EC_FYS,EC_Country,$B199,EC_Qual,$C199,EC_Cat,$D199,EC_Inc,"Yes",EC_Ccy,$E199),0))</f>
        <v>2026</v>
      </c>
      <c r="P199" s="28" t="n">
        <f aca="false">IF(IFERROR(MATCH($B199&amp;"|"&amp;$D199,LV_Key,0),IFERROR(MATCH($B199&amp;"|All",LV_Key,0),IFERROR(MATCH($B199,LV_Country,0),0)))=0,0,INDEX(LV_Total,IFERROR(MATCH($B199&amp;"|"&amp;$D199,LV_Key,0),IFERROR(MATCH($B199&amp;"|All",LV_Key,0),IFERROR(MATCH($B199,LV_Country,0),0))))/INDEX(FX_Rate,MATCH(INDEX(LV_Ccy,IFERROR(MATCH($B199&amp;"|"&amp;$D199,LV_Key,0),IFERROR(MATCH($B199&amp;"|All",LV_Key,0),IFERROR(MATCH($B199,LV_Country,0),0)))),FX_Ccy,0))*INDEX(FX_Rate,MATCH($E199,FX_Ccy,0)))</f>
        <v>913.539696414149</v>
      </c>
      <c r="Q199" s="28" t="n">
        <f aca="false">G199+K199+P199</f>
        <v>6713.53969641415</v>
      </c>
      <c r="R199" s="13" t="str">
        <f aca="false">IF(F199=0,"No valid records",IF(F199=1,"Single-institution benchmark","Average of "&amp;F199&amp;" universities"))</f>
        <v>Single-institution benchmark</v>
      </c>
    </row>
    <row r="200" customFormat="false" ht="15" hidden="false" customHeight="false" outlineLevel="0" collapsed="false">
      <c r="A200" s="25" t="str">
        <f aca="false">B200&amp;"|"&amp;C200&amp;"|"&amp;D200</f>
        <v>USA|Mechanical Engineering|International</v>
      </c>
      <c r="B200" s="13" t="s">
        <v>248</v>
      </c>
      <c r="C200" s="13" t="s">
        <v>111</v>
      </c>
      <c r="D200" s="13" t="s">
        <v>138</v>
      </c>
      <c r="E200" s="26" t="str">
        <f aca="false" t="array" ref="E200:E200">IFERROR(INDEX(EC_Ccy,MATCH(1,(EC_Key3=$A200)*(EC_Inc="Yes"),0)),"")</f>
        <v>USD</v>
      </c>
      <c r="F200" s="27" t="n">
        <f aca="false">COUNTIFS(EC_Country,$B200,EC_Qual,$C200,EC_Cat,$D200,EC_Inc,"Yes",EC_Ccy,$E200)</f>
        <v>2</v>
      </c>
      <c r="G200" s="28" t="n">
        <f aca="false">IF($F200=0,0,AVERAGEIFS(EC_Tuition,EC_Country,$B200,EC_Qual,$C200,EC_Cat,$D200,EC_Inc,"Yes",EC_Ccy,$E200))</f>
        <v>39427.5</v>
      </c>
      <c r="H200" s="28" t="n">
        <f aca="false" t="array" ref="H200:H200">IF($F200=0,0,MEDIAN(IF((EC_Key3=$A200)*(EC_Inc="Yes")*(EC_Ccy=$E200)*(EC_Tuition&lt;&gt;""),EC_Tuition)))</f>
        <v>39427.5</v>
      </c>
      <c r="I200" s="28" t="n">
        <f aca="false" t="array" ref="I200:I200">IF($F200=0,0,MIN(IF((EC_Key3=$A200)*(EC_Inc="Yes")*(EC_Ccy=$E200)*(EC_Tuition&lt;&gt;""),EC_Tuition)))</f>
        <v>35846</v>
      </c>
      <c r="J200" s="28" t="n">
        <f aca="false" t="array" ref="J200:J200">IF($F200=0,0,MAX(IF((EC_Key3=$A200)*(EC_Inc="Yes")*(EC_Ccy=$E200)*(EC_Tuition&lt;&gt;""),EC_Tuition)))</f>
        <v>43009</v>
      </c>
      <c r="K200" s="28" t="n">
        <f aca="false">IF($F200=0,0,AVERAGEIFS(EC_Other,EC_Country,$B200,EC_Qual,$C200,EC_Cat,$D200,EC_Inc,"Yes",EC_Ccy,$E200))</f>
        <v>0</v>
      </c>
      <c r="L200" s="28" t="n">
        <f aca="false">IF($F200=0,0,AVERAGEIFS(EC_Adm,EC_Country,$B200,EC_Qual,$C200,EC_Cat,$D200,EC_Inc,"Yes",EC_Ccy,$E200))</f>
        <v>0</v>
      </c>
      <c r="M200" s="28" t="n">
        <f aca="false">IF($F200=0,0,AVERAGEIFS(EC_OtherOT,EC_Country,$B200,EC_Qual,$C200,EC_Cat,$D200,EC_Inc,"Yes",EC_Ccy,$E200))</f>
        <v>0</v>
      </c>
      <c r="N200" s="29" t="n">
        <f aca="false">IF($F200=0,0,AVERAGEIFS(EC_Dur,EC_Country,$B200,EC_Qual,$C200,EC_Cat,$D200,EC_Inc,"Yes",EC_Ccy,$E200))</f>
        <v>4</v>
      </c>
      <c r="O200" s="27" t="n">
        <f aca="false">IF($F200=0,PlanStartYear,ROUND(AVERAGEIFS(EC_FYS,EC_Country,$B200,EC_Qual,$C200,EC_Cat,$D200,EC_Inc,"Yes",EC_Ccy,$E200),0))</f>
        <v>2026</v>
      </c>
      <c r="P200" s="28" t="n">
        <f aca="false">IF(IFERROR(MATCH($B200&amp;"|"&amp;$D200,LV_Key,0),IFERROR(MATCH($B200&amp;"|All",LV_Key,0),IFERROR(MATCH($B200,LV_Country,0),0)))=0,0,INDEX(LV_Total,IFERROR(MATCH($B200&amp;"|"&amp;$D200,LV_Key,0),IFERROR(MATCH($B200&amp;"|All",LV_Key,0),IFERROR(MATCH($B200,LV_Country,0),0))))/INDEX(FX_Rate,MATCH(INDEX(LV_Ccy,IFERROR(MATCH($B200&amp;"|"&amp;$D200,LV_Key,0),IFERROR(MATCH($B200&amp;"|All",LV_Key,0),IFERROR(MATCH($B200,LV_Country,0),0)))),FX_Ccy,0))*INDEX(FX_Rate,MATCH($E200,FX_Ccy,0)))</f>
        <v>28626</v>
      </c>
      <c r="Q200" s="28" t="n">
        <f aca="false">G200+K200+P200</f>
        <v>68053.5</v>
      </c>
      <c r="R200" s="13" t="str">
        <f aca="false">IF(F200=0,"No valid records",IF(F200=1,"Single-institution benchmark","Average of "&amp;F200&amp;" universities"))</f>
        <v>Average of 2 universities</v>
      </c>
    </row>
    <row r="201" customFormat="false" ht="15" hidden="false" customHeight="false" outlineLevel="0" collapsed="false">
      <c r="A201" s="25" t="str">
        <f aca="false">B201&amp;"|"&amp;C201&amp;"|"&amp;D201</f>
        <v>USA|Computer Science|International</v>
      </c>
      <c r="B201" s="13" t="s">
        <v>248</v>
      </c>
      <c r="C201" s="13" t="s">
        <v>43</v>
      </c>
      <c r="D201" s="13" t="s">
        <v>138</v>
      </c>
      <c r="E201" s="26" t="str">
        <f aca="false" t="array" ref="E201:E201">IFERROR(INDEX(EC_Ccy,MATCH(1,(EC_Key3=$A201)*(EC_Inc="Yes"),0)),"")</f>
        <v>USD</v>
      </c>
      <c r="F201" s="27" t="n">
        <f aca="false">COUNTIFS(EC_Country,$B201,EC_Qual,$C201,EC_Cat,$D201,EC_Inc,"Yes",EC_Ccy,$E201)</f>
        <v>3</v>
      </c>
      <c r="G201" s="28" t="n">
        <f aca="false">IF($F201=0,0,AVERAGEIFS(EC_Tuition,EC_Country,$B201,EC_Qual,$C201,EC_Cat,$D201,EC_Inc,"Yes",EC_Ccy,$E201))</f>
        <v>38336.3333333333</v>
      </c>
      <c r="H201" s="28" t="n">
        <f aca="false" t="array" ref="H201:H201">IF($F201=0,0,MEDIAN(IF((EC_Key3=$A201)*(EC_Inc="Yes")*(EC_Ccy=$E201)*(EC_Tuition&lt;&gt;""),EC_Tuition)))</f>
        <v>36154</v>
      </c>
      <c r="I201" s="28" t="n">
        <f aca="false" t="array" ref="I201:I201">IF($F201=0,0,MIN(IF((EC_Key3=$A201)*(EC_Inc="Yes")*(EC_Ccy=$E201)*(EC_Tuition&lt;&gt;""),EC_Tuition)))</f>
        <v>35846</v>
      </c>
      <c r="J201" s="28" t="n">
        <f aca="false" t="array" ref="J201:J201">IF($F201=0,0,MAX(IF((EC_Key3=$A201)*(EC_Inc="Yes")*(EC_Ccy=$E201)*(EC_Tuition&lt;&gt;""),EC_Tuition)))</f>
        <v>43009</v>
      </c>
      <c r="K201" s="28" t="n">
        <f aca="false">IF($F201=0,0,AVERAGEIFS(EC_Other,EC_Country,$B201,EC_Qual,$C201,EC_Cat,$D201,EC_Inc,"Yes",EC_Ccy,$E201))</f>
        <v>0</v>
      </c>
      <c r="L201" s="28" t="n">
        <f aca="false">IF($F201=0,0,AVERAGEIFS(EC_Adm,EC_Country,$B201,EC_Qual,$C201,EC_Cat,$D201,EC_Inc,"Yes",EC_Ccy,$E201))</f>
        <v>0</v>
      </c>
      <c r="M201" s="28" t="n">
        <f aca="false">IF($F201=0,0,AVERAGEIFS(EC_OtherOT,EC_Country,$B201,EC_Qual,$C201,EC_Cat,$D201,EC_Inc,"Yes",EC_Ccy,$E201))</f>
        <v>0</v>
      </c>
      <c r="N201" s="29" t="n">
        <f aca="false">IF($F201=0,0,AVERAGEIFS(EC_Dur,EC_Country,$B201,EC_Qual,$C201,EC_Cat,$D201,EC_Inc,"Yes",EC_Ccy,$E201))</f>
        <v>4</v>
      </c>
      <c r="O201" s="27" t="n">
        <f aca="false">IF($F201=0,PlanStartYear,ROUND(AVERAGEIFS(EC_FYS,EC_Country,$B201,EC_Qual,$C201,EC_Cat,$D201,EC_Inc,"Yes",EC_Ccy,$E201),0))</f>
        <v>2026</v>
      </c>
      <c r="P201" s="28" t="n">
        <f aca="false">IF(IFERROR(MATCH($B201&amp;"|"&amp;$D201,LV_Key,0),IFERROR(MATCH($B201&amp;"|All",LV_Key,0),IFERROR(MATCH($B201,LV_Country,0),0)))=0,0,INDEX(LV_Total,IFERROR(MATCH($B201&amp;"|"&amp;$D201,LV_Key,0),IFERROR(MATCH($B201&amp;"|All",LV_Key,0),IFERROR(MATCH($B201,LV_Country,0),0))))/INDEX(FX_Rate,MATCH(INDEX(LV_Ccy,IFERROR(MATCH($B201&amp;"|"&amp;$D201,LV_Key,0),IFERROR(MATCH($B201&amp;"|All",LV_Key,0),IFERROR(MATCH($B201,LV_Country,0),0)))),FX_Ccy,0))*INDEX(FX_Rate,MATCH($E201,FX_Ccy,0)))</f>
        <v>28626</v>
      </c>
      <c r="Q201" s="28" t="n">
        <f aca="false">G201+K201+P201</f>
        <v>66962.3333333333</v>
      </c>
      <c r="R201" s="13" t="str">
        <f aca="false">IF(F201=0,"No valid records",IF(F201=1,"Single-institution benchmark","Average of "&amp;F201&amp;" universities"))</f>
        <v>Average of 3 universities</v>
      </c>
    </row>
    <row r="202" customFormat="false" ht="15" hidden="false" customHeight="false" outlineLevel="0" collapsed="false">
      <c r="A202" s="25" t="str">
        <f aca="false">B202&amp;"|"&amp;C202&amp;"|"&amp;D202</f>
        <v>USA|Business Administration|International</v>
      </c>
      <c r="B202" s="13" t="s">
        <v>248</v>
      </c>
      <c r="C202" s="13" t="s">
        <v>45</v>
      </c>
      <c r="D202" s="13" t="s">
        <v>138</v>
      </c>
      <c r="E202" s="26" t="str">
        <f aca="false" t="array" ref="E202:E202">IFERROR(INDEX(EC_Ccy,MATCH(1,(EC_Key3=$A202)*(EC_Inc="Yes"),0)),"")</f>
        <v>USD</v>
      </c>
      <c r="F202" s="27" t="n">
        <f aca="false">COUNTIFS(EC_Country,$B202,EC_Qual,$C202,EC_Cat,$D202,EC_Inc,"Yes",EC_Ccy,$E202)</f>
        <v>3</v>
      </c>
      <c r="G202" s="28" t="n">
        <f aca="false">IF($F202=0,0,AVERAGEIFS(EC_Tuition,EC_Country,$B202,EC_Qual,$C202,EC_Cat,$D202,EC_Inc,"Yes",EC_Ccy,$E202))</f>
        <v>38131.6666666667</v>
      </c>
      <c r="H202" s="28" t="n">
        <f aca="false" t="array" ref="H202:H202">IF($F202=0,0,MEDIAN(IF((EC_Key3=$A202)*(EC_Inc="Yes")*(EC_Ccy=$E202)*(EC_Tuition&lt;&gt;""),EC_Tuition)))</f>
        <v>35846</v>
      </c>
      <c r="I202" s="28" t="n">
        <f aca="false" t="array" ref="I202:I202">IF($F202=0,0,MIN(IF((EC_Key3=$A202)*(EC_Inc="Yes")*(EC_Ccy=$E202)*(EC_Tuition&lt;&gt;""),EC_Tuition)))</f>
        <v>35540</v>
      </c>
      <c r="J202" s="28" t="n">
        <f aca="false" t="array" ref="J202:J202">IF($F202=0,0,MAX(IF((EC_Key3=$A202)*(EC_Inc="Yes")*(EC_Ccy=$E202)*(EC_Tuition&lt;&gt;""),EC_Tuition)))</f>
        <v>43009</v>
      </c>
      <c r="K202" s="28" t="n">
        <f aca="false">IF($F202=0,0,AVERAGEIFS(EC_Other,EC_Country,$B202,EC_Qual,$C202,EC_Cat,$D202,EC_Inc,"Yes",EC_Ccy,$E202))</f>
        <v>0</v>
      </c>
      <c r="L202" s="28" t="n">
        <f aca="false">IF($F202=0,0,AVERAGEIFS(EC_Adm,EC_Country,$B202,EC_Qual,$C202,EC_Cat,$D202,EC_Inc,"Yes",EC_Ccy,$E202))</f>
        <v>0</v>
      </c>
      <c r="M202" s="28" t="n">
        <f aca="false">IF($F202=0,0,AVERAGEIFS(EC_OtherOT,EC_Country,$B202,EC_Qual,$C202,EC_Cat,$D202,EC_Inc,"Yes",EC_Ccy,$E202))</f>
        <v>0</v>
      </c>
      <c r="N202" s="29" t="n">
        <f aca="false">IF($F202=0,0,AVERAGEIFS(EC_Dur,EC_Country,$B202,EC_Qual,$C202,EC_Cat,$D202,EC_Inc,"Yes",EC_Ccy,$E202))</f>
        <v>4</v>
      </c>
      <c r="O202" s="27" t="n">
        <f aca="false">IF($F202=0,PlanStartYear,ROUND(AVERAGEIFS(EC_FYS,EC_Country,$B202,EC_Qual,$C202,EC_Cat,$D202,EC_Inc,"Yes",EC_Ccy,$E202),0))</f>
        <v>2026</v>
      </c>
      <c r="P202" s="28" t="n">
        <f aca="false">IF(IFERROR(MATCH($B202&amp;"|"&amp;$D202,LV_Key,0),IFERROR(MATCH($B202&amp;"|All",LV_Key,0),IFERROR(MATCH($B202,LV_Country,0),0)))=0,0,INDEX(LV_Total,IFERROR(MATCH($B202&amp;"|"&amp;$D202,LV_Key,0),IFERROR(MATCH($B202&amp;"|All",LV_Key,0),IFERROR(MATCH($B202,LV_Country,0),0))))/INDEX(FX_Rate,MATCH(INDEX(LV_Ccy,IFERROR(MATCH($B202&amp;"|"&amp;$D202,LV_Key,0),IFERROR(MATCH($B202&amp;"|All",LV_Key,0),IFERROR(MATCH($B202,LV_Country,0),0)))),FX_Ccy,0))*INDEX(FX_Rate,MATCH($E202,FX_Ccy,0)))</f>
        <v>28626</v>
      </c>
      <c r="Q202" s="28" t="n">
        <f aca="false">G202+K202+P202</f>
        <v>66757.6666666667</v>
      </c>
      <c r="R202" s="13" t="str">
        <f aca="false">IF(F202=0,"No valid records",IF(F202=1,"Single-institution benchmark","Average of "&amp;F202&amp;" universities"))</f>
        <v>Average of 3 universities</v>
      </c>
    </row>
    <row r="203" customFormat="false" ht="15" hidden="false" customHeight="false" outlineLevel="0" collapsed="false">
      <c r="A203" s="25" t="str">
        <f aca="false">B203&amp;"|"&amp;C203&amp;"|"&amp;D203</f>
        <v>USA|Accounting and Finance|International</v>
      </c>
      <c r="B203" s="13" t="s">
        <v>248</v>
      </c>
      <c r="C203" s="13" t="s">
        <v>46</v>
      </c>
      <c r="D203" s="13" t="s">
        <v>138</v>
      </c>
      <c r="E203" s="26" t="str">
        <f aca="false" t="array" ref="E203:E203">IFERROR(INDEX(EC_Ccy,MATCH(1,(EC_Key3=$A203)*(EC_Inc="Yes"),0)),"")</f>
        <v>USD</v>
      </c>
      <c r="F203" s="27" t="n">
        <f aca="false">COUNTIFS(EC_Country,$B203,EC_Qual,$C203,EC_Cat,$D203,EC_Inc,"Yes",EC_Ccy,$E203)</f>
        <v>3</v>
      </c>
      <c r="G203" s="28" t="n">
        <f aca="false">IF($F203=0,0,AVERAGEIFS(EC_Tuition,EC_Country,$B203,EC_Qual,$C203,EC_Cat,$D203,EC_Inc,"Yes",EC_Ccy,$E203))</f>
        <v>38131.6666666667</v>
      </c>
      <c r="H203" s="28" t="n">
        <f aca="false" t="array" ref="H203:H203">IF($F203=0,0,MEDIAN(IF((EC_Key3=$A203)*(EC_Inc="Yes")*(EC_Ccy=$E203)*(EC_Tuition&lt;&gt;""),EC_Tuition)))</f>
        <v>35846</v>
      </c>
      <c r="I203" s="28" t="n">
        <f aca="false" t="array" ref="I203:I203">IF($F203=0,0,MIN(IF((EC_Key3=$A203)*(EC_Inc="Yes")*(EC_Ccy=$E203)*(EC_Tuition&lt;&gt;""),EC_Tuition)))</f>
        <v>35540</v>
      </c>
      <c r="J203" s="28" t="n">
        <f aca="false" t="array" ref="J203:J203">IF($F203=0,0,MAX(IF((EC_Key3=$A203)*(EC_Inc="Yes")*(EC_Ccy=$E203)*(EC_Tuition&lt;&gt;""),EC_Tuition)))</f>
        <v>43009</v>
      </c>
      <c r="K203" s="28" t="n">
        <f aca="false">IF($F203=0,0,AVERAGEIFS(EC_Other,EC_Country,$B203,EC_Qual,$C203,EC_Cat,$D203,EC_Inc,"Yes",EC_Ccy,$E203))</f>
        <v>0</v>
      </c>
      <c r="L203" s="28" t="n">
        <f aca="false">IF($F203=0,0,AVERAGEIFS(EC_Adm,EC_Country,$B203,EC_Qual,$C203,EC_Cat,$D203,EC_Inc,"Yes",EC_Ccy,$E203))</f>
        <v>0</v>
      </c>
      <c r="M203" s="28" t="n">
        <f aca="false">IF($F203=0,0,AVERAGEIFS(EC_OtherOT,EC_Country,$B203,EC_Qual,$C203,EC_Cat,$D203,EC_Inc,"Yes",EC_Ccy,$E203))</f>
        <v>0</v>
      </c>
      <c r="N203" s="29" t="n">
        <f aca="false">IF($F203=0,0,AVERAGEIFS(EC_Dur,EC_Country,$B203,EC_Qual,$C203,EC_Cat,$D203,EC_Inc,"Yes",EC_Ccy,$E203))</f>
        <v>4</v>
      </c>
      <c r="O203" s="27" t="n">
        <f aca="false">IF($F203=0,PlanStartYear,ROUND(AVERAGEIFS(EC_FYS,EC_Country,$B203,EC_Qual,$C203,EC_Cat,$D203,EC_Inc,"Yes",EC_Ccy,$E203),0))</f>
        <v>2026</v>
      </c>
      <c r="P203" s="28" t="n">
        <f aca="false">IF(IFERROR(MATCH($B203&amp;"|"&amp;$D203,LV_Key,0),IFERROR(MATCH($B203&amp;"|All",LV_Key,0),IFERROR(MATCH($B203,LV_Country,0),0)))=0,0,INDEX(LV_Total,IFERROR(MATCH($B203&amp;"|"&amp;$D203,LV_Key,0),IFERROR(MATCH($B203&amp;"|All",LV_Key,0),IFERROR(MATCH($B203,LV_Country,0),0))))/INDEX(FX_Rate,MATCH(INDEX(LV_Ccy,IFERROR(MATCH($B203&amp;"|"&amp;$D203,LV_Key,0),IFERROR(MATCH($B203&amp;"|All",LV_Key,0),IFERROR(MATCH($B203,LV_Country,0),0)))),FX_Ccy,0))*INDEX(FX_Rate,MATCH($E203,FX_Ccy,0)))</f>
        <v>28626</v>
      </c>
      <c r="Q203" s="28" t="n">
        <f aca="false">G203+K203+P203</f>
        <v>66757.6666666667</v>
      </c>
      <c r="R203" s="13" t="str">
        <f aca="false">IF(F203=0,"No valid records",IF(F203=1,"Single-institution benchmark","Average of "&amp;F203&amp;" universities"))</f>
        <v>Average of 3 universities</v>
      </c>
    </row>
    <row r="204" customFormat="false" ht="15" hidden="false" customHeight="false" outlineLevel="0" collapsed="false">
      <c r="A204" s="25" t="str">
        <f aca="false">B204&amp;"|"&amp;C204&amp;"|"&amp;D204</f>
        <v>USA|Medicine — MBBS/MD|Non-resident (out-of-state)</v>
      </c>
      <c r="B204" s="13" t="s">
        <v>248</v>
      </c>
      <c r="C204" s="13" t="s">
        <v>44</v>
      </c>
      <c r="D204" s="13" t="s">
        <v>277</v>
      </c>
      <c r="E204" s="26" t="str">
        <f aca="false" t="array" ref="E204:E204">IFERROR(INDEX(EC_Ccy,MATCH(1,(EC_Key3=$A204)*(EC_Inc="Yes"),0)),"")</f>
        <v>USD</v>
      </c>
      <c r="F204" s="27" t="n">
        <f aca="false">COUNTIFS(EC_Country,$B204,EC_Qual,$C204,EC_Cat,$D204,EC_Inc,"Yes",EC_Ccy,$E204)</f>
        <v>3</v>
      </c>
      <c r="G204" s="28" t="n">
        <f aca="false">IF($F204=0,0,AVERAGEIFS(EC_Tuition,EC_Country,$B204,EC_Qual,$C204,EC_Cat,$D204,EC_Inc,"Yes",EC_Ccy,$E204))</f>
        <v>74315.3333333333</v>
      </c>
      <c r="H204" s="28" t="n">
        <f aca="false" t="array" ref="H204:H204">IF($F204=0,0,MEDIAN(IF((EC_Key3=$A204)*(EC_Inc="Yes")*(EC_Ccy=$E204)*(EC_Tuition&lt;&gt;""),EC_Tuition)))</f>
        <v>77567</v>
      </c>
      <c r="I204" s="28" t="n">
        <f aca="false" t="array" ref="I204:I204">IF($F204=0,0,MIN(IF((EC_Key3=$A204)*(EC_Inc="Yes")*(EC_Ccy=$E204)*(EC_Tuition&lt;&gt;""),EC_Tuition)))</f>
        <v>63419</v>
      </c>
      <c r="J204" s="28" t="n">
        <f aca="false" t="array" ref="J204:J204">IF($F204=0,0,MAX(IF((EC_Key3=$A204)*(EC_Inc="Yes")*(EC_Ccy=$E204)*(EC_Tuition&lt;&gt;""),EC_Tuition)))</f>
        <v>81960</v>
      </c>
      <c r="K204" s="28" t="n">
        <f aca="false">IF($F204=0,0,AVERAGEIFS(EC_Other,EC_Country,$B204,EC_Qual,$C204,EC_Cat,$D204,EC_Inc,"Yes",EC_Ccy,$E204))</f>
        <v>2559</v>
      </c>
      <c r="L204" s="28" t="n">
        <f aca="false">IF($F204=0,0,AVERAGEIFS(EC_Adm,EC_Country,$B204,EC_Qual,$C204,EC_Cat,$D204,EC_Inc,"Yes",EC_Ccy,$E204))</f>
        <v>0</v>
      </c>
      <c r="M204" s="28" t="n">
        <f aca="false">IF($F204=0,0,AVERAGEIFS(EC_OtherOT,EC_Country,$B204,EC_Qual,$C204,EC_Cat,$D204,EC_Inc,"Yes",EC_Ccy,$E204))</f>
        <v>0</v>
      </c>
      <c r="N204" s="29" t="n">
        <f aca="false">IF($F204=0,0,AVERAGEIFS(EC_Dur,EC_Country,$B204,EC_Qual,$C204,EC_Cat,$D204,EC_Inc,"Yes",EC_Ccy,$E204))</f>
        <v>4</v>
      </c>
      <c r="O204" s="27" t="n">
        <f aca="false">IF($F204=0,PlanStartYear,ROUND(AVERAGEIFS(EC_FYS,EC_Country,$B204,EC_Qual,$C204,EC_Cat,$D204,EC_Inc,"Yes",EC_Ccy,$E204),0))</f>
        <v>2026</v>
      </c>
      <c r="P204" s="28" t="n">
        <f aca="false">IF(IFERROR(MATCH($B204&amp;"|"&amp;$D204,LV_Key,0),IFERROR(MATCH($B204&amp;"|All",LV_Key,0),IFERROR(MATCH($B204,LV_Country,0),0)))=0,0,INDEX(LV_Total,IFERROR(MATCH($B204&amp;"|"&amp;$D204,LV_Key,0),IFERROR(MATCH($B204&amp;"|All",LV_Key,0),IFERROR(MATCH($B204,LV_Country,0),0))))/INDEX(FX_Rate,MATCH(INDEX(LV_Ccy,IFERROR(MATCH($B204&amp;"|"&amp;$D204,LV_Key,0),IFERROR(MATCH($B204&amp;"|All",LV_Key,0),IFERROR(MATCH($B204,LV_Country,0),0)))),FX_Ccy,0))*INDEX(FX_Rate,MATCH($E204,FX_Ccy,0)))</f>
        <v>28626</v>
      </c>
      <c r="Q204" s="28" t="n">
        <f aca="false">G204+K204+P204</f>
        <v>105500.333333333</v>
      </c>
      <c r="R204" s="13" t="str">
        <f aca="false">IF(F204=0,"No valid records",IF(F204=1,"Single-institution benchmark","Average of "&amp;F204&amp;" universities"))</f>
        <v>Average of 3 universities</v>
      </c>
    </row>
    <row r="205" customFormat="false" ht="15" hidden="false" customHeight="false" outlineLevel="0" collapsed="false">
      <c r="A205" s="25" t="str">
        <f aca="false">B205&amp;"|"&amp;C205&amp;"|"&amp;D205</f>
        <v>UK|Computer Science|International</v>
      </c>
      <c r="B205" s="13" t="s">
        <v>291</v>
      </c>
      <c r="C205" s="13" t="s">
        <v>43</v>
      </c>
      <c r="D205" s="13" t="s">
        <v>138</v>
      </c>
      <c r="E205" s="26" t="str">
        <f aca="false" t="array" ref="E205:E205">IFERROR(INDEX(EC_Ccy,MATCH(1,(EC_Key3=$A205)*(EC_Inc="Yes"),0)),"")</f>
        <v>GBP</v>
      </c>
      <c r="F205" s="27" t="n">
        <f aca="false">COUNTIFS(EC_Country,$B205,EC_Qual,$C205,EC_Cat,$D205,EC_Inc,"Yes",EC_Ccy,$E205)</f>
        <v>2</v>
      </c>
      <c r="G205" s="28" t="n">
        <f aca="false">IF($F205=0,0,AVERAGEIFS(EC_Tuition,EC_Country,$B205,EC_Qual,$C205,EC_Cat,$D205,EC_Inc,"Yes",EC_Ccy,$E205))</f>
        <v>35025</v>
      </c>
      <c r="H205" s="28" t="n">
        <f aca="false" t="array" ref="H205:H205">IF($F205=0,0,MEDIAN(IF((EC_Key3=$A205)*(EC_Inc="Yes")*(EC_Ccy=$E205)*(EC_Tuition&lt;&gt;""),EC_Tuition)))</f>
        <v>35025</v>
      </c>
      <c r="I205" s="28" t="n">
        <f aca="false" t="array" ref="I205:I205">IF($F205=0,0,MIN(IF((EC_Key3=$A205)*(EC_Inc="Yes")*(EC_Ccy=$E205)*(EC_Tuition&lt;&gt;""),EC_Tuition)))</f>
        <v>32250</v>
      </c>
      <c r="J205" s="28" t="n">
        <f aca="false" t="array" ref="J205:J205">IF($F205=0,0,MAX(IF((EC_Key3=$A205)*(EC_Inc="Yes")*(EC_Ccy=$E205)*(EC_Tuition&lt;&gt;""),EC_Tuition)))</f>
        <v>37800</v>
      </c>
      <c r="K205" s="28" t="n">
        <f aca="false">IF($F205=0,0,AVERAGEIFS(EC_Other,EC_Country,$B205,EC_Qual,$C205,EC_Cat,$D205,EC_Inc,"Yes",EC_Ccy,$E205))</f>
        <v>0</v>
      </c>
      <c r="L205" s="28" t="n">
        <f aca="false">IF($F205=0,0,AVERAGEIFS(EC_Adm,EC_Country,$B205,EC_Qual,$C205,EC_Cat,$D205,EC_Inc,"Yes",EC_Ccy,$E205))</f>
        <v>0</v>
      </c>
      <c r="M205" s="28" t="n">
        <f aca="false">IF($F205=0,0,AVERAGEIFS(EC_OtherOT,EC_Country,$B205,EC_Qual,$C205,EC_Cat,$D205,EC_Inc,"Yes",EC_Ccy,$E205))</f>
        <v>0</v>
      </c>
      <c r="N205" s="29" t="n">
        <f aca="false">IF($F205=0,0,AVERAGEIFS(EC_Dur,EC_Country,$B205,EC_Qual,$C205,EC_Cat,$D205,EC_Inc,"Yes",EC_Ccy,$E205))</f>
        <v>3</v>
      </c>
      <c r="O205" s="27" t="n">
        <f aca="false">IF($F205=0,PlanStartYear,ROUND(AVERAGEIFS(EC_FYS,EC_Country,$B205,EC_Qual,$C205,EC_Cat,$D205,EC_Inc,"Yes",EC_Ccy,$E205),0))</f>
        <v>2026</v>
      </c>
      <c r="P205" s="28" t="n">
        <f aca="false">IF(IFERROR(MATCH($B205&amp;"|"&amp;$D205,LV_Key,0),IFERROR(MATCH($B205&amp;"|All",LV_Key,0),IFERROR(MATCH($B205,LV_Country,0),0)))=0,0,INDEX(LV_Total,IFERROR(MATCH($B205&amp;"|"&amp;$D205,LV_Key,0),IFERROR(MATCH($B205&amp;"|All",LV_Key,0),IFERROR(MATCH($B205,LV_Country,0),0))))/INDEX(FX_Rate,MATCH(INDEX(LV_Ccy,IFERROR(MATCH($B205&amp;"|"&amp;$D205,LV_Key,0),IFERROR(MATCH($B205&amp;"|All",LV_Key,0),IFERROR(MATCH($B205,LV_Country,0),0)))),FX_Ccy,0))*INDEX(FX_Rate,MATCH($E205,FX_Ccy,0)))</f>
        <v>14690</v>
      </c>
      <c r="Q205" s="28" t="n">
        <f aca="false">G205+K205+P205</f>
        <v>49715</v>
      </c>
      <c r="R205" s="13" t="str">
        <f aca="false">IF(F205=0,"No valid records",IF(F205=1,"Single-institution benchmark","Average of "&amp;F205&amp;" universities"))</f>
        <v>Average of 2 universities</v>
      </c>
    </row>
    <row r="206" customFormat="false" ht="15" hidden="false" customHeight="false" outlineLevel="0" collapsed="false">
      <c r="A206" s="25" t="str">
        <f aca="false">B206&amp;"|"&amp;C206&amp;"|"&amp;D206</f>
        <v>UK|Computer Science|UK (Home)</v>
      </c>
      <c r="B206" s="13" t="s">
        <v>291</v>
      </c>
      <c r="C206" s="13" t="s">
        <v>43</v>
      </c>
      <c r="D206" s="13" t="s">
        <v>299</v>
      </c>
      <c r="E206" s="26" t="str">
        <f aca="false" t="array" ref="E206:E206">IFERROR(INDEX(EC_Ccy,MATCH(1,(EC_Key3=$A206)*(EC_Inc="Yes"),0)),"")</f>
        <v>GBP</v>
      </c>
      <c r="F206" s="27" t="n">
        <f aca="false">COUNTIFS(EC_Country,$B206,EC_Qual,$C206,EC_Cat,$D206,EC_Inc,"Yes",EC_Ccy,$E206)</f>
        <v>1</v>
      </c>
      <c r="G206" s="28" t="n">
        <f aca="false">IF($F206=0,0,AVERAGEIFS(EC_Tuition,EC_Country,$B206,EC_Qual,$C206,EC_Cat,$D206,EC_Inc,"Yes",EC_Ccy,$E206))</f>
        <v>9790</v>
      </c>
      <c r="H206" s="28" t="n">
        <f aca="false" t="array" ref="H206:H206">IF($F206=0,0,MEDIAN(IF((EC_Key3=$A206)*(EC_Inc="Yes")*(EC_Ccy=$E206)*(EC_Tuition&lt;&gt;""),EC_Tuition)))</f>
        <v>9790</v>
      </c>
      <c r="I206" s="28" t="n">
        <f aca="false" t="array" ref="I206:I206">IF($F206=0,0,MIN(IF((EC_Key3=$A206)*(EC_Inc="Yes")*(EC_Ccy=$E206)*(EC_Tuition&lt;&gt;""),EC_Tuition)))</f>
        <v>9790</v>
      </c>
      <c r="J206" s="28" t="n">
        <f aca="false" t="array" ref="J206:J206">IF($F206=0,0,MAX(IF((EC_Key3=$A206)*(EC_Inc="Yes")*(EC_Ccy=$E206)*(EC_Tuition&lt;&gt;""),EC_Tuition)))</f>
        <v>9790</v>
      </c>
      <c r="K206" s="28" t="n">
        <f aca="false">IF($F206=0,0,AVERAGEIFS(EC_Other,EC_Country,$B206,EC_Qual,$C206,EC_Cat,$D206,EC_Inc,"Yes",EC_Ccy,$E206))</f>
        <v>0</v>
      </c>
      <c r="L206" s="28" t="n">
        <f aca="false">IF($F206=0,0,AVERAGEIFS(EC_Adm,EC_Country,$B206,EC_Qual,$C206,EC_Cat,$D206,EC_Inc,"Yes",EC_Ccy,$E206))</f>
        <v>0</v>
      </c>
      <c r="M206" s="28" t="n">
        <f aca="false">IF($F206=0,0,AVERAGEIFS(EC_OtherOT,EC_Country,$B206,EC_Qual,$C206,EC_Cat,$D206,EC_Inc,"Yes",EC_Ccy,$E206))</f>
        <v>0</v>
      </c>
      <c r="N206" s="29" t="n">
        <f aca="false">IF($F206=0,0,AVERAGEIFS(EC_Dur,EC_Country,$B206,EC_Qual,$C206,EC_Cat,$D206,EC_Inc,"Yes",EC_Ccy,$E206))</f>
        <v>3</v>
      </c>
      <c r="O206" s="27" t="n">
        <f aca="false">IF($F206=0,PlanStartYear,ROUND(AVERAGEIFS(EC_FYS,EC_Country,$B206,EC_Qual,$C206,EC_Cat,$D206,EC_Inc,"Yes",EC_Ccy,$E206),0))</f>
        <v>2026</v>
      </c>
      <c r="P206" s="28" t="n">
        <f aca="false">IF(IFERROR(MATCH($B206&amp;"|"&amp;$D206,LV_Key,0),IFERROR(MATCH($B206&amp;"|All",LV_Key,0),IFERROR(MATCH($B206,LV_Country,0),0)))=0,0,INDEX(LV_Total,IFERROR(MATCH($B206&amp;"|"&amp;$D206,LV_Key,0),IFERROR(MATCH($B206&amp;"|All",LV_Key,0),IFERROR(MATCH($B206,LV_Country,0),0))))/INDEX(FX_Rate,MATCH(INDEX(LV_Ccy,IFERROR(MATCH($B206&amp;"|"&amp;$D206,LV_Key,0),IFERROR(MATCH($B206&amp;"|All",LV_Key,0),IFERROR(MATCH($B206,LV_Country,0),0)))),FX_Ccy,0))*INDEX(FX_Rate,MATCH($E206,FX_Ccy,0)))</f>
        <v>13914</v>
      </c>
      <c r="Q206" s="28" t="n">
        <f aca="false">G206+K206+P206</f>
        <v>23704</v>
      </c>
      <c r="R206" s="13" t="str">
        <f aca="false">IF(F206=0,"No valid records",IF(F206=1,"Single-institution benchmark","Average of "&amp;F206&amp;" universities"))</f>
        <v>Single-institution benchmark</v>
      </c>
    </row>
    <row r="207" customFormat="false" ht="15" hidden="false" customHeight="false" outlineLevel="0" collapsed="false">
      <c r="A207" s="25" t="str">
        <f aca="false">B207&amp;"|"&amp;C207&amp;"|"&amp;D207</f>
        <v>UK|Mechanical Engineering|International</v>
      </c>
      <c r="B207" s="13" t="s">
        <v>291</v>
      </c>
      <c r="C207" s="13" t="s">
        <v>111</v>
      </c>
      <c r="D207" s="13" t="s">
        <v>138</v>
      </c>
      <c r="E207" s="26" t="str">
        <f aca="false" t="array" ref="E207:E207">IFERROR(INDEX(EC_Ccy,MATCH(1,(EC_Key3=$A207)*(EC_Inc="Yes"),0)),"")</f>
        <v>GBP</v>
      </c>
      <c r="F207" s="27" t="n">
        <f aca="false">COUNTIFS(EC_Country,$B207,EC_Qual,$C207,EC_Cat,$D207,EC_Inc,"Yes",EC_Ccy,$E207)</f>
        <v>2</v>
      </c>
      <c r="G207" s="28" t="n">
        <f aca="false">IF($F207=0,0,AVERAGEIFS(EC_Tuition,EC_Country,$B207,EC_Qual,$C207,EC_Cat,$D207,EC_Inc,"Yes",EC_Ccy,$E207))</f>
        <v>33975</v>
      </c>
      <c r="H207" s="28" t="n">
        <f aca="false" t="array" ref="H207:H207">IF($F207=0,0,MEDIAN(IF((EC_Key3=$A207)*(EC_Inc="Yes")*(EC_Ccy=$E207)*(EC_Tuition&lt;&gt;""),EC_Tuition)))</f>
        <v>33975</v>
      </c>
      <c r="I207" s="28" t="n">
        <f aca="false" t="array" ref="I207:I207">IF($F207=0,0,MIN(IF((EC_Key3=$A207)*(EC_Inc="Yes")*(EC_Ccy=$E207)*(EC_Tuition&lt;&gt;""),EC_Tuition)))</f>
        <v>32250</v>
      </c>
      <c r="J207" s="28" t="n">
        <f aca="false" t="array" ref="J207:J207">IF($F207=0,0,MAX(IF((EC_Key3=$A207)*(EC_Inc="Yes")*(EC_Ccy=$E207)*(EC_Tuition&lt;&gt;""),EC_Tuition)))</f>
        <v>35700</v>
      </c>
      <c r="K207" s="28" t="n">
        <f aca="false">IF($F207=0,0,AVERAGEIFS(EC_Other,EC_Country,$B207,EC_Qual,$C207,EC_Cat,$D207,EC_Inc,"Yes",EC_Ccy,$E207))</f>
        <v>0</v>
      </c>
      <c r="L207" s="28" t="n">
        <f aca="false">IF($F207=0,0,AVERAGEIFS(EC_Adm,EC_Country,$B207,EC_Qual,$C207,EC_Cat,$D207,EC_Inc,"Yes",EC_Ccy,$E207))</f>
        <v>0</v>
      </c>
      <c r="M207" s="28" t="n">
        <f aca="false">IF($F207=0,0,AVERAGEIFS(EC_OtherOT,EC_Country,$B207,EC_Qual,$C207,EC_Cat,$D207,EC_Inc,"Yes",EC_Ccy,$E207))</f>
        <v>0</v>
      </c>
      <c r="N207" s="29" t="n">
        <f aca="false">IF($F207=0,0,AVERAGEIFS(EC_Dur,EC_Country,$B207,EC_Qual,$C207,EC_Cat,$D207,EC_Inc,"Yes",EC_Ccy,$E207))</f>
        <v>3.5</v>
      </c>
      <c r="O207" s="27" t="n">
        <f aca="false">IF($F207=0,PlanStartYear,ROUND(AVERAGEIFS(EC_FYS,EC_Country,$B207,EC_Qual,$C207,EC_Cat,$D207,EC_Inc,"Yes",EC_Ccy,$E207),0))</f>
        <v>2026</v>
      </c>
      <c r="P207" s="28" t="n">
        <f aca="false">IF(IFERROR(MATCH($B207&amp;"|"&amp;$D207,LV_Key,0),IFERROR(MATCH($B207&amp;"|All",LV_Key,0),IFERROR(MATCH($B207,LV_Country,0),0)))=0,0,INDEX(LV_Total,IFERROR(MATCH($B207&amp;"|"&amp;$D207,LV_Key,0),IFERROR(MATCH($B207&amp;"|All",LV_Key,0),IFERROR(MATCH($B207,LV_Country,0),0))))/INDEX(FX_Rate,MATCH(INDEX(LV_Ccy,IFERROR(MATCH($B207&amp;"|"&amp;$D207,LV_Key,0),IFERROR(MATCH($B207&amp;"|All",LV_Key,0),IFERROR(MATCH($B207,LV_Country,0),0)))),FX_Ccy,0))*INDEX(FX_Rate,MATCH($E207,FX_Ccy,0)))</f>
        <v>14690</v>
      </c>
      <c r="Q207" s="28" t="n">
        <f aca="false">G207+K207+P207</f>
        <v>48665</v>
      </c>
      <c r="R207" s="13" t="str">
        <f aca="false">IF(F207=0,"No valid records",IF(F207=1,"Single-institution benchmark","Average of "&amp;F207&amp;" universities"))</f>
        <v>Average of 2 universities</v>
      </c>
    </row>
    <row r="208" customFormat="false" ht="15" hidden="false" customHeight="false" outlineLevel="0" collapsed="false">
      <c r="A208" s="25" t="str">
        <f aca="false">B208&amp;"|"&amp;C208&amp;"|"&amp;D208</f>
        <v>UK|Mechanical Engineering|UK (Home)</v>
      </c>
      <c r="B208" s="13" t="s">
        <v>291</v>
      </c>
      <c r="C208" s="13" t="s">
        <v>111</v>
      </c>
      <c r="D208" s="13" t="s">
        <v>299</v>
      </c>
      <c r="E208" s="26" t="str">
        <f aca="false" t="array" ref="E208:E208">IFERROR(INDEX(EC_Ccy,MATCH(1,(EC_Key3=$A208)*(EC_Inc="Yes"),0)),"")</f>
        <v>GBP</v>
      </c>
      <c r="F208" s="27" t="n">
        <f aca="false">COUNTIFS(EC_Country,$B208,EC_Qual,$C208,EC_Cat,$D208,EC_Inc,"Yes",EC_Ccy,$E208)</f>
        <v>1</v>
      </c>
      <c r="G208" s="28" t="n">
        <f aca="false">IF($F208=0,0,AVERAGEIFS(EC_Tuition,EC_Country,$B208,EC_Qual,$C208,EC_Cat,$D208,EC_Inc,"Yes",EC_Ccy,$E208))</f>
        <v>9790</v>
      </c>
      <c r="H208" s="28" t="n">
        <f aca="false" t="array" ref="H208:H208">IF($F208=0,0,MEDIAN(IF((EC_Key3=$A208)*(EC_Inc="Yes")*(EC_Ccy=$E208)*(EC_Tuition&lt;&gt;""),EC_Tuition)))</f>
        <v>9790</v>
      </c>
      <c r="I208" s="28" t="n">
        <f aca="false" t="array" ref="I208:I208">IF($F208=0,0,MIN(IF((EC_Key3=$A208)*(EC_Inc="Yes")*(EC_Ccy=$E208)*(EC_Tuition&lt;&gt;""),EC_Tuition)))</f>
        <v>9790</v>
      </c>
      <c r="J208" s="28" t="n">
        <f aca="false" t="array" ref="J208:J208">IF($F208=0,0,MAX(IF((EC_Key3=$A208)*(EC_Inc="Yes")*(EC_Ccy=$E208)*(EC_Tuition&lt;&gt;""),EC_Tuition)))</f>
        <v>9790</v>
      </c>
      <c r="K208" s="28" t="n">
        <f aca="false">IF($F208=0,0,AVERAGEIFS(EC_Other,EC_Country,$B208,EC_Qual,$C208,EC_Cat,$D208,EC_Inc,"Yes",EC_Ccy,$E208))</f>
        <v>0</v>
      </c>
      <c r="L208" s="28" t="n">
        <f aca="false">IF($F208=0,0,AVERAGEIFS(EC_Adm,EC_Country,$B208,EC_Qual,$C208,EC_Cat,$D208,EC_Inc,"Yes",EC_Ccy,$E208))</f>
        <v>0</v>
      </c>
      <c r="M208" s="28" t="n">
        <f aca="false">IF($F208=0,0,AVERAGEIFS(EC_OtherOT,EC_Country,$B208,EC_Qual,$C208,EC_Cat,$D208,EC_Inc,"Yes",EC_Ccy,$E208))</f>
        <v>0</v>
      </c>
      <c r="N208" s="29" t="n">
        <f aca="false">IF($F208=0,0,AVERAGEIFS(EC_Dur,EC_Country,$B208,EC_Qual,$C208,EC_Cat,$D208,EC_Inc,"Yes",EC_Ccy,$E208))</f>
        <v>4</v>
      </c>
      <c r="O208" s="27" t="n">
        <f aca="false">IF($F208=0,PlanStartYear,ROUND(AVERAGEIFS(EC_FYS,EC_Country,$B208,EC_Qual,$C208,EC_Cat,$D208,EC_Inc,"Yes",EC_Ccy,$E208),0))</f>
        <v>2026</v>
      </c>
      <c r="P208" s="28" t="n">
        <f aca="false">IF(IFERROR(MATCH($B208&amp;"|"&amp;$D208,LV_Key,0),IFERROR(MATCH($B208&amp;"|All",LV_Key,0),IFERROR(MATCH($B208,LV_Country,0),0)))=0,0,INDEX(LV_Total,IFERROR(MATCH($B208&amp;"|"&amp;$D208,LV_Key,0),IFERROR(MATCH($B208&amp;"|All",LV_Key,0),IFERROR(MATCH($B208,LV_Country,0),0))))/INDEX(FX_Rate,MATCH(INDEX(LV_Ccy,IFERROR(MATCH($B208&amp;"|"&amp;$D208,LV_Key,0),IFERROR(MATCH($B208&amp;"|All",LV_Key,0),IFERROR(MATCH($B208,LV_Country,0),0)))),FX_Ccy,0))*INDEX(FX_Rate,MATCH($E208,FX_Ccy,0)))</f>
        <v>13914</v>
      </c>
      <c r="Q208" s="28" t="n">
        <f aca="false">G208+K208+P208</f>
        <v>23704</v>
      </c>
      <c r="R208" s="13" t="str">
        <f aca="false">IF(F208=0,"No valid records",IF(F208=1,"Single-institution benchmark","Average of "&amp;F208&amp;" universities"))</f>
        <v>Single-institution benchmark</v>
      </c>
    </row>
    <row r="209" customFormat="false" ht="15" hidden="false" customHeight="false" outlineLevel="0" collapsed="false">
      <c r="A209" s="25" t="str">
        <f aca="false">B209&amp;"|"&amp;C209&amp;"|"&amp;D209</f>
        <v>UK|Accounting and Finance|International</v>
      </c>
      <c r="B209" s="13" t="s">
        <v>291</v>
      </c>
      <c r="C209" s="13" t="s">
        <v>46</v>
      </c>
      <c r="D209" s="13" t="s">
        <v>138</v>
      </c>
      <c r="E209" s="26" t="str">
        <f aca="false" t="array" ref="E209:E209">IFERROR(INDEX(EC_Ccy,MATCH(1,(EC_Key3=$A209)*(EC_Inc="Yes"),0)),"")</f>
        <v>GBP</v>
      </c>
      <c r="F209" s="27" t="n">
        <f aca="false">COUNTIFS(EC_Country,$B209,EC_Qual,$C209,EC_Cat,$D209,EC_Inc,"Yes",EC_Ccy,$E209)</f>
        <v>2</v>
      </c>
      <c r="G209" s="28" t="n">
        <f aca="false">IF($F209=0,0,AVERAGEIFS(EC_Tuition,EC_Country,$B209,EC_Qual,$C209,EC_Cat,$D209,EC_Inc,"Yes",EC_Ccy,$E209))</f>
        <v>31800</v>
      </c>
      <c r="H209" s="28" t="n">
        <f aca="false" t="array" ref="H209:H209">IF($F209=0,0,MEDIAN(IF((EC_Key3=$A209)*(EC_Inc="Yes")*(EC_Ccy=$E209)*(EC_Tuition&lt;&gt;""),EC_Tuition)))</f>
        <v>31800</v>
      </c>
      <c r="I209" s="28" t="n">
        <f aca="false" t="array" ref="I209:I209">IF($F209=0,0,MIN(IF((EC_Key3=$A209)*(EC_Inc="Yes")*(EC_Ccy=$E209)*(EC_Tuition&lt;&gt;""),EC_Tuition)))</f>
        <v>30500</v>
      </c>
      <c r="J209" s="28" t="n">
        <f aca="false" t="array" ref="J209:J209">IF($F209=0,0,MAX(IF((EC_Key3=$A209)*(EC_Inc="Yes")*(EC_Ccy=$E209)*(EC_Tuition&lt;&gt;""),EC_Tuition)))</f>
        <v>33100</v>
      </c>
      <c r="K209" s="28" t="n">
        <f aca="false">IF($F209=0,0,AVERAGEIFS(EC_Other,EC_Country,$B209,EC_Qual,$C209,EC_Cat,$D209,EC_Inc,"Yes",EC_Ccy,$E209))</f>
        <v>0</v>
      </c>
      <c r="L209" s="28" t="n">
        <f aca="false">IF($F209=0,0,AVERAGEIFS(EC_Adm,EC_Country,$B209,EC_Qual,$C209,EC_Cat,$D209,EC_Inc,"Yes",EC_Ccy,$E209))</f>
        <v>0</v>
      </c>
      <c r="M209" s="28" t="n">
        <f aca="false">IF($F209=0,0,AVERAGEIFS(EC_OtherOT,EC_Country,$B209,EC_Qual,$C209,EC_Cat,$D209,EC_Inc,"Yes",EC_Ccy,$E209))</f>
        <v>0</v>
      </c>
      <c r="N209" s="29" t="n">
        <f aca="false">IF($F209=0,0,AVERAGEIFS(EC_Dur,EC_Country,$B209,EC_Qual,$C209,EC_Cat,$D209,EC_Inc,"Yes",EC_Ccy,$E209))</f>
        <v>3</v>
      </c>
      <c r="O209" s="27" t="n">
        <f aca="false">IF($F209=0,PlanStartYear,ROUND(AVERAGEIFS(EC_FYS,EC_Country,$B209,EC_Qual,$C209,EC_Cat,$D209,EC_Inc,"Yes",EC_Ccy,$E209),0))</f>
        <v>2026</v>
      </c>
      <c r="P209" s="28" t="n">
        <f aca="false">IF(IFERROR(MATCH($B209&amp;"|"&amp;$D209,LV_Key,0),IFERROR(MATCH($B209&amp;"|All",LV_Key,0),IFERROR(MATCH($B209,LV_Country,0),0)))=0,0,INDEX(LV_Total,IFERROR(MATCH($B209&amp;"|"&amp;$D209,LV_Key,0),IFERROR(MATCH($B209&amp;"|All",LV_Key,0),IFERROR(MATCH($B209,LV_Country,0),0))))/INDEX(FX_Rate,MATCH(INDEX(LV_Ccy,IFERROR(MATCH($B209&amp;"|"&amp;$D209,LV_Key,0),IFERROR(MATCH($B209&amp;"|All",LV_Key,0),IFERROR(MATCH($B209,LV_Country,0),0)))),FX_Ccy,0))*INDEX(FX_Rate,MATCH($E209,FX_Ccy,0)))</f>
        <v>14690</v>
      </c>
      <c r="Q209" s="28" t="n">
        <f aca="false">G209+K209+P209</f>
        <v>46490</v>
      </c>
      <c r="R209" s="13" t="str">
        <f aca="false">IF(F209=0,"No valid records",IF(F209=1,"Single-institution benchmark","Average of "&amp;F209&amp;" universities"))</f>
        <v>Average of 2 universities</v>
      </c>
    </row>
    <row r="210" customFormat="false" ht="15" hidden="false" customHeight="false" outlineLevel="0" collapsed="false">
      <c r="A210" s="25" t="str">
        <f aca="false">B210&amp;"|"&amp;C210&amp;"|"&amp;D210</f>
        <v>UK|Accounting and Finance|UK (Home)</v>
      </c>
      <c r="B210" s="13" t="s">
        <v>291</v>
      </c>
      <c r="C210" s="13" t="s">
        <v>46</v>
      </c>
      <c r="D210" s="13" t="s">
        <v>299</v>
      </c>
      <c r="E210" s="26" t="str">
        <f aca="false" t="array" ref="E210:E210">IFERROR(INDEX(EC_Ccy,MATCH(1,(EC_Key3=$A210)*(EC_Inc="Yes"),0)),"")</f>
        <v>GBP</v>
      </c>
      <c r="F210" s="27" t="n">
        <f aca="false">COUNTIFS(EC_Country,$B210,EC_Qual,$C210,EC_Cat,$D210,EC_Inc,"Yes",EC_Ccy,$E210)</f>
        <v>1</v>
      </c>
      <c r="G210" s="28" t="n">
        <f aca="false">IF($F210=0,0,AVERAGEIFS(EC_Tuition,EC_Country,$B210,EC_Qual,$C210,EC_Cat,$D210,EC_Inc,"Yes",EC_Ccy,$E210))</f>
        <v>9790</v>
      </c>
      <c r="H210" s="28" t="n">
        <f aca="false" t="array" ref="H210:H210">IF($F210=0,0,MEDIAN(IF((EC_Key3=$A210)*(EC_Inc="Yes")*(EC_Ccy=$E210)*(EC_Tuition&lt;&gt;""),EC_Tuition)))</f>
        <v>9790</v>
      </c>
      <c r="I210" s="28" t="n">
        <f aca="false" t="array" ref="I210:I210">IF($F210=0,0,MIN(IF((EC_Key3=$A210)*(EC_Inc="Yes")*(EC_Ccy=$E210)*(EC_Tuition&lt;&gt;""),EC_Tuition)))</f>
        <v>9790</v>
      </c>
      <c r="J210" s="28" t="n">
        <f aca="false" t="array" ref="J210:J210">IF($F210=0,0,MAX(IF((EC_Key3=$A210)*(EC_Inc="Yes")*(EC_Ccy=$E210)*(EC_Tuition&lt;&gt;""),EC_Tuition)))</f>
        <v>9790</v>
      </c>
      <c r="K210" s="28" t="n">
        <f aca="false">IF($F210=0,0,AVERAGEIFS(EC_Other,EC_Country,$B210,EC_Qual,$C210,EC_Cat,$D210,EC_Inc,"Yes",EC_Ccy,$E210))</f>
        <v>0</v>
      </c>
      <c r="L210" s="28" t="n">
        <f aca="false">IF($F210=0,0,AVERAGEIFS(EC_Adm,EC_Country,$B210,EC_Qual,$C210,EC_Cat,$D210,EC_Inc,"Yes",EC_Ccy,$E210))</f>
        <v>0</v>
      </c>
      <c r="M210" s="28" t="n">
        <f aca="false">IF($F210=0,0,AVERAGEIFS(EC_OtherOT,EC_Country,$B210,EC_Qual,$C210,EC_Cat,$D210,EC_Inc,"Yes",EC_Ccy,$E210))</f>
        <v>0</v>
      </c>
      <c r="N210" s="29" t="n">
        <f aca="false">IF($F210=0,0,AVERAGEIFS(EC_Dur,EC_Country,$B210,EC_Qual,$C210,EC_Cat,$D210,EC_Inc,"Yes",EC_Ccy,$E210))</f>
        <v>3</v>
      </c>
      <c r="O210" s="27" t="n">
        <f aca="false">IF($F210=0,PlanStartYear,ROUND(AVERAGEIFS(EC_FYS,EC_Country,$B210,EC_Qual,$C210,EC_Cat,$D210,EC_Inc,"Yes",EC_Ccy,$E210),0))</f>
        <v>2026</v>
      </c>
      <c r="P210" s="28" t="n">
        <f aca="false">IF(IFERROR(MATCH($B210&amp;"|"&amp;$D210,LV_Key,0),IFERROR(MATCH($B210&amp;"|All",LV_Key,0),IFERROR(MATCH($B210,LV_Country,0),0)))=0,0,INDEX(LV_Total,IFERROR(MATCH($B210&amp;"|"&amp;$D210,LV_Key,0),IFERROR(MATCH($B210&amp;"|All",LV_Key,0),IFERROR(MATCH($B210,LV_Country,0),0))))/INDEX(FX_Rate,MATCH(INDEX(LV_Ccy,IFERROR(MATCH($B210&amp;"|"&amp;$D210,LV_Key,0),IFERROR(MATCH($B210&amp;"|All",LV_Key,0),IFERROR(MATCH($B210,LV_Country,0),0)))),FX_Ccy,0))*INDEX(FX_Rate,MATCH($E210,FX_Ccy,0)))</f>
        <v>13914</v>
      </c>
      <c r="Q210" s="28" t="n">
        <f aca="false">G210+K210+P210</f>
        <v>23704</v>
      </c>
      <c r="R210" s="13" t="str">
        <f aca="false">IF(F210=0,"No valid records",IF(F210=1,"Single-institution benchmark","Average of "&amp;F210&amp;" universities"))</f>
        <v>Single-institution benchmark</v>
      </c>
    </row>
    <row r="211" customFormat="false" ht="15" hidden="false" customHeight="false" outlineLevel="0" collapsed="false">
      <c r="A211" s="25" t="str">
        <f aca="false">B211&amp;"|"&amp;C211&amp;"|"&amp;D211</f>
        <v>UK|Medicine — MBBS/MD|International</v>
      </c>
      <c r="B211" s="13" t="s">
        <v>291</v>
      </c>
      <c r="C211" s="13" t="s">
        <v>44</v>
      </c>
      <c r="D211" s="13" t="s">
        <v>138</v>
      </c>
      <c r="E211" s="26" t="str">
        <f aca="false" t="array" ref="E211:E211">IFERROR(INDEX(EC_Ccy,MATCH(1,(EC_Key3=$A211)*(EC_Inc="Yes"),0)),"")</f>
        <v>GBP</v>
      </c>
      <c r="F211" s="27" t="n">
        <f aca="false">COUNTIFS(EC_Country,$B211,EC_Qual,$C211,EC_Cat,$D211,EC_Inc,"Yes",EC_Ccy,$E211)</f>
        <v>1</v>
      </c>
      <c r="G211" s="28" t="n">
        <f aca="false">IF($F211=0,0,AVERAGEIFS(EC_Tuition,EC_Country,$B211,EC_Qual,$C211,EC_Cat,$D211,EC_Inc,"Yes",EC_Ccy,$E211))</f>
        <v>52500</v>
      </c>
      <c r="H211" s="28" t="n">
        <f aca="false" t="array" ref="H211:H211">IF($F211=0,0,MEDIAN(IF((EC_Key3=$A211)*(EC_Inc="Yes")*(EC_Ccy=$E211)*(EC_Tuition&lt;&gt;""),EC_Tuition)))</f>
        <v>52500</v>
      </c>
      <c r="I211" s="28" t="n">
        <f aca="false" t="array" ref="I211:I211">IF($F211=0,0,MIN(IF((EC_Key3=$A211)*(EC_Inc="Yes")*(EC_Ccy=$E211)*(EC_Tuition&lt;&gt;""),EC_Tuition)))</f>
        <v>52500</v>
      </c>
      <c r="J211" s="28" t="n">
        <f aca="false" t="array" ref="J211:J211">IF($F211=0,0,MAX(IF((EC_Key3=$A211)*(EC_Inc="Yes")*(EC_Ccy=$E211)*(EC_Tuition&lt;&gt;""),EC_Tuition)))</f>
        <v>52500</v>
      </c>
      <c r="K211" s="28" t="n">
        <f aca="false">IF($F211=0,0,AVERAGEIFS(EC_Other,EC_Country,$B211,EC_Qual,$C211,EC_Cat,$D211,EC_Inc,"Yes",EC_Ccy,$E211))</f>
        <v>0</v>
      </c>
      <c r="L211" s="28" t="n">
        <f aca="false">IF($F211=0,0,AVERAGEIFS(EC_Adm,EC_Country,$B211,EC_Qual,$C211,EC_Cat,$D211,EC_Inc,"Yes",EC_Ccy,$E211))</f>
        <v>0</v>
      </c>
      <c r="M211" s="28" t="n">
        <f aca="false">IF($F211=0,0,AVERAGEIFS(EC_OtherOT,EC_Country,$B211,EC_Qual,$C211,EC_Cat,$D211,EC_Inc,"Yes",EC_Ccy,$E211))</f>
        <v>0</v>
      </c>
      <c r="N211" s="29" t="n">
        <f aca="false">IF($F211=0,0,AVERAGEIFS(EC_Dur,EC_Country,$B211,EC_Qual,$C211,EC_Cat,$D211,EC_Inc,"Yes",EC_Ccy,$E211))</f>
        <v>5</v>
      </c>
      <c r="O211" s="27" t="n">
        <f aca="false">IF($F211=0,PlanStartYear,ROUND(AVERAGEIFS(EC_FYS,EC_Country,$B211,EC_Qual,$C211,EC_Cat,$D211,EC_Inc,"Yes",EC_Ccy,$E211),0))</f>
        <v>2026</v>
      </c>
      <c r="P211" s="28" t="n">
        <f aca="false">IF(IFERROR(MATCH($B211&amp;"|"&amp;$D211,LV_Key,0),IFERROR(MATCH($B211&amp;"|All",LV_Key,0),IFERROR(MATCH($B211,LV_Country,0),0)))=0,0,INDEX(LV_Total,IFERROR(MATCH($B211&amp;"|"&amp;$D211,LV_Key,0),IFERROR(MATCH($B211&amp;"|All",LV_Key,0),IFERROR(MATCH($B211,LV_Country,0),0))))/INDEX(FX_Rate,MATCH(INDEX(LV_Ccy,IFERROR(MATCH($B211&amp;"|"&amp;$D211,LV_Key,0),IFERROR(MATCH($B211&amp;"|All",LV_Key,0),IFERROR(MATCH($B211,LV_Country,0),0)))),FX_Ccy,0))*INDEX(FX_Rate,MATCH($E211,FX_Ccy,0)))</f>
        <v>14690</v>
      </c>
      <c r="Q211" s="28" t="n">
        <f aca="false">G211+K211+P211</f>
        <v>67190</v>
      </c>
      <c r="R211" s="13" t="str">
        <f aca="false">IF(F211=0,"No valid records",IF(F211=1,"Single-institution benchmark","Average of "&amp;F211&amp;" universities"))</f>
        <v>Single-institution benchmark</v>
      </c>
    </row>
    <row r="212" customFormat="false" ht="15" hidden="false" customHeight="false" outlineLevel="0" collapsed="false">
      <c r="A212" s="25" t="str">
        <f aca="false">B212&amp;"|"&amp;C212&amp;"|"&amp;D212</f>
        <v>UK|Medicine — MBBS/MD|UK (Home)</v>
      </c>
      <c r="B212" s="13" t="s">
        <v>291</v>
      </c>
      <c r="C212" s="13" t="s">
        <v>44</v>
      </c>
      <c r="D212" s="13" t="s">
        <v>299</v>
      </c>
      <c r="E212" s="26" t="str">
        <f aca="false" t="array" ref="E212:E212">IFERROR(INDEX(EC_Ccy,MATCH(1,(EC_Key3=$A212)*(EC_Inc="Yes"),0)),"")</f>
        <v>GBP</v>
      </c>
      <c r="F212" s="27" t="n">
        <f aca="false">COUNTIFS(EC_Country,$B212,EC_Qual,$C212,EC_Cat,$D212,EC_Inc,"Yes",EC_Ccy,$E212)</f>
        <v>1</v>
      </c>
      <c r="G212" s="28" t="n">
        <f aca="false">IF($F212=0,0,AVERAGEIFS(EC_Tuition,EC_Country,$B212,EC_Qual,$C212,EC_Cat,$D212,EC_Inc,"Yes",EC_Ccy,$E212))</f>
        <v>9790</v>
      </c>
      <c r="H212" s="28" t="n">
        <f aca="false" t="array" ref="H212:H212">IF($F212=0,0,MEDIAN(IF((EC_Key3=$A212)*(EC_Inc="Yes")*(EC_Ccy=$E212)*(EC_Tuition&lt;&gt;""),EC_Tuition)))</f>
        <v>9790</v>
      </c>
      <c r="I212" s="28" t="n">
        <f aca="false" t="array" ref="I212:I212">IF($F212=0,0,MIN(IF((EC_Key3=$A212)*(EC_Inc="Yes")*(EC_Ccy=$E212)*(EC_Tuition&lt;&gt;""),EC_Tuition)))</f>
        <v>9790</v>
      </c>
      <c r="J212" s="28" t="n">
        <f aca="false" t="array" ref="J212:J212">IF($F212=0,0,MAX(IF((EC_Key3=$A212)*(EC_Inc="Yes")*(EC_Ccy=$E212)*(EC_Tuition&lt;&gt;""),EC_Tuition)))</f>
        <v>9790</v>
      </c>
      <c r="K212" s="28" t="n">
        <f aca="false">IF($F212=0,0,AVERAGEIFS(EC_Other,EC_Country,$B212,EC_Qual,$C212,EC_Cat,$D212,EC_Inc,"Yes",EC_Ccy,$E212))</f>
        <v>0</v>
      </c>
      <c r="L212" s="28" t="n">
        <f aca="false">IF($F212=0,0,AVERAGEIFS(EC_Adm,EC_Country,$B212,EC_Qual,$C212,EC_Cat,$D212,EC_Inc,"Yes",EC_Ccy,$E212))</f>
        <v>0</v>
      </c>
      <c r="M212" s="28" t="n">
        <f aca="false">IF($F212=0,0,AVERAGEIFS(EC_OtherOT,EC_Country,$B212,EC_Qual,$C212,EC_Cat,$D212,EC_Inc,"Yes",EC_Ccy,$E212))</f>
        <v>0</v>
      </c>
      <c r="N212" s="29" t="n">
        <f aca="false">IF($F212=0,0,AVERAGEIFS(EC_Dur,EC_Country,$B212,EC_Qual,$C212,EC_Cat,$D212,EC_Inc,"Yes",EC_Ccy,$E212))</f>
        <v>5</v>
      </c>
      <c r="O212" s="27" t="n">
        <f aca="false">IF($F212=0,PlanStartYear,ROUND(AVERAGEIFS(EC_FYS,EC_Country,$B212,EC_Qual,$C212,EC_Cat,$D212,EC_Inc,"Yes",EC_Ccy,$E212),0))</f>
        <v>2026</v>
      </c>
      <c r="P212" s="28" t="n">
        <f aca="false">IF(IFERROR(MATCH($B212&amp;"|"&amp;$D212,LV_Key,0),IFERROR(MATCH($B212&amp;"|All",LV_Key,0),IFERROR(MATCH($B212,LV_Country,0),0)))=0,0,INDEX(LV_Total,IFERROR(MATCH($B212&amp;"|"&amp;$D212,LV_Key,0),IFERROR(MATCH($B212&amp;"|All",LV_Key,0),IFERROR(MATCH($B212,LV_Country,0),0))))/INDEX(FX_Rate,MATCH(INDEX(LV_Ccy,IFERROR(MATCH($B212&amp;"|"&amp;$D212,LV_Key,0),IFERROR(MATCH($B212&amp;"|All",LV_Key,0),IFERROR(MATCH($B212,LV_Country,0),0)))),FX_Ccy,0))*INDEX(FX_Rate,MATCH($E212,FX_Ccy,0)))</f>
        <v>13914</v>
      </c>
      <c r="Q212" s="28" t="n">
        <f aca="false">G212+K212+P212</f>
        <v>23704</v>
      </c>
      <c r="R212" s="13" t="str">
        <f aca="false">IF(F212=0,"No valid records",IF(F212=1,"Single-institution benchmark","Average of "&amp;F212&amp;" universities"))</f>
        <v>Single-institution benchmark</v>
      </c>
    </row>
    <row r="213" customFormat="false" ht="15" hidden="false" customHeight="false" outlineLevel="0" collapsed="false">
      <c r="A213" s="25" t="str">
        <f aca="false">B213&amp;"|"&amp;C213&amp;"|"&amp;D213</f>
        <v>UK|Business Administration|UK (Home)</v>
      </c>
      <c r="B213" s="13" t="s">
        <v>291</v>
      </c>
      <c r="C213" s="13" t="s">
        <v>45</v>
      </c>
      <c r="D213" s="13" t="s">
        <v>299</v>
      </c>
      <c r="E213" s="26" t="str">
        <f aca="false" t="array" ref="E213:E213">IFERROR(INDEX(EC_Ccy,MATCH(1,(EC_Key3=$A213)*(EC_Inc="Yes"),0)),"")</f>
        <v>GBP</v>
      </c>
      <c r="F213" s="27" t="n">
        <f aca="false">COUNTIFS(EC_Country,$B213,EC_Qual,$C213,EC_Cat,$D213,EC_Inc,"Yes",EC_Ccy,$E213)</f>
        <v>1</v>
      </c>
      <c r="G213" s="28" t="n">
        <f aca="false">IF($F213=0,0,AVERAGEIFS(EC_Tuition,EC_Country,$B213,EC_Qual,$C213,EC_Cat,$D213,EC_Inc,"Yes",EC_Ccy,$E213))</f>
        <v>9790</v>
      </c>
      <c r="H213" s="28" t="n">
        <f aca="false" t="array" ref="H213:H213">IF($F213=0,0,MEDIAN(IF((EC_Key3=$A213)*(EC_Inc="Yes")*(EC_Ccy=$E213)*(EC_Tuition&lt;&gt;""),EC_Tuition)))</f>
        <v>9790</v>
      </c>
      <c r="I213" s="28" t="n">
        <f aca="false" t="array" ref="I213:I213">IF($F213=0,0,MIN(IF((EC_Key3=$A213)*(EC_Inc="Yes")*(EC_Ccy=$E213)*(EC_Tuition&lt;&gt;""),EC_Tuition)))</f>
        <v>9790</v>
      </c>
      <c r="J213" s="28" t="n">
        <f aca="false" t="array" ref="J213:J213">IF($F213=0,0,MAX(IF((EC_Key3=$A213)*(EC_Inc="Yes")*(EC_Ccy=$E213)*(EC_Tuition&lt;&gt;""),EC_Tuition)))</f>
        <v>9790</v>
      </c>
      <c r="K213" s="28" t="n">
        <f aca="false">IF($F213=0,0,AVERAGEIFS(EC_Other,EC_Country,$B213,EC_Qual,$C213,EC_Cat,$D213,EC_Inc,"Yes",EC_Ccy,$E213))</f>
        <v>0</v>
      </c>
      <c r="L213" s="28" t="n">
        <f aca="false">IF($F213=0,0,AVERAGEIFS(EC_Adm,EC_Country,$B213,EC_Qual,$C213,EC_Cat,$D213,EC_Inc,"Yes",EC_Ccy,$E213))</f>
        <v>0</v>
      </c>
      <c r="M213" s="28" t="n">
        <f aca="false">IF($F213=0,0,AVERAGEIFS(EC_OtherOT,EC_Country,$B213,EC_Qual,$C213,EC_Cat,$D213,EC_Inc,"Yes",EC_Ccy,$E213))</f>
        <v>0</v>
      </c>
      <c r="N213" s="29" t="n">
        <f aca="false">IF($F213=0,0,AVERAGEIFS(EC_Dur,EC_Country,$B213,EC_Qual,$C213,EC_Cat,$D213,EC_Inc,"Yes",EC_Ccy,$E213))</f>
        <v>3</v>
      </c>
      <c r="O213" s="27" t="n">
        <f aca="false">IF($F213=0,PlanStartYear,ROUND(AVERAGEIFS(EC_FYS,EC_Country,$B213,EC_Qual,$C213,EC_Cat,$D213,EC_Inc,"Yes",EC_Ccy,$E213),0))</f>
        <v>2026</v>
      </c>
      <c r="P213" s="28" t="n">
        <f aca="false">IF(IFERROR(MATCH($B213&amp;"|"&amp;$D213,LV_Key,0),IFERROR(MATCH($B213&amp;"|All",LV_Key,0),IFERROR(MATCH($B213,LV_Country,0),0)))=0,0,INDEX(LV_Total,IFERROR(MATCH($B213&amp;"|"&amp;$D213,LV_Key,0),IFERROR(MATCH($B213&amp;"|All",LV_Key,0),IFERROR(MATCH($B213,LV_Country,0),0))))/INDEX(FX_Rate,MATCH(INDEX(LV_Ccy,IFERROR(MATCH($B213&amp;"|"&amp;$D213,LV_Key,0),IFERROR(MATCH($B213&amp;"|All",LV_Key,0),IFERROR(MATCH($B213,LV_Country,0),0)))),FX_Ccy,0))*INDEX(FX_Rate,MATCH($E213,FX_Ccy,0)))</f>
        <v>13914</v>
      </c>
      <c r="Q213" s="28" t="n">
        <f aca="false">G213+K213+P213</f>
        <v>23704</v>
      </c>
      <c r="R213" s="13" t="str">
        <f aca="false">IF(F213=0,"No valid records",IF(F213=1,"Single-institution benchmark","Average of "&amp;F213&amp;" universities"))</f>
        <v>Single-institution benchmark</v>
      </c>
    </row>
    <row r="214" customFormat="false" ht="15" hidden="false" customHeight="false" outlineLevel="0" collapsed="false">
      <c r="A214" s="25" t="str">
        <f aca="false">B214&amp;"|"&amp;C214&amp;"|"&amp;D214</f>
        <v>Australia|Mechanical Engineering|International</v>
      </c>
      <c r="B214" s="13" t="s">
        <v>332</v>
      </c>
      <c r="C214" s="13" t="s">
        <v>111</v>
      </c>
      <c r="D214" s="13" t="s">
        <v>138</v>
      </c>
      <c r="E214" s="26" t="str">
        <f aca="false" t="array" ref="E214:E214">IFERROR(INDEX(EC_Ccy,MATCH(1,(EC_Key3=$A214)*(EC_Inc="Yes"),0)),"")</f>
        <v>AUD</v>
      </c>
      <c r="F214" s="27" t="n">
        <f aca="false">COUNTIFS(EC_Country,$B214,EC_Qual,$C214,EC_Cat,$D214,EC_Inc,"Yes",EC_Ccy,$E214)</f>
        <v>2</v>
      </c>
      <c r="G214" s="28" t="n">
        <f aca="false">IF($F214=0,0,AVERAGEIFS(EC_Tuition,EC_Country,$B214,EC_Qual,$C214,EC_Cat,$D214,EC_Inc,"Yes",EC_Ccy,$E214))</f>
        <v>59778</v>
      </c>
      <c r="H214" s="28" t="n">
        <f aca="false" t="array" ref="H214:H214">IF($F214=0,0,MEDIAN(IF((EC_Key3=$A214)*(EC_Inc="Yes")*(EC_Ccy=$E214)*(EC_Tuition&lt;&gt;""),EC_Tuition)))</f>
        <v>59778</v>
      </c>
      <c r="I214" s="28" t="n">
        <f aca="false" t="array" ref="I214:I214">IF($F214=0,0,MIN(IF((EC_Key3=$A214)*(EC_Inc="Yes")*(EC_Ccy=$E214)*(EC_Tuition&lt;&gt;""),EC_Tuition)))</f>
        <v>58056</v>
      </c>
      <c r="J214" s="28" t="n">
        <f aca="false" t="array" ref="J214:J214">IF($F214=0,0,MAX(IF((EC_Key3=$A214)*(EC_Inc="Yes")*(EC_Ccy=$E214)*(EC_Tuition&lt;&gt;""),EC_Tuition)))</f>
        <v>61500</v>
      </c>
      <c r="K214" s="28" t="n">
        <f aca="false">IF($F214=0,0,AVERAGEIFS(EC_Other,EC_Country,$B214,EC_Qual,$C214,EC_Cat,$D214,EC_Inc,"Yes",EC_Ccy,$E214))</f>
        <v>0</v>
      </c>
      <c r="L214" s="28" t="n">
        <f aca="false">IF($F214=0,0,AVERAGEIFS(EC_Adm,EC_Country,$B214,EC_Qual,$C214,EC_Cat,$D214,EC_Inc,"Yes",EC_Ccy,$E214))</f>
        <v>0</v>
      </c>
      <c r="M214" s="28" t="n">
        <f aca="false">IF($F214=0,0,AVERAGEIFS(EC_OtherOT,EC_Country,$B214,EC_Qual,$C214,EC_Cat,$D214,EC_Inc,"Yes",EC_Ccy,$E214))</f>
        <v>0</v>
      </c>
      <c r="N214" s="29" t="n">
        <f aca="false">IF($F214=0,0,AVERAGEIFS(EC_Dur,EC_Country,$B214,EC_Qual,$C214,EC_Cat,$D214,EC_Inc,"Yes",EC_Ccy,$E214))</f>
        <v>4</v>
      </c>
      <c r="O214" s="27" t="n">
        <f aca="false">IF($F214=0,PlanStartYear,ROUND(AVERAGEIFS(EC_FYS,EC_Country,$B214,EC_Qual,$C214,EC_Cat,$D214,EC_Inc,"Yes",EC_Ccy,$E214),0))</f>
        <v>2026</v>
      </c>
      <c r="P214" s="28" t="n">
        <f aca="false">IF(IFERROR(MATCH($B214&amp;"|"&amp;$D214,LV_Key,0),IFERROR(MATCH($B214&amp;"|All",LV_Key,0),IFERROR(MATCH($B214,LV_Country,0),0)))=0,0,INDEX(LV_Total,IFERROR(MATCH($B214&amp;"|"&amp;$D214,LV_Key,0),IFERROR(MATCH($B214&amp;"|All",LV_Key,0),IFERROR(MATCH($B214,LV_Country,0),0))))/INDEX(FX_Rate,MATCH(INDEX(LV_Ccy,IFERROR(MATCH($B214&amp;"|"&amp;$D214,LV_Key,0),IFERROR(MATCH($B214&amp;"|All",LV_Key,0),IFERROR(MATCH($B214,LV_Country,0),0)))),FX_Ccy,0))*INDEX(FX_Rate,MATCH($E214,FX_Ccy,0)))</f>
        <v>28860</v>
      </c>
      <c r="Q214" s="28" t="n">
        <f aca="false">G214+K214+P214</f>
        <v>88638</v>
      </c>
      <c r="R214" s="13" t="str">
        <f aca="false">IF(F214=0,"No valid records",IF(F214=1,"Single-institution benchmark","Average of "&amp;F214&amp;" universities"))</f>
        <v>Average of 2 universities</v>
      </c>
    </row>
    <row r="215" customFormat="false" ht="15" hidden="false" customHeight="false" outlineLevel="0" collapsed="false">
      <c r="A215" s="25" t="str">
        <f aca="false">B215&amp;"|"&amp;C215&amp;"|"&amp;D215</f>
        <v>Australia|Computer Science|International</v>
      </c>
      <c r="B215" s="13" t="s">
        <v>332</v>
      </c>
      <c r="C215" s="13" t="s">
        <v>43</v>
      </c>
      <c r="D215" s="13" t="s">
        <v>138</v>
      </c>
      <c r="E215" s="26" t="str">
        <f aca="false" t="array" ref="E215:E215">IFERROR(INDEX(EC_Ccy,MATCH(1,(EC_Key3=$A215)*(EC_Inc="Yes"),0)),"")</f>
        <v>AUD</v>
      </c>
      <c r="F215" s="27" t="n">
        <f aca="false">COUNTIFS(EC_Country,$B215,EC_Qual,$C215,EC_Cat,$D215,EC_Inc,"Yes",EC_Ccy,$E215)</f>
        <v>2</v>
      </c>
      <c r="G215" s="28" t="n">
        <f aca="false">IF($F215=0,0,AVERAGEIFS(EC_Tuition,EC_Country,$B215,EC_Qual,$C215,EC_Cat,$D215,EC_Inc,"Yes",EC_Ccy,$E215))</f>
        <v>59528</v>
      </c>
      <c r="H215" s="28" t="n">
        <f aca="false" t="array" ref="H215:H215">IF($F215=0,0,MEDIAN(IF((EC_Key3=$A215)*(EC_Inc="Yes")*(EC_Ccy=$E215)*(EC_Tuition&lt;&gt;""),EC_Tuition)))</f>
        <v>59528</v>
      </c>
      <c r="I215" s="28" t="n">
        <f aca="false" t="array" ref="I215:I215">IF($F215=0,0,MIN(IF((EC_Key3=$A215)*(EC_Inc="Yes")*(EC_Ccy=$E215)*(EC_Tuition&lt;&gt;""),EC_Tuition)))</f>
        <v>58056</v>
      </c>
      <c r="J215" s="28" t="n">
        <f aca="false" t="array" ref="J215:J215">IF($F215=0,0,MAX(IF((EC_Key3=$A215)*(EC_Inc="Yes")*(EC_Ccy=$E215)*(EC_Tuition&lt;&gt;""),EC_Tuition)))</f>
        <v>61000</v>
      </c>
      <c r="K215" s="28" t="n">
        <f aca="false">IF($F215=0,0,AVERAGEIFS(EC_Other,EC_Country,$B215,EC_Qual,$C215,EC_Cat,$D215,EC_Inc,"Yes",EC_Ccy,$E215))</f>
        <v>0</v>
      </c>
      <c r="L215" s="28" t="n">
        <f aca="false">IF($F215=0,0,AVERAGEIFS(EC_Adm,EC_Country,$B215,EC_Qual,$C215,EC_Cat,$D215,EC_Inc,"Yes",EC_Ccy,$E215))</f>
        <v>0</v>
      </c>
      <c r="M215" s="28" t="n">
        <f aca="false">IF($F215=0,0,AVERAGEIFS(EC_OtherOT,EC_Country,$B215,EC_Qual,$C215,EC_Cat,$D215,EC_Inc,"Yes",EC_Ccy,$E215))</f>
        <v>0</v>
      </c>
      <c r="N215" s="29" t="n">
        <f aca="false">IF($F215=0,0,AVERAGEIFS(EC_Dur,EC_Country,$B215,EC_Qual,$C215,EC_Cat,$D215,EC_Inc,"Yes",EC_Ccy,$E215))</f>
        <v>3</v>
      </c>
      <c r="O215" s="27" t="n">
        <f aca="false">IF($F215=0,PlanStartYear,ROUND(AVERAGEIFS(EC_FYS,EC_Country,$B215,EC_Qual,$C215,EC_Cat,$D215,EC_Inc,"Yes",EC_Ccy,$E215),0))</f>
        <v>2026</v>
      </c>
      <c r="P215" s="28" t="n">
        <f aca="false">IF(IFERROR(MATCH($B215&amp;"|"&amp;$D215,LV_Key,0),IFERROR(MATCH($B215&amp;"|All",LV_Key,0),IFERROR(MATCH($B215,LV_Country,0),0)))=0,0,INDEX(LV_Total,IFERROR(MATCH($B215&amp;"|"&amp;$D215,LV_Key,0),IFERROR(MATCH($B215&amp;"|All",LV_Key,0),IFERROR(MATCH($B215,LV_Country,0),0))))/INDEX(FX_Rate,MATCH(INDEX(LV_Ccy,IFERROR(MATCH($B215&amp;"|"&amp;$D215,LV_Key,0),IFERROR(MATCH($B215&amp;"|All",LV_Key,0),IFERROR(MATCH($B215,LV_Country,0),0)))),FX_Ccy,0))*INDEX(FX_Rate,MATCH($E215,FX_Ccy,0)))</f>
        <v>28860</v>
      </c>
      <c r="Q215" s="28" t="n">
        <f aca="false">G215+K215+P215</f>
        <v>88388</v>
      </c>
      <c r="R215" s="13" t="str">
        <f aca="false">IF(F215=0,"No valid records",IF(F215=1,"Single-institution benchmark","Average of "&amp;F215&amp;" universities"))</f>
        <v>Average of 2 universities</v>
      </c>
    </row>
    <row r="216" customFormat="false" ht="15" hidden="false" customHeight="false" outlineLevel="0" collapsed="false">
      <c r="A216" s="25" t="str">
        <f aca="false">B216&amp;"|"&amp;C216&amp;"|"&amp;D216</f>
        <v>Australia|Business Administration|International</v>
      </c>
      <c r="B216" s="13" t="s">
        <v>332</v>
      </c>
      <c r="C216" s="13" t="s">
        <v>45</v>
      </c>
      <c r="D216" s="13" t="s">
        <v>138</v>
      </c>
      <c r="E216" s="26" t="str">
        <f aca="false" t="array" ref="E216:E216">IFERROR(INDEX(EC_Ccy,MATCH(1,(EC_Key3=$A216)*(EC_Inc="Yes"),0)),"")</f>
        <v>AUD</v>
      </c>
      <c r="F216" s="27" t="n">
        <f aca="false">COUNTIFS(EC_Country,$B216,EC_Qual,$C216,EC_Cat,$D216,EC_Inc,"Yes",EC_Ccy,$E216)</f>
        <v>1</v>
      </c>
      <c r="G216" s="28" t="n">
        <f aca="false">IF($F216=0,0,AVERAGEIFS(EC_Tuition,EC_Country,$B216,EC_Qual,$C216,EC_Cat,$D216,EC_Inc,"Yes",EC_Ccy,$E216))</f>
        <v>56500</v>
      </c>
      <c r="H216" s="28" t="n">
        <f aca="false" t="array" ref="H216:H216">IF($F216=0,0,MEDIAN(IF((EC_Key3=$A216)*(EC_Inc="Yes")*(EC_Ccy=$E216)*(EC_Tuition&lt;&gt;""),EC_Tuition)))</f>
        <v>56500</v>
      </c>
      <c r="I216" s="28" t="n">
        <f aca="false" t="array" ref="I216:I216">IF($F216=0,0,MIN(IF((EC_Key3=$A216)*(EC_Inc="Yes")*(EC_Ccy=$E216)*(EC_Tuition&lt;&gt;""),EC_Tuition)))</f>
        <v>56500</v>
      </c>
      <c r="J216" s="28" t="n">
        <f aca="false" t="array" ref="J216:J216">IF($F216=0,0,MAX(IF((EC_Key3=$A216)*(EC_Inc="Yes")*(EC_Ccy=$E216)*(EC_Tuition&lt;&gt;""),EC_Tuition)))</f>
        <v>56500</v>
      </c>
      <c r="K216" s="28" t="n">
        <f aca="false">IF($F216=0,0,AVERAGEIFS(EC_Other,EC_Country,$B216,EC_Qual,$C216,EC_Cat,$D216,EC_Inc,"Yes",EC_Ccy,$E216))</f>
        <v>0</v>
      </c>
      <c r="L216" s="28" t="n">
        <f aca="false">IF($F216=0,0,AVERAGEIFS(EC_Adm,EC_Country,$B216,EC_Qual,$C216,EC_Cat,$D216,EC_Inc,"Yes",EC_Ccy,$E216))</f>
        <v>0</v>
      </c>
      <c r="M216" s="28" t="n">
        <f aca="false">IF($F216=0,0,AVERAGEIFS(EC_OtherOT,EC_Country,$B216,EC_Qual,$C216,EC_Cat,$D216,EC_Inc,"Yes",EC_Ccy,$E216))</f>
        <v>0</v>
      </c>
      <c r="N216" s="29" t="n">
        <f aca="false">IF($F216=0,0,AVERAGEIFS(EC_Dur,EC_Country,$B216,EC_Qual,$C216,EC_Cat,$D216,EC_Inc,"Yes",EC_Ccy,$E216))</f>
        <v>3</v>
      </c>
      <c r="O216" s="27" t="n">
        <f aca="false">IF($F216=0,PlanStartYear,ROUND(AVERAGEIFS(EC_FYS,EC_Country,$B216,EC_Qual,$C216,EC_Cat,$D216,EC_Inc,"Yes",EC_Ccy,$E216),0))</f>
        <v>2026</v>
      </c>
      <c r="P216" s="28" t="n">
        <f aca="false">IF(IFERROR(MATCH($B216&amp;"|"&amp;$D216,LV_Key,0),IFERROR(MATCH($B216&amp;"|All",LV_Key,0),IFERROR(MATCH($B216,LV_Country,0),0)))=0,0,INDEX(LV_Total,IFERROR(MATCH($B216&amp;"|"&amp;$D216,LV_Key,0),IFERROR(MATCH($B216&amp;"|All",LV_Key,0),IFERROR(MATCH($B216,LV_Country,0),0))))/INDEX(FX_Rate,MATCH(INDEX(LV_Ccy,IFERROR(MATCH($B216&amp;"|"&amp;$D216,LV_Key,0),IFERROR(MATCH($B216&amp;"|All",LV_Key,0),IFERROR(MATCH($B216,LV_Country,0),0)))),FX_Ccy,0))*INDEX(FX_Rate,MATCH($E216,FX_Ccy,0)))</f>
        <v>28860</v>
      </c>
      <c r="Q216" s="28" t="n">
        <f aca="false">G216+K216+P216</f>
        <v>85360</v>
      </c>
      <c r="R216" s="13" t="str">
        <f aca="false">IF(F216=0,"No valid records",IF(F216=1,"Single-institution benchmark","Average of "&amp;F216&amp;" universities"))</f>
        <v>Single-institution benchmark</v>
      </c>
    </row>
    <row r="217" customFormat="false" ht="15" hidden="false" customHeight="false" outlineLevel="0" collapsed="false">
      <c r="A217" s="25" t="str">
        <f aca="false">B217&amp;"|"&amp;C217&amp;"|"&amp;D217</f>
        <v>Australia|Accounting and Finance|International</v>
      </c>
      <c r="B217" s="13" t="s">
        <v>332</v>
      </c>
      <c r="C217" s="13" t="s">
        <v>46</v>
      </c>
      <c r="D217" s="13" t="s">
        <v>138</v>
      </c>
      <c r="E217" s="26" t="str">
        <f aca="false" t="array" ref="E217:E217">IFERROR(INDEX(EC_Ccy,MATCH(1,(EC_Key3=$A217)*(EC_Inc="Yes"),0)),"")</f>
        <v>AUD</v>
      </c>
      <c r="F217" s="27" t="n">
        <f aca="false">COUNTIFS(EC_Country,$B217,EC_Qual,$C217,EC_Cat,$D217,EC_Inc,"Yes",EC_Ccy,$E217)</f>
        <v>1</v>
      </c>
      <c r="G217" s="28" t="n">
        <f aca="false">IF($F217=0,0,AVERAGEIFS(EC_Tuition,EC_Country,$B217,EC_Qual,$C217,EC_Cat,$D217,EC_Inc,"Yes",EC_Ccy,$E217))</f>
        <v>56500</v>
      </c>
      <c r="H217" s="28" t="n">
        <f aca="false" t="array" ref="H217:H217">IF($F217=0,0,MEDIAN(IF((EC_Key3=$A217)*(EC_Inc="Yes")*(EC_Ccy=$E217)*(EC_Tuition&lt;&gt;""),EC_Tuition)))</f>
        <v>56500</v>
      </c>
      <c r="I217" s="28" t="n">
        <f aca="false" t="array" ref="I217:I217">IF($F217=0,0,MIN(IF((EC_Key3=$A217)*(EC_Inc="Yes")*(EC_Ccy=$E217)*(EC_Tuition&lt;&gt;""),EC_Tuition)))</f>
        <v>56500</v>
      </c>
      <c r="J217" s="28" t="n">
        <f aca="false" t="array" ref="J217:J217">IF($F217=0,0,MAX(IF((EC_Key3=$A217)*(EC_Inc="Yes")*(EC_Ccy=$E217)*(EC_Tuition&lt;&gt;""),EC_Tuition)))</f>
        <v>56500</v>
      </c>
      <c r="K217" s="28" t="n">
        <f aca="false">IF($F217=0,0,AVERAGEIFS(EC_Other,EC_Country,$B217,EC_Qual,$C217,EC_Cat,$D217,EC_Inc,"Yes",EC_Ccy,$E217))</f>
        <v>0</v>
      </c>
      <c r="L217" s="28" t="n">
        <f aca="false">IF($F217=0,0,AVERAGEIFS(EC_Adm,EC_Country,$B217,EC_Qual,$C217,EC_Cat,$D217,EC_Inc,"Yes",EC_Ccy,$E217))</f>
        <v>0</v>
      </c>
      <c r="M217" s="28" t="n">
        <f aca="false">IF($F217=0,0,AVERAGEIFS(EC_OtherOT,EC_Country,$B217,EC_Qual,$C217,EC_Cat,$D217,EC_Inc,"Yes",EC_Ccy,$E217))</f>
        <v>0</v>
      </c>
      <c r="N217" s="29" t="n">
        <f aca="false">IF($F217=0,0,AVERAGEIFS(EC_Dur,EC_Country,$B217,EC_Qual,$C217,EC_Cat,$D217,EC_Inc,"Yes",EC_Ccy,$E217))</f>
        <v>3</v>
      </c>
      <c r="O217" s="27" t="n">
        <f aca="false">IF($F217=0,PlanStartYear,ROUND(AVERAGEIFS(EC_FYS,EC_Country,$B217,EC_Qual,$C217,EC_Cat,$D217,EC_Inc,"Yes",EC_Ccy,$E217),0))</f>
        <v>2026</v>
      </c>
      <c r="P217" s="28" t="n">
        <f aca="false">IF(IFERROR(MATCH($B217&amp;"|"&amp;$D217,LV_Key,0),IFERROR(MATCH($B217&amp;"|All",LV_Key,0),IFERROR(MATCH($B217,LV_Country,0),0)))=0,0,INDEX(LV_Total,IFERROR(MATCH($B217&amp;"|"&amp;$D217,LV_Key,0),IFERROR(MATCH($B217&amp;"|All",LV_Key,0),IFERROR(MATCH($B217,LV_Country,0),0))))/INDEX(FX_Rate,MATCH(INDEX(LV_Ccy,IFERROR(MATCH($B217&amp;"|"&amp;$D217,LV_Key,0),IFERROR(MATCH($B217&amp;"|All",LV_Key,0),IFERROR(MATCH($B217,LV_Country,0),0)))),FX_Ccy,0))*INDEX(FX_Rate,MATCH($E217,FX_Ccy,0)))</f>
        <v>28860</v>
      </c>
      <c r="Q217" s="28" t="n">
        <f aca="false">G217+K217+P217</f>
        <v>85360</v>
      </c>
      <c r="R217" s="13" t="str">
        <f aca="false">IF(F217=0,"No valid records",IF(F217=1,"Single-institution benchmark","Average of "&amp;F217&amp;" universities"))</f>
        <v>Single-institution benchmark</v>
      </c>
    </row>
    <row r="218" customFormat="false" ht="15" hidden="false" customHeight="false" outlineLevel="0" collapsed="false">
      <c r="A218" s="25" t="str">
        <f aca="false">B218&amp;"|"&amp;C218&amp;"|"&amp;D218</f>
        <v>Australia|Medicine — MBBS/MD|International</v>
      </c>
      <c r="B218" s="13" t="s">
        <v>332</v>
      </c>
      <c r="C218" s="13" t="s">
        <v>44</v>
      </c>
      <c r="D218" s="13" t="s">
        <v>138</v>
      </c>
      <c r="E218" s="26" t="str">
        <f aca="false" t="array" ref="E218:E218">IFERROR(INDEX(EC_Ccy,MATCH(1,(EC_Key3=$A218)*(EC_Inc="Yes"),0)),"")</f>
        <v>AUD</v>
      </c>
      <c r="F218" s="27" t="n">
        <f aca="false">COUNTIFS(EC_Country,$B218,EC_Qual,$C218,EC_Cat,$D218,EC_Inc,"Yes",EC_Ccy,$E218)</f>
        <v>1</v>
      </c>
      <c r="G218" s="28" t="n">
        <f aca="false">IF($F218=0,0,AVERAGEIFS(EC_Tuition,EC_Country,$B218,EC_Qual,$C218,EC_Cat,$D218,EC_Inc,"Yes",EC_Ccy,$E218))</f>
        <v>95500</v>
      </c>
      <c r="H218" s="28" t="n">
        <f aca="false" t="array" ref="H218:H218">IF($F218=0,0,MEDIAN(IF((EC_Key3=$A218)*(EC_Inc="Yes")*(EC_Ccy=$E218)*(EC_Tuition&lt;&gt;""),EC_Tuition)))</f>
        <v>95500</v>
      </c>
      <c r="I218" s="28" t="n">
        <f aca="false" t="array" ref="I218:I218">IF($F218=0,0,MIN(IF((EC_Key3=$A218)*(EC_Inc="Yes")*(EC_Ccy=$E218)*(EC_Tuition&lt;&gt;""),EC_Tuition)))</f>
        <v>95500</v>
      </c>
      <c r="J218" s="28" t="n">
        <f aca="false" t="array" ref="J218:J218">IF($F218=0,0,MAX(IF((EC_Key3=$A218)*(EC_Inc="Yes")*(EC_Ccy=$E218)*(EC_Tuition&lt;&gt;""),EC_Tuition)))</f>
        <v>95500</v>
      </c>
      <c r="K218" s="28" t="n">
        <f aca="false">IF($F218=0,0,AVERAGEIFS(EC_Other,EC_Country,$B218,EC_Qual,$C218,EC_Cat,$D218,EC_Inc,"Yes",EC_Ccy,$E218))</f>
        <v>0</v>
      </c>
      <c r="L218" s="28" t="n">
        <f aca="false">IF($F218=0,0,AVERAGEIFS(EC_Adm,EC_Country,$B218,EC_Qual,$C218,EC_Cat,$D218,EC_Inc,"Yes",EC_Ccy,$E218))</f>
        <v>0</v>
      </c>
      <c r="M218" s="28" t="n">
        <f aca="false">IF($F218=0,0,AVERAGEIFS(EC_OtherOT,EC_Country,$B218,EC_Qual,$C218,EC_Cat,$D218,EC_Inc,"Yes",EC_Ccy,$E218))</f>
        <v>0</v>
      </c>
      <c r="N218" s="29" t="n">
        <f aca="false">IF($F218=0,0,AVERAGEIFS(EC_Dur,EC_Country,$B218,EC_Qual,$C218,EC_Cat,$D218,EC_Inc,"Yes",EC_Ccy,$E218))</f>
        <v>6</v>
      </c>
      <c r="O218" s="27" t="n">
        <f aca="false">IF($F218=0,PlanStartYear,ROUND(AVERAGEIFS(EC_FYS,EC_Country,$B218,EC_Qual,$C218,EC_Cat,$D218,EC_Inc,"Yes",EC_Ccy,$E218),0))</f>
        <v>2026</v>
      </c>
      <c r="P218" s="28" t="n">
        <f aca="false">IF(IFERROR(MATCH($B218&amp;"|"&amp;$D218,LV_Key,0),IFERROR(MATCH($B218&amp;"|All",LV_Key,0),IFERROR(MATCH($B218,LV_Country,0),0)))=0,0,INDEX(LV_Total,IFERROR(MATCH($B218&amp;"|"&amp;$D218,LV_Key,0),IFERROR(MATCH($B218&amp;"|All",LV_Key,0),IFERROR(MATCH($B218,LV_Country,0),0))))/INDEX(FX_Rate,MATCH(INDEX(LV_Ccy,IFERROR(MATCH($B218&amp;"|"&amp;$D218,LV_Key,0),IFERROR(MATCH($B218&amp;"|All",LV_Key,0),IFERROR(MATCH($B218,LV_Country,0),0)))),FX_Ccy,0))*INDEX(FX_Rate,MATCH($E218,FX_Ccy,0)))</f>
        <v>28860</v>
      </c>
      <c r="Q218" s="28" t="n">
        <f aca="false">G218+K218+P218</f>
        <v>124360</v>
      </c>
      <c r="R218" s="13" t="str">
        <f aca="false">IF(F218=0,"No valid records",IF(F218=1,"Single-institution benchmark","Average of "&amp;F218&amp;" universities"))</f>
        <v>Single-institution benchmark</v>
      </c>
    </row>
    <row r="219" customFormat="false" ht="15" hidden="false" customHeight="false" outlineLevel="0" collapsed="false">
      <c r="A219" s="25" t="str">
        <f aca="false">B219&amp;"|"&amp;C219&amp;"|"&amp;D219</f>
        <v>Germany|Mechanical Engineering|Non-EU international</v>
      </c>
      <c r="B219" s="13" t="s">
        <v>361</v>
      </c>
      <c r="C219" s="13" t="s">
        <v>111</v>
      </c>
      <c r="D219" s="13" t="s">
        <v>364</v>
      </c>
      <c r="E219" s="26" t="str">
        <f aca="false" t="array" ref="E219:E219">IFERROR(INDEX(EC_Ccy,MATCH(1,(EC_Key3=$A219)*(EC_Inc="Yes"),0)),"")</f>
        <v>EUR</v>
      </c>
      <c r="F219" s="27" t="n">
        <f aca="false">COUNTIFS(EC_Country,$B219,EC_Qual,$C219,EC_Cat,$D219,EC_Inc,"Yes",EC_Ccy,$E219)</f>
        <v>1</v>
      </c>
      <c r="G219" s="28" t="n">
        <f aca="false">IF($F219=0,0,AVERAGEIFS(EC_Tuition,EC_Country,$B219,EC_Qual,$C219,EC_Cat,$D219,EC_Inc,"Yes",EC_Ccy,$E219))</f>
        <v>3000</v>
      </c>
      <c r="H219" s="28" t="n">
        <f aca="false" t="array" ref="H219:H219">IF($F219=0,0,MEDIAN(IF((EC_Key3=$A219)*(EC_Inc="Yes")*(EC_Ccy=$E219)*(EC_Tuition&lt;&gt;""),EC_Tuition)))</f>
        <v>3000</v>
      </c>
      <c r="I219" s="28" t="n">
        <f aca="false" t="array" ref="I219:I219">IF($F219=0,0,MIN(IF((EC_Key3=$A219)*(EC_Inc="Yes")*(EC_Ccy=$E219)*(EC_Tuition&lt;&gt;""),EC_Tuition)))</f>
        <v>3000</v>
      </c>
      <c r="J219" s="28" t="n">
        <f aca="false" t="array" ref="J219:J219">IF($F219=0,0,MAX(IF((EC_Key3=$A219)*(EC_Inc="Yes")*(EC_Ccy=$E219)*(EC_Tuition&lt;&gt;""),EC_Tuition)))</f>
        <v>3000</v>
      </c>
      <c r="K219" s="28" t="n">
        <f aca="false">IF($F219=0,0,AVERAGEIFS(EC_Other,EC_Country,$B219,EC_Qual,$C219,EC_Cat,$D219,EC_Inc,"Yes",EC_Ccy,$E219))</f>
        <v>0</v>
      </c>
      <c r="L219" s="28" t="n">
        <f aca="false">IF($F219=0,0,AVERAGEIFS(EC_Adm,EC_Country,$B219,EC_Qual,$C219,EC_Cat,$D219,EC_Inc,"Yes",EC_Ccy,$E219))</f>
        <v>0</v>
      </c>
      <c r="M219" s="28" t="n">
        <f aca="false">IF($F219=0,0,AVERAGEIFS(EC_OtherOT,EC_Country,$B219,EC_Qual,$C219,EC_Cat,$D219,EC_Inc,"Yes",EC_Ccy,$E219))</f>
        <v>0</v>
      </c>
      <c r="N219" s="29" t="n">
        <f aca="false">IF($F219=0,0,AVERAGEIFS(EC_Dur,EC_Country,$B219,EC_Qual,$C219,EC_Cat,$D219,EC_Inc,"Yes",EC_Ccy,$E219))</f>
        <v>3</v>
      </c>
      <c r="O219" s="27" t="n">
        <f aca="false">IF($F219=0,PlanStartYear,ROUND(AVERAGEIFS(EC_FYS,EC_Country,$B219,EC_Qual,$C219,EC_Cat,$D219,EC_Inc,"Yes",EC_Ccy,$E219),0))</f>
        <v>2026</v>
      </c>
      <c r="P219" s="28" t="n">
        <f aca="false">IF(IFERROR(MATCH($B219&amp;"|"&amp;$D219,LV_Key,0),IFERROR(MATCH($B219&amp;"|All",LV_Key,0),IFERROR(MATCH($B219,LV_Country,0),0)))=0,0,INDEX(LV_Total,IFERROR(MATCH($B219&amp;"|"&amp;$D219,LV_Key,0),IFERROR(MATCH($B219&amp;"|All",LV_Key,0),IFERROR(MATCH($B219,LV_Country,0),0))))/INDEX(FX_Rate,MATCH(INDEX(LV_Ccy,IFERROR(MATCH($B219&amp;"|"&amp;$D219,LV_Key,0),IFERROR(MATCH($B219&amp;"|All",LV_Key,0),IFERROR(MATCH($B219,LV_Country,0),0)))),FX_Ccy,0))*INDEX(FX_Rate,MATCH($E219,FX_Ccy,0)))</f>
        <v>10104</v>
      </c>
      <c r="Q219" s="28" t="n">
        <f aca="false">G219+K219+P219</f>
        <v>13104</v>
      </c>
      <c r="R219" s="13" t="str">
        <f aca="false">IF(F219=0,"No valid records",IF(F219=1,"Single-institution benchmark","Average of "&amp;F219&amp;" universities"))</f>
        <v>Single-institution benchmark</v>
      </c>
    </row>
    <row r="220" customFormat="false" ht="15" hidden="false" customHeight="false" outlineLevel="0" collapsed="false">
      <c r="A220" s="25" t="str">
        <f aca="false">B220&amp;"|"&amp;C220&amp;"|"&amp;D220</f>
        <v>Germany|Computer Science|Non-EU international</v>
      </c>
      <c r="B220" s="13" t="s">
        <v>361</v>
      </c>
      <c r="C220" s="13" t="s">
        <v>43</v>
      </c>
      <c r="D220" s="13" t="s">
        <v>364</v>
      </c>
      <c r="E220" s="26" t="str">
        <f aca="false" t="array" ref="E220:E220">IFERROR(INDEX(EC_Ccy,MATCH(1,(EC_Key3=$A220)*(EC_Inc="Yes"),0)),"")</f>
        <v>EUR</v>
      </c>
      <c r="F220" s="27" t="n">
        <f aca="false">COUNTIFS(EC_Country,$B220,EC_Qual,$C220,EC_Cat,$D220,EC_Inc,"Yes",EC_Ccy,$E220)</f>
        <v>1</v>
      </c>
      <c r="G220" s="28" t="n">
        <f aca="false">IF($F220=0,0,AVERAGEIFS(EC_Tuition,EC_Country,$B220,EC_Qual,$C220,EC_Cat,$D220,EC_Inc,"Yes",EC_Ccy,$E220))</f>
        <v>3000</v>
      </c>
      <c r="H220" s="28" t="n">
        <f aca="false" t="array" ref="H220:H220">IF($F220=0,0,MEDIAN(IF((EC_Key3=$A220)*(EC_Inc="Yes")*(EC_Ccy=$E220)*(EC_Tuition&lt;&gt;""),EC_Tuition)))</f>
        <v>3000</v>
      </c>
      <c r="I220" s="28" t="n">
        <f aca="false" t="array" ref="I220:I220">IF($F220=0,0,MIN(IF((EC_Key3=$A220)*(EC_Inc="Yes")*(EC_Ccy=$E220)*(EC_Tuition&lt;&gt;""),EC_Tuition)))</f>
        <v>3000</v>
      </c>
      <c r="J220" s="28" t="n">
        <f aca="false" t="array" ref="J220:J220">IF($F220=0,0,MAX(IF((EC_Key3=$A220)*(EC_Inc="Yes")*(EC_Ccy=$E220)*(EC_Tuition&lt;&gt;""),EC_Tuition)))</f>
        <v>3000</v>
      </c>
      <c r="K220" s="28" t="n">
        <f aca="false">IF($F220=0,0,AVERAGEIFS(EC_Other,EC_Country,$B220,EC_Qual,$C220,EC_Cat,$D220,EC_Inc,"Yes",EC_Ccy,$E220))</f>
        <v>0</v>
      </c>
      <c r="L220" s="28" t="n">
        <f aca="false">IF($F220=0,0,AVERAGEIFS(EC_Adm,EC_Country,$B220,EC_Qual,$C220,EC_Cat,$D220,EC_Inc,"Yes",EC_Ccy,$E220))</f>
        <v>0</v>
      </c>
      <c r="M220" s="28" t="n">
        <f aca="false">IF($F220=0,0,AVERAGEIFS(EC_OtherOT,EC_Country,$B220,EC_Qual,$C220,EC_Cat,$D220,EC_Inc,"Yes",EC_Ccy,$E220))</f>
        <v>0</v>
      </c>
      <c r="N220" s="29" t="n">
        <f aca="false">IF($F220=0,0,AVERAGEIFS(EC_Dur,EC_Country,$B220,EC_Qual,$C220,EC_Cat,$D220,EC_Inc,"Yes",EC_Ccy,$E220))</f>
        <v>3</v>
      </c>
      <c r="O220" s="27" t="n">
        <f aca="false">IF($F220=0,PlanStartYear,ROUND(AVERAGEIFS(EC_FYS,EC_Country,$B220,EC_Qual,$C220,EC_Cat,$D220,EC_Inc,"Yes",EC_Ccy,$E220),0))</f>
        <v>2026</v>
      </c>
      <c r="P220" s="28" t="n">
        <f aca="false">IF(IFERROR(MATCH($B220&amp;"|"&amp;$D220,LV_Key,0),IFERROR(MATCH($B220&amp;"|All",LV_Key,0),IFERROR(MATCH($B220,LV_Country,0),0)))=0,0,INDEX(LV_Total,IFERROR(MATCH($B220&amp;"|"&amp;$D220,LV_Key,0),IFERROR(MATCH($B220&amp;"|All",LV_Key,0),IFERROR(MATCH($B220,LV_Country,0),0))))/INDEX(FX_Rate,MATCH(INDEX(LV_Ccy,IFERROR(MATCH($B220&amp;"|"&amp;$D220,LV_Key,0),IFERROR(MATCH($B220&amp;"|All",LV_Key,0),IFERROR(MATCH($B220,LV_Country,0),0)))),FX_Ccy,0))*INDEX(FX_Rate,MATCH($E220,FX_Ccy,0)))</f>
        <v>10104</v>
      </c>
      <c r="Q220" s="28" t="n">
        <f aca="false">G220+K220+P220</f>
        <v>13104</v>
      </c>
      <c r="R220" s="13" t="str">
        <f aca="false">IF(F220=0,"No valid records",IF(F220=1,"Single-institution benchmark","Average of "&amp;F220&amp;" universities"))</f>
        <v>Single-institution benchmark</v>
      </c>
    </row>
    <row r="221" customFormat="false" ht="15" hidden="false" customHeight="false" outlineLevel="0" collapsed="false">
      <c r="A221" s="25" t="str">
        <f aca="false">B221&amp;"|"&amp;C221&amp;"|"&amp;D221</f>
        <v>Germany|Business Administration|Non-EU international</v>
      </c>
      <c r="B221" s="13" t="s">
        <v>361</v>
      </c>
      <c r="C221" s="13" t="s">
        <v>45</v>
      </c>
      <c r="D221" s="13" t="s">
        <v>364</v>
      </c>
      <c r="E221" s="26" t="str">
        <f aca="false" t="array" ref="E221:E221">IFERROR(INDEX(EC_Ccy,MATCH(1,(EC_Key3=$A221)*(EC_Inc="Yes"),0)),"")</f>
        <v>EUR</v>
      </c>
      <c r="F221" s="27" t="n">
        <f aca="false">COUNTIFS(EC_Country,$B221,EC_Qual,$C221,EC_Cat,$D221,EC_Inc,"Yes",EC_Ccy,$E221)</f>
        <v>1</v>
      </c>
      <c r="G221" s="28" t="n">
        <f aca="false">IF($F221=0,0,AVERAGEIFS(EC_Tuition,EC_Country,$B221,EC_Qual,$C221,EC_Cat,$D221,EC_Inc,"Yes",EC_Ccy,$E221))</f>
        <v>3000</v>
      </c>
      <c r="H221" s="28" t="n">
        <f aca="false" t="array" ref="H221:H221">IF($F221=0,0,MEDIAN(IF((EC_Key3=$A221)*(EC_Inc="Yes")*(EC_Ccy=$E221)*(EC_Tuition&lt;&gt;""),EC_Tuition)))</f>
        <v>3000</v>
      </c>
      <c r="I221" s="28" t="n">
        <f aca="false" t="array" ref="I221:I221">IF($F221=0,0,MIN(IF((EC_Key3=$A221)*(EC_Inc="Yes")*(EC_Ccy=$E221)*(EC_Tuition&lt;&gt;""),EC_Tuition)))</f>
        <v>3000</v>
      </c>
      <c r="J221" s="28" t="n">
        <f aca="false" t="array" ref="J221:J221">IF($F221=0,0,MAX(IF((EC_Key3=$A221)*(EC_Inc="Yes")*(EC_Ccy=$E221)*(EC_Tuition&lt;&gt;""),EC_Tuition)))</f>
        <v>3000</v>
      </c>
      <c r="K221" s="28" t="n">
        <f aca="false">IF($F221=0,0,AVERAGEIFS(EC_Other,EC_Country,$B221,EC_Qual,$C221,EC_Cat,$D221,EC_Inc,"Yes",EC_Ccy,$E221))</f>
        <v>388</v>
      </c>
      <c r="L221" s="28" t="n">
        <f aca="false">IF($F221=0,0,AVERAGEIFS(EC_Adm,EC_Country,$B221,EC_Qual,$C221,EC_Cat,$D221,EC_Inc,"Yes",EC_Ccy,$E221))</f>
        <v>0</v>
      </c>
      <c r="M221" s="28" t="n">
        <f aca="false">IF($F221=0,0,AVERAGEIFS(EC_OtherOT,EC_Country,$B221,EC_Qual,$C221,EC_Cat,$D221,EC_Inc,"Yes",EC_Ccy,$E221))</f>
        <v>0</v>
      </c>
      <c r="N221" s="29" t="n">
        <f aca="false">IF($F221=0,0,AVERAGEIFS(EC_Dur,EC_Country,$B221,EC_Qual,$C221,EC_Cat,$D221,EC_Inc,"Yes",EC_Ccy,$E221))</f>
        <v>3</v>
      </c>
      <c r="O221" s="27" t="n">
        <f aca="false">IF($F221=0,PlanStartYear,ROUND(AVERAGEIFS(EC_FYS,EC_Country,$B221,EC_Qual,$C221,EC_Cat,$D221,EC_Inc,"Yes",EC_Ccy,$E221),0))</f>
        <v>2026</v>
      </c>
      <c r="P221" s="28" t="n">
        <f aca="false">IF(IFERROR(MATCH($B221&amp;"|"&amp;$D221,LV_Key,0),IFERROR(MATCH($B221&amp;"|All",LV_Key,0),IFERROR(MATCH($B221,LV_Country,0),0)))=0,0,INDEX(LV_Total,IFERROR(MATCH($B221&amp;"|"&amp;$D221,LV_Key,0),IFERROR(MATCH($B221&amp;"|All",LV_Key,0),IFERROR(MATCH($B221,LV_Country,0),0))))/INDEX(FX_Rate,MATCH(INDEX(LV_Ccy,IFERROR(MATCH($B221&amp;"|"&amp;$D221,LV_Key,0),IFERROR(MATCH($B221&amp;"|All",LV_Key,0),IFERROR(MATCH($B221,LV_Country,0),0)))),FX_Ccy,0))*INDEX(FX_Rate,MATCH($E221,FX_Ccy,0)))</f>
        <v>10104</v>
      </c>
      <c r="Q221" s="28" t="n">
        <f aca="false">G221+K221+P221</f>
        <v>13492</v>
      </c>
      <c r="R221" s="13" t="str">
        <f aca="false">IF(F221=0,"No valid records",IF(F221=1,"Single-institution benchmark","Average of "&amp;F221&amp;" universities"))</f>
        <v>Single-institution benchmark</v>
      </c>
    </row>
    <row r="222" customFormat="false" ht="15" hidden="false" customHeight="false" outlineLevel="0" collapsed="false">
      <c r="A222" s="25" t="str">
        <f aca="false">B222&amp;"|"&amp;C222&amp;"|"&amp;D222</f>
        <v>Germany|Medicine — MBBS/MD|Non-EU international</v>
      </c>
      <c r="B222" s="13" t="s">
        <v>361</v>
      </c>
      <c r="C222" s="13" t="s">
        <v>44</v>
      </c>
      <c r="D222" s="13" t="s">
        <v>364</v>
      </c>
      <c r="E222" s="26" t="str">
        <f aca="false" t="array" ref="E222:E222">IFERROR(INDEX(EC_Ccy,MATCH(1,(EC_Key3=$A222)*(EC_Inc="Yes"),0)),"")</f>
        <v>EUR</v>
      </c>
      <c r="F222" s="27" t="n">
        <f aca="false">COUNTIFS(EC_Country,$B222,EC_Qual,$C222,EC_Cat,$D222,EC_Inc,"Yes",EC_Ccy,$E222)</f>
        <v>1</v>
      </c>
      <c r="G222" s="28" t="n">
        <f aca="false">IF($F222=0,0,AVERAGEIFS(EC_Tuition,EC_Country,$B222,EC_Qual,$C222,EC_Cat,$D222,EC_Inc,"Yes",EC_Ccy,$E222))</f>
        <v>3000</v>
      </c>
      <c r="H222" s="28" t="n">
        <f aca="false" t="array" ref="H222:H222">IF($F222=0,0,MEDIAN(IF((EC_Key3=$A222)*(EC_Inc="Yes")*(EC_Ccy=$E222)*(EC_Tuition&lt;&gt;""),EC_Tuition)))</f>
        <v>3000</v>
      </c>
      <c r="I222" s="28" t="n">
        <f aca="false" t="array" ref="I222:I222">IF($F222=0,0,MIN(IF((EC_Key3=$A222)*(EC_Inc="Yes")*(EC_Ccy=$E222)*(EC_Tuition&lt;&gt;""),EC_Tuition)))</f>
        <v>3000</v>
      </c>
      <c r="J222" s="28" t="n">
        <f aca="false" t="array" ref="J222:J222">IF($F222=0,0,MAX(IF((EC_Key3=$A222)*(EC_Inc="Yes")*(EC_Ccy=$E222)*(EC_Tuition&lt;&gt;""),EC_Tuition)))</f>
        <v>3000</v>
      </c>
      <c r="K222" s="28" t="n">
        <f aca="false">IF($F222=0,0,AVERAGEIFS(EC_Other,EC_Country,$B222,EC_Qual,$C222,EC_Cat,$D222,EC_Inc,"Yes",EC_Ccy,$E222))</f>
        <v>379.6</v>
      </c>
      <c r="L222" s="28" t="n">
        <f aca="false">IF($F222=0,0,AVERAGEIFS(EC_Adm,EC_Country,$B222,EC_Qual,$C222,EC_Cat,$D222,EC_Inc,"Yes",EC_Ccy,$E222))</f>
        <v>0</v>
      </c>
      <c r="M222" s="28" t="n">
        <f aca="false">IF($F222=0,0,AVERAGEIFS(EC_OtherOT,EC_Country,$B222,EC_Qual,$C222,EC_Cat,$D222,EC_Inc,"Yes",EC_Ccy,$E222))</f>
        <v>0</v>
      </c>
      <c r="N222" s="29" t="n">
        <f aca="false">IF($F222=0,0,AVERAGEIFS(EC_Dur,EC_Country,$B222,EC_Qual,$C222,EC_Cat,$D222,EC_Inc,"Yes",EC_Ccy,$E222))</f>
        <v>6</v>
      </c>
      <c r="O222" s="27" t="n">
        <f aca="false">IF($F222=0,PlanStartYear,ROUND(AVERAGEIFS(EC_FYS,EC_Country,$B222,EC_Qual,$C222,EC_Cat,$D222,EC_Inc,"Yes",EC_Ccy,$E222),0))</f>
        <v>2026</v>
      </c>
      <c r="P222" s="28" t="n">
        <f aca="false">IF(IFERROR(MATCH($B222&amp;"|"&amp;$D222,LV_Key,0),IFERROR(MATCH($B222&amp;"|All",LV_Key,0),IFERROR(MATCH($B222,LV_Country,0),0)))=0,0,INDEX(LV_Total,IFERROR(MATCH($B222&amp;"|"&amp;$D222,LV_Key,0),IFERROR(MATCH($B222&amp;"|All",LV_Key,0),IFERROR(MATCH($B222,LV_Country,0),0))))/INDEX(FX_Rate,MATCH(INDEX(LV_Ccy,IFERROR(MATCH($B222&amp;"|"&amp;$D222,LV_Key,0),IFERROR(MATCH($B222&amp;"|All",LV_Key,0),IFERROR(MATCH($B222,LV_Country,0),0)))),FX_Ccy,0))*INDEX(FX_Rate,MATCH($E222,FX_Ccy,0)))</f>
        <v>10104</v>
      </c>
      <c r="Q222" s="28" t="n">
        <f aca="false">G222+K222+P222</f>
        <v>13483.6</v>
      </c>
      <c r="R222" s="13" t="str">
        <f aca="false">IF(F222=0,"No valid records",IF(F222=1,"Single-institution benchmark","Average of "&amp;F222&amp;" universities"))</f>
        <v>Single-institution benchmark</v>
      </c>
    </row>
    <row r="225" customFormat="false" ht="15" hidden="false" customHeight="false" outlineLevel="0" collapsed="false">
      <c r="A225" s="6" t="s">
        <v>420</v>
      </c>
    </row>
    <row r="226" customFormat="false" ht="15" hidden="false" customHeight="false" outlineLevel="0" collapsed="false">
      <c r="A226" s="15" t="s">
        <v>421</v>
      </c>
    </row>
    <row r="227" customFormat="false" ht="35.05" hidden="false" customHeight="false" outlineLevel="0" collapsed="false">
      <c r="A227" s="22" t="s">
        <v>108</v>
      </c>
      <c r="B227" s="22" t="s">
        <v>77</v>
      </c>
      <c r="C227" s="22" t="s">
        <v>82</v>
      </c>
      <c r="D227" s="22" t="s">
        <v>99</v>
      </c>
      <c r="E227" s="22" t="s">
        <v>422</v>
      </c>
      <c r="F227" s="22" t="s">
        <v>423</v>
      </c>
      <c r="G227" s="22" t="s">
        <v>424</v>
      </c>
      <c r="H227" s="22" t="s">
        <v>425</v>
      </c>
      <c r="I227" s="22" t="s">
        <v>426</v>
      </c>
      <c r="J227" s="22" t="s">
        <v>427</v>
      </c>
      <c r="K227" s="22" t="s">
        <v>428</v>
      </c>
      <c r="L227" s="22" t="s">
        <v>429</v>
      </c>
      <c r="M227" s="22" t="s">
        <v>430</v>
      </c>
      <c r="N227" s="22" t="s">
        <v>431</v>
      </c>
      <c r="O227" s="22" t="s">
        <v>32</v>
      </c>
      <c r="P227" s="22" t="s">
        <v>432</v>
      </c>
      <c r="Q227" s="22" t="s">
        <v>433</v>
      </c>
    </row>
    <row r="228" customFormat="false" ht="15" hidden="false" customHeight="false" outlineLevel="0" collapsed="false">
      <c r="A228" s="25" t="str">
        <f aca="false">B228&amp;"|"&amp;C228</f>
        <v>Pakistan|All</v>
      </c>
      <c r="B228" s="13" t="s">
        <v>14</v>
      </c>
      <c r="C228" s="13" t="s">
        <v>434</v>
      </c>
      <c r="D228" s="13" t="s">
        <v>118</v>
      </c>
      <c r="E228" s="24" t="n">
        <v>197600</v>
      </c>
      <c r="F228" s="24"/>
      <c r="G228" s="24"/>
      <c r="H228" s="24"/>
      <c r="I228" s="24"/>
      <c r="J228" s="24"/>
      <c r="K228" s="24"/>
      <c r="L228" s="24" t="n">
        <v>0</v>
      </c>
      <c r="M228" s="30" t="n">
        <f aca="false">SUM(E228:K228)</f>
        <v>197600</v>
      </c>
      <c r="N228" s="13" t="s">
        <v>117</v>
      </c>
      <c r="O228" s="13" t="s">
        <v>435</v>
      </c>
      <c r="P228" s="13" t="s">
        <v>149</v>
      </c>
      <c r="Q228" s="13" t="s">
        <v>436</v>
      </c>
    </row>
    <row r="229" customFormat="false" ht="15" hidden="false" customHeight="false" outlineLevel="0" collapsed="false">
      <c r="A229" s="25" t="str">
        <f aca="false">B229&amp;"|"&amp;C229</f>
        <v>India|All</v>
      </c>
      <c r="B229" s="13" t="s">
        <v>198</v>
      </c>
      <c r="C229" s="13" t="s">
        <v>434</v>
      </c>
      <c r="D229" s="13" t="s">
        <v>202</v>
      </c>
      <c r="E229" s="24" t="n">
        <v>68000</v>
      </c>
      <c r="F229" s="24" t="n">
        <v>20000</v>
      </c>
      <c r="G229" s="24"/>
      <c r="H229" s="24"/>
      <c r="I229" s="24"/>
      <c r="J229" s="24"/>
      <c r="K229" s="24"/>
      <c r="L229" s="24" t="n">
        <v>0</v>
      </c>
      <c r="M229" s="30" t="n">
        <f aca="false">SUM(E229:K229)</f>
        <v>88000</v>
      </c>
      <c r="N229" s="13" t="s">
        <v>211</v>
      </c>
      <c r="O229" s="13" t="s">
        <v>437</v>
      </c>
      <c r="P229" s="13" t="s">
        <v>212</v>
      </c>
      <c r="Q229" s="13" t="s">
        <v>438</v>
      </c>
    </row>
    <row r="230" customFormat="false" ht="15" hidden="false" customHeight="false" outlineLevel="0" collapsed="false">
      <c r="A230" s="25" t="str">
        <f aca="false">B230&amp;"|"&amp;C230</f>
        <v>USA|All</v>
      </c>
      <c r="B230" s="13" t="s">
        <v>248</v>
      </c>
      <c r="C230" s="13" t="s">
        <v>434</v>
      </c>
      <c r="D230" s="13" t="s">
        <v>139</v>
      </c>
      <c r="E230" s="24" t="n">
        <v>17048</v>
      </c>
      <c r="F230" s="24" t="n">
        <v>0</v>
      </c>
      <c r="G230" s="24" t="n">
        <v>3418</v>
      </c>
      <c r="H230" s="24" t="n">
        <v>3720</v>
      </c>
      <c r="I230" s="24" t="n">
        <v>1200</v>
      </c>
      <c r="J230" s="24" t="n">
        <v>3240</v>
      </c>
      <c r="K230" s="24"/>
      <c r="L230" s="24" t="n">
        <v>0</v>
      </c>
      <c r="M230" s="30" t="n">
        <f aca="false">SUM(E230:K230)</f>
        <v>28626</v>
      </c>
      <c r="N230" s="13" t="s">
        <v>117</v>
      </c>
      <c r="O230" s="13" t="s">
        <v>439</v>
      </c>
      <c r="P230" s="13" t="s">
        <v>440</v>
      </c>
      <c r="Q230" s="13" t="s">
        <v>441</v>
      </c>
    </row>
    <row r="231" customFormat="false" ht="15" hidden="false" customHeight="false" outlineLevel="0" collapsed="false">
      <c r="A231" s="25" t="str">
        <f aca="false">B231&amp;"|"&amp;C231</f>
        <v>UK|International</v>
      </c>
      <c r="B231" s="13" t="s">
        <v>291</v>
      </c>
      <c r="C231" s="13" t="s">
        <v>138</v>
      </c>
      <c r="D231" s="13" t="s">
        <v>294</v>
      </c>
      <c r="E231" s="24" t="n">
        <v>8820</v>
      </c>
      <c r="F231" s="24" t="n">
        <v>2232</v>
      </c>
      <c r="G231" s="24" t="n">
        <v>522</v>
      </c>
      <c r="H231" s="24" t="n">
        <v>776</v>
      </c>
      <c r="I231" s="24"/>
      <c r="J231" s="24" t="n">
        <v>2340</v>
      </c>
      <c r="K231" s="24"/>
      <c r="L231" s="24" t="n">
        <v>558</v>
      </c>
      <c r="M231" s="30" t="n">
        <f aca="false">SUM(E231:K231)</f>
        <v>14690</v>
      </c>
      <c r="N231" s="13" t="s">
        <v>117</v>
      </c>
      <c r="O231" s="13" t="s">
        <v>442</v>
      </c>
      <c r="P231" s="13" t="s">
        <v>443</v>
      </c>
      <c r="Q231" s="13" t="s">
        <v>444</v>
      </c>
    </row>
    <row r="232" customFormat="false" ht="15" hidden="false" customHeight="false" outlineLevel="0" collapsed="false">
      <c r="A232" s="25" t="str">
        <f aca="false">B232&amp;"|"&amp;C232</f>
        <v>UK|UK (Home)</v>
      </c>
      <c r="B232" s="13" t="s">
        <v>291</v>
      </c>
      <c r="C232" s="13" t="s">
        <v>299</v>
      </c>
      <c r="D232" s="13" t="s">
        <v>294</v>
      </c>
      <c r="E232" s="24" t="n">
        <v>8820</v>
      </c>
      <c r="F232" s="24" t="n">
        <v>2232</v>
      </c>
      <c r="G232" s="24" t="n">
        <v>522</v>
      </c>
      <c r="H232" s="24" t="n">
        <v>0</v>
      </c>
      <c r="I232" s="24"/>
      <c r="J232" s="24" t="n">
        <v>2340</v>
      </c>
      <c r="K232" s="24"/>
      <c r="L232" s="24" t="n">
        <v>0</v>
      </c>
      <c r="M232" s="30" t="n">
        <f aca="false">SUM(E232:K232)</f>
        <v>13914</v>
      </c>
      <c r="N232" s="13" t="s">
        <v>117</v>
      </c>
      <c r="O232" s="13" t="s">
        <v>445</v>
      </c>
      <c r="P232" s="13" t="s">
        <v>443</v>
      </c>
      <c r="Q232" s="13" t="s">
        <v>446</v>
      </c>
    </row>
    <row r="233" customFormat="false" ht="15" hidden="false" customHeight="false" outlineLevel="0" collapsed="false">
      <c r="A233" s="25" t="str">
        <f aca="false">B233&amp;"|"&amp;C233</f>
        <v>Australia|All</v>
      </c>
      <c r="B233" s="13" t="s">
        <v>332</v>
      </c>
      <c r="C233" s="13" t="s">
        <v>434</v>
      </c>
      <c r="D233" s="13" t="s">
        <v>336</v>
      </c>
      <c r="E233" s="24"/>
      <c r="F233" s="24"/>
      <c r="G233" s="24"/>
      <c r="H233" s="24"/>
      <c r="I233" s="24"/>
      <c r="J233" s="24"/>
      <c r="K233" s="24" t="n">
        <v>28860</v>
      </c>
      <c r="L233" s="24" t="n">
        <v>0</v>
      </c>
      <c r="M233" s="30" t="n">
        <f aca="false">SUM(E233:K233)</f>
        <v>28860</v>
      </c>
      <c r="N233" s="13" t="s">
        <v>192</v>
      </c>
      <c r="O233" s="13" t="s">
        <v>447</v>
      </c>
      <c r="P233" s="13" t="s">
        <v>448</v>
      </c>
      <c r="Q233" s="13" t="s">
        <v>449</v>
      </c>
    </row>
    <row r="234" customFormat="false" ht="15" hidden="false" customHeight="false" outlineLevel="0" collapsed="false">
      <c r="A234" s="25" t="str">
        <f aca="false">B234&amp;"|"&amp;C234</f>
        <v>Germany|All</v>
      </c>
      <c r="B234" s="13" t="s">
        <v>361</v>
      </c>
      <c r="C234" s="13" t="s">
        <v>434</v>
      </c>
      <c r="D234" s="13" t="s">
        <v>365</v>
      </c>
      <c r="E234" s="24"/>
      <c r="F234" s="24"/>
      <c r="G234" s="24"/>
      <c r="H234" s="24"/>
      <c r="I234" s="24"/>
      <c r="J234" s="24"/>
      <c r="K234" s="24" t="n">
        <v>10104</v>
      </c>
      <c r="L234" s="24" t="n">
        <v>0</v>
      </c>
      <c r="M234" s="30" t="n">
        <f aca="false">SUM(E234:K234)</f>
        <v>10104</v>
      </c>
      <c r="N234" s="13" t="s">
        <v>450</v>
      </c>
      <c r="O234" s="13" t="s">
        <v>451</v>
      </c>
      <c r="P234" s="13" t="s">
        <v>452</v>
      </c>
      <c r="Q234" s="13" t="s">
        <v>453</v>
      </c>
    </row>
    <row r="237" customFormat="false" ht="15" hidden="false" customHeight="false" outlineLevel="0" collapsed="false">
      <c r="A237" s="6" t="s">
        <v>454</v>
      </c>
    </row>
    <row r="238" customFormat="false" ht="15" hidden="false" customHeight="false" outlineLevel="0" collapsed="false">
      <c r="A238" s="22" t="s">
        <v>108</v>
      </c>
      <c r="B238" s="22" t="s">
        <v>77</v>
      </c>
      <c r="C238" s="22" t="s">
        <v>78</v>
      </c>
      <c r="D238" s="22" t="s">
        <v>455</v>
      </c>
      <c r="E238" s="22" t="s">
        <v>32</v>
      </c>
    </row>
    <row r="239" customFormat="false" ht="15" hidden="false" customHeight="false" outlineLevel="0" collapsed="false">
      <c r="A239" s="25" t="str">
        <f aca="false">B239&amp;"|"&amp;C239</f>
        <v>Pakistan|Medicine — MBBS/MD</v>
      </c>
      <c r="B239" s="13" t="s">
        <v>14</v>
      </c>
      <c r="C239" s="13" t="s">
        <v>44</v>
      </c>
      <c r="D239" s="31" t="n">
        <v>5</v>
      </c>
      <c r="E239" s="13" t="s">
        <v>456</v>
      </c>
    </row>
    <row r="240" customFormat="false" ht="15" hidden="false" customHeight="false" outlineLevel="0" collapsed="false">
      <c r="A240" s="25" t="str">
        <f aca="false">B240&amp;"|"&amp;C240</f>
        <v>Pakistan|Dentistry</v>
      </c>
      <c r="B240" s="13" t="s">
        <v>14</v>
      </c>
      <c r="C240" s="13" t="s">
        <v>457</v>
      </c>
      <c r="D240" s="31" t="n">
        <v>4</v>
      </c>
      <c r="E240" s="13" t="s">
        <v>458</v>
      </c>
    </row>
    <row r="241" customFormat="false" ht="15" hidden="false" customHeight="false" outlineLevel="0" collapsed="false">
      <c r="A241" s="25" t="str">
        <f aca="false">B241&amp;"|"&amp;C241</f>
        <v>Pakistan|Pharmacy</v>
      </c>
      <c r="B241" s="13" t="s">
        <v>14</v>
      </c>
      <c r="C241" s="13" t="s">
        <v>459</v>
      </c>
      <c r="D241" s="31" t="n">
        <v>5</v>
      </c>
      <c r="E241" s="13" t="s">
        <v>458</v>
      </c>
    </row>
    <row r="242" customFormat="false" ht="15" hidden="false" customHeight="false" outlineLevel="0" collapsed="false">
      <c r="A242" s="25" t="str">
        <f aca="false">B242&amp;"|"&amp;C242</f>
        <v>Pakistan|Nursing</v>
      </c>
      <c r="B242" s="13" t="s">
        <v>14</v>
      </c>
      <c r="C242" s="13" t="s">
        <v>460</v>
      </c>
      <c r="D242" s="31" t="n">
        <v>4</v>
      </c>
      <c r="E242" s="13" t="s">
        <v>458</v>
      </c>
    </row>
    <row r="243" customFormat="false" ht="15" hidden="false" customHeight="false" outlineLevel="0" collapsed="false">
      <c r="A243" s="25" t="str">
        <f aca="false">B243&amp;"|"&amp;C243</f>
        <v>Pakistan|Physiotherapy</v>
      </c>
      <c r="B243" s="13" t="s">
        <v>14</v>
      </c>
      <c r="C243" s="13" t="s">
        <v>461</v>
      </c>
      <c r="D243" s="31" t="n">
        <v>4</v>
      </c>
      <c r="E243" s="13" t="s">
        <v>458</v>
      </c>
    </row>
    <row r="244" customFormat="false" ht="15" hidden="false" customHeight="false" outlineLevel="0" collapsed="false">
      <c r="A244" s="25" t="str">
        <f aca="false">B244&amp;"|"&amp;C244</f>
        <v>Pakistan|Civil Engineering</v>
      </c>
      <c r="B244" s="13" t="s">
        <v>14</v>
      </c>
      <c r="C244" s="13" t="s">
        <v>130</v>
      </c>
      <c r="D244" s="31" t="n">
        <v>4</v>
      </c>
      <c r="E244" s="13" t="s">
        <v>456</v>
      </c>
    </row>
    <row r="245" customFormat="false" ht="15" hidden="false" customHeight="false" outlineLevel="0" collapsed="false">
      <c r="A245" s="25" t="str">
        <f aca="false">B245&amp;"|"&amp;C245</f>
        <v>Pakistan|Mechanical Engineering</v>
      </c>
      <c r="B245" s="13" t="s">
        <v>14</v>
      </c>
      <c r="C245" s="13" t="s">
        <v>111</v>
      </c>
      <c r="D245" s="31" t="n">
        <v>4</v>
      </c>
      <c r="E245" s="13" t="s">
        <v>456</v>
      </c>
    </row>
    <row r="246" customFormat="false" ht="15" hidden="false" customHeight="false" outlineLevel="0" collapsed="false">
      <c r="A246" s="25" t="str">
        <f aca="false">B246&amp;"|"&amp;C246</f>
        <v>Pakistan|Electrical Engineering</v>
      </c>
      <c r="B246" s="13" t="s">
        <v>14</v>
      </c>
      <c r="C246" s="13" t="s">
        <v>128</v>
      </c>
      <c r="D246" s="31" t="n">
        <v>4</v>
      </c>
      <c r="E246" s="13" t="s">
        <v>456</v>
      </c>
    </row>
    <row r="247" customFormat="false" ht="15" hidden="false" customHeight="false" outlineLevel="0" collapsed="false">
      <c r="A247" s="25" t="str">
        <f aca="false">B247&amp;"|"&amp;C247</f>
        <v>Pakistan|Chemical Engineering</v>
      </c>
      <c r="B247" s="13" t="s">
        <v>14</v>
      </c>
      <c r="C247" s="13" t="s">
        <v>462</v>
      </c>
      <c r="D247" s="31" t="n">
        <v>4</v>
      </c>
      <c r="E247" s="13" t="s">
        <v>458</v>
      </c>
    </row>
    <row r="248" customFormat="false" ht="15" hidden="false" customHeight="false" outlineLevel="0" collapsed="false">
      <c r="A248" s="25" t="str">
        <f aca="false">B248&amp;"|"&amp;C248</f>
        <v>Pakistan|Computer Science</v>
      </c>
      <c r="B248" s="13" t="s">
        <v>14</v>
      </c>
      <c r="C248" s="13" t="s">
        <v>43</v>
      </c>
      <c r="D248" s="31" t="n">
        <v>4</v>
      </c>
      <c r="E248" s="13" t="s">
        <v>456</v>
      </c>
    </row>
    <row r="249" customFormat="false" ht="15" hidden="false" customHeight="false" outlineLevel="0" collapsed="false">
      <c r="A249" s="25" t="str">
        <f aca="false">B249&amp;"|"&amp;C249</f>
        <v>Pakistan|Software Engineering</v>
      </c>
      <c r="B249" s="13" t="s">
        <v>14</v>
      </c>
      <c r="C249" s="13" t="s">
        <v>463</v>
      </c>
      <c r="D249" s="31" t="n">
        <v>4</v>
      </c>
      <c r="E249" s="13" t="s">
        <v>458</v>
      </c>
    </row>
    <row r="250" customFormat="false" ht="15" hidden="false" customHeight="false" outlineLevel="0" collapsed="false">
      <c r="A250" s="25" t="str">
        <f aca="false">B250&amp;"|"&amp;C250</f>
        <v>Pakistan|Artificial Intelligence</v>
      </c>
      <c r="B250" s="13" t="s">
        <v>14</v>
      </c>
      <c r="C250" s="13" t="s">
        <v>464</v>
      </c>
      <c r="D250" s="31" t="n">
        <v>4</v>
      </c>
      <c r="E250" s="13" t="s">
        <v>458</v>
      </c>
    </row>
    <row r="251" customFormat="false" ht="15" hidden="false" customHeight="false" outlineLevel="0" collapsed="false">
      <c r="A251" s="25" t="str">
        <f aca="false">B251&amp;"|"&amp;C251</f>
        <v>Pakistan|Data Science</v>
      </c>
      <c r="B251" s="13" t="s">
        <v>14</v>
      </c>
      <c r="C251" s="13" t="s">
        <v>465</v>
      </c>
      <c r="D251" s="31" t="n">
        <v>4</v>
      </c>
      <c r="E251" s="13" t="s">
        <v>458</v>
      </c>
    </row>
    <row r="252" customFormat="false" ht="15" hidden="false" customHeight="false" outlineLevel="0" collapsed="false">
      <c r="A252" s="25" t="str">
        <f aca="false">B252&amp;"|"&amp;C252</f>
        <v>Pakistan|Cybersecurity</v>
      </c>
      <c r="B252" s="13" t="s">
        <v>14</v>
      </c>
      <c r="C252" s="13" t="s">
        <v>466</v>
      </c>
      <c r="D252" s="31" t="n">
        <v>4</v>
      </c>
      <c r="E252" s="13" t="s">
        <v>458</v>
      </c>
    </row>
    <row r="253" customFormat="false" ht="15" hidden="false" customHeight="false" outlineLevel="0" collapsed="false">
      <c r="A253" s="25" t="str">
        <f aca="false">B253&amp;"|"&amp;C253</f>
        <v>Pakistan|Cloud Computing</v>
      </c>
      <c r="B253" s="13" t="s">
        <v>14</v>
      </c>
      <c r="C253" s="13" t="s">
        <v>467</v>
      </c>
      <c r="D253" s="31" t="n">
        <v>4</v>
      </c>
      <c r="E253" s="13" t="s">
        <v>458</v>
      </c>
    </row>
    <row r="254" customFormat="false" ht="15" hidden="false" customHeight="false" outlineLevel="0" collapsed="false">
      <c r="A254" s="25" t="str">
        <f aca="false">B254&amp;"|"&amp;C254</f>
        <v>Pakistan|Biotechnology</v>
      </c>
      <c r="B254" s="13" t="s">
        <v>14</v>
      </c>
      <c r="C254" s="13" t="s">
        <v>468</v>
      </c>
      <c r="D254" s="31" t="n">
        <v>4</v>
      </c>
      <c r="E254" s="13" t="s">
        <v>458</v>
      </c>
    </row>
    <row r="255" customFormat="false" ht="15" hidden="false" customHeight="false" outlineLevel="0" collapsed="false">
      <c r="A255" s="25" t="str">
        <f aca="false">B255&amp;"|"&amp;C255</f>
        <v>Pakistan|Business Administration</v>
      </c>
      <c r="B255" s="13" t="s">
        <v>14</v>
      </c>
      <c r="C255" s="13" t="s">
        <v>45</v>
      </c>
      <c r="D255" s="31" t="n">
        <v>4</v>
      </c>
      <c r="E255" s="13" t="s">
        <v>456</v>
      </c>
    </row>
    <row r="256" customFormat="false" ht="15" hidden="false" customHeight="false" outlineLevel="0" collapsed="false">
      <c r="A256" s="25" t="str">
        <f aca="false">B256&amp;"|"&amp;C256</f>
        <v>Pakistan|Business Analytics</v>
      </c>
      <c r="B256" s="13" t="s">
        <v>14</v>
      </c>
      <c r="C256" s="13" t="s">
        <v>469</v>
      </c>
      <c r="D256" s="31" t="n">
        <v>4</v>
      </c>
      <c r="E256" s="13" t="s">
        <v>458</v>
      </c>
    </row>
    <row r="257" customFormat="false" ht="15" hidden="false" customHeight="false" outlineLevel="0" collapsed="false">
      <c r="A257" s="25" t="str">
        <f aca="false">B257&amp;"|"&amp;C257</f>
        <v>Pakistan|Finance</v>
      </c>
      <c r="B257" s="13" t="s">
        <v>14</v>
      </c>
      <c r="C257" s="13" t="s">
        <v>470</v>
      </c>
      <c r="D257" s="31" t="n">
        <v>4</v>
      </c>
      <c r="E257" s="13" t="s">
        <v>458</v>
      </c>
    </row>
    <row r="258" customFormat="false" ht="15" hidden="false" customHeight="false" outlineLevel="0" collapsed="false">
      <c r="A258" s="25" t="str">
        <f aca="false">B258&amp;"|"&amp;C258</f>
        <v>Pakistan|Accounting and Finance</v>
      </c>
      <c r="B258" s="13" t="s">
        <v>14</v>
      </c>
      <c r="C258" s="13" t="s">
        <v>46</v>
      </c>
      <c r="D258" s="31" t="n">
        <v>4</v>
      </c>
      <c r="E258" s="13" t="s">
        <v>456</v>
      </c>
    </row>
    <row r="259" customFormat="false" ht="15" hidden="false" customHeight="false" outlineLevel="0" collapsed="false">
      <c r="A259" s="25" t="str">
        <f aca="false">B259&amp;"|"&amp;C259</f>
        <v>Pakistan|Economics</v>
      </c>
      <c r="B259" s="13" t="s">
        <v>14</v>
      </c>
      <c r="C259" s="13" t="s">
        <v>471</v>
      </c>
      <c r="D259" s="31" t="n">
        <v>4</v>
      </c>
      <c r="E259" s="13" t="s">
        <v>458</v>
      </c>
    </row>
    <row r="260" customFormat="false" ht="15" hidden="false" customHeight="false" outlineLevel="0" collapsed="false">
      <c r="A260" s="25" t="str">
        <f aca="false">B260&amp;"|"&amp;C260</f>
        <v>Pakistan|Marketing</v>
      </c>
      <c r="B260" s="13" t="s">
        <v>14</v>
      </c>
      <c r="C260" s="13" t="s">
        <v>472</v>
      </c>
      <c r="D260" s="31" t="n">
        <v>4</v>
      </c>
      <c r="E260" s="13" t="s">
        <v>458</v>
      </c>
    </row>
    <row r="261" customFormat="false" ht="15" hidden="false" customHeight="false" outlineLevel="0" collapsed="false">
      <c r="A261" s="25" t="str">
        <f aca="false">B261&amp;"|"&amp;C261</f>
        <v>Pakistan|Supply Chain Management</v>
      </c>
      <c r="B261" s="13" t="s">
        <v>14</v>
      </c>
      <c r="C261" s="13" t="s">
        <v>473</v>
      </c>
      <c r="D261" s="31" t="n">
        <v>4</v>
      </c>
      <c r="E261" s="13" t="s">
        <v>458</v>
      </c>
    </row>
    <row r="262" customFormat="false" ht="15" hidden="false" customHeight="false" outlineLevel="0" collapsed="false">
      <c r="A262" s="25" t="str">
        <f aca="false">B262&amp;"|"&amp;C262</f>
        <v>Pakistan|Law</v>
      </c>
      <c r="B262" s="13" t="s">
        <v>14</v>
      </c>
      <c r="C262" s="13" t="s">
        <v>474</v>
      </c>
      <c r="D262" s="31" t="n">
        <v>5</v>
      </c>
      <c r="E262" s="13" t="s">
        <v>458</v>
      </c>
    </row>
    <row r="263" customFormat="false" ht="15" hidden="false" customHeight="false" outlineLevel="0" collapsed="false">
      <c r="A263" s="25" t="str">
        <f aca="false">B263&amp;"|"&amp;C263</f>
        <v>Pakistan|Architecture</v>
      </c>
      <c r="B263" s="13" t="s">
        <v>14</v>
      </c>
      <c r="C263" s="13" t="s">
        <v>475</v>
      </c>
      <c r="D263" s="31" t="n">
        <v>5</v>
      </c>
      <c r="E263" s="13" t="s">
        <v>458</v>
      </c>
    </row>
    <row r="264" customFormat="false" ht="15" hidden="false" customHeight="false" outlineLevel="0" collapsed="false">
      <c r="A264" s="25" t="str">
        <f aca="false">B264&amp;"|"&amp;C264</f>
        <v>Pakistan|Psychology</v>
      </c>
      <c r="B264" s="13" t="s">
        <v>14</v>
      </c>
      <c r="C264" s="13" t="s">
        <v>476</v>
      </c>
      <c r="D264" s="31" t="n">
        <v>4</v>
      </c>
      <c r="E264" s="13" t="s">
        <v>458</v>
      </c>
    </row>
    <row r="265" customFormat="false" ht="15" hidden="false" customHeight="false" outlineLevel="0" collapsed="false">
      <c r="A265" s="25" t="str">
        <f aca="false">B265&amp;"|"&amp;C265</f>
        <v>Pakistan|Environmental Science</v>
      </c>
      <c r="B265" s="13" t="s">
        <v>14</v>
      </c>
      <c r="C265" s="13" t="s">
        <v>477</v>
      </c>
      <c r="D265" s="31" t="n">
        <v>4</v>
      </c>
      <c r="E265" s="13" t="s">
        <v>458</v>
      </c>
    </row>
    <row r="266" customFormat="false" ht="15" hidden="false" customHeight="false" outlineLevel="0" collapsed="false">
      <c r="A266" s="25" t="str">
        <f aca="false">B266&amp;"|"&amp;C266</f>
        <v>India|Medicine — MBBS/MD</v>
      </c>
      <c r="B266" s="13" t="s">
        <v>198</v>
      </c>
      <c r="C266" s="13" t="s">
        <v>44</v>
      </c>
      <c r="D266" s="31" t="n">
        <v>5.5</v>
      </c>
      <c r="E266" s="13" t="s">
        <v>456</v>
      </c>
    </row>
    <row r="267" customFormat="false" ht="15" hidden="false" customHeight="false" outlineLevel="0" collapsed="false">
      <c r="A267" s="25" t="str">
        <f aca="false">B267&amp;"|"&amp;C267</f>
        <v>India|Dentistry</v>
      </c>
      <c r="B267" s="13" t="s">
        <v>198</v>
      </c>
      <c r="C267" s="13" t="s">
        <v>457</v>
      </c>
      <c r="D267" s="31" t="n">
        <v>5</v>
      </c>
      <c r="E267" s="13" t="s">
        <v>458</v>
      </c>
    </row>
    <row r="268" customFormat="false" ht="15" hidden="false" customHeight="false" outlineLevel="0" collapsed="false">
      <c r="A268" s="25" t="str">
        <f aca="false">B268&amp;"|"&amp;C268</f>
        <v>India|Pharmacy</v>
      </c>
      <c r="B268" s="13" t="s">
        <v>198</v>
      </c>
      <c r="C268" s="13" t="s">
        <v>459</v>
      </c>
      <c r="D268" s="31" t="n">
        <v>4</v>
      </c>
      <c r="E268" s="13" t="s">
        <v>458</v>
      </c>
    </row>
    <row r="269" customFormat="false" ht="15" hidden="false" customHeight="false" outlineLevel="0" collapsed="false">
      <c r="A269" s="25" t="str">
        <f aca="false">B269&amp;"|"&amp;C269</f>
        <v>India|Nursing</v>
      </c>
      <c r="B269" s="13" t="s">
        <v>198</v>
      </c>
      <c r="C269" s="13" t="s">
        <v>460</v>
      </c>
      <c r="D269" s="31" t="n">
        <v>4</v>
      </c>
      <c r="E269" s="13" t="s">
        <v>458</v>
      </c>
    </row>
    <row r="270" customFormat="false" ht="15" hidden="false" customHeight="false" outlineLevel="0" collapsed="false">
      <c r="A270" s="25" t="str">
        <f aca="false">B270&amp;"|"&amp;C270</f>
        <v>India|Physiotherapy</v>
      </c>
      <c r="B270" s="13" t="s">
        <v>198</v>
      </c>
      <c r="C270" s="13" t="s">
        <v>461</v>
      </c>
      <c r="D270" s="31" t="n">
        <v>4</v>
      </c>
      <c r="E270" s="13" t="s">
        <v>458</v>
      </c>
    </row>
    <row r="271" customFormat="false" ht="15" hidden="false" customHeight="false" outlineLevel="0" collapsed="false">
      <c r="A271" s="25" t="str">
        <f aca="false">B271&amp;"|"&amp;C271</f>
        <v>India|Civil Engineering</v>
      </c>
      <c r="B271" s="13" t="s">
        <v>198</v>
      </c>
      <c r="C271" s="13" t="s">
        <v>130</v>
      </c>
      <c r="D271" s="31" t="n">
        <v>4</v>
      </c>
      <c r="E271" s="13" t="s">
        <v>458</v>
      </c>
    </row>
    <row r="272" customFormat="false" ht="15" hidden="false" customHeight="false" outlineLevel="0" collapsed="false">
      <c r="A272" s="25" t="str">
        <f aca="false">B272&amp;"|"&amp;C272</f>
        <v>India|Mechanical Engineering</v>
      </c>
      <c r="B272" s="13" t="s">
        <v>198</v>
      </c>
      <c r="C272" s="13" t="s">
        <v>111</v>
      </c>
      <c r="D272" s="31" t="n">
        <v>4</v>
      </c>
      <c r="E272" s="13" t="s">
        <v>456</v>
      </c>
    </row>
    <row r="273" customFormat="false" ht="15" hidden="false" customHeight="false" outlineLevel="0" collapsed="false">
      <c r="A273" s="25" t="str">
        <f aca="false">B273&amp;"|"&amp;C273</f>
        <v>India|Electrical Engineering</v>
      </c>
      <c r="B273" s="13" t="s">
        <v>198</v>
      </c>
      <c r="C273" s="13" t="s">
        <v>128</v>
      </c>
      <c r="D273" s="31" t="n">
        <v>4</v>
      </c>
      <c r="E273" s="13" t="s">
        <v>458</v>
      </c>
    </row>
    <row r="274" customFormat="false" ht="15" hidden="false" customHeight="false" outlineLevel="0" collapsed="false">
      <c r="A274" s="25" t="str">
        <f aca="false">B274&amp;"|"&amp;C274</f>
        <v>India|Chemical Engineering</v>
      </c>
      <c r="B274" s="13" t="s">
        <v>198</v>
      </c>
      <c r="C274" s="13" t="s">
        <v>462</v>
      </c>
      <c r="D274" s="31" t="n">
        <v>4</v>
      </c>
      <c r="E274" s="13" t="s">
        <v>458</v>
      </c>
    </row>
    <row r="275" customFormat="false" ht="15" hidden="false" customHeight="false" outlineLevel="0" collapsed="false">
      <c r="A275" s="25" t="str">
        <f aca="false">B275&amp;"|"&amp;C275</f>
        <v>India|Computer Science</v>
      </c>
      <c r="B275" s="13" t="s">
        <v>198</v>
      </c>
      <c r="C275" s="13" t="s">
        <v>43</v>
      </c>
      <c r="D275" s="31" t="n">
        <v>4</v>
      </c>
      <c r="E275" s="13" t="s">
        <v>456</v>
      </c>
    </row>
    <row r="276" customFormat="false" ht="15" hidden="false" customHeight="false" outlineLevel="0" collapsed="false">
      <c r="A276" s="25" t="str">
        <f aca="false">B276&amp;"|"&amp;C276</f>
        <v>India|Software Engineering</v>
      </c>
      <c r="B276" s="13" t="s">
        <v>198</v>
      </c>
      <c r="C276" s="13" t="s">
        <v>463</v>
      </c>
      <c r="D276" s="31" t="n">
        <v>4</v>
      </c>
      <c r="E276" s="13" t="s">
        <v>458</v>
      </c>
    </row>
    <row r="277" customFormat="false" ht="15" hidden="false" customHeight="false" outlineLevel="0" collapsed="false">
      <c r="A277" s="25" t="str">
        <f aca="false">B277&amp;"|"&amp;C277</f>
        <v>India|Artificial Intelligence</v>
      </c>
      <c r="B277" s="13" t="s">
        <v>198</v>
      </c>
      <c r="C277" s="13" t="s">
        <v>464</v>
      </c>
      <c r="D277" s="31" t="n">
        <v>4</v>
      </c>
      <c r="E277" s="13" t="s">
        <v>458</v>
      </c>
    </row>
    <row r="278" customFormat="false" ht="15" hidden="false" customHeight="false" outlineLevel="0" collapsed="false">
      <c r="A278" s="25" t="str">
        <f aca="false">B278&amp;"|"&amp;C278</f>
        <v>India|Data Science</v>
      </c>
      <c r="B278" s="13" t="s">
        <v>198</v>
      </c>
      <c r="C278" s="13" t="s">
        <v>465</v>
      </c>
      <c r="D278" s="31" t="n">
        <v>4</v>
      </c>
      <c r="E278" s="13" t="s">
        <v>458</v>
      </c>
    </row>
    <row r="279" customFormat="false" ht="15" hidden="false" customHeight="false" outlineLevel="0" collapsed="false">
      <c r="A279" s="25" t="str">
        <f aca="false">B279&amp;"|"&amp;C279</f>
        <v>India|Cybersecurity</v>
      </c>
      <c r="B279" s="13" t="s">
        <v>198</v>
      </c>
      <c r="C279" s="13" t="s">
        <v>466</v>
      </c>
      <c r="D279" s="31" t="n">
        <v>4</v>
      </c>
      <c r="E279" s="13" t="s">
        <v>458</v>
      </c>
    </row>
    <row r="280" customFormat="false" ht="15" hidden="false" customHeight="false" outlineLevel="0" collapsed="false">
      <c r="A280" s="25" t="str">
        <f aca="false">B280&amp;"|"&amp;C280</f>
        <v>India|Cloud Computing</v>
      </c>
      <c r="B280" s="13" t="s">
        <v>198</v>
      </c>
      <c r="C280" s="13" t="s">
        <v>467</v>
      </c>
      <c r="D280" s="31" t="n">
        <v>4</v>
      </c>
      <c r="E280" s="13" t="s">
        <v>458</v>
      </c>
    </row>
    <row r="281" customFormat="false" ht="15" hidden="false" customHeight="false" outlineLevel="0" collapsed="false">
      <c r="A281" s="25" t="str">
        <f aca="false">B281&amp;"|"&amp;C281</f>
        <v>India|Biotechnology</v>
      </c>
      <c r="B281" s="13" t="s">
        <v>198</v>
      </c>
      <c r="C281" s="13" t="s">
        <v>468</v>
      </c>
      <c r="D281" s="31" t="n">
        <v>4</v>
      </c>
      <c r="E281" s="13" t="s">
        <v>458</v>
      </c>
    </row>
    <row r="282" customFormat="false" ht="15" hidden="false" customHeight="false" outlineLevel="0" collapsed="false">
      <c r="A282" s="25" t="str">
        <f aca="false">B282&amp;"|"&amp;C282</f>
        <v>India|Business Administration</v>
      </c>
      <c r="B282" s="13" t="s">
        <v>198</v>
      </c>
      <c r="C282" s="13" t="s">
        <v>45</v>
      </c>
      <c r="D282" s="31" t="n">
        <v>4</v>
      </c>
      <c r="E282" s="13" t="s">
        <v>456</v>
      </c>
    </row>
    <row r="283" customFormat="false" ht="15" hidden="false" customHeight="false" outlineLevel="0" collapsed="false">
      <c r="A283" s="25" t="str">
        <f aca="false">B283&amp;"|"&amp;C283</f>
        <v>India|Business Analytics</v>
      </c>
      <c r="B283" s="13" t="s">
        <v>198</v>
      </c>
      <c r="C283" s="13" t="s">
        <v>469</v>
      </c>
      <c r="D283" s="31" t="n">
        <v>4</v>
      </c>
      <c r="E283" s="13" t="s">
        <v>458</v>
      </c>
    </row>
    <row r="284" customFormat="false" ht="15" hidden="false" customHeight="false" outlineLevel="0" collapsed="false">
      <c r="A284" s="25" t="str">
        <f aca="false">B284&amp;"|"&amp;C284</f>
        <v>India|Finance</v>
      </c>
      <c r="B284" s="13" t="s">
        <v>198</v>
      </c>
      <c r="C284" s="13" t="s">
        <v>470</v>
      </c>
      <c r="D284" s="31" t="n">
        <v>4</v>
      </c>
      <c r="E284" s="13" t="s">
        <v>458</v>
      </c>
    </row>
    <row r="285" customFormat="false" ht="15" hidden="false" customHeight="false" outlineLevel="0" collapsed="false">
      <c r="A285" s="25" t="str">
        <f aca="false">B285&amp;"|"&amp;C285</f>
        <v>India|Accounting and Finance</v>
      </c>
      <c r="B285" s="13" t="s">
        <v>198</v>
      </c>
      <c r="C285" s="13" t="s">
        <v>46</v>
      </c>
      <c r="D285" s="31" t="n">
        <v>3</v>
      </c>
      <c r="E285" s="13" t="s">
        <v>456</v>
      </c>
    </row>
    <row r="286" customFormat="false" ht="15" hidden="false" customHeight="false" outlineLevel="0" collapsed="false">
      <c r="A286" s="25" t="str">
        <f aca="false">B286&amp;"|"&amp;C286</f>
        <v>India|Economics</v>
      </c>
      <c r="B286" s="13" t="s">
        <v>198</v>
      </c>
      <c r="C286" s="13" t="s">
        <v>471</v>
      </c>
      <c r="D286" s="31" t="n">
        <v>4</v>
      </c>
      <c r="E286" s="13" t="s">
        <v>458</v>
      </c>
    </row>
    <row r="287" customFormat="false" ht="15" hidden="false" customHeight="false" outlineLevel="0" collapsed="false">
      <c r="A287" s="25" t="str">
        <f aca="false">B287&amp;"|"&amp;C287</f>
        <v>India|Marketing</v>
      </c>
      <c r="B287" s="13" t="s">
        <v>198</v>
      </c>
      <c r="C287" s="13" t="s">
        <v>472</v>
      </c>
      <c r="D287" s="31" t="n">
        <v>4</v>
      </c>
      <c r="E287" s="13" t="s">
        <v>458</v>
      </c>
    </row>
    <row r="288" customFormat="false" ht="15" hidden="false" customHeight="false" outlineLevel="0" collapsed="false">
      <c r="A288" s="25" t="str">
        <f aca="false">B288&amp;"|"&amp;C288</f>
        <v>India|Supply Chain Management</v>
      </c>
      <c r="B288" s="13" t="s">
        <v>198</v>
      </c>
      <c r="C288" s="13" t="s">
        <v>473</v>
      </c>
      <c r="D288" s="31" t="n">
        <v>4</v>
      </c>
      <c r="E288" s="13" t="s">
        <v>458</v>
      </c>
    </row>
    <row r="289" customFormat="false" ht="15" hidden="false" customHeight="false" outlineLevel="0" collapsed="false">
      <c r="A289" s="25" t="str">
        <f aca="false">B289&amp;"|"&amp;C289</f>
        <v>India|Law</v>
      </c>
      <c r="B289" s="13" t="s">
        <v>198</v>
      </c>
      <c r="C289" s="13" t="s">
        <v>474</v>
      </c>
      <c r="D289" s="31" t="n">
        <v>5</v>
      </c>
      <c r="E289" s="13" t="s">
        <v>458</v>
      </c>
    </row>
    <row r="290" customFormat="false" ht="15" hidden="false" customHeight="false" outlineLevel="0" collapsed="false">
      <c r="A290" s="25" t="str">
        <f aca="false">B290&amp;"|"&amp;C290</f>
        <v>India|Architecture</v>
      </c>
      <c r="B290" s="13" t="s">
        <v>198</v>
      </c>
      <c r="C290" s="13" t="s">
        <v>475</v>
      </c>
      <c r="D290" s="31" t="n">
        <v>5</v>
      </c>
      <c r="E290" s="13" t="s">
        <v>458</v>
      </c>
    </row>
    <row r="291" customFormat="false" ht="15" hidden="false" customHeight="false" outlineLevel="0" collapsed="false">
      <c r="A291" s="25" t="str">
        <f aca="false">B291&amp;"|"&amp;C291</f>
        <v>India|Psychology</v>
      </c>
      <c r="B291" s="13" t="s">
        <v>198</v>
      </c>
      <c r="C291" s="13" t="s">
        <v>476</v>
      </c>
      <c r="D291" s="31" t="n">
        <v>4</v>
      </c>
      <c r="E291" s="13" t="s">
        <v>458</v>
      </c>
    </row>
    <row r="292" customFormat="false" ht="15" hidden="false" customHeight="false" outlineLevel="0" collapsed="false">
      <c r="A292" s="25" t="str">
        <f aca="false">B292&amp;"|"&amp;C292</f>
        <v>India|Environmental Science</v>
      </c>
      <c r="B292" s="13" t="s">
        <v>198</v>
      </c>
      <c r="C292" s="13" t="s">
        <v>477</v>
      </c>
      <c r="D292" s="31" t="n">
        <v>4</v>
      </c>
      <c r="E292" s="13" t="s">
        <v>458</v>
      </c>
    </row>
    <row r="293" customFormat="false" ht="15" hidden="false" customHeight="false" outlineLevel="0" collapsed="false">
      <c r="A293" s="25" t="str">
        <f aca="false">B293&amp;"|"&amp;C293</f>
        <v>USA|Medicine — MBBS/MD</v>
      </c>
      <c r="B293" s="13" t="s">
        <v>248</v>
      </c>
      <c r="C293" s="13" t="s">
        <v>44</v>
      </c>
      <c r="D293" s="31" t="n">
        <v>4</v>
      </c>
      <c r="E293" s="13" t="s">
        <v>456</v>
      </c>
    </row>
    <row r="294" customFormat="false" ht="15" hidden="false" customHeight="false" outlineLevel="0" collapsed="false">
      <c r="A294" s="25" t="str">
        <f aca="false">B294&amp;"|"&amp;C294</f>
        <v>USA|Dentistry</v>
      </c>
      <c r="B294" s="13" t="s">
        <v>248</v>
      </c>
      <c r="C294" s="13" t="s">
        <v>457</v>
      </c>
      <c r="D294" s="31" t="n">
        <v>4</v>
      </c>
      <c r="E294" s="13" t="s">
        <v>458</v>
      </c>
    </row>
    <row r="295" customFormat="false" ht="15" hidden="false" customHeight="false" outlineLevel="0" collapsed="false">
      <c r="A295" s="25" t="str">
        <f aca="false">B295&amp;"|"&amp;C295</f>
        <v>USA|Pharmacy</v>
      </c>
      <c r="B295" s="13" t="s">
        <v>248</v>
      </c>
      <c r="C295" s="13" t="s">
        <v>459</v>
      </c>
      <c r="D295" s="31" t="n">
        <v>4</v>
      </c>
      <c r="E295" s="13" t="s">
        <v>458</v>
      </c>
    </row>
    <row r="296" customFormat="false" ht="15" hidden="false" customHeight="false" outlineLevel="0" collapsed="false">
      <c r="A296" s="25" t="str">
        <f aca="false">B296&amp;"|"&amp;C296</f>
        <v>USA|Nursing</v>
      </c>
      <c r="B296" s="13" t="s">
        <v>248</v>
      </c>
      <c r="C296" s="13" t="s">
        <v>460</v>
      </c>
      <c r="D296" s="31" t="n">
        <v>4</v>
      </c>
      <c r="E296" s="13" t="s">
        <v>458</v>
      </c>
    </row>
    <row r="297" customFormat="false" ht="15" hidden="false" customHeight="false" outlineLevel="0" collapsed="false">
      <c r="A297" s="25" t="str">
        <f aca="false">B297&amp;"|"&amp;C297</f>
        <v>USA|Physiotherapy</v>
      </c>
      <c r="B297" s="13" t="s">
        <v>248</v>
      </c>
      <c r="C297" s="13" t="s">
        <v>461</v>
      </c>
      <c r="D297" s="31" t="n">
        <v>4</v>
      </c>
      <c r="E297" s="13" t="s">
        <v>458</v>
      </c>
    </row>
    <row r="298" customFormat="false" ht="15" hidden="false" customHeight="false" outlineLevel="0" collapsed="false">
      <c r="A298" s="25" t="str">
        <f aca="false">B298&amp;"|"&amp;C298</f>
        <v>USA|Civil Engineering</v>
      </c>
      <c r="B298" s="13" t="s">
        <v>248</v>
      </c>
      <c r="C298" s="13" t="s">
        <v>130</v>
      </c>
      <c r="D298" s="31" t="n">
        <v>4</v>
      </c>
      <c r="E298" s="13" t="s">
        <v>458</v>
      </c>
    </row>
    <row r="299" customFormat="false" ht="15" hidden="false" customHeight="false" outlineLevel="0" collapsed="false">
      <c r="A299" s="25" t="str">
        <f aca="false">B299&amp;"|"&amp;C299</f>
        <v>USA|Mechanical Engineering</v>
      </c>
      <c r="B299" s="13" t="s">
        <v>248</v>
      </c>
      <c r="C299" s="13" t="s">
        <v>111</v>
      </c>
      <c r="D299" s="31" t="n">
        <v>4</v>
      </c>
      <c r="E299" s="13" t="s">
        <v>456</v>
      </c>
    </row>
    <row r="300" customFormat="false" ht="15" hidden="false" customHeight="false" outlineLevel="0" collapsed="false">
      <c r="A300" s="25" t="str">
        <f aca="false">B300&amp;"|"&amp;C300</f>
        <v>USA|Electrical Engineering</v>
      </c>
      <c r="B300" s="13" t="s">
        <v>248</v>
      </c>
      <c r="C300" s="13" t="s">
        <v>128</v>
      </c>
      <c r="D300" s="31" t="n">
        <v>4</v>
      </c>
      <c r="E300" s="13" t="s">
        <v>458</v>
      </c>
    </row>
    <row r="301" customFormat="false" ht="15" hidden="false" customHeight="false" outlineLevel="0" collapsed="false">
      <c r="A301" s="25" t="str">
        <f aca="false">B301&amp;"|"&amp;C301</f>
        <v>USA|Chemical Engineering</v>
      </c>
      <c r="B301" s="13" t="s">
        <v>248</v>
      </c>
      <c r="C301" s="13" t="s">
        <v>462</v>
      </c>
      <c r="D301" s="31" t="n">
        <v>4</v>
      </c>
      <c r="E301" s="13" t="s">
        <v>458</v>
      </c>
    </row>
    <row r="302" customFormat="false" ht="15" hidden="false" customHeight="false" outlineLevel="0" collapsed="false">
      <c r="A302" s="25" t="str">
        <f aca="false">B302&amp;"|"&amp;C302</f>
        <v>USA|Computer Science</v>
      </c>
      <c r="B302" s="13" t="s">
        <v>248</v>
      </c>
      <c r="C302" s="13" t="s">
        <v>43</v>
      </c>
      <c r="D302" s="31" t="n">
        <v>4</v>
      </c>
      <c r="E302" s="13" t="s">
        <v>456</v>
      </c>
    </row>
    <row r="303" customFormat="false" ht="15" hidden="false" customHeight="false" outlineLevel="0" collapsed="false">
      <c r="A303" s="25" t="str">
        <f aca="false">B303&amp;"|"&amp;C303</f>
        <v>USA|Software Engineering</v>
      </c>
      <c r="B303" s="13" t="s">
        <v>248</v>
      </c>
      <c r="C303" s="13" t="s">
        <v>463</v>
      </c>
      <c r="D303" s="31" t="n">
        <v>4</v>
      </c>
      <c r="E303" s="13" t="s">
        <v>458</v>
      </c>
    </row>
    <row r="304" customFormat="false" ht="15" hidden="false" customHeight="false" outlineLevel="0" collapsed="false">
      <c r="A304" s="25" t="str">
        <f aca="false">B304&amp;"|"&amp;C304</f>
        <v>USA|Artificial Intelligence</v>
      </c>
      <c r="B304" s="13" t="s">
        <v>248</v>
      </c>
      <c r="C304" s="13" t="s">
        <v>464</v>
      </c>
      <c r="D304" s="31" t="n">
        <v>4</v>
      </c>
      <c r="E304" s="13" t="s">
        <v>458</v>
      </c>
    </row>
    <row r="305" customFormat="false" ht="15" hidden="false" customHeight="false" outlineLevel="0" collapsed="false">
      <c r="A305" s="25" t="str">
        <f aca="false">B305&amp;"|"&amp;C305</f>
        <v>USA|Data Science</v>
      </c>
      <c r="B305" s="13" t="s">
        <v>248</v>
      </c>
      <c r="C305" s="13" t="s">
        <v>465</v>
      </c>
      <c r="D305" s="31" t="n">
        <v>4</v>
      </c>
      <c r="E305" s="13" t="s">
        <v>458</v>
      </c>
    </row>
    <row r="306" customFormat="false" ht="15" hidden="false" customHeight="false" outlineLevel="0" collapsed="false">
      <c r="A306" s="25" t="str">
        <f aca="false">B306&amp;"|"&amp;C306</f>
        <v>USA|Cybersecurity</v>
      </c>
      <c r="B306" s="13" t="s">
        <v>248</v>
      </c>
      <c r="C306" s="13" t="s">
        <v>466</v>
      </c>
      <c r="D306" s="31" t="n">
        <v>4</v>
      </c>
      <c r="E306" s="13" t="s">
        <v>458</v>
      </c>
    </row>
    <row r="307" customFormat="false" ht="15" hidden="false" customHeight="false" outlineLevel="0" collapsed="false">
      <c r="A307" s="25" t="str">
        <f aca="false">B307&amp;"|"&amp;C307</f>
        <v>USA|Cloud Computing</v>
      </c>
      <c r="B307" s="13" t="s">
        <v>248</v>
      </c>
      <c r="C307" s="13" t="s">
        <v>467</v>
      </c>
      <c r="D307" s="31" t="n">
        <v>4</v>
      </c>
      <c r="E307" s="13" t="s">
        <v>458</v>
      </c>
    </row>
    <row r="308" customFormat="false" ht="15" hidden="false" customHeight="false" outlineLevel="0" collapsed="false">
      <c r="A308" s="25" t="str">
        <f aca="false">B308&amp;"|"&amp;C308</f>
        <v>USA|Biotechnology</v>
      </c>
      <c r="B308" s="13" t="s">
        <v>248</v>
      </c>
      <c r="C308" s="13" t="s">
        <v>468</v>
      </c>
      <c r="D308" s="31" t="n">
        <v>4</v>
      </c>
      <c r="E308" s="13" t="s">
        <v>458</v>
      </c>
    </row>
    <row r="309" customFormat="false" ht="15" hidden="false" customHeight="false" outlineLevel="0" collapsed="false">
      <c r="A309" s="25" t="str">
        <f aca="false">B309&amp;"|"&amp;C309</f>
        <v>USA|Business Administration</v>
      </c>
      <c r="B309" s="13" t="s">
        <v>248</v>
      </c>
      <c r="C309" s="13" t="s">
        <v>45</v>
      </c>
      <c r="D309" s="31" t="n">
        <v>4</v>
      </c>
      <c r="E309" s="13" t="s">
        <v>456</v>
      </c>
    </row>
    <row r="310" customFormat="false" ht="15" hidden="false" customHeight="false" outlineLevel="0" collapsed="false">
      <c r="A310" s="25" t="str">
        <f aca="false">B310&amp;"|"&amp;C310</f>
        <v>USA|Business Analytics</v>
      </c>
      <c r="B310" s="13" t="s">
        <v>248</v>
      </c>
      <c r="C310" s="13" t="s">
        <v>469</v>
      </c>
      <c r="D310" s="31" t="n">
        <v>4</v>
      </c>
      <c r="E310" s="13" t="s">
        <v>458</v>
      </c>
    </row>
    <row r="311" customFormat="false" ht="15" hidden="false" customHeight="false" outlineLevel="0" collapsed="false">
      <c r="A311" s="25" t="str">
        <f aca="false">B311&amp;"|"&amp;C311</f>
        <v>USA|Finance</v>
      </c>
      <c r="B311" s="13" t="s">
        <v>248</v>
      </c>
      <c r="C311" s="13" t="s">
        <v>470</v>
      </c>
      <c r="D311" s="31" t="n">
        <v>4</v>
      </c>
      <c r="E311" s="13" t="s">
        <v>458</v>
      </c>
    </row>
    <row r="312" customFormat="false" ht="15" hidden="false" customHeight="false" outlineLevel="0" collapsed="false">
      <c r="A312" s="25" t="str">
        <f aca="false">B312&amp;"|"&amp;C312</f>
        <v>USA|Accounting and Finance</v>
      </c>
      <c r="B312" s="13" t="s">
        <v>248</v>
      </c>
      <c r="C312" s="13" t="s">
        <v>46</v>
      </c>
      <c r="D312" s="31" t="n">
        <v>4</v>
      </c>
      <c r="E312" s="13" t="s">
        <v>456</v>
      </c>
    </row>
    <row r="313" customFormat="false" ht="15" hidden="false" customHeight="false" outlineLevel="0" collapsed="false">
      <c r="A313" s="25" t="str">
        <f aca="false">B313&amp;"|"&amp;C313</f>
        <v>USA|Economics</v>
      </c>
      <c r="B313" s="13" t="s">
        <v>248</v>
      </c>
      <c r="C313" s="13" t="s">
        <v>471</v>
      </c>
      <c r="D313" s="31" t="n">
        <v>4</v>
      </c>
      <c r="E313" s="13" t="s">
        <v>458</v>
      </c>
    </row>
    <row r="314" customFormat="false" ht="15" hidden="false" customHeight="false" outlineLevel="0" collapsed="false">
      <c r="A314" s="25" t="str">
        <f aca="false">B314&amp;"|"&amp;C314</f>
        <v>USA|Marketing</v>
      </c>
      <c r="B314" s="13" t="s">
        <v>248</v>
      </c>
      <c r="C314" s="13" t="s">
        <v>472</v>
      </c>
      <c r="D314" s="31" t="n">
        <v>4</v>
      </c>
      <c r="E314" s="13" t="s">
        <v>458</v>
      </c>
    </row>
    <row r="315" customFormat="false" ht="15" hidden="false" customHeight="false" outlineLevel="0" collapsed="false">
      <c r="A315" s="25" t="str">
        <f aca="false">B315&amp;"|"&amp;C315</f>
        <v>USA|Supply Chain Management</v>
      </c>
      <c r="B315" s="13" t="s">
        <v>248</v>
      </c>
      <c r="C315" s="13" t="s">
        <v>473</v>
      </c>
      <c r="D315" s="31" t="n">
        <v>4</v>
      </c>
      <c r="E315" s="13" t="s">
        <v>458</v>
      </c>
    </row>
    <row r="316" customFormat="false" ht="15" hidden="false" customHeight="false" outlineLevel="0" collapsed="false">
      <c r="A316" s="25" t="str">
        <f aca="false">B316&amp;"|"&amp;C316</f>
        <v>USA|Law</v>
      </c>
      <c r="B316" s="13" t="s">
        <v>248</v>
      </c>
      <c r="C316" s="13" t="s">
        <v>474</v>
      </c>
      <c r="D316" s="31" t="n">
        <v>3</v>
      </c>
      <c r="E316" s="13" t="s">
        <v>458</v>
      </c>
    </row>
    <row r="317" customFormat="false" ht="15" hidden="false" customHeight="false" outlineLevel="0" collapsed="false">
      <c r="A317" s="25" t="str">
        <f aca="false">B317&amp;"|"&amp;C317</f>
        <v>USA|Architecture</v>
      </c>
      <c r="B317" s="13" t="s">
        <v>248</v>
      </c>
      <c r="C317" s="13" t="s">
        <v>475</v>
      </c>
      <c r="D317" s="31" t="n">
        <v>4</v>
      </c>
      <c r="E317" s="13" t="s">
        <v>458</v>
      </c>
    </row>
    <row r="318" customFormat="false" ht="15" hidden="false" customHeight="false" outlineLevel="0" collapsed="false">
      <c r="A318" s="25" t="str">
        <f aca="false">B318&amp;"|"&amp;C318</f>
        <v>USA|Psychology</v>
      </c>
      <c r="B318" s="13" t="s">
        <v>248</v>
      </c>
      <c r="C318" s="13" t="s">
        <v>476</v>
      </c>
      <c r="D318" s="31" t="n">
        <v>4</v>
      </c>
      <c r="E318" s="13" t="s">
        <v>458</v>
      </c>
    </row>
    <row r="319" customFormat="false" ht="15" hidden="false" customHeight="false" outlineLevel="0" collapsed="false">
      <c r="A319" s="25" t="str">
        <f aca="false">B319&amp;"|"&amp;C319</f>
        <v>USA|Environmental Science</v>
      </c>
      <c r="B319" s="13" t="s">
        <v>248</v>
      </c>
      <c r="C319" s="13" t="s">
        <v>477</v>
      </c>
      <c r="D319" s="31" t="n">
        <v>4</v>
      </c>
      <c r="E319" s="13" t="s">
        <v>458</v>
      </c>
    </row>
    <row r="320" customFormat="false" ht="15" hidden="false" customHeight="false" outlineLevel="0" collapsed="false">
      <c r="A320" s="25" t="str">
        <f aca="false">B320&amp;"|"&amp;C320</f>
        <v>UK|Medicine — MBBS/MD</v>
      </c>
      <c r="B320" s="13" t="s">
        <v>291</v>
      </c>
      <c r="C320" s="13" t="s">
        <v>44</v>
      </c>
      <c r="D320" s="31" t="n">
        <v>5</v>
      </c>
      <c r="E320" s="13" t="s">
        <v>456</v>
      </c>
    </row>
    <row r="321" customFormat="false" ht="15" hidden="false" customHeight="false" outlineLevel="0" collapsed="false">
      <c r="A321" s="25" t="str">
        <f aca="false">B321&amp;"|"&amp;C321</f>
        <v>UK|Dentistry</v>
      </c>
      <c r="B321" s="13" t="s">
        <v>291</v>
      </c>
      <c r="C321" s="13" t="s">
        <v>457</v>
      </c>
      <c r="D321" s="31" t="n">
        <v>5</v>
      </c>
      <c r="E321" s="13" t="s">
        <v>458</v>
      </c>
    </row>
    <row r="322" customFormat="false" ht="15" hidden="false" customHeight="false" outlineLevel="0" collapsed="false">
      <c r="A322" s="25" t="str">
        <f aca="false">B322&amp;"|"&amp;C322</f>
        <v>UK|Pharmacy</v>
      </c>
      <c r="B322" s="13" t="s">
        <v>291</v>
      </c>
      <c r="C322" s="13" t="s">
        <v>459</v>
      </c>
      <c r="D322" s="31" t="n">
        <v>4</v>
      </c>
      <c r="E322" s="13" t="s">
        <v>458</v>
      </c>
    </row>
    <row r="323" customFormat="false" ht="15" hidden="false" customHeight="false" outlineLevel="0" collapsed="false">
      <c r="A323" s="25" t="str">
        <f aca="false">B323&amp;"|"&amp;C323</f>
        <v>UK|Nursing</v>
      </c>
      <c r="B323" s="13" t="s">
        <v>291</v>
      </c>
      <c r="C323" s="13" t="s">
        <v>460</v>
      </c>
      <c r="D323" s="31" t="n">
        <v>3</v>
      </c>
      <c r="E323" s="13" t="s">
        <v>458</v>
      </c>
    </row>
    <row r="324" customFormat="false" ht="15" hidden="false" customHeight="false" outlineLevel="0" collapsed="false">
      <c r="A324" s="25" t="str">
        <f aca="false">B324&amp;"|"&amp;C324</f>
        <v>UK|Physiotherapy</v>
      </c>
      <c r="B324" s="13" t="s">
        <v>291</v>
      </c>
      <c r="C324" s="13" t="s">
        <v>461</v>
      </c>
      <c r="D324" s="31" t="n">
        <v>3</v>
      </c>
      <c r="E324" s="13" t="s">
        <v>458</v>
      </c>
    </row>
    <row r="325" customFormat="false" ht="15" hidden="false" customHeight="false" outlineLevel="0" collapsed="false">
      <c r="A325" s="25" t="str">
        <f aca="false">B325&amp;"|"&amp;C325</f>
        <v>UK|Civil Engineering</v>
      </c>
      <c r="B325" s="13" t="s">
        <v>291</v>
      </c>
      <c r="C325" s="13" t="s">
        <v>130</v>
      </c>
      <c r="D325" s="31" t="n">
        <v>3</v>
      </c>
      <c r="E325" s="13" t="s">
        <v>458</v>
      </c>
    </row>
    <row r="326" customFormat="false" ht="15" hidden="false" customHeight="false" outlineLevel="0" collapsed="false">
      <c r="A326" s="25" t="str">
        <f aca="false">B326&amp;"|"&amp;C326</f>
        <v>UK|Mechanical Engineering</v>
      </c>
      <c r="B326" s="13" t="s">
        <v>291</v>
      </c>
      <c r="C326" s="13" t="s">
        <v>111</v>
      </c>
      <c r="D326" s="31" t="n">
        <v>4</v>
      </c>
      <c r="E326" s="13" t="s">
        <v>456</v>
      </c>
    </row>
    <row r="327" customFormat="false" ht="15" hidden="false" customHeight="false" outlineLevel="0" collapsed="false">
      <c r="A327" s="25" t="str">
        <f aca="false">B327&amp;"|"&amp;C327</f>
        <v>UK|Electrical Engineering</v>
      </c>
      <c r="B327" s="13" t="s">
        <v>291</v>
      </c>
      <c r="C327" s="13" t="s">
        <v>128</v>
      </c>
      <c r="D327" s="31" t="n">
        <v>3</v>
      </c>
      <c r="E327" s="13" t="s">
        <v>458</v>
      </c>
    </row>
    <row r="328" customFormat="false" ht="15" hidden="false" customHeight="false" outlineLevel="0" collapsed="false">
      <c r="A328" s="25" t="str">
        <f aca="false">B328&amp;"|"&amp;C328</f>
        <v>UK|Chemical Engineering</v>
      </c>
      <c r="B328" s="13" t="s">
        <v>291</v>
      </c>
      <c r="C328" s="13" t="s">
        <v>462</v>
      </c>
      <c r="D328" s="31" t="n">
        <v>3</v>
      </c>
      <c r="E328" s="13" t="s">
        <v>458</v>
      </c>
    </row>
    <row r="329" customFormat="false" ht="15" hidden="false" customHeight="false" outlineLevel="0" collapsed="false">
      <c r="A329" s="25" t="str">
        <f aca="false">B329&amp;"|"&amp;C329</f>
        <v>UK|Computer Science</v>
      </c>
      <c r="B329" s="13" t="s">
        <v>291</v>
      </c>
      <c r="C329" s="13" t="s">
        <v>43</v>
      </c>
      <c r="D329" s="31" t="n">
        <v>3</v>
      </c>
      <c r="E329" s="13" t="s">
        <v>456</v>
      </c>
    </row>
    <row r="330" customFormat="false" ht="15" hidden="false" customHeight="false" outlineLevel="0" collapsed="false">
      <c r="A330" s="25" t="str">
        <f aca="false">B330&amp;"|"&amp;C330</f>
        <v>UK|Software Engineering</v>
      </c>
      <c r="B330" s="13" t="s">
        <v>291</v>
      </c>
      <c r="C330" s="13" t="s">
        <v>463</v>
      </c>
      <c r="D330" s="31" t="n">
        <v>3</v>
      </c>
      <c r="E330" s="13" t="s">
        <v>458</v>
      </c>
    </row>
    <row r="331" customFormat="false" ht="15" hidden="false" customHeight="false" outlineLevel="0" collapsed="false">
      <c r="A331" s="25" t="str">
        <f aca="false">B331&amp;"|"&amp;C331</f>
        <v>UK|Artificial Intelligence</v>
      </c>
      <c r="B331" s="13" t="s">
        <v>291</v>
      </c>
      <c r="C331" s="13" t="s">
        <v>464</v>
      </c>
      <c r="D331" s="31" t="n">
        <v>3</v>
      </c>
      <c r="E331" s="13" t="s">
        <v>458</v>
      </c>
    </row>
    <row r="332" customFormat="false" ht="15" hidden="false" customHeight="false" outlineLevel="0" collapsed="false">
      <c r="A332" s="25" t="str">
        <f aca="false">B332&amp;"|"&amp;C332</f>
        <v>UK|Data Science</v>
      </c>
      <c r="B332" s="13" t="s">
        <v>291</v>
      </c>
      <c r="C332" s="13" t="s">
        <v>465</v>
      </c>
      <c r="D332" s="31" t="n">
        <v>3</v>
      </c>
      <c r="E332" s="13" t="s">
        <v>458</v>
      </c>
    </row>
    <row r="333" customFormat="false" ht="15" hidden="false" customHeight="false" outlineLevel="0" collapsed="false">
      <c r="A333" s="25" t="str">
        <f aca="false">B333&amp;"|"&amp;C333</f>
        <v>UK|Cybersecurity</v>
      </c>
      <c r="B333" s="13" t="s">
        <v>291</v>
      </c>
      <c r="C333" s="13" t="s">
        <v>466</v>
      </c>
      <c r="D333" s="31" t="n">
        <v>3</v>
      </c>
      <c r="E333" s="13" t="s">
        <v>458</v>
      </c>
    </row>
    <row r="334" customFormat="false" ht="15" hidden="false" customHeight="false" outlineLevel="0" collapsed="false">
      <c r="A334" s="25" t="str">
        <f aca="false">B334&amp;"|"&amp;C334</f>
        <v>UK|Cloud Computing</v>
      </c>
      <c r="B334" s="13" t="s">
        <v>291</v>
      </c>
      <c r="C334" s="13" t="s">
        <v>467</v>
      </c>
      <c r="D334" s="31" t="n">
        <v>3</v>
      </c>
      <c r="E334" s="13" t="s">
        <v>458</v>
      </c>
    </row>
    <row r="335" customFormat="false" ht="15" hidden="false" customHeight="false" outlineLevel="0" collapsed="false">
      <c r="A335" s="25" t="str">
        <f aca="false">B335&amp;"|"&amp;C335</f>
        <v>UK|Biotechnology</v>
      </c>
      <c r="B335" s="13" t="s">
        <v>291</v>
      </c>
      <c r="C335" s="13" t="s">
        <v>468</v>
      </c>
      <c r="D335" s="31" t="n">
        <v>3</v>
      </c>
      <c r="E335" s="13" t="s">
        <v>458</v>
      </c>
    </row>
    <row r="336" customFormat="false" ht="15" hidden="false" customHeight="false" outlineLevel="0" collapsed="false">
      <c r="A336" s="25" t="str">
        <f aca="false">B336&amp;"|"&amp;C336</f>
        <v>UK|Business Administration</v>
      </c>
      <c r="B336" s="13" t="s">
        <v>291</v>
      </c>
      <c r="C336" s="13" t="s">
        <v>45</v>
      </c>
      <c r="D336" s="31" t="n">
        <v>3</v>
      </c>
      <c r="E336" s="13" t="s">
        <v>456</v>
      </c>
    </row>
    <row r="337" customFormat="false" ht="15" hidden="false" customHeight="false" outlineLevel="0" collapsed="false">
      <c r="A337" s="25" t="str">
        <f aca="false">B337&amp;"|"&amp;C337</f>
        <v>UK|Business Analytics</v>
      </c>
      <c r="B337" s="13" t="s">
        <v>291</v>
      </c>
      <c r="C337" s="13" t="s">
        <v>469</v>
      </c>
      <c r="D337" s="31" t="n">
        <v>3</v>
      </c>
      <c r="E337" s="13" t="s">
        <v>458</v>
      </c>
    </row>
    <row r="338" customFormat="false" ht="15" hidden="false" customHeight="false" outlineLevel="0" collapsed="false">
      <c r="A338" s="25" t="str">
        <f aca="false">B338&amp;"|"&amp;C338</f>
        <v>UK|Finance</v>
      </c>
      <c r="B338" s="13" t="s">
        <v>291</v>
      </c>
      <c r="C338" s="13" t="s">
        <v>470</v>
      </c>
      <c r="D338" s="31" t="n">
        <v>3</v>
      </c>
      <c r="E338" s="13" t="s">
        <v>458</v>
      </c>
    </row>
    <row r="339" customFormat="false" ht="15" hidden="false" customHeight="false" outlineLevel="0" collapsed="false">
      <c r="A339" s="25" t="str">
        <f aca="false">B339&amp;"|"&amp;C339</f>
        <v>UK|Accounting and Finance</v>
      </c>
      <c r="B339" s="13" t="s">
        <v>291</v>
      </c>
      <c r="C339" s="13" t="s">
        <v>46</v>
      </c>
      <c r="D339" s="31" t="n">
        <v>3</v>
      </c>
      <c r="E339" s="13" t="s">
        <v>456</v>
      </c>
    </row>
    <row r="340" customFormat="false" ht="15" hidden="false" customHeight="false" outlineLevel="0" collapsed="false">
      <c r="A340" s="25" t="str">
        <f aca="false">B340&amp;"|"&amp;C340</f>
        <v>UK|Economics</v>
      </c>
      <c r="B340" s="13" t="s">
        <v>291</v>
      </c>
      <c r="C340" s="13" t="s">
        <v>471</v>
      </c>
      <c r="D340" s="31" t="n">
        <v>3</v>
      </c>
      <c r="E340" s="13" t="s">
        <v>458</v>
      </c>
    </row>
    <row r="341" customFormat="false" ht="15" hidden="false" customHeight="false" outlineLevel="0" collapsed="false">
      <c r="A341" s="25" t="str">
        <f aca="false">B341&amp;"|"&amp;C341</f>
        <v>UK|Marketing</v>
      </c>
      <c r="B341" s="13" t="s">
        <v>291</v>
      </c>
      <c r="C341" s="13" t="s">
        <v>472</v>
      </c>
      <c r="D341" s="31" t="n">
        <v>3</v>
      </c>
      <c r="E341" s="13" t="s">
        <v>458</v>
      </c>
    </row>
    <row r="342" customFormat="false" ht="15" hidden="false" customHeight="false" outlineLevel="0" collapsed="false">
      <c r="A342" s="25" t="str">
        <f aca="false">B342&amp;"|"&amp;C342</f>
        <v>UK|Supply Chain Management</v>
      </c>
      <c r="B342" s="13" t="s">
        <v>291</v>
      </c>
      <c r="C342" s="13" t="s">
        <v>473</v>
      </c>
      <c r="D342" s="31" t="n">
        <v>3</v>
      </c>
      <c r="E342" s="13" t="s">
        <v>458</v>
      </c>
    </row>
    <row r="343" customFormat="false" ht="15" hidden="false" customHeight="false" outlineLevel="0" collapsed="false">
      <c r="A343" s="25" t="str">
        <f aca="false">B343&amp;"|"&amp;C343</f>
        <v>UK|Law</v>
      </c>
      <c r="B343" s="13" t="s">
        <v>291</v>
      </c>
      <c r="C343" s="13" t="s">
        <v>474</v>
      </c>
      <c r="D343" s="31" t="n">
        <v>3</v>
      </c>
      <c r="E343" s="13" t="s">
        <v>458</v>
      </c>
    </row>
    <row r="344" customFormat="false" ht="15" hidden="false" customHeight="false" outlineLevel="0" collapsed="false">
      <c r="A344" s="25" t="str">
        <f aca="false">B344&amp;"|"&amp;C344</f>
        <v>UK|Architecture</v>
      </c>
      <c r="B344" s="13" t="s">
        <v>291</v>
      </c>
      <c r="C344" s="13" t="s">
        <v>475</v>
      </c>
      <c r="D344" s="31" t="n">
        <v>3</v>
      </c>
      <c r="E344" s="13" t="s">
        <v>458</v>
      </c>
    </row>
    <row r="345" customFormat="false" ht="15" hidden="false" customHeight="false" outlineLevel="0" collapsed="false">
      <c r="A345" s="25" t="str">
        <f aca="false">B345&amp;"|"&amp;C345</f>
        <v>UK|Psychology</v>
      </c>
      <c r="B345" s="13" t="s">
        <v>291</v>
      </c>
      <c r="C345" s="13" t="s">
        <v>476</v>
      </c>
      <c r="D345" s="31" t="n">
        <v>3</v>
      </c>
      <c r="E345" s="13" t="s">
        <v>458</v>
      </c>
    </row>
    <row r="346" customFormat="false" ht="15" hidden="false" customHeight="false" outlineLevel="0" collapsed="false">
      <c r="A346" s="25" t="str">
        <f aca="false">B346&amp;"|"&amp;C346</f>
        <v>UK|Environmental Science</v>
      </c>
      <c r="B346" s="13" t="s">
        <v>291</v>
      </c>
      <c r="C346" s="13" t="s">
        <v>477</v>
      </c>
      <c r="D346" s="31" t="n">
        <v>3</v>
      </c>
      <c r="E346" s="13" t="s">
        <v>458</v>
      </c>
    </row>
    <row r="347" customFormat="false" ht="15" hidden="false" customHeight="false" outlineLevel="0" collapsed="false">
      <c r="A347" s="25" t="str">
        <f aca="false">B347&amp;"|"&amp;C347</f>
        <v>Australia|Medicine — MBBS/MD</v>
      </c>
      <c r="B347" s="13" t="s">
        <v>332</v>
      </c>
      <c r="C347" s="13" t="s">
        <v>44</v>
      </c>
      <c r="D347" s="31" t="n">
        <v>6</v>
      </c>
      <c r="E347" s="13" t="s">
        <v>456</v>
      </c>
    </row>
    <row r="348" customFormat="false" ht="15" hidden="false" customHeight="false" outlineLevel="0" collapsed="false">
      <c r="A348" s="25" t="str">
        <f aca="false">B348&amp;"|"&amp;C348</f>
        <v>Australia|Dentistry</v>
      </c>
      <c r="B348" s="13" t="s">
        <v>332</v>
      </c>
      <c r="C348" s="13" t="s">
        <v>457</v>
      </c>
      <c r="D348" s="31" t="n">
        <v>5</v>
      </c>
      <c r="E348" s="13" t="s">
        <v>458</v>
      </c>
    </row>
    <row r="349" customFormat="false" ht="15" hidden="false" customHeight="false" outlineLevel="0" collapsed="false">
      <c r="A349" s="25" t="str">
        <f aca="false">B349&amp;"|"&amp;C349</f>
        <v>Australia|Pharmacy</v>
      </c>
      <c r="B349" s="13" t="s">
        <v>332</v>
      </c>
      <c r="C349" s="13" t="s">
        <v>459</v>
      </c>
      <c r="D349" s="31" t="n">
        <v>3</v>
      </c>
      <c r="E349" s="13" t="s">
        <v>458</v>
      </c>
    </row>
    <row r="350" customFormat="false" ht="15" hidden="false" customHeight="false" outlineLevel="0" collapsed="false">
      <c r="A350" s="25" t="str">
        <f aca="false">B350&amp;"|"&amp;C350</f>
        <v>Australia|Nursing</v>
      </c>
      <c r="B350" s="13" t="s">
        <v>332</v>
      </c>
      <c r="C350" s="13" t="s">
        <v>460</v>
      </c>
      <c r="D350" s="31" t="n">
        <v>3</v>
      </c>
      <c r="E350" s="13" t="s">
        <v>458</v>
      </c>
    </row>
    <row r="351" customFormat="false" ht="15" hidden="false" customHeight="false" outlineLevel="0" collapsed="false">
      <c r="A351" s="25" t="str">
        <f aca="false">B351&amp;"|"&amp;C351</f>
        <v>Australia|Physiotherapy</v>
      </c>
      <c r="B351" s="13" t="s">
        <v>332</v>
      </c>
      <c r="C351" s="13" t="s">
        <v>461</v>
      </c>
      <c r="D351" s="31" t="n">
        <v>3</v>
      </c>
      <c r="E351" s="13" t="s">
        <v>458</v>
      </c>
    </row>
    <row r="352" customFormat="false" ht="15" hidden="false" customHeight="false" outlineLevel="0" collapsed="false">
      <c r="A352" s="25" t="str">
        <f aca="false">B352&amp;"|"&amp;C352</f>
        <v>Australia|Civil Engineering</v>
      </c>
      <c r="B352" s="13" t="s">
        <v>332</v>
      </c>
      <c r="C352" s="13" t="s">
        <v>130</v>
      </c>
      <c r="D352" s="31" t="n">
        <v>4</v>
      </c>
      <c r="E352" s="13" t="s">
        <v>458</v>
      </c>
    </row>
    <row r="353" customFormat="false" ht="15" hidden="false" customHeight="false" outlineLevel="0" collapsed="false">
      <c r="A353" s="25" t="str">
        <f aca="false">B353&amp;"|"&amp;C353</f>
        <v>Australia|Mechanical Engineering</v>
      </c>
      <c r="B353" s="13" t="s">
        <v>332</v>
      </c>
      <c r="C353" s="13" t="s">
        <v>111</v>
      </c>
      <c r="D353" s="31" t="n">
        <v>4</v>
      </c>
      <c r="E353" s="13" t="s">
        <v>456</v>
      </c>
    </row>
    <row r="354" customFormat="false" ht="15" hidden="false" customHeight="false" outlineLevel="0" collapsed="false">
      <c r="A354" s="25" t="str">
        <f aca="false">B354&amp;"|"&amp;C354</f>
        <v>Australia|Electrical Engineering</v>
      </c>
      <c r="B354" s="13" t="s">
        <v>332</v>
      </c>
      <c r="C354" s="13" t="s">
        <v>128</v>
      </c>
      <c r="D354" s="31" t="n">
        <v>4</v>
      </c>
      <c r="E354" s="13" t="s">
        <v>458</v>
      </c>
    </row>
    <row r="355" customFormat="false" ht="15" hidden="false" customHeight="false" outlineLevel="0" collapsed="false">
      <c r="A355" s="25" t="str">
        <f aca="false">B355&amp;"|"&amp;C355</f>
        <v>Australia|Chemical Engineering</v>
      </c>
      <c r="B355" s="13" t="s">
        <v>332</v>
      </c>
      <c r="C355" s="13" t="s">
        <v>462</v>
      </c>
      <c r="D355" s="31" t="n">
        <v>4</v>
      </c>
      <c r="E355" s="13" t="s">
        <v>458</v>
      </c>
    </row>
    <row r="356" customFormat="false" ht="15" hidden="false" customHeight="false" outlineLevel="0" collapsed="false">
      <c r="A356" s="25" t="str">
        <f aca="false">B356&amp;"|"&amp;C356</f>
        <v>Australia|Computer Science</v>
      </c>
      <c r="B356" s="13" t="s">
        <v>332</v>
      </c>
      <c r="C356" s="13" t="s">
        <v>43</v>
      </c>
      <c r="D356" s="31" t="n">
        <v>3</v>
      </c>
      <c r="E356" s="13" t="s">
        <v>456</v>
      </c>
    </row>
    <row r="357" customFormat="false" ht="15" hidden="false" customHeight="false" outlineLevel="0" collapsed="false">
      <c r="A357" s="25" t="str">
        <f aca="false">B357&amp;"|"&amp;C357</f>
        <v>Australia|Software Engineering</v>
      </c>
      <c r="B357" s="13" t="s">
        <v>332</v>
      </c>
      <c r="C357" s="13" t="s">
        <v>463</v>
      </c>
      <c r="D357" s="31" t="n">
        <v>3</v>
      </c>
      <c r="E357" s="13" t="s">
        <v>458</v>
      </c>
    </row>
    <row r="358" customFormat="false" ht="15" hidden="false" customHeight="false" outlineLevel="0" collapsed="false">
      <c r="A358" s="25" t="str">
        <f aca="false">B358&amp;"|"&amp;C358</f>
        <v>Australia|Artificial Intelligence</v>
      </c>
      <c r="B358" s="13" t="s">
        <v>332</v>
      </c>
      <c r="C358" s="13" t="s">
        <v>464</v>
      </c>
      <c r="D358" s="31" t="n">
        <v>3</v>
      </c>
      <c r="E358" s="13" t="s">
        <v>458</v>
      </c>
    </row>
    <row r="359" customFormat="false" ht="15" hidden="false" customHeight="false" outlineLevel="0" collapsed="false">
      <c r="A359" s="25" t="str">
        <f aca="false">B359&amp;"|"&amp;C359</f>
        <v>Australia|Data Science</v>
      </c>
      <c r="B359" s="13" t="s">
        <v>332</v>
      </c>
      <c r="C359" s="13" t="s">
        <v>465</v>
      </c>
      <c r="D359" s="31" t="n">
        <v>3</v>
      </c>
      <c r="E359" s="13" t="s">
        <v>458</v>
      </c>
    </row>
    <row r="360" customFormat="false" ht="15" hidden="false" customHeight="false" outlineLevel="0" collapsed="false">
      <c r="A360" s="25" t="str">
        <f aca="false">B360&amp;"|"&amp;C360</f>
        <v>Australia|Cybersecurity</v>
      </c>
      <c r="B360" s="13" t="s">
        <v>332</v>
      </c>
      <c r="C360" s="13" t="s">
        <v>466</v>
      </c>
      <c r="D360" s="31" t="n">
        <v>3</v>
      </c>
      <c r="E360" s="13" t="s">
        <v>458</v>
      </c>
    </row>
    <row r="361" customFormat="false" ht="15" hidden="false" customHeight="false" outlineLevel="0" collapsed="false">
      <c r="A361" s="25" t="str">
        <f aca="false">B361&amp;"|"&amp;C361</f>
        <v>Australia|Cloud Computing</v>
      </c>
      <c r="B361" s="13" t="s">
        <v>332</v>
      </c>
      <c r="C361" s="13" t="s">
        <v>467</v>
      </c>
      <c r="D361" s="31" t="n">
        <v>3</v>
      </c>
      <c r="E361" s="13" t="s">
        <v>458</v>
      </c>
    </row>
    <row r="362" customFormat="false" ht="15" hidden="false" customHeight="false" outlineLevel="0" collapsed="false">
      <c r="A362" s="25" t="str">
        <f aca="false">B362&amp;"|"&amp;C362</f>
        <v>Australia|Biotechnology</v>
      </c>
      <c r="B362" s="13" t="s">
        <v>332</v>
      </c>
      <c r="C362" s="13" t="s">
        <v>468</v>
      </c>
      <c r="D362" s="31" t="n">
        <v>3</v>
      </c>
      <c r="E362" s="13" t="s">
        <v>458</v>
      </c>
    </row>
    <row r="363" customFormat="false" ht="15" hidden="false" customHeight="false" outlineLevel="0" collapsed="false">
      <c r="A363" s="25" t="str">
        <f aca="false">B363&amp;"|"&amp;C363</f>
        <v>Australia|Business Administration</v>
      </c>
      <c r="B363" s="13" t="s">
        <v>332</v>
      </c>
      <c r="C363" s="13" t="s">
        <v>45</v>
      </c>
      <c r="D363" s="31" t="n">
        <v>3</v>
      </c>
      <c r="E363" s="13" t="s">
        <v>456</v>
      </c>
    </row>
    <row r="364" customFormat="false" ht="15" hidden="false" customHeight="false" outlineLevel="0" collapsed="false">
      <c r="A364" s="25" t="str">
        <f aca="false">B364&amp;"|"&amp;C364</f>
        <v>Australia|Business Analytics</v>
      </c>
      <c r="B364" s="13" t="s">
        <v>332</v>
      </c>
      <c r="C364" s="13" t="s">
        <v>469</v>
      </c>
      <c r="D364" s="31" t="n">
        <v>3</v>
      </c>
      <c r="E364" s="13" t="s">
        <v>458</v>
      </c>
    </row>
    <row r="365" customFormat="false" ht="15" hidden="false" customHeight="false" outlineLevel="0" collapsed="false">
      <c r="A365" s="25" t="str">
        <f aca="false">B365&amp;"|"&amp;C365</f>
        <v>Australia|Finance</v>
      </c>
      <c r="B365" s="13" t="s">
        <v>332</v>
      </c>
      <c r="C365" s="13" t="s">
        <v>470</v>
      </c>
      <c r="D365" s="31" t="n">
        <v>3</v>
      </c>
      <c r="E365" s="13" t="s">
        <v>458</v>
      </c>
    </row>
    <row r="366" customFormat="false" ht="15" hidden="false" customHeight="false" outlineLevel="0" collapsed="false">
      <c r="A366" s="25" t="str">
        <f aca="false">B366&amp;"|"&amp;C366</f>
        <v>Australia|Accounting and Finance</v>
      </c>
      <c r="B366" s="13" t="s">
        <v>332</v>
      </c>
      <c r="C366" s="13" t="s">
        <v>46</v>
      </c>
      <c r="D366" s="31" t="n">
        <v>3</v>
      </c>
      <c r="E366" s="13" t="s">
        <v>456</v>
      </c>
    </row>
    <row r="367" customFormat="false" ht="15" hidden="false" customHeight="false" outlineLevel="0" collapsed="false">
      <c r="A367" s="25" t="str">
        <f aca="false">B367&amp;"|"&amp;C367</f>
        <v>Australia|Economics</v>
      </c>
      <c r="B367" s="13" t="s">
        <v>332</v>
      </c>
      <c r="C367" s="13" t="s">
        <v>471</v>
      </c>
      <c r="D367" s="31" t="n">
        <v>3</v>
      </c>
      <c r="E367" s="13" t="s">
        <v>458</v>
      </c>
    </row>
    <row r="368" customFormat="false" ht="15" hidden="false" customHeight="false" outlineLevel="0" collapsed="false">
      <c r="A368" s="25" t="str">
        <f aca="false">B368&amp;"|"&amp;C368</f>
        <v>Australia|Marketing</v>
      </c>
      <c r="B368" s="13" t="s">
        <v>332</v>
      </c>
      <c r="C368" s="13" t="s">
        <v>472</v>
      </c>
      <c r="D368" s="31" t="n">
        <v>3</v>
      </c>
      <c r="E368" s="13" t="s">
        <v>458</v>
      </c>
    </row>
    <row r="369" customFormat="false" ht="15" hidden="false" customHeight="false" outlineLevel="0" collapsed="false">
      <c r="A369" s="25" t="str">
        <f aca="false">B369&amp;"|"&amp;C369</f>
        <v>Australia|Supply Chain Management</v>
      </c>
      <c r="B369" s="13" t="s">
        <v>332</v>
      </c>
      <c r="C369" s="13" t="s">
        <v>473</v>
      </c>
      <c r="D369" s="31" t="n">
        <v>3</v>
      </c>
      <c r="E369" s="13" t="s">
        <v>458</v>
      </c>
    </row>
    <row r="370" customFormat="false" ht="15" hidden="false" customHeight="false" outlineLevel="0" collapsed="false">
      <c r="A370" s="25" t="str">
        <f aca="false">B370&amp;"|"&amp;C370</f>
        <v>Australia|Law</v>
      </c>
      <c r="B370" s="13" t="s">
        <v>332</v>
      </c>
      <c r="C370" s="13" t="s">
        <v>474</v>
      </c>
      <c r="D370" s="31" t="n">
        <v>3</v>
      </c>
      <c r="E370" s="13" t="s">
        <v>458</v>
      </c>
    </row>
    <row r="371" customFormat="false" ht="15" hidden="false" customHeight="false" outlineLevel="0" collapsed="false">
      <c r="A371" s="25" t="str">
        <f aca="false">B371&amp;"|"&amp;C371</f>
        <v>Australia|Architecture</v>
      </c>
      <c r="B371" s="13" t="s">
        <v>332</v>
      </c>
      <c r="C371" s="13" t="s">
        <v>475</v>
      </c>
      <c r="D371" s="31" t="n">
        <v>3</v>
      </c>
      <c r="E371" s="13" t="s">
        <v>458</v>
      </c>
    </row>
    <row r="372" customFormat="false" ht="15" hidden="false" customHeight="false" outlineLevel="0" collapsed="false">
      <c r="A372" s="25" t="str">
        <f aca="false">B372&amp;"|"&amp;C372</f>
        <v>Australia|Psychology</v>
      </c>
      <c r="B372" s="13" t="s">
        <v>332</v>
      </c>
      <c r="C372" s="13" t="s">
        <v>476</v>
      </c>
      <c r="D372" s="31" t="n">
        <v>3</v>
      </c>
      <c r="E372" s="13" t="s">
        <v>458</v>
      </c>
    </row>
    <row r="373" customFormat="false" ht="15" hidden="false" customHeight="false" outlineLevel="0" collapsed="false">
      <c r="A373" s="25" t="str">
        <f aca="false">B373&amp;"|"&amp;C373</f>
        <v>Australia|Environmental Science</v>
      </c>
      <c r="B373" s="13" t="s">
        <v>332</v>
      </c>
      <c r="C373" s="13" t="s">
        <v>477</v>
      </c>
      <c r="D373" s="31" t="n">
        <v>3</v>
      </c>
      <c r="E373" s="13" t="s">
        <v>458</v>
      </c>
    </row>
    <row r="374" customFormat="false" ht="15" hidden="false" customHeight="false" outlineLevel="0" collapsed="false">
      <c r="A374" s="25" t="str">
        <f aca="false">B374&amp;"|"&amp;C374</f>
        <v>Germany|Medicine — MBBS/MD</v>
      </c>
      <c r="B374" s="13" t="s">
        <v>361</v>
      </c>
      <c r="C374" s="13" t="s">
        <v>44</v>
      </c>
      <c r="D374" s="31" t="n">
        <v>6</v>
      </c>
      <c r="E374" s="13" t="s">
        <v>456</v>
      </c>
    </row>
    <row r="375" customFormat="false" ht="15" hidden="false" customHeight="false" outlineLevel="0" collapsed="false">
      <c r="A375" s="25" t="str">
        <f aca="false">B375&amp;"|"&amp;C375</f>
        <v>Germany|Dentistry</v>
      </c>
      <c r="B375" s="13" t="s">
        <v>361</v>
      </c>
      <c r="C375" s="13" t="s">
        <v>457</v>
      </c>
      <c r="D375" s="31" t="n">
        <v>5</v>
      </c>
      <c r="E375" s="13" t="s">
        <v>458</v>
      </c>
    </row>
    <row r="376" customFormat="false" ht="15" hidden="false" customHeight="false" outlineLevel="0" collapsed="false">
      <c r="A376" s="25" t="str">
        <f aca="false">B376&amp;"|"&amp;C376</f>
        <v>Germany|Pharmacy</v>
      </c>
      <c r="B376" s="13" t="s">
        <v>361</v>
      </c>
      <c r="C376" s="13" t="s">
        <v>459</v>
      </c>
      <c r="D376" s="31" t="n">
        <v>4</v>
      </c>
      <c r="E376" s="13" t="s">
        <v>458</v>
      </c>
    </row>
    <row r="377" customFormat="false" ht="15" hidden="false" customHeight="false" outlineLevel="0" collapsed="false">
      <c r="A377" s="25" t="str">
        <f aca="false">B377&amp;"|"&amp;C377</f>
        <v>Germany|Nursing</v>
      </c>
      <c r="B377" s="13" t="s">
        <v>361</v>
      </c>
      <c r="C377" s="13" t="s">
        <v>460</v>
      </c>
      <c r="D377" s="31" t="n">
        <v>3</v>
      </c>
      <c r="E377" s="13" t="s">
        <v>458</v>
      </c>
    </row>
    <row r="378" customFormat="false" ht="15" hidden="false" customHeight="false" outlineLevel="0" collapsed="false">
      <c r="A378" s="25" t="str">
        <f aca="false">B378&amp;"|"&amp;C378</f>
        <v>Germany|Physiotherapy</v>
      </c>
      <c r="B378" s="13" t="s">
        <v>361</v>
      </c>
      <c r="C378" s="13" t="s">
        <v>461</v>
      </c>
      <c r="D378" s="31" t="n">
        <v>3</v>
      </c>
      <c r="E378" s="13" t="s">
        <v>458</v>
      </c>
    </row>
    <row r="379" customFormat="false" ht="15" hidden="false" customHeight="false" outlineLevel="0" collapsed="false">
      <c r="A379" s="25" t="str">
        <f aca="false">B379&amp;"|"&amp;C379</f>
        <v>Germany|Civil Engineering</v>
      </c>
      <c r="B379" s="13" t="s">
        <v>361</v>
      </c>
      <c r="C379" s="13" t="s">
        <v>130</v>
      </c>
      <c r="D379" s="31" t="n">
        <v>3</v>
      </c>
      <c r="E379" s="13" t="s">
        <v>458</v>
      </c>
    </row>
    <row r="380" customFormat="false" ht="15" hidden="false" customHeight="false" outlineLevel="0" collapsed="false">
      <c r="A380" s="25" t="str">
        <f aca="false">B380&amp;"|"&amp;C380</f>
        <v>Germany|Mechanical Engineering</v>
      </c>
      <c r="B380" s="13" t="s">
        <v>361</v>
      </c>
      <c r="C380" s="13" t="s">
        <v>111</v>
      </c>
      <c r="D380" s="31" t="n">
        <v>3</v>
      </c>
      <c r="E380" s="13" t="s">
        <v>456</v>
      </c>
    </row>
    <row r="381" customFormat="false" ht="15" hidden="false" customHeight="false" outlineLevel="0" collapsed="false">
      <c r="A381" s="25" t="str">
        <f aca="false">B381&amp;"|"&amp;C381</f>
        <v>Germany|Electrical Engineering</v>
      </c>
      <c r="B381" s="13" t="s">
        <v>361</v>
      </c>
      <c r="C381" s="13" t="s">
        <v>128</v>
      </c>
      <c r="D381" s="31" t="n">
        <v>3</v>
      </c>
      <c r="E381" s="13" t="s">
        <v>458</v>
      </c>
    </row>
    <row r="382" customFormat="false" ht="15" hidden="false" customHeight="false" outlineLevel="0" collapsed="false">
      <c r="A382" s="25" t="str">
        <f aca="false">B382&amp;"|"&amp;C382</f>
        <v>Germany|Chemical Engineering</v>
      </c>
      <c r="B382" s="13" t="s">
        <v>361</v>
      </c>
      <c r="C382" s="13" t="s">
        <v>462</v>
      </c>
      <c r="D382" s="31" t="n">
        <v>3</v>
      </c>
      <c r="E382" s="13" t="s">
        <v>458</v>
      </c>
    </row>
    <row r="383" customFormat="false" ht="15" hidden="false" customHeight="false" outlineLevel="0" collapsed="false">
      <c r="A383" s="25" t="str">
        <f aca="false">B383&amp;"|"&amp;C383</f>
        <v>Germany|Computer Science</v>
      </c>
      <c r="B383" s="13" t="s">
        <v>361</v>
      </c>
      <c r="C383" s="13" t="s">
        <v>43</v>
      </c>
      <c r="D383" s="31" t="n">
        <v>3</v>
      </c>
      <c r="E383" s="13" t="s">
        <v>456</v>
      </c>
    </row>
    <row r="384" customFormat="false" ht="15" hidden="false" customHeight="false" outlineLevel="0" collapsed="false">
      <c r="A384" s="25" t="str">
        <f aca="false">B384&amp;"|"&amp;C384</f>
        <v>Germany|Software Engineering</v>
      </c>
      <c r="B384" s="13" t="s">
        <v>361</v>
      </c>
      <c r="C384" s="13" t="s">
        <v>463</v>
      </c>
      <c r="D384" s="31" t="n">
        <v>3</v>
      </c>
      <c r="E384" s="13" t="s">
        <v>458</v>
      </c>
    </row>
    <row r="385" customFormat="false" ht="15" hidden="false" customHeight="false" outlineLevel="0" collapsed="false">
      <c r="A385" s="25" t="str">
        <f aca="false">B385&amp;"|"&amp;C385</f>
        <v>Germany|Artificial Intelligence</v>
      </c>
      <c r="B385" s="13" t="s">
        <v>361</v>
      </c>
      <c r="C385" s="13" t="s">
        <v>464</v>
      </c>
      <c r="D385" s="31" t="n">
        <v>3</v>
      </c>
      <c r="E385" s="13" t="s">
        <v>458</v>
      </c>
    </row>
    <row r="386" customFormat="false" ht="15" hidden="false" customHeight="false" outlineLevel="0" collapsed="false">
      <c r="A386" s="25" t="str">
        <f aca="false">B386&amp;"|"&amp;C386</f>
        <v>Germany|Data Science</v>
      </c>
      <c r="B386" s="13" t="s">
        <v>361</v>
      </c>
      <c r="C386" s="13" t="s">
        <v>465</v>
      </c>
      <c r="D386" s="31" t="n">
        <v>3</v>
      </c>
      <c r="E386" s="13" t="s">
        <v>458</v>
      </c>
    </row>
    <row r="387" customFormat="false" ht="15" hidden="false" customHeight="false" outlineLevel="0" collapsed="false">
      <c r="A387" s="25" t="str">
        <f aca="false">B387&amp;"|"&amp;C387</f>
        <v>Germany|Cybersecurity</v>
      </c>
      <c r="B387" s="13" t="s">
        <v>361</v>
      </c>
      <c r="C387" s="13" t="s">
        <v>466</v>
      </c>
      <c r="D387" s="31" t="n">
        <v>3</v>
      </c>
      <c r="E387" s="13" t="s">
        <v>458</v>
      </c>
    </row>
    <row r="388" customFormat="false" ht="15" hidden="false" customHeight="false" outlineLevel="0" collapsed="false">
      <c r="A388" s="25" t="str">
        <f aca="false">B388&amp;"|"&amp;C388</f>
        <v>Germany|Cloud Computing</v>
      </c>
      <c r="B388" s="13" t="s">
        <v>361</v>
      </c>
      <c r="C388" s="13" t="s">
        <v>467</v>
      </c>
      <c r="D388" s="31" t="n">
        <v>3</v>
      </c>
      <c r="E388" s="13" t="s">
        <v>458</v>
      </c>
    </row>
    <row r="389" customFormat="false" ht="15" hidden="false" customHeight="false" outlineLevel="0" collapsed="false">
      <c r="A389" s="25" t="str">
        <f aca="false">B389&amp;"|"&amp;C389</f>
        <v>Germany|Biotechnology</v>
      </c>
      <c r="B389" s="13" t="s">
        <v>361</v>
      </c>
      <c r="C389" s="13" t="s">
        <v>468</v>
      </c>
      <c r="D389" s="31" t="n">
        <v>3</v>
      </c>
      <c r="E389" s="13" t="s">
        <v>458</v>
      </c>
    </row>
    <row r="390" customFormat="false" ht="15" hidden="false" customHeight="false" outlineLevel="0" collapsed="false">
      <c r="A390" s="25" t="str">
        <f aca="false">B390&amp;"|"&amp;C390</f>
        <v>Germany|Business Administration</v>
      </c>
      <c r="B390" s="13" t="s">
        <v>361</v>
      </c>
      <c r="C390" s="13" t="s">
        <v>45</v>
      </c>
      <c r="D390" s="31" t="n">
        <v>3</v>
      </c>
      <c r="E390" s="13" t="s">
        <v>456</v>
      </c>
    </row>
    <row r="391" customFormat="false" ht="15" hidden="false" customHeight="false" outlineLevel="0" collapsed="false">
      <c r="A391" s="25" t="str">
        <f aca="false">B391&amp;"|"&amp;C391</f>
        <v>Germany|Business Analytics</v>
      </c>
      <c r="B391" s="13" t="s">
        <v>361</v>
      </c>
      <c r="C391" s="13" t="s">
        <v>469</v>
      </c>
      <c r="D391" s="31" t="n">
        <v>3</v>
      </c>
      <c r="E391" s="13" t="s">
        <v>458</v>
      </c>
    </row>
    <row r="392" customFormat="false" ht="15" hidden="false" customHeight="false" outlineLevel="0" collapsed="false">
      <c r="A392" s="25" t="str">
        <f aca="false">B392&amp;"|"&amp;C392</f>
        <v>Germany|Finance</v>
      </c>
      <c r="B392" s="13" t="s">
        <v>361</v>
      </c>
      <c r="C392" s="13" t="s">
        <v>470</v>
      </c>
      <c r="D392" s="31" t="n">
        <v>3</v>
      </c>
      <c r="E392" s="13" t="s">
        <v>458</v>
      </c>
    </row>
    <row r="393" customFormat="false" ht="15" hidden="false" customHeight="false" outlineLevel="0" collapsed="false">
      <c r="A393" s="25" t="str">
        <f aca="false">B393&amp;"|"&amp;C393</f>
        <v>Germany|Accounting and Finance</v>
      </c>
      <c r="B393" s="13" t="s">
        <v>361</v>
      </c>
      <c r="C393" s="13" t="s">
        <v>46</v>
      </c>
      <c r="D393" s="31" t="n">
        <v>3</v>
      </c>
      <c r="E393" s="13" t="s">
        <v>458</v>
      </c>
    </row>
    <row r="394" customFormat="false" ht="15" hidden="false" customHeight="false" outlineLevel="0" collapsed="false">
      <c r="A394" s="25" t="str">
        <f aca="false">B394&amp;"|"&amp;C394</f>
        <v>Germany|Economics</v>
      </c>
      <c r="B394" s="13" t="s">
        <v>361</v>
      </c>
      <c r="C394" s="13" t="s">
        <v>471</v>
      </c>
      <c r="D394" s="31" t="n">
        <v>3</v>
      </c>
      <c r="E394" s="13" t="s">
        <v>458</v>
      </c>
    </row>
    <row r="395" customFormat="false" ht="15" hidden="false" customHeight="false" outlineLevel="0" collapsed="false">
      <c r="A395" s="25" t="str">
        <f aca="false">B395&amp;"|"&amp;C395</f>
        <v>Germany|Marketing</v>
      </c>
      <c r="B395" s="13" t="s">
        <v>361</v>
      </c>
      <c r="C395" s="13" t="s">
        <v>472</v>
      </c>
      <c r="D395" s="31" t="n">
        <v>3</v>
      </c>
      <c r="E395" s="13" t="s">
        <v>458</v>
      </c>
    </row>
    <row r="396" customFormat="false" ht="15" hidden="false" customHeight="false" outlineLevel="0" collapsed="false">
      <c r="A396" s="25" t="str">
        <f aca="false">B396&amp;"|"&amp;C396</f>
        <v>Germany|Supply Chain Management</v>
      </c>
      <c r="B396" s="13" t="s">
        <v>361</v>
      </c>
      <c r="C396" s="13" t="s">
        <v>473</v>
      </c>
      <c r="D396" s="31" t="n">
        <v>3</v>
      </c>
      <c r="E396" s="13" t="s">
        <v>458</v>
      </c>
    </row>
    <row r="397" customFormat="false" ht="15" hidden="false" customHeight="false" outlineLevel="0" collapsed="false">
      <c r="A397" s="25" t="str">
        <f aca="false">B397&amp;"|"&amp;C397</f>
        <v>Germany|Law</v>
      </c>
      <c r="B397" s="13" t="s">
        <v>361</v>
      </c>
      <c r="C397" s="13" t="s">
        <v>474</v>
      </c>
      <c r="D397" s="31" t="n">
        <v>5</v>
      </c>
      <c r="E397" s="13" t="s">
        <v>458</v>
      </c>
    </row>
    <row r="398" customFormat="false" ht="15" hidden="false" customHeight="false" outlineLevel="0" collapsed="false">
      <c r="A398" s="25" t="str">
        <f aca="false">B398&amp;"|"&amp;C398</f>
        <v>Germany|Architecture</v>
      </c>
      <c r="B398" s="13" t="s">
        <v>361</v>
      </c>
      <c r="C398" s="13" t="s">
        <v>475</v>
      </c>
      <c r="D398" s="31" t="n">
        <v>3</v>
      </c>
      <c r="E398" s="13" t="s">
        <v>458</v>
      </c>
    </row>
    <row r="399" customFormat="false" ht="15" hidden="false" customHeight="false" outlineLevel="0" collapsed="false">
      <c r="A399" s="25" t="str">
        <f aca="false">B399&amp;"|"&amp;C399</f>
        <v>Germany|Psychology</v>
      </c>
      <c r="B399" s="13" t="s">
        <v>361</v>
      </c>
      <c r="C399" s="13" t="s">
        <v>476</v>
      </c>
      <c r="D399" s="31" t="n">
        <v>3</v>
      </c>
      <c r="E399" s="13" t="s">
        <v>458</v>
      </c>
    </row>
    <row r="400" customFormat="false" ht="15" hidden="false" customHeight="false" outlineLevel="0" collapsed="false">
      <c r="A400" s="25" t="str">
        <f aca="false">B400&amp;"|"&amp;C400</f>
        <v>Germany|Environmental Science</v>
      </c>
      <c r="B400" s="13" t="s">
        <v>361</v>
      </c>
      <c r="C400" s="13" t="s">
        <v>477</v>
      </c>
      <c r="D400" s="31" t="n">
        <v>3</v>
      </c>
      <c r="E400" s="13" t="s">
        <v>458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6"/>
    <col collapsed="false" customWidth="true" hidden="false" outlineLevel="0" max="4" min="4" style="0" width="30"/>
    <col collapsed="false" customWidth="true" hidden="false" outlineLevel="0" max="7" min="5" style="0" width="14"/>
    <col collapsed="false" customWidth="true" hidden="false" outlineLevel="0" max="8" min="8" style="0" width="60"/>
    <col collapsed="false" customWidth="true" hidden="false" outlineLevel="0" max="15" min="10" style="0" width="26"/>
  </cols>
  <sheetData>
    <row r="1" customFormat="false" ht="19.7" hidden="false" customHeight="false" outlineLevel="0" collapsed="false">
      <c r="A1" s="1" t="s">
        <v>478</v>
      </c>
    </row>
    <row r="2" customFormat="false" ht="15" hidden="false" customHeight="false" outlineLevel="0" collapsed="false">
      <c r="A2" s="15" t="s">
        <v>479</v>
      </c>
    </row>
    <row r="4" customFormat="false" ht="15" hidden="false" customHeight="false" outlineLevel="0" collapsed="false">
      <c r="A4" s="6" t="s">
        <v>480</v>
      </c>
      <c r="J4" s="3" t="s">
        <v>481</v>
      </c>
      <c r="K4" s="3" t="s">
        <v>482</v>
      </c>
      <c r="L4" s="3" t="s">
        <v>483</v>
      </c>
      <c r="M4" s="3" t="s">
        <v>484</v>
      </c>
      <c r="N4" s="3" t="s">
        <v>485</v>
      </c>
      <c r="O4" s="3" t="s">
        <v>486</v>
      </c>
    </row>
    <row r="5" customFormat="false" ht="15" hidden="false" customHeight="false" outlineLevel="0" collapsed="false">
      <c r="A5" s="13" t="s">
        <v>487</v>
      </c>
      <c r="B5" s="8" t="n">
        <v>2026</v>
      </c>
      <c r="D5" s="15" t="s">
        <v>488</v>
      </c>
      <c r="J5" s="32" t="s">
        <v>14</v>
      </c>
      <c r="K5" s="32" t="s">
        <v>118</v>
      </c>
      <c r="L5" s="32" t="s">
        <v>44</v>
      </c>
      <c r="M5" s="32" t="s">
        <v>201</v>
      </c>
      <c r="N5" s="32" t="s">
        <v>51</v>
      </c>
      <c r="O5" s="32" t="s">
        <v>24</v>
      </c>
    </row>
    <row r="6" customFormat="false" ht="15" hidden="false" customHeight="false" outlineLevel="0" collapsed="false">
      <c r="A6" s="13" t="s">
        <v>489</v>
      </c>
      <c r="B6" s="8" t="n">
        <v>18</v>
      </c>
      <c r="D6" s="15"/>
      <c r="J6" s="32" t="s">
        <v>198</v>
      </c>
      <c r="K6" s="32" t="s">
        <v>202</v>
      </c>
      <c r="L6" s="32" t="s">
        <v>457</v>
      </c>
      <c r="M6" s="32" t="s">
        <v>138</v>
      </c>
      <c r="N6" s="32" t="s">
        <v>175</v>
      </c>
      <c r="O6" s="32" t="s">
        <v>490</v>
      </c>
    </row>
    <row r="7" customFormat="false" ht="15" hidden="false" customHeight="false" outlineLevel="0" collapsed="false">
      <c r="A7" s="13" t="s">
        <v>491</v>
      </c>
      <c r="B7" s="11" t="n">
        <v>0.05</v>
      </c>
      <c r="D7" s="15" t="s">
        <v>492</v>
      </c>
      <c r="J7" s="32" t="s">
        <v>248</v>
      </c>
      <c r="K7" s="32" t="s">
        <v>139</v>
      </c>
      <c r="L7" s="32" t="s">
        <v>459</v>
      </c>
      <c r="M7" s="32" t="s">
        <v>364</v>
      </c>
      <c r="N7" s="32" t="s">
        <v>267</v>
      </c>
    </row>
    <row r="8" customFormat="false" ht="15" hidden="false" customHeight="false" outlineLevel="0" collapsed="false">
      <c r="A8" s="13" t="s">
        <v>493</v>
      </c>
      <c r="B8" s="11" t="n">
        <v>0.05</v>
      </c>
      <c r="D8" s="15" t="s">
        <v>494</v>
      </c>
      <c r="J8" s="32" t="s">
        <v>291</v>
      </c>
      <c r="K8" s="32" t="s">
        <v>294</v>
      </c>
      <c r="L8" s="32" t="s">
        <v>460</v>
      </c>
      <c r="M8" s="32" t="s">
        <v>277</v>
      </c>
      <c r="N8" s="32" t="s">
        <v>243</v>
      </c>
    </row>
    <row r="9" customFormat="false" ht="15" hidden="false" customHeight="false" outlineLevel="0" collapsed="false">
      <c r="A9" s="13" t="s">
        <v>495</v>
      </c>
      <c r="B9" s="11" t="n">
        <v>0</v>
      </c>
      <c r="D9" s="15" t="s">
        <v>496</v>
      </c>
      <c r="J9" s="32" t="s">
        <v>332</v>
      </c>
      <c r="K9" s="32" t="s">
        <v>336</v>
      </c>
      <c r="L9" s="32" t="s">
        <v>461</v>
      </c>
      <c r="M9" s="32" t="s">
        <v>115</v>
      </c>
      <c r="N9" s="32" t="s">
        <v>234</v>
      </c>
    </row>
    <row r="10" customFormat="false" ht="15" hidden="false" customHeight="false" outlineLevel="0" collapsed="false">
      <c r="A10" s="13" t="s">
        <v>497</v>
      </c>
      <c r="B10" s="11" t="n">
        <v>0.03</v>
      </c>
      <c r="D10" s="15" t="s">
        <v>498</v>
      </c>
      <c r="J10" s="32" t="s">
        <v>361</v>
      </c>
      <c r="K10" s="32" t="s">
        <v>365</v>
      </c>
      <c r="L10" s="32" t="s">
        <v>130</v>
      </c>
      <c r="M10" s="32" t="s">
        <v>299</v>
      </c>
      <c r="N10" s="32" t="s">
        <v>380</v>
      </c>
    </row>
    <row r="11" customFormat="false" ht="15" hidden="false" customHeight="false" outlineLevel="0" collapsed="false">
      <c r="L11" s="32" t="s">
        <v>111</v>
      </c>
      <c r="N11" s="32" t="s">
        <v>164</v>
      </c>
    </row>
    <row r="12" customFormat="false" ht="15" hidden="false" customHeight="false" outlineLevel="0" collapsed="false">
      <c r="A12" s="6" t="s">
        <v>499</v>
      </c>
      <c r="L12" s="32" t="s">
        <v>128</v>
      </c>
      <c r="N12" s="32" t="s">
        <v>209</v>
      </c>
    </row>
    <row r="13" customFormat="false" ht="15" hidden="false" customHeight="false" outlineLevel="0" collapsed="false">
      <c r="A13" s="22" t="s">
        <v>99</v>
      </c>
      <c r="B13" s="22" t="s">
        <v>500</v>
      </c>
      <c r="C13" s="22" t="s">
        <v>501</v>
      </c>
      <c r="D13" s="22" t="s">
        <v>502</v>
      </c>
      <c r="L13" s="32" t="s">
        <v>462</v>
      </c>
      <c r="N13" s="32" t="s">
        <v>200</v>
      </c>
    </row>
    <row r="14" customFormat="false" ht="15" hidden="false" customHeight="false" outlineLevel="0" collapsed="false">
      <c r="A14" s="32" t="s">
        <v>118</v>
      </c>
      <c r="B14" s="33" t="n">
        <v>277.1022</v>
      </c>
      <c r="C14" s="32" t="s">
        <v>503</v>
      </c>
      <c r="D14" s="32" t="s">
        <v>504</v>
      </c>
      <c r="L14" s="32" t="s">
        <v>43</v>
      </c>
      <c r="N14" s="32" t="s">
        <v>363</v>
      </c>
    </row>
    <row r="15" customFormat="false" ht="15" hidden="false" customHeight="false" outlineLevel="0" collapsed="false">
      <c r="A15" s="32" t="s">
        <v>202</v>
      </c>
      <c r="B15" s="33" t="n">
        <v>96.3286</v>
      </c>
      <c r="C15" s="32" t="s">
        <v>503</v>
      </c>
      <c r="D15" s="32" t="s">
        <v>505</v>
      </c>
      <c r="L15" s="32" t="s">
        <v>463</v>
      </c>
      <c r="N15" s="32" t="s">
        <v>225</v>
      </c>
    </row>
    <row r="16" customFormat="false" ht="15" hidden="false" customHeight="false" outlineLevel="0" collapsed="false">
      <c r="A16" s="32" t="s">
        <v>139</v>
      </c>
      <c r="B16" s="33" t="n">
        <v>1</v>
      </c>
      <c r="C16" s="32" t="s">
        <v>503</v>
      </c>
      <c r="D16" s="32" t="s">
        <v>506</v>
      </c>
      <c r="L16" s="32" t="s">
        <v>464</v>
      </c>
      <c r="N16" s="32" t="s">
        <v>147</v>
      </c>
    </row>
    <row r="17" customFormat="false" ht="15" hidden="false" customHeight="false" outlineLevel="0" collapsed="false">
      <c r="A17" s="32" t="s">
        <v>294</v>
      </c>
      <c r="B17" s="33" t="n">
        <v>0.755647</v>
      </c>
      <c r="C17" s="32" t="s">
        <v>503</v>
      </c>
      <c r="D17" s="32" t="s">
        <v>505</v>
      </c>
      <c r="L17" s="32" t="s">
        <v>465</v>
      </c>
      <c r="N17" s="32" t="s">
        <v>217</v>
      </c>
    </row>
    <row r="18" customFormat="false" ht="15" hidden="false" customHeight="false" outlineLevel="0" collapsed="false">
      <c r="A18" s="32" t="s">
        <v>336</v>
      </c>
      <c r="B18" s="33" t="n">
        <v>1.43875</v>
      </c>
      <c r="C18" s="32" t="s">
        <v>503</v>
      </c>
      <c r="D18" s="32" t="s">
        <v>505</v>
      </c>
      <c r="L18" s="32" t="s">
        <v>466</v>
      </c>
      <c r="N18" s="32" t="s">
        <v>229</v>
      </c>
    </row>
    <row r="19" customFormat="false" ht="15" hidden="false" customHeight="false" outlineLevel="0" collapsed="false">
      <c r="A19" s="32" t="s">
        <v>365</v>
      </c>
      <c r="B19" s="33" t="n">
        <v>0.885112</v>
      </c>
      <c r="C19" s="32" t="s">
        <v>503</v>
      </c>
      <c r="D19" s="32" t="s">
        <v>505</v>
      </c>
      <c r="L19" s="32" t="s">
        <v>467</v>
      </c>
      <c r="N19" s="32" t="s">
        <v>113</v>
      </c>
    </row>
    <row r="20" customFormat="false" ht="42" hidden="false" customHeight="true" outlineLevel="0" collapsed="false">
      <c r="A20" s="2" t="s">
        <v>507</v>
      </c>
      <c r="B20" s="2"/>
      <c r="C20" s="2"/>
      <c r="D20" s="2"/>
      <c r="E20" s="2"/>
      <c r="F20" s="2"/>
      <c r="G20" s="2"/>
      <c r="H20" s="2"/>
      <c r="L20" s="32" t="s">
        <v>468</v>
      </c>
      <c r="N20" s="32" t="s">
        <v>181</v>
      </c>
    </row>
    <row r="21" customFormat="false" ht="15" hidden="false" customHeight="false" outlineLevel="0" collapsed="false">
      <c r="L21" s="32" t="s">
        <v>45</v>
      </c>
      <c r="N21" s="32" t="s">
        <v>190</v>
      </c>
    </row>
    <row r="22" customFormat="false" ht="15" hidden="false" customHeight="false" outlineLevel="0" collapsed="false">
      <c r="A22" s="6" t="s">
        <v>508</v>
      </c>
      <c r="L22" s="32" t="s">
        <v>469</v>
      </c>
      <c r="N22" s="32" t="s">
        <v>259</v>
      </c>
    </row>
    <row r="23" customFormat="false" ht="35.05" hidden="false" customHeight="false" outlineLevel="0" collapsed="false">
      <c r="A23" s="22" t="s">
        <v>509</v>
      </c>
      <c r="B23" s="22" t="s">
        <v>99</v>
      </c>
      <c r="C23" s="22" t="s">
        <v>510</v>
      </c>
      <c r="D23" s="22" t="s">
        <v>511</v>
      </c>
      <c r="E23" s="22" t="s">
        <v>512</v>
      </c>
      <c r="F23" s="22" t="s">
        <v>513</v>
      </c>
      <c r="G23" s="22" t="s">
        <v>514</v>
      </c>
      <c r="L23" s="32" t="s">
        <v>470</v>
      </c>
      <c r="N23" s="32" t="s">
        <v>387</v>
      </c>
    </row>
    <row r="24" customFormat="false" ht="15" hidden="false" customHeight="false" outlineLevel="0" collapsed="false">
      <c r="A24" s="32" t="s">
        <v>14</v>
      </c>
      <c r="B24" s="32" t="s">
        <v>118</v>
      </c>
      <c r="C24" s="32" t="s">
        <v>115</v>
      </c>
      <c r="D24" s="34" t="n">
        <v>4</v>
      </c>
      <c r="E24" s="11" t="n">
        <v>0.1</v>
      </c>
      <c r="F24" s="11" t="n">
        <v>0.08</v>
      </c>
      <c r="G24" s="35" t="s">
        <v>515</v>
      </c>
      <c r="L24" s="32" t="s">
        <v>46</v>
      </c>
      <c r="N24" s="32" t="s">
        <v>396</v>
      </c>
    </row>
    <row r="25" customFormat="false" ht="15" hidden="false" customHeight="false" outlineLevel="0" collapsed="false">
      <c r="A25" s="32" t="s">
        <v>198</v>
      </c>
      <c r="B25" s="32" t="s">
        <v>202</v>
      </c>
      <c r="C25" s="32" t="s">
        <v>201</v>
      </c>
      <c r="D25" s="34" t="n">
        <v>4</v>
      </c>
      <c r="E25" s="11" t="n">
        <v>0.08</v>
      </c>
      <c r="F25" s="11" t="n">
        <v>0.06</v>
      </c>
      <c r="G25" s="35" t="s">
        <v>516</v>
      </c>
      <c r="L25" s="32" t="s">
        <v>517</v>
      </c>
      <c r="N25" s="32" t="s">
        <v>287</v>
      </c>
    </row>
    <row r="26" customFormat="false" ht="15" hidden="false" customHeight="false" outlineLevel="0" collapsed="false">
      <c r="A26" s="32" t="s">
        <v>248</v>
      </c>
      <c r="B26" s="32" t="s">
        <v>139</v>
      </c>
      <c r="C26" s="32" t="s">
        <v>138</v>
      </c>
      <c r="D26" s="34" t="n">
        <v>4</v>
      </c>
      <c r="E26" s="11" t="n">
        <v>0.04</v>
      </c>
      <c r="F26" s="11" t="n">
        <v>0.03</v>
      </c>
      <c r="G26" s="35" t="s">
        <v>516</v>
      </c>
      <c r="L26" s="32" t="s">
        <v>518</v>
      </c>
      <c r="N26" s="32" t="s">
        <v>334</v>
      </c>
    </row>
    <row r="27" customFormat="false" ht="15" hidden="false" customHeight="false" outlineLevel="0" collapsed="false">
      <c r="A27" s="32" t="s">
        <v>291</v>
      </c>
      <c r="B27" s="32" t="s">
        <v>294</v>
      </c>
      <c r="C27" s="32" t="s">
        <v>138</v>
      </c>
      <c r="D27" s="34" t="n">
        <v>3</v>
      </c>
      <c r="E27" s="11" t="n">
        <v>0.05</v>
      </c>
      <c r="F27" s="11" t="n">
        <v>0.03</v>
      </c>
      <c r="G27" s="35" t="s">
        <v>519</v>
      </c>
      <c r="L27" s="32" t="s">
        <v>520</v>
      </c>
      <c r="N27" s="32" t="s">
        <v>249</v>
      </c>
    </row>
    <row r="28" customFormat="false" ht="15" hidden="false" customHeight="false" outlineLevel="0" collapsed="false">
      <c r="A28" s="32" t="s">
        <v>332</v>
      </c>
      <c r="B28" s="32" t="s">
        <v>336</v>
      </c>
      <c r="C28" s="32" t="s">
        <v>138</v>
      </c>
      <c r="D28" s="34" t="n">
        <v>3</v>
      </c>
      <c r="E28" s="11" t="n">
        <v>0.05</v>
      </c>
      <c r="F28" s="11" t="n">
        <v>0.03</v>
      </c>
      <c r="G28" s="35" t="s">
        <v>516</v>
      </c>
      <c r="L28" s="32" t="s">
        <v>471</v>
      </c>
      <c r="N28" s="32" t="s">
        <v>316</v>
      </c>
    </row>
    <row r="29" customFormat="false" ht="15" hidden="false" customHeight="false" outlineLevel="0" collapsed="false">
      <c r="A29" s="32" t="s">
        <v>361</v>
      </c>
      <c r="B29" s="32" t="s">
        <v>365</v>
      </c>
      <c r="C29" s="32" t="s">
        <v>364</v>
      </c>
      <c r="D29" s="34" t="n">
        <v>3</v>
      </c>
      <c r="E29" s="11" t="n">
        <v>0.02</v>
      </c>
      <c r="F29" s="11" t="n">
        <v>0.03</v>
      </c>
      <c r="G29" s="35" t="s">
        <v>521</v>
      </c>
      <c r="L29" s="32" t="s">
        <v>472</v>
      </c>
      <c r="N29" s="32" t="s">
        <v>293</v>
      </c>
    </row>
    <row r="30" customFormat="false" ht="15" hidden="false" customHeight="false" outlineLevel="0" collapsed="false">
      <c r="L30" s="32" t="s">
        <v>473</v>
      </c>
      <c r="N30" s="32" t="s">
        <v>374</v>
      </c>
    </row>
    <row r="31" customFormat="false" ht="15" hidden="false" customHeight="false" outlineLevel="0" collapsed="false">
      <c r="L31" s="32" t="s">
        <v>474</v>
      </c>
      <c r="N31" s="32" t="s">
        <v>283</v>
      </c>
    </row>
    <row r="32" customFormat="false" ht="15" hidden="false" customHeight="false" outlineLevel="0" collapsed="false">
      <c r="A32" s="6" t="s">
        <v>522</v>
      </c>
      <c r="L32" s="32" t="s">
        <v>475</v>
      </c>
      <c r="N32" s="32" t="s">
        <v>276</v>
      </c>
    </row>
    <row r="33" customFormat="false" ht="23.85" hidden="false" customHeight="false" outlineLevel="0" collapsed="false">
      <c r="A33" s="22" t="s">
        <v>523</v>
      </c>
      <c r="B33" s="22" t="s">
        <v>524</v>
      </c>
      <c r="C33" s="22" t="s">
        <v>514</v>
      </c>
      <c r="L33" s="32" t="s">
        <v>476</v>
      </c>
      <c r="N33" s="32" t="s">
        <v>353</v>
      </c>
    </row>
    <row r="34" customFormat="false" ht="15" hidden="false" customHeight="false" outlineLevel="0" collapsed="false">
      <c r="A34" s="32" t="s">
        <v>118</v>
      </c>
      <c r="B34" s="11" t="n">
        <v>0.12</v>
      </c>
      <c r="C34" s="35" t="s">
        <v>525</v>
      </c>
      <c r="L34" s="32" t="s">
        <v>477</v>
      </c>
    </row>
    <row r="35" customFormat="false" ht="15" hidden="false" customHeight="false" outlineLevel="0" collapsed="false">
      <c r="A35" s="32" t="s">
        <v>202</v>
      </c>
      <c r="B35" s="11" t="n">
        <v>0.1</v>
      </c>
      <c r="C35" s="35" t="s">
        <v>525</v>
      </c>
      <c r="L35" s="32" t="s">
        <v>526</v>
      </c>
    </row>
    <row r="36" customFormat="false" ht="15" hidden="false" customHeight="false" outlineLevel="0" collapsed="false">
      <c r="A36" s="32" t="s">
        <v>139</v>
      </c>
      <c r="B36" s="11" t="n">
        <v>0.06</v>
      </c>
      <c r="C36" s="35" t="s">
        <v>525</v>
      </c>
    </row>
    <row r="37" customFormat="false" ht="15" hidden="false" customHeight="false" outlineLevel="0" collapsed="false">
      <c r="A37" s="32" t="s">
        <v>294</v>
      </c>
      <c r="B37" s="11" t="n">
        <v>0.05</v>
      </c>
      <c r="C37" s="35" t="s">
        <v>525</v>
      </c>
    </row>
    <row r="38" customFormat="false" ht="15" hidden="false" customHeight="false" outlineLevel="0" collapsed="false">
      <c r="A38" s="32" t="s">
        <v>336</v>
      </c>
      <c r="B38" s="11" t="n">
        <v>0.06</v>
      </c>
      <c r="C38" s="35" t="s">
        <v>525</v>
      </c>
    </row>
    <row r="39" customFormat="false" ht="15" hidden="false" customHeight="false" outlineLevel="0" collapsed="false">
      <c r="A39" s="32" t="s">
        <v>365</v>
      </c>
      <c r="B39" s="11" t="n">
        <v>0.05</v>
      </c>
      <c r="C39" s="35" t="s">
        <v>525</v>
      </c>
    </row>
    <row r="42" customFormat="false" ht="15" hidden="false" customHeight="false" outlineLevel="0" collapsed="false">
      <c r="A42" s="6" t="s">
        <v>527</v>
      </c>
    </row>
    <row r="43" customFormat="false" ht="15" hidden="false" customHeight="false" outlineLevel="0" collapsed="false">
      <c r="A43" s="13" t="s">
        <v>528</v>
      </c>
      <c r="B43" s="36" t="n">
        <f aca="false">IF(RetRate=0,1,(RetRate/((1+RetRate)^(1/12)-1))/12)</f>
        <v>1.05387482569609</v>
      </c>
    </row>
    <row r="44" customFormat="false" ht="15" hidden="false" customHeight="false" outlineLevel="0" collapsed="false">
      <c r="A44" s="13" t="s">
        <v>529</v>
      </c>
      <c r="B44" s="36" t="n">
        <f aca="false">IF(ContribMode="Annual",1,MonthlyFactor)</f>
        <v>1.05387482569609</v>
      </c>
    </row>
    <row r="45" customFormat="false" ht="15" hidden="false" customHeight="false" outlineLevel="0" collapsed="false">
      <c r="A45" s="13" t="s">
        <v>530</v>
      </c>
      <c r="B45" s="5" t="str">
        <f aca="false">FX_Date</f>
        <v>2026-10-01</v>
      </c>
    </row>
  </sheetData>
  <mergeCells count="1">
    <mergeCell ref="A20:H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 r:id="rId2"/>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4"/>
    <col collapsed="false" customWidth="true" hidden="false" outlineLevel="0" max="6" min="3" style="0" width="24"/>
    <col collapsed="false" customWidth="true" hidden="false" outlineLevel="0" max="29" min="7" style="0" width="13"/>
  </cols>
  <sheetData>
    <row r="1" customFormat="false" ht="19.7" hidden="false" customHeight="false" outlineLevel="0" collapsed="false">
      <c r="A1" s="1" t="s">
        <v>531</v>
      </c>
    </row>
    <row r="2" customFormat="false" ht="15" hidden="false" customHeight="false" outlineLevel="0" collapsed="false">
      <c r="A2" s="15" t="s">
        <v>532</v>
      </c>
    </row>
    <row r="4" customFormat="false" ht="15" hidden="false" customHeight="false" outlineLevel="0" collapsed="false">
      <c r="A4" s="6" t="s">
        <v>533</v>
      </c>
      <c r="C4" s="17" t="s">
        <v>28</v>
      </c>
      <c r="D4" s="17" t="s">
        <v>29</v>
      </c>
      <c r="E4" s="17" t="s">
        <v>30</v>
      </c>
      <c r="F4" s="17" t="s">
        <v>31</v>
      </c>
    </row>
    <row r="5" customFormat="false" ht="15" hidden="false" customHeight="false" outlineLevel="0" collapsed="false">
      <c r="A5" s="13" t="s">
        <v>534</v>
      </c>
      <c r="C5" s="9" t="n">
        <f aca="false">IF(1&lt;=NumChildren,1,0)</f>
        <v>1</v>
      </c>
      <c r="D5" s="9" t="n">
        <f aca="false">IF(2&lt;=NumChildren,1,0)</f>
        <v>1</v>
      </c>
      <c r="E5" s="9" t="n">
        <f aca="false">IF(3&lt;=NumChildren,1,0)</f>
        <v>0</v>
      </c>
      <c r="F5" s="9" t="n">
        <f aca="false">IF(4&lt;=NumChildren,1,0)</f>
        <v>0</v>
      </c>
    </row>
    <row r="6" customFormat="false" ht="15" hidden="false" customHeight="false" outlineLevel="0" collapsed="false">
      <c r="A6" s="13" t="s">
        <v>535</v>
      </c>
      <c r="C6" s="5" t="str">
        <f aca="false">IF('Parent Inputs'!C24="","Child 1",'Parent Inputs'!C24)</f>
        <v>Child 1</v>
      </c>
      <c r="D6" s="5" t="str">
        <f aca="false">IF('Parent Inputs'!D24="","Child 2",'Parent Inputs'!D24)</f>
        <v>Child 2</v>
      </c>
      <c r="E6" s="5" t="str">
        <f aca="false">IF('Parent Inputs'!E24="","Child 3",'Parent Inputs'!E24)</f>
        <v>Child 3</v>
      </c>
      <c r="F6" s="5" t="str">
        <f aca="false">IF('Parent Inputs'!F24="","Child 4",'Parent Inputs'!F24)</f>
        <v>Child 4</v>
      </c>
    </row>
    <row r="7" customFormat="false" ht="15" hidden="false" customHeight="false" outlineLevel="0" collapsed="false">
      <c r="A7" s="13" t="s">
        <v>536</v>
      </c>
      <c r="C7" s="9" t="n">
        <f aca="false">IF('Parent Inputs'!C25="","",'Parent Inputs'!C25)</f>
        <v>10</v>
      </c>
      <c r="D7" s="9" t="n">
        <f aca="false">IF('Parent Inputs'!D25="","",'Parent Inputs'!D25)</f>
        <v>6</v>
      </c>
      <c r="E7" s="9" t="n">
        <f aca="false">IF('Parent Inputs'!E25="","",'Parent Inputs'!E25)</f>
        <v>3</v>
      </c>
      <c r="F7" s="9" t="n">
        <f aca="false">IF('Parent Inputs'!F25="","",'Parent Inputs'!F25)</f>
        <v>1</v>
      </c>
    </row>
    <row r="8" customFormat="false" ht="15" hidden="false" customHeight="false" outlineLevel="0" collapsed="false">
      <c r="A8" s="13" t="s">
        <v>537</v>
      </c>
      <c r="C8" s="9" t="n">
        <f aca="false">IF('Parent Inputs'!C27="",FamEntryAge,'Parent Inputs'!C27)</f>
        <v>18</v>
      </c>
      <c r="D8" s="9" t="n">
        <f aca="false">IF('Parent Inputs'!D27="",FamEntryAge,'Parent Inputs'!D27)</f>
        <v>18</v>
      </c>
      <c r="E8" s="9" t="n">
        <f aca="false">IF('Parent Inputs'!E27="",FamEntryAge,'Parent Inputs'!E27)</f>
        <v>18</v>
      </c>
      <c r="F8" s="9" t="n">
        <f aca="false">IF('Parent Inputs'!F27="",FamEntryAge,'Parent Inputs'!F27)</f>
        <v>18</v>
      </c>
    </row>
    <row r="9" customFormat="false" ht="15" hidden="false" customHeight="false" outlineLevel="0" collapsed="false">
      <c r="A9" s="13" t="s">
        <v>509</v>
      </c>
      <c r="C9" s="5" t="str">
        <f aca="false">IF('Parent Inputs'!C28="",FamCountry,'Parent Inputs'!C28)</f>
        <v>Pakistan</v>
      </c>
      <c r="D9" s="5" t="str">
        <f aca="false">IF('Parent Inputs'!D28="",FamCountry,'Parent Inputs'!D28)</f>
        <v>Pakistan</v>
      </c>
      <c r="E9" s="5" t="str">
        <f aca="false">IF('Parent Inputs'!E28="",FamCountry,'Parent Inputs'!E28)</f>
        <v>Pakistan</v>
      </c>
      <c r="F9" s="5" t="str">
        <f aca="false">IF('Parent Inputs'!F28="",FamCountry,'Parent Inputs'!F28)</f>
        <v>Pakistan</v>
      </c>
    </row>
    <row r="10" customFormat="false" ht="15" hidden="false" customHeight="false" outlineLevel="0" collapsed="false">
      <c r="A10" s="13" t="s">
        <v>538</v>
      </c>
      <c r="C10" s="5" t="str">
        <f aca="false">IF('Parent Inputs'!C29="",IFERROR(INDEX(CO_Cat,MATCH(C9,CO_Name,0)),""),'Parent Inputs'!C29)</f>
        <v>Pakistani national</v>
      </c>
      <c r="D10" s="5" t="str">
        <f aca="false">IF('Parent Inputs'!D29="",IFERROR(INDEX(CO_Cat,MATCH(D9,CO_Name,0)),""),'Parent Inputs'!D29)</f>
        <v>Pakistani national</v>
      </c>
      <c r="E10" s="5" t="str">
        <f aca="false">IF('Parent Inputs'!E29="",IFERROR(INDEX(CO_Cat,MATCH(E9,CO_Name,0)),""),'Parent Inputs'!E29)</f>
        <v>Pakistani national</v>
      </c>
      <c r="F10" s="5" t="str">
        <f aca="false">IF('Parent Inputs'!F29="",IFERROR(INDEX(CO_Cat,MATCH(F9,CO_Name,0)),""),'Parent Inputs'!F29)</f>
        <v>Pakistani national</v>
      </c>
    </row>
    <row r="11" customFormat="false" ht="15" hidden="false" customHeight="false" outlineLevel="0" collapsed="false">
      <c r="A11" s="13" t="s">
        <v>78</v>
      </c>
      <c r="C11" s="5" t="str">
        <f aca="false">IF('Parent Inputs'!C30="","",IF(AND('Parent Inputs'!C30="Other / Custom Qualification",'Parent Inputs'!C31&lt;&gt;""),'Parent Inputs'!C30&amp;": "&amp;'Parent Inputs'!C31,'Parent Inputs'!C30))</f>
        <v>Computer Science</v>
      </c>
      <c r="D11" s="5" t="str">
        <f aca="false">IF('Parent Inputs'!D30="","",IF(AND('Parent Inputs'!D30="Other / Custom Qualification",'Parent Inputs'!D31&lt;&gt;""),'Parent Inputs'!D30&amp;": "&amp;'Parent Inputs'!D31,'Parent Inputs'!D30))</f>
        <v>Medicine — MBBS/MD</v>
      </c>
      <c r="E11" s="5" t="str">
        <f aca="false">IF('Parent Inputs'!E30="","",IF(AND('Parent Inputs'!E30="Other / Custom Qualification",'Parent Inputs'!E31&lt;&gt;""),'Parent Inputs'!E30&amp;": "&amp;'Parent Inputs'!E31,'Parent Inputs'!E30))</f>
        <v>Business Administration</v>
      </c>
      <c r="F11" s="5" t="str">
        <f aca="false">IF('Parent Inputs'!F30="","",IF(AND('Parent Inputs'!F30="Other / Custom Qualification",'Parent Inputs'!F31&lt;&gt;""),'Parent Inputs'!F30&amp;": "&amp;'Parent Inputs'!F31,'Parent Inputs'!F30))</f>
        <v>Accounting and Finance</v>
      </c>
    </row>
    <row r="12" customFormat="false" ht="15" hidden="false" customHeight="false" outlineLevel="0" collapsed="false">
      <c r="A12" s="13" t="s">
        <v>539</v>
      </c>
      <c r="C12" s="5" t="str">
        <f aca="false">IF(OR('Parent Inputs'!C33="",'Parent Inputs'!C33="University average"),"University average",'Parent Inputs'!C33)</f>
        <v>University average</v>
      </c>
      <c r="D12" s="5" t="str">
        <f aca="false">IF(OR('Parent Inputs'!D33="",'Parent Inputs'!D33="University average"),"University average",'Parent Inputs'!D33)</f>
        <v>University average</v>
      </c>
      <c r="E12" s="5" t="str">
        <f aca="false">IF(OR('Parent Inputs'!E33="",'Parent Inputs'!E33="University average"),"University average",'Parent Inputs'!E33)</f>
        <v>University average</v>
      </c>
      <c r="F12" s="5" t="str">
        <f aca="false">IF(OR('Parent Inputs'!F33="",'Parent Inputs'!F33="University average"),"University average",'Parent Inputs'!F33)</f>
        <v>University average</v>
      </c>
    </row>
    <row r="13" customFormat="false" ht="15" hidden="false" customHeight="false" outlineLevel="0" collapsed="false">
      <c r="A13" s="13" t="s">
        <v>540</v>
      </c>
      <c r="C13" s="5" t="str">
        <f aca="false">'Parent Inputs'!C30</f>
        <v>Computer Science</v>
      </c>
      <c r="D13" s="5" t="str">
        <f aca="false">'Parent Inputs'!D30</f>
        <v>Medicine — MBBS/MD</v>
      </c>
      <c r="E13" s="5" t="str">
        <f aca="false">'Parent Inputs'!E30</f>
        <v>Business Administration</v>
      </c>
      <c r="F13" s="5" t="str">
        <f aca="false">'Parent Inputs'!F30</f>
        <v>Accounting and Finance</v>
      </c>
    </row>
    <row r="14" customFormat="false" ht="15" hidden="false" customHeight="false" outlineLevel="0" collapsed="false">
      <c r="A14" s="13" t="s">
        <v>541</v>
      </c>
      <c r="C14" s="9" t="n">
        <f aca="false">IF(C12="University average",0,IFERROR(MATCH(C9&amp;"|"&amp;C13&amp;"|"&amp;C10&amp;"|"&amp;C12,EC_Key,0),0))</f>
        <v>0</v>
      </c>
      <c r="D14" s="9" t="n">
        <f aca="false">IF(D12="University average",0,IFERROR(MATCH(D9&amp;"|"&amp;D13&amp;"|"&amp;D10&amp;"|"&amp;D12,EC_Key,0),0))</f>
        <v>0</v>
      </c>
      <c r="E14" s="9" t="n">
        <f aca="false">IF(E12="University average",0,IFERROR(MATCH(E9&amp;"|"&amp;E13&amp;"|"&amp;E10&amp;"|"&amp;E12,EC_Key,0),0))</f>
        <v>0</v>
      </c>
      <c r="F14" s="9" t="n">
        <f aca="false">IF(F12="University average",0,IFERROR(MATCH(F9&amp;"|"&amp;F13&amp;"|"&amp;F10&amp;"|"&amp;F12,EC_Key,0),0))</f>
        <v>0</v>
      </c>
    </row>
    <row r="15" customFormat="false" ht="15" hidden="false" customHeight="false" outlineLevel="0" collapsed="false">
      <c r="A15" s="13" t="s">
        <v>542</v>
      </c>
      <c r="C15" s="9" t="n">
        <f aca="false">IFERROR(MATCH(C9&amp;"|"&amp;C13&amp;"|"&amp;C10,AV_Key,0),0)</f>
        <v>4</v>
      </c>
      <c r="D15" s="9" t="n">
        <f aca="false">IFERROR(MATCH(D9&amp;"|"&amp;D13&amp;"|"&amp;D10,AV_Key,0),0)</f>
        <v>11</v>
      </c>
      <c r="E15" s="9" t="n">
        <f aca="false">IFERROR(MATCH(E9&amp;"|"&amp;E13&amp;"|"&amp;E10,AV_Key,0),0)</f>
        <v>5</v>
      </c>
      <c r="F15" s="9" t="n">
        <f aca="false">IFERROR(MATCH(F9&amp;"|"&amp;F13&amp;"|"&amp;F10,AV_Key,0),0)</f>
        <v>6</v>
      </c>
    </row>
    <row r="16" customFormat="false" ht="15" hidden="false" customHeight="false" outlineLevel="0" collapsed="false">
      <c r="A16" s="13" t="s">
        <v>543</v>
      </c>
      <c r="C16" s="9" t="n">
        <f aca="false">IF(C15=0,0,IF(INDEX(AV_Count,C15)&gt;0,1,0))</f>
        <v>1</v>
      </c>
      <c r="D16" s="9" t="n">
        <f aca="false">IF(D15=0,0,IF(INDEX(AV_Count,D15)&gt;0,1,0))</f>
        <v>1</v>
      </c>
      <c r="E16" s="9" t="n">
        <f aca="false">IF(E15=0,0,IF(INDEX(AV_Count,E15)&gt;0,1,0))</f>
        <v>1</v>
      </c>
      <c r="F16" s="9" t="n">
        <f aca="false">IF(F15=0,0,IF(INDEX(AV_Count,F15)&gt;0,1,0))</f>
        <v>1</v>
      </c>
    </row>
    <row r="17" customFormat="false" ht="15" hidden="false" customHeight="false" outlineLevel="0" collapsed="false">
      <c r="A17" s="13" t="s">
        <v>544</v>
      </c>
      <c r="C17" s="5" t="str">
        <f aca="false">IF(C14&gt;0,INDEX(EC_Ccy,C14),IF(C16=1,INDEX(AV_Ccy,C15),IFERROR(INDEX(CO_Ccy,MATCH(C9,CO_Name,0)),"USD")))</f>
        <v>PKR</v>
      </c>
      <c r="D17" s="5" t="str">
        <f aca="false">IF(D14&gt;0,INDEX(EC_Ccy,D14),IF(D16=1,INDEX(AV_Ccy,D15),IFERROR(INDEX(CO_Ccy,MATCH(D9,CO_Name,0)),"USD")))</f>
        <v>PKR</v>
      </c>
      <c r="E17" s="5" t="str">
        <f aca="false">IF(E14&gt;0,INDEX(EC_Ccy,E14),IF(E16=1,INDEX(AV_Ccy,E15),IFERROR(INDEX(CO_Ccy,MATCH(E9,CO_Name,0)),"USD")))</f>
        <v>PKR</v>
      </c>
      <c r="F17" s="5" t="str">
        <f aca="false">IF(F14&gt;0,INDEX(EC_Ccy,F14),IF(F16=1,INDEX(AV_Ccy,F15),IFERROR(INDEX(CO_Ccy,MATCH(F9,CO_Name,0)),"USD")))</f>
        <v>PKR</v>
      </c>
    </row>
    <row r="18" customFormat="false" ht="15" hidden="false" customHeight="false" outlineLevel="0" collapsed="false">
      <c r="A18" s="13" t="s">
        <v>545</v>
      </c>
      <c r="C18" s="9" t="n">
        <f aca="false">IF(C14&gt;0,INDEX(EC_FYS,C14),IF(C16=1,INDEX(AV_FYS,C15),PlanStartYear))</f>
        <v>2026</v>
      </c>
      <c r="D18" s="9" t="n">
        <f aca="false">IF(D14&gt;0,INDEX(EC_FYS,D14),IF(D16=1,INDEX(AV_FYS,D15),PlanStartYear))</f>
        <v>2027</v>
      </c>
      <c r="E18" s="9" t="n">
        <f aca="false">IF(E14&gt;0,INDEX(EC_FYS,E14),IF(E16=1,INDEX(AV_FYS,E15),PlanStartYear))</f>
        <v>2026</v>
      </c>
      <c r="F18" s="9" t="n">
        <f aca="false">IF(F14&gt;0,INDEX(EC_FYS,F14),IF(F16=1,INDEX(AV_FYS,F15),PlanStartYear))</f>
        <v>2026</v>
      </c>
    </row>
    <row r="19" customFormat="false" ht="15" hidden="false" customHeight="false" outlineLevel="0" collapsed="false">
      <c r="A19" s="13" t="s">
        <v>546</v>
      </c>
      <c r="C19" s="5" t="str">
        <f aca="false">IF(C14&gt;0,INDEX(EC_Uni,C14),IF(C16=1,INDEX(AV_Label,C15),"No verified fee record — enter your own estimate"))</f>
        <v>Average of 3 universities</v>
      </c>
      <c r="D19" s="5" t="str">
        <f aca="false">IF(D14&gt;0,INDEX(EC_Uni,D14),IF(D16=1,INDEX(AV_Label,D15),"No verified fee record — enter your own estimate"))</f>
        <v>Single-institution benchmark</v>
      </c>
      <c r="E19" s="5" t="str">
        <f aca="false">IF(E14&gt;0,INDEX(EC_Uni,E14),IF(E16=1,INDEX(AV_Label,E15),"No verified fee record — enter your own estimate"))</f>
        <v>Average of 3 universities</v>
      </c>
      <c r="F19" s="5" t="str">
        <f aca="false">IF(F14&gt;0,INDEX(EC_Uni,F14),IF(F16=1,INDEX(AV_Label,F15),"No verified fee record — enter your own estimate"))</f>
        <v>Average of 3 universities</v>
      </c>
    </row>
    <row r="20" customFormat="false" ht="15" hidden="false" customHeight="false" outlineLevel="0" collapsed="false">
      <c r="A20" s="13" t="s">
        <v>514</v>
      </c>
      <c r="C20" s="5" t="str">
        <f aca="false">IF(AND(C12&lt;&gt;"University average",C14=0),"Chosen university has no record for this country/qualification/category — average used",IF(AND(C14=0,C16=0,'Parent Inputs'!C42=""),"No fee data: enter tuition as an override",""))</f>
        <v/>
      </c>
      <c r="D20" s="5" t="str">
        <f aca="false">IF(AND(D12&lt;&gt;"University average",D14=0),"Chosen university has no record for this country/qualification/category — average used",IF(AND(D14=0,D16=0,'Parent Inputs'!D42=""),"No fee data: enter tuition as an override",""))</f>
        <v/>
      </c>
      <c r="E20" s="5" t="str">
        <f aca="false">IF(AND(E12&lt;&gt;"University average",E14=0),"Chosen university has no record for this country/qualification/category — average used",IF(AND(E14=0,E16=0,'Parent Inputs'!E42=""),"No fee data: enter tuition as an override",""))</f>
        <v/>
      </c>
      <c r="F20" s="5" t="str">
        <f aca="false">IF(AND(F12&lt;&gt;"University average",F14=0),"Chosen university has no record for this country/qualification/category — average used",IF(AND(F14=0,F16=0,'Parent Inputs'!F42=""),"No fee data: enter tuition as an override",""))</f>
        <v/>
      </c>
    </row>
    <row r="21" customFormat="false" ht="15" hidden="false" customHeight="false" outlineLevel="0" collapsed="false">
      <c r="A21" s="13" t="s">
        <v>547</v>
      </c>
      <c r="C21" s="9" t="n">
        <f aca="false">IFERROR(MATCH(C9&amp;"|"&amp;C10,LV_Key,0),IFERROR(MATCH(C9&amp;"|All",LV_Key,0),IFERROR(MATCH(C9,LV_Country,0),0)))</f>
        <v>1</v>
      </c>
      <c r="D21" s="9" t="n">
        <f aca="false">IFERROR(MATCH(D9&amp;"|"&amp;D10,LV_Key,0),IFERROR(MATCH(D9&amp;"|All",LV_Key,0),IFERROR(MATCH(D9,LV_Country,0),0)))</f>
        <v>1</v>
      </c>
      <c r="E21" s="9" t="n">
        <f aca="false">IFERROR(MATCH(E9&amp;"|"&amp;E10,LV_Key,0),IFERROR(MATCH(E9&amp;"|All",LV_Key,0),IFERROR(MATCH(E9,LV_Country,0),0)))</f>
        <v>1</v>
      </c>
      <c r="F21" s="9" t="n">
        <f aca="false">IFERROR(MATCH(F9&amp;"|"&amp;F10,LV_Key,0),IFERROR(MATCH(F9&amp;"|All",LV_Key,0),IFERROR(MATCH(F9,LV_Country,0),0)))</f>
        <v>1</v>
      </c>
    </row>
    <row r="22" customFormat="false" ht="15" hidden="false" customHeight="false" outlineLevel="0" collapsed="false">
      <c r="A22" s="13" t="s">
        <v>548</v>
      </c>
      <c r="C22" s="9" t="n">
        <f aca="false">IF(C14=0,0,IF(INDEX(EC_LivRec,C14)="Yes",1,0))</f>
        <v>0</v>
      </c>
      <c r="D22" s="9" t="n">
        <f aca="false">IF(D14=0,0,IF(INDEX(EC_LivRec,D14)="Yes",1,0))</f>
        <v>0</v>
      </c>
      <c r="E22" s="9" t="n">
        <f aca="false">IF(E14=0,0,IF(INDEX(EC_LivRec,E14)="Yes",1,0))</f>
        <v>0</v>
      </c>
      <c r="F22" s="9" t="n">
        <f aca="false">IF(F14=0,0,IF(INDEX(EC_LivRec,F14)="Yes",1,0))</f>
        <v>0</v>
      </c>
    </row>
    <row r="23" customFormat="false" ht="15" hidden="false" customHeight="false" outlineLevel="0" collapsed="false">
      <c r="A23" s="13" t="s">
        <v>549</v>
      </c>
      <c r="C23" s="36" t="n">
        <f aca="false">IF(C21=0,0,INDEX(FX_Rate,MATCH(C17,FX_Ccy,0))/INDEX(FX_Rate,MATCH(INDEX(LV_Ccy,C21),FX_Ccy,0)))</f>
        <v>1</v>
      </c>
      <c r="D23" s="36" t="n">
        <f aca="false">IF(D21=0,0,INDEX(FX_Rate,MATCH(D17,FX_Ccy,0))/INDEX(FX_Rate,MATCH(INDEX(LV_Ccy,D21),FX_Ccy,0)))</f>
        <v>1</v>
      </c>
      <c r="E23" s="36" t="n">
        <f aca="false">IF(E21=0,0,INDEX(FX_Rate,MATCH(E17,FX_Ccy,0))/INDEX(FX_Rate,MATCH(INDEX(LV_Ccy,E21),FX_Ccy,0)))</f>
        <v>1</v>
      </c>
      <c r="F23" s="36" t="n">
        <f aca="false">IF(F21=0,0,INDEX(FX_Rate,MATCH(F17,FX_Ccy,0))/INDEX(FX_Rate,MATCH(INDEX(LV_Ccy,F21),FX_Ccy,0)))</f>
        <v>1</v>
      </c>
    </row>
    <row r="24" customFormat="false" ht="15" hidden="false" customHeight="false" outlineLevel="0" collapsed="false">
      <c r="A24" s="13" t="s">
        <v>550</v>
      </c>
      <c r="C24" s="37" t="n">
        <f aca="false">IF('Parent Inputs'!C42&lt;&gt;"",'Parent Inputs'!C42,IF(C14&gt;0,INDEX(EC_Tuition,C14),IF(C16=1,INDEX(AV_Tuition,C15),0)))</f>
        <v>1010066.66666667</v>
      </c>
      <c r="D24" s="37" t="n">
        <f aca="false">IF('Parent Inputs'!D42&lt;&gt;"",'Parent Inputs'!D42,IF(D14&gt;0,INDEX(EC_Tuition,D14),IF(D16=1,INDEX(AV_Tuition,D15),0)))</f>
        <v>1704000</v>
      </c>
      <c r="E24" s="37" t="n">
        <f aca="false">IF('Parent Inputs'!E42&lt;&gt;"",'Parent Inputs'!E42,IF(E14&gt;0,INDEX(EC_Tuition,E14),IF(E16=1,INDEX(AV_Tuition,E15),0)))</f>
        <v>1052266.66666667</v>
      </c>
      <c r="F24" s="37" t="n">
        <f aca="false">IF('Parent Inputs'!F42&lt;&gt;"",'Parent Inputs'!F42,IF(F14&gt;0,INDEX(EC_Tuition,F14),IF(F16=1,INDEX(AV_Tuition,F15),0)))</f>
        <v>1052266.66666667</v>
      </c>
    </row>
    <row r="25" customFormat="false" ht="15" hidden="false" customHeight="false" outlineLevel="0" collapsed="false">
      <c r="A25" s="13" t="s">
        <v>551</v>
      </c>
      <c r="C25" s="37" t="n">
        <f aca="false">IF('Parent Inputs'!C43&lt;&gt;"",'Parent Inputs'!C43,IF(C14&gt;0,INDEX(EC_Other,C14),IF(C16=1,INDEX(AV_Other,C15),0)))</f>
        <v>130466.666666667</v>
      </c>
      <c r="D25" s="37" t="n">
        <f aca="false">IF('Parent Inputs'!D43&lt;&gt;"",'Parent Inputs'!D43,IF(D14&gt;0,INDEX(EC_Other,D14),IF(D16=1,INDEX(AV_Other,D15),0)))</f>
        <v>1909000</v>
      </c>
      <c r="E25" s="37" t="n">
        <f aca="false">IF('Parent Inputs'!E43&lt;&gt;"",'Parent Inputs'!E43,IF(E14&gt;0,INDEX(EC_Other,E14),IF(E16=1,INDEX(AV_Other,E15),0)))</f>
        <v>50400</v>
      </c>
      <c r="F25" s="37" t="n">
        <f aca="false">IF('Parent Inputs'!F43&lt;&gt;"",'Parent Inputs'!F43,IF(F14&gt;0,INDEX(EC_Other,F14),IF(F16=1,INDEX(AV_Other,F15),0)))</f>
        <v>45733.3333333333</v>
      </c>
    </row>
    <row r="26" customFormat="false" ht="15" hidden="false" customHeight="false" outlineLevel="0" collapsed="false">
      <c r="A26" s="13" t="s">
        <v>552</v>
      </c>
      <c r="C26" s="37" t="n">
        <f aca="false">IF('Parent Inputs'!C44&lt;&gt;"",'Parent Inputs'!C44,IF(C22=1,INDEX(EC_Acc,C14),IF(C21&gt;0,INDEX(LV_Acc,C21)*C23,0)))</f>
        <v>197600</v>
      </c>
      <c r="D26" s="37" t="n">
        <f aca="false">IF('Parent Inputs'!D44&lt;&gt;"",'Parent Inputs'!D44,IF(D22=1,INDEX(EC_Acc,D14),IF(D21&gt;0,INDEX(LV_Acc,D21)*D23,0)))</f>
        <v>197600</v>
      </c>
      <c r="E26" s="37" t="n">
        <f aca="false">IF('Parent Inputs'!E44&lt;&gt;"",'Parent Inputs'!E44,IF(E22=1,INDEX(EC_Acc,E14),IF(E21&gt;0,INDEX(LV_Acc,E21)*E23,0)))</f>
        <v>197600</v>
      </c>
      <c r="F26" s="37" t="n">
        <f aca="false">IF('Parent Inputs'!F44&lt;&gt;"",'Parent Inputs'!F44,IF(F22=1,INDEX(EC_Acc,F14),IF(F21&gt;0,INDEX(LV_Acc,F21)*F23,0)))</f>
        <v>197600</v>
      </c>
    </row>
    <row r="27" customFormat="false" ht="15" hidden="false" customHeight="false" outlineLevel="0" collapsed="false">
      <c r="A27" s="13" t="s">
        <v>553</v>
      </c>
      <c r="C27" s="37" t="n">
        <f aca="false">IF('Parent Inputs'!C45&lt;&gt;"",'Parent Inputs'!C45,IF(C22=1,INDEX(EC_Food,C14),IF(C21&gt;0,INDEX(LV_Food,C21)*C23,0)))</f>
        <v>0</v>
      </c>
      <c r="D27" s="37" t="n">
        <f aca="false">IF('Parent Inputs'!D45&lt;&gt;"",'Parent Inputs'!D45,IF(D22=1,INDEX(EC_Food,D14),IF(D21&gt;0,INDEX(LV_Food,D21)*D23,0)))</f>
        <v>0</v>
      </c>
      <c r="E27" s="37" t="n">
        <f aca="false">IF('Parent Inputs'!E45&lt;&gt;"",'Parent Inputs'!E45,IF(E22=1,INDEX(EC_Food,E14),IF(E21&gt;0,INDEX(LV_Food,E21)*E23,0)))</f>
        <v>0</v>
      </c>
      <c r="F27" s="37" t="n">
        <f aca="false">IF('Parent Inputs'!F45&lt;&gt;"",'Parent Inputs'!F45,IF(F22=1,INDEX(EC_Food,F14),IF(F21&gt;0,INDEX(LV_Food,F21)*F23,0)))</f>
        <v>0</v>
      </c>
    </row>
    <row r="28" customFormat="false" ht="15" hidden="false" customHeight="false" outlineLevel="0" collapsed="false">
      <c r="A28" s="13" t="s">
        <v>554</v>
      </c>
      <c r="C28" s="37" t="n">
        <f aca="false">IF('Parent Inputs'!C46&lt;&gt;"",'Parent Inputs'!C46,IF(C22=1,INDEX(EC_Trans,C14),IF(C21&gt;0,INDEX(LV_Trans,C21)*C23,0)))</f>
        <v>0</v>
      </c>
      <c r="D28" s="37" t="n">
        <f aca="false">IF('Parent Inputs'!D46&lt;&gt;"",'Parent Inputs'!D46,IF(D22=1,INDEX(EC_Trans,D14),IF(D21&gt;0,INDEX(LV_Trans,D21)*D23,0)))</f>
        <v>0</v>
      </c>
      <c r="E28" s="37" t="n">
        <f aca="false">IF('Parent Inputs'!E46&lt;&gt;"",'Parent Inputs'!E46,IF(E22=1,INDEX(EC_Trans,E14),IF(E21&gt;0,INDEX(LV_Trans,E21)*E23,0)))</f>
        <v>0</v>
      </c>
      <c r="F28" s="37" t="n">
        <f aca="false">IF('Parent Inputs'!F46&lt;&gt;"",'Parent Inputs'!F46,IF(F22=1,INDEX(EC_Trans,F14),IF(F21&gt;0,INDEX(LV_Trans,F21)*F23,0)))</f>
        <v>0</v>
      </c>
    </row>
    <row r="29" customFormat="false" ht="15" hidden="false" customHeight="false" outlineLevel="0" collapsed="false">
      <c r="A29" s="13" t="s">
        <v>555</v>
      </c>
      <c r="C29" s="37" t="n">
        <f aca="false">IF('Parent Inputs'!C47&lt;&gt;"",'Parent Inputs'!C47,IF(C22=1,INDEX(EC_Ins,C14),IF(C21&gt;0,INDEX(LV_Ins,C21)*C23,0)))</f>
        <v>0</v>
      </c>
      <c r="D29" s="37" t="n">
        <f aca="false">IF('Parent Inputs'!D47&lt;&gt;"",'Parent Inputs'!D47,IF(D22=1,INDEX(EC_Ins,D14),IF(D21&gt;0,INDEX(LV_Ins,D21)*D23,0)))</f>
        <v>0</v>
      </c>
      <c r="E29" s="37" t="n">
        <f aca="false">IF('Parent Inputs'!E47&lt;&gt;"",'Parent Inputs'!E47,IF(E22=1,INDEX(EC_Ins,E14),IF(E21&gt;0,INDEX(LV_Ins,E21)*E23,0)))</f>
        <v>0</v>
      </c>
      <c r="F29" s="37" t="n">
        <f aca="false">IF('Parent Inputs'!F47&lt;&gt;"",'Parent Inputs'!F47,IF(F22=1,INDEX(EC_Ins,F14),IF(F21&gt;0,INDEX(LV_Ins,F21)*F23,0)))</f>
        <v>0</v>
      </c>
    </row>
    <row r="30" customFormat="false" ht="15" hidden="false" customHeight="false" outlineLevel="0" collapsed="false">
      <c r="A30" s="13" t="s">
        <v>556</v>
      </c>
      <c r="C30" s="37" t="n">
        <f aca="false">IF('Parent Inputs'!C48&lt;&gt;"",'Parent Inputs'!C48,IF(C22=1,INDEX(EC_Books,C14),IF(C21&gt;0,INDEX(LV_Books,C21)*C23,0)))</f>
        <v>0</v>
      </c>
      <c r="D30" s="37" t="n">
        <f aca="false">IF('Parent Inputs'!D48&lt;&gt;"",'Parent Inputs'!D48,IF(D22=1,INDEX(EC_Books,D14),IF(D21&gt;0,INDEX(LV_Books,D21)*D23,0)))</f>
        <v>0</v>
      </c>
      <c r="E30" s="37" t="n">
        <f aca="false">IF('Parent Inputs'!E48&lt;&gt;"",'Parent Inputs'!E48,IF(E22=1,INDEX(EC_Books,E14),IF(E21&gt;0,INDEX(LV_Books,E21)*E23,0)))</f>
        <v>0</v>
      </c>
      <c r="F30" s="37" t="n">
        <f aca="false">IF('Parent Inputs'!F48&lt;&gt;"",'Parent Inputs'!F48,IF(F22=1,INDEX(EC_Books,F14),IF(F21&gt;0,INDEX(LV_Books,F21)*F23,0)))</f>
        <v>0</v>
      </c>
    </row>
    <row r="31" customFormat="false" ht="15" hidden="false" customHeight="false" outlineLevel="0" collapsed="false">
      <c r="A31" s="13" t="s">
        <v>557</v>
      </c>
      <c r="C31" s="37" t="n">
        <f aca="false">IF('Parent Inputs'!C49&lt;&gt;"",'Parent Inputs'!C49,IF(C22=1,INDEX(EC_Personal,C14),IF(C21&gt;0,INDEX(LV_Personal,C21)*C23,0)))</f>
        <v>0</v>
      </c>
      <c r="D31" s="37" t="n">
        <f aca="false">IF('Parent Inputs'!D49&lt;&gt;"",'Parent Inputs'!D49,IF(D22=1,INDEX(EC_Personal,D14),IF(D21&gt;0,INDEX(LV_Personal,D21)*D23,0)))</f>
        <v>0</v>
      </c>
      <c r="E31" s="37" t="n">
        <f aca="false">IF('Parent Inputs'!E49&lt;&gt;"",'Parent Inputs'!E49,IF(E22=1,INDEX(EC_Personal,E14),IF(E21&gt;0,INDEX(LV_Personal,E21)*E23,0)))</f>
        <v>0</v>
      </c>
      <c r="F31" s="37" t="n">
        <f aca="false">IF('Parent Inputs'!F49&lt;&gt;"",'Parent Inputs'!F49,IF(F22=1,INDEX(EC_Personal,F14),IF(F21&gt;0,INDEX(LV_Personal,F21)*F23,0)))</f>
        <v>0</v>
      </c>
    </row>
    <row r="32" customFormat="false" ht="15" hidden="false" customHeight="false" outlineLevel="0" collapsed="false">
      <c r="A32" s="13" t="s">
        <v>558</v>
      </c>
      <c r="C32" s="37" t="n">
        <f aca="false">IF('Parent Inputs'!C50&lt;&gt;"",'Parent Inputs'!C50,IF(C22=1,0,IF(C21&gt;0,INDEX(LV_Comb,C21)*C23,0)))</f>
        <v>0</v>
      </c>
      <c r="D32" s="37" t="n">
        <f aca="false">IF('Parent Inputs'!D50&lt;&gt;"",'Parent Inputs'!D50,IF(D22=1,0,IF(D21&gt;0,INDEX(LV_Comb,D21)*D23,0)))</f>
        <v>0</v>
      </c>
      <c r="E32" s="37" t="n">
        <f aca="false">IF('Parent Inputs'!E50&lt;&gt;"",'Parent Inputs'!E50,IF(E22=1,0,IF(E21&gt;0,INDEX(LV_Comb,E21)*E23,0)))</f>
        <v>0</v>
      </c>
      <c r="F32" s="37" t="n">
        <f aca="false">IF('Parent Inputs'!F50&lt;&gt;"",'Parent Inputs'!F50,IF(F22=1,0,IF(F21&gt;0,INDEX(LV_Comb,F21)*F23,0)))</f>
        <v>0</v>
      </c>
    </row>
    <row r="33" customFormat="false" ht="15" hidden="false" customHeight="false" outlineLevel="0" collapsed="false">
      <c r="A33" s="13" t="s">
        <v>559</v>
      </c>
      <c r="C33" s="37" t="n">
        <f aca="false">IF('Parent Inputs'!C51&lt;&gt;"",'Parent Inputs'!C51,IF(C14&gt;0,INDEX(EC_Adm,C14),IF(C16=1,INDEX(AV_Adm,C15),0)))</f>
        <v>122200</v>
      </c>
      <c r="D33" s="37" t="n">
        <f aca="false">IF('Parent Inputs'!D51&lt;&gt;"",'Parent Inputs'!D51,IF(D14&gt;0,INDEX(EC_Adm,D14),IF(D16=1,INDEX(AV_Adm,D15),0)))</f>
        <v>289000</v>
      </c>
      <c r="E33" s="37" t="n">
        <f aca="false">IF('Parent Inputs'!E51&lt;&gt;"",'Parent Inputs'!E51,IF(E14&gt;0,INDEX(EC_Adm,E14),IF(E16=1,INDEX(AV_Adm,E15),0)))</f>
        <v>122200</v>
      </c>
      <c r="F33" s="37" t="n">
        <f aca="false">IF('Parent Inputs'!F51&lt;&gt;"",'Parent Inputs'!F51,IF(F14&gt;0,INDEX(EC_Adm,F14),IF(F16=1,INDEX(AV_Adm,F15),0)))</f>
        <v>122200</v>
      </c>
    </row>
    <row r="34" customFormat="false" ht="15" hidden="false" customHeight="false" outlineLevel="0" collapsed="false">
      <c r="A34" s="13" t="s">
        <v>560</v>
      </c>
      <c r="C34" s="37" t="n">
        <f aca="false">IF('Parent Inputs'!C52&lt;&gt;"",'Parent Inputs'!C52,IF(C21&gt;0,INDEX(LV_Visa,C21)*C23,0))</f>
        <v>0</v>
      </c>
      <c r="D34" s="37" t="n">
        <f aca="false">IF('Parent Inputs'!D52&lt;&gt;"",'Parent Inputs'!D52,IF(D21&gt;0,INDEX(LV_Visa,D21)*D23,0))</f>
        <v>0</v>
      </c>
      <c r="E34" s="37" t="n">
        <f aca="false">IF('Parent Inputs'!E52&lt;&gt;"",'Parent Inputs'!E52,IF(E21&gt;0,INDEX(LV_Visa,E21)*E23,0))</f>
        <v>0</v>
      </c>
      <c r="F34" s="37" t="n">
        <f aca="false">IF('Parent Inputs'!F52&lt;&gt;"",'Parent Inputs'!F52,IF(F21&gt;0,INDEX(LV_Visa,F21)*F23,0))</f>
        <v>0</v>
      </c>
    </row>
    <row r="35" customFormat="false" ht="15" hidden="false" customHeight="false" outlineLevel="0" collapsed="false">
      <c r="A35" s="13" t="s">
        <v>561</v>
      </c>
      <c r="C35" s="37" t="n">
        <f aca="false">IF('Parent Inputs'!C53&lt;&gt;"",'Parent Inputs'!C53,0)</f>
        <v>0</v>
      </c>
      <c r="D35" s="37" t="n">
        <f aca="false">IF('Parent Inputs'!D53&lt;&gt;"",'Parent Inputs'!D53,0)</f>
        <v>0</v>
      </c>
      <c r="E35" s="37" t="n">
        <f aca="false">IF('Parent Inputs'!E53&lt;&gt;"",'Parent Inputs'!E53,0)</f>
        <v>0</v>
      </c>
      <c r="F35" s="37" t="n">
        <f aca="false">IF('Parent Inputs'!F53&lt;&gt;"",'Parent Inputs'!F53,0)</f>
        <v>0</v>
      </c>
    </row>
    <row r="36" customFormat="false" ht="15" hidden="false" customHeight="false" outlineLevel="0" collapsed="false">
      <c r="A36" s="13" t="s">
        <v>562</v>
      </c>
      <c r="C36" s="37" t="n">
        <f aca="false">IF('Parent Inputs'!C54&lt;&gt;"",'Parent Inputs'!C54,IF(C14&gt;0,INDEX(EC_OtherOT,C14),IF(C16=1,INDEX(AV_OtherOT,C15),0)))</f>
        <v>0</v>
      </c>
      <c r="D36" s="37" t="n">
        <f aca="false">IF('Parent Inputs'!D54&lt;&gt;"",'Parent Inputs'!D54,IF(D14&gt;0,INDEX(EC_OtherOT,D14),IF(D16=1,INDEX(AV_OtherOT,D15),0)))</f>
        <v>0</v>
      </c>
      <c r="E36" s="37" t="n">
        <f aca="false">IF('Parent Inputs'!E54&lt;&gt;"",'Parent Inputs'!E54,IF(E14&gt;0,INDEX(EC_OtherOT,E14),IF(E16=1,INDEX(AV_OtherOT,E15),0)))</f>
        <v>0</v>
      </c>
      <c r="F36" s="37" t="n">
        <f aca="false">IF('Parent Inputs'!F54&lt;&gt;"",'Parent Inputs'!F54,IF(F14&gt;0,INDEX(EC_OtherOT,F14),IF(F16=1,INDEX(AV_OtherOT,F15),0)))</f>
        <v>0</v>
      </c>
    </row>
    <row r="37" customFormat="false" ht="15" hidden="false" customHeight="false" outlineLevel="0" collapsed="false">
      <c r="A37" s="13" t="s">
        <v>563</v>
      </c>
      <c r="C37" s="38" t="n">
        <f aca="false">IF('Parent Inputs'!C34&lt;&gt;"",'Parent Inputs'!C34,IF(C14&gt;0,INDEX(EC_Dur,C14),IFERROR(INDEX(CD_Years,MATCH(C9&amp;"|"&amp;C13,CD_Key,0)),IFERROR(INDEX(CO_Dur,MATCH(C9,CO_Name,0)),4))))</f>
        <v>4</v>
      </c>
      <c r="D37" s="38" t="n">
        <f aca="false">IF('Parent Inputs'!D34&lt;&gt;"",'Parent Inputs'!D34,IF(D14&gt;0,INDEX(EC_Dur,D14),IFERROR(INDEX(CD_Years,MATCH(D9&amp;"|"&amp;D13,CD_Key,0)),IFERROR(INDEX(CO_Dur,MATCH(D9,CO_Name,0)),4))))</f>
        <v>5</v>
      </c>
      <c r="E37" s="38" t="n">
        <f aca="false">IF('Parent Inputs'!E34&lt;&gt;"",'Parent Inputs'!E34,IF(E14&gt;0,INDEX(EC_Dur,E14),IFERROR(INDEX(CD_Years,MATCH(E9&amp;"|"&amp;E13,CD_Key,0)),IFERROR(INDEX(CO_Dur,MATCH(E9,CO_Name,0)),4))))</f>
        <v>4</v>
      </c>
      <c r="F37" s="38" t="n">
        <f aca="false">IF('Parent Inputs'!F34&lt;&gt;"",'Parent Inputs'!F34,IF(F14&gt;0,INDEX(EC_Dur,F14),IFERROR(INDEX(CD_Years,MATCH(F9&amp;"|"&amp;F13,CD_Key,0)),IFERROR(INDEX(CO_Dur,MATCH(F9,CO_Name,0)),4))))</f>
        <v>4</v>
      </c>
    </row>
    <row r="38" customFormat="false" ht="15" hidden="false" customHeight="false" outlineLevel="0" collapsed="false">
      <c r="A38" s="13" t="s">
        <v>564</v>
      </c>
      <c r="C38" s="37" t="n">
        <f aca="false">SUM(C26:C32)</f>
        <v>197600</v>
      </c>
      <c r="D38" s="37" t="n">
        <f aca="false">SUM(D26:D32)</f>
        <v>197600</v>
      </c>
      <c r="E38" s="37" t="n">
        <f aca="false">SUM(E26:E32)</f>
        <v>197600</v>
      </c>
      <c r="F38" s="37" t="n">
        <f aca="false">SUM(F26:F32)</f>
        <v>197600</v>
      </c>
    </row>
    <row r="39" customFormat="false" ht="15" hidden="false" customHeight="false" outlineLevel="0" collapsed="false">
      <c r="A39" s="13" t="s">
        <v>565</v>
      </c>
      <c r="C39" s="5" t="str">
        <f aca="false">IF(COUNTA('Parent Inputs'!C42:C54)&gt;0,"Yes — "&amp;COUNTA('Parent Inputs'!C42:C54)&amp;" value(s) are user overrides","No")</f>
        <v>No</v>
      </c>
      <c r="D39" s="5" t="str">
        <f aca="false">IF(COUNTA('Parent Inputs'!D42:D54)&gt;0,"Yes — "&amp;COUNTA('Parent Inputs'!D42:D54)&amp;" value(s) are user overrides","No")</f>
        <v>No</v>
      </c>
      <c r="E39" s="5" t="str">
        <f aca="false">IF(COUNTA('Parent Inputs'!E42:E54)&gt;0,"Yes — "&amp;COUNTA('Parent Inputs'!E42:E54)&amp;" value(s) are user overrides","No")</f>
        <v>No</v>
      </c>
      <c r="F39" s="5" t="str">
        <f aca="false">IF(COUNTA('Parent Inputs'!F42:F54)&gt;0,"Yes — "&amp;COUNTA('Parent Inputs'!F42:F54)&amp;" value(s) are user overrides","No")</f>
        <v>No</v>
      </c>
    </row>
    <row r="40" customFormat="false" ht="15" hidden="false" customHeight="false" outlineLevel="0" collapsed="false">
      <c r="A40" s="13" t="s">
        <v>566</v>
      </c>
      <c r="C40" s="37" t="n">
        <f aca="false">N('Parent Inputs'!C35)</f>
        <v>500000</v>
      </c>
      <c r="D40" s="37" t="n">
        <f aca="false">N('Parent Inputs'!D35)</f>
        <v>100000</v>
      </c>
      <c r="E40" s="37" t="n">
        <f aca="false">N('Parent Inputs'!E35)</f>
        <v>0</v>
      </c>
      <c r="F40" s="37" t="n">
        <f aca="false">N('Parent Inputs'!F35)</f>
        <v>0</v>
      </c>
    </row>
    <row r="41" customFormat="false" ht="15" hidden="false" customHeight="false" outlineLevel="0" collapsed="false">
      <c r="A41" s="13" t="s">
        <v>55</v>
      </c>
      <c r="C41" s="37" t="n">
        <f aca="false">N('Parent Inputs'!C36)</f>
        <v>10000</v>
      </c>
      <c r="D41" s="37" t="n">
        <f aca="false">N('Parent Inputs'!D36)</f>
        <v>5000</v>
      </c>
      <c r="E41" s="37" t="n">
        <f aca="false">N('Parent Inputs'!E36)</f>
        <v>0</v>
      </c>
      <c r="F41" s="37" t="n">
        <f aca="false">N('Parent Inputs'!F36)</f>
        <v>0</v>
      </c>
    </row>
    <row r="42" customFormat="false" ht="15" hidden="false" customHeight="false" outlineLevel="0" collapsed="false">
      <c r="A42" s="13" t="s">
        <v>56</v>
      </c>
      <c r="C42" s="37" t="n">
        <f aca="false">N('Parent Inputs'!C37)</f>
        <v>0</v>
      </c>
      <c r="D42" s="37" t="n">
        <f aca="false">N('Parent Inputs'!D37)</f>
        <v>0</v>
      </c>
      <c r="E42" s="37" t="n">
        <f aca="false">N('Parent Inputs'!E37)</f>
        <v>0</v>
      </c>
      <c r="F42" s="37" t="n">
        <f aca="false">N('Parent Inputs'!F37)</f>
        <v>0</v>
      </c>
    </row>
    <row r="43" customFormat="false" ht="15" hidden="false" customHeight="false" outlineLevel="0" collapsed="false">
      <c r="A43" s="13" t="s">
        <v>567</v>
      </c>
      <c r="C43" s="12" t="n">
        <f aca="false">N('Parent Inputs'!C38)</f>
        <v>0</v>
      </c>
      <c r="D43" s="12" t="n">
        <f aca="false">N('Parent Inputs'!D38)</f>
        <v>0</v>
      </c>
      <c r="E43" s="12" t="n">
        <f aca="false">N('Parent Inputs'!E38)</f>
        <v>0</v>
      </c>
      <c r="F43" s="12" t="n">
        <f aca="false">N('Parent Inputs'!F38)</f>
        <v>0</v>
      </c>
    </row>
    <row r="44" customFormat="false" ht="15" hidden="false" customHeight="false" outlineLevel="0" collapsed="false">
      <c r="A44" s="13" t="s">
        <v>568</v>
      </c>
      <c r="C44" s="37" t="n">
        <f aca="false">N('Parent Inputs'!C39)</f>
        <v>0</v>
      </c>
      <c r="D44" s="37" t="n">
        <f aca="false">N('Parent Inputs'!D39)</f>
        <v>0</v>
      </c>
      <c r="E44" s="37" t="n">
        <f aca="false">N('Parent Inputs'!E39)</f>
        <v>0</v>
      </c>
      <c r="F44" s="37" t="n">
        <f aca="false">N('Parent Inputs'!F39)</f>
        <v>0</v>
      </c>
    </row>
    <row r="45" customFormat="false" ht="15" hidden="false" customHeight="false" outlineLevel="0" collapsed="false">
      <c r="A45" s="13" t="s">
        <v>569</v>
      </c>
      <c r="C45" s="37" t="n">
        <f aca="false">N('Parent Inputs'!C40)</f>
        <v>0</v>
      </c>
      <c r="D45" s="37" t="n">
        <f aca="false">N('Parent Inputs'!D40)</f>
        <v>0</v>
      </c>
      <c r="E45" s="37" t="n">
        <f aca="false">N('Parent Inputs'!E40)</f>
        <v>0</v>
      </c>
      <c r="F45" s="37" t="n">
        <f aca="false">N('Parent Inputs'!F40)</f>
        <v>0</v>
      </c>
    </row>
    <row r="46" customFormat="false" ht="15" hidden="false" customHeight="false" outlineLevel="0" collapsed="false">
      <c r="A46" s="13" t="s">
        <v>570</v>
      </c>
      <c r="C46" s="9" t="n">
        <f aca="false">IF(AND(ISNUMBER(C7),ISNUMBER(C8),ISNUMBER(C37),C13&lt;&gt;""),IF(AND(C7&gt;=0,C7&lt;=40,INT(C7)=C7,C8&gt;=14,C8&lt;=45,INT(C8)=C8,C37&gt;=0,C37&lt;=10,C43&gt;=0,C43&lt;=1,C40&gt;=0,C41&gt;=0,C42&gt;=0,C44&gt;=0,C45&gt;=0,AssumptionsValid),1,0),0)</f>
        <v>1</v>
      </c>
      <c r="D46" s="9" t="n">
        <f aca="false">IF(AND(ISNUMBER(D7),ISNUMBER(D8),ISNUMBER(D37),D13&lt;&gt;""),IF(AND(D7&gt;=0,D7&lt;=40,INT(D7)=D7,D8&gt;=14,D8&lt;=45,INT(D8)=D8,D37&gt;=0,D37&lt;=10,D43&gt;=0,D43&lt;=1,D40&gt;=0,D41&gt;=0,D42&gt;=0,D44&gt;=0,D45&gt;=0,AssumptionsValid),1,0),0)</f>
        <v>1</v>
      </c>
      <c r="E46" s="9" t="n">
        <f aca="false">IF(AND(ISNUMBER(E7),ISNUMBER(E8),ISNUMBER(E37),E13&lt;&gt;""),IF(AND(E7&gt;=0,E7&lt;=40,INT(E7)=E7,E8&gt;=14,E8&lt;=45,INT(E8)=E8,E37&gt;=0,E37&lt;=10,E43&gt;=0,E43&lt;=1,E40&gt;=0,E41&gt;=0,E42&gt;=0,E44&gt;=0,E45&gt;=0,AssumptionsValid),1,0),0)</f>
        <v>1</v>
      </c>
      <c r="F46" s="9" t="n">
        <f aca="false">IF(AND(ISNUMBER(F7),ISNUMBER(F8),ISNUMBER(F37),F13&lt;&gt;""),IF(AND(F7&gt;=0,F7&lt;=40,INT(F7)=F7,F8&gt;=14,F8&lt;=45,INT(F8)=F8,F37&gt;=0,F37&lt;=10,F43&gt;=0,F43&lt;=1,F40&gt;=0,F41&gt;=0,F42&gt;=0,F44&gt;=0,F45&gt;=0,AssumptionsValid),1,0),0)</f>
        <v>1</v>
      </c>
    </row>
    <row r="47" customFormat="false" ht="15" hidden="false" customHeight="false" outlineLevel="0" collapsed="false">
      <c r="A47" s="13" t="s">
        <v>571</v>
      </c>
      <c r="C47" s="9" t="n">
        <f aca="false">C5*C46</f>
        <v>1</v>
      </c>
      <c r="D47" s="9" t="n">
        <f aca="false">D5*D46</f>
        <v>1</v>
      </c>
      <c r="E47" s="9" t="n">
        <f aca="false">E5*E46</f>
        <v>0</v>
      </c>
      <c r="F47" s="9" t="n">
        <f aca="false">F5*F46</f>
        <v>0</v>
      </c>
    </row>
    <row r="48" customFormat="false" ht="15" hidden="false" customHeight="false" outlineLevel="0" collapsed="false">
      <c r="A48" s="13" t="s">
        <v>572</v>
      </c>
      <c r="C48" s="5" t="str">
        <f aca="false">IF(C5=0,"Not used",IF(C46=1,"OK","Check age (0–40), entry age (14–45), duration (0–10), qualification, amounts and assumptions"))</f>
        <v>OK</v>
      </c>
      <c r="D48" s="5" t="str">
        <f aca="false">IF(D5=0,"Not used",IF(D46=1,"OK","Check age (0–40), entry age (14–45), duration (0–10), qualification, amounts and assumptions"))</f>
        <v>OK</v>
      </c>
      <c r="E48" s="5" t="str">
        <f aca="false">IF(E5=0,"Not used",IF(E46=1,"OK","Check age (0–40), entry age (14–45), duration (0–10), qualification, amounts and assumptions"))</f>
        <v>Not used</v>
      </c>
      <c r="F48" s="5" t="str">
        <f aca="false">IF(F5=0,"Not used",IF(F46=1,"OK","Check age (0–40), entry age (14–45), duration (0–10), qualification, amounts and assumptions"))</f>
        <v>Not used</v>
      </c>
    </row>
    <row r="49" customFormat="false" ht="15" hidden="false" customHeight="false" outlineLevel="0" collapsed="false">
      <c r="A49" s="13" t="s">
        <v>573</v>
      </c>
      <c r="C49" s="9" t="n">
        <f aca="false">IF(C47=1,MAX(0,C8-C7),0)</f>
        <v>8</v>
      </c>
      <c r="D49" s="9" t="n">
        <f aca="false">IF(D47=1,MAX(0,D8-D7),0)</f>
        <v>12</v>
      </c>
      <c r="E49" s="9" t="n">
        <f aca="false">IF(E47=1,MAX(0,E8-E7),0)</f>
        <v>0</v>
      </c>
      <c r="F49" s="9" t="n">
        <f aca="false">IF(F47=1,MAX(0,F8-F7),0)</f>
        <v>0</v>
      </c>
    </row>
    <row r="50" customFormat="false" ht="15" hidden="false" customHeight="false" outlineLevel="0" collapsed="false">
      <c r="A50" s="13" t="s">
        <v>574</v>
      </c>
      <c r="C50" s="9" t="n">
        <f aca="false">IF(C47=1,ROUNDUP(C37,0),0)</f>
        <v>4</v>
      </c>
      <c r="D50" s="9" t="n">
        <f aca="false">IF(D47=1,ROUNDUP(D37,0),0)</f>
        <v>5</v>
      </c>
      <c r="E50" s="9" t="n">
        <f aca="false">IF(E47=1,ROUNDUP(E37,0),0)</f>
        <v>0</v>
      </c>
      <c r="F50" s="9" t="n">
        <f aca="false">IF(F47=1,ROUNDUP(F37,0),0)</f>
        <v>0</v>
      </c>
    </row>
    <row r="51" customFormat="false" ht="15" hidden="false" customHeight="false" outlineLevel="0" collapsed="false">
      <c r="A51" s="13" t="s">
        <v>575</v>
      </c>
      <c r="C51" s="9" t="n">
        <f aca="false">C49+C50</f>
        <v>12</v>
      </c>
      <c r="D51" s="9" t="n">
        <f aca="false">D49+D50</f>
        <v>17</v>
      </c>
      <c r="E51" s="9" t="n">
        <f aca="false">E49+E50</f>
        <v>0</v>
      </c>
      <c r="F51" s="9" t="n">
        <f aca="false">F49+F50</f>
        <v>0</v>
      </c>
    </row>
    <row r="52" customFormat="false" ht="15" hidden="false" customHeight="false" outlineLevel="0" collapsed="false">
      <c r="A52" s="13" t="s">
        <v>576</v>
      </c>
      <c r="C52" s="9" t="n">
        <f aca="false">MAX(C51,1)</f>
        <v>12</v>
      </c>
      <c r="D52" s="9" t="n">
        <f aca="false">MAX(D51,1)</f>
        <v>17</v>
      </c>
      <c r="E52" s="9" t="n">
        <f aca="false">MAX(E51,1)</f>
        <v>1</v>
      </c>
      <c r="F52" s="9" t="n">
        <f aca="false">MAX(F51,1)</f>
        <v>1</v>
      </c>
    </row>
    <row r="53" customFormat="false" ht="15" hidden="false" customHeight="false" outlineLevel="0" collapsed="false">
      <c r="A53" s="13" t="s">
        <v>577</v>
      </c>
      <c r="C53" s="9" t="n">
        <f aca="false">MAX(0,C51-1)</f>
        <v>11</v>
      </c>
      <c r="D53" s="9" t="n">
        <f aca="false">MAX(0,D51-1)</f>
        <v>16</v>
      </c>
      <c r="E53" s="9" t="n">
        <f aca="false">MAX(0,E51-1)</f>
        <v>0</v>
      </c>
      <c r="F53" s="9" t="n">
        <f aca="false">MAX(0,F51-1)</f>
        <v>0</v>
      </c>
    </row>
    <row r="54" customFormat="false" ht="15" hidden="false" customHeight="false" outlineLevel="0" collapsed="false">
      <c r="A54" s="13" t="s">
        <v>578</v>
      </c>
      <c r="C54" s="9" t="n">
        <f aca="false">PlanStartYear-C18</f>
        <v>0</v>
      </c>
      <c r="D54" s="9" t="n">
        <f aca="false">PlanStartYear-D18</f>
        <v>-1</v>
      </c>
      <c r="E54" s="9" t="n">
        <f aca="false">PlanStartYear-E18</f>
        <v>0</v>
      </c>
      <c r="F54" s="9" t="n">
        <f aca="false">PlanStartYear-F18</f>
        <v>0</v>
      </c>
    </row>
    <row r="55" customFormat="false" ht="15" hidden="false" customHeight="false" outlineLevel="0" collapsed="false">
      <c r="A55" s="13" t="s">
        <v>579</v>
      </c>
      <c r="C55" s="36" t="n">
        <f aca="false">INDEX(FX_Rate,MATCH(RepCcy,FX_Ccy,0))/INDEX(FX_Rate,MATCH(C17,FX_Ccy,0))</f>
        <v>1</v>
      </c>
      <c r="D55" s="36" t="n">
        <f aca="false">INDEX(FX_Rate,MATCH(RepCcy,FX_Ccy,0))/INDEX(FX_Rate,MATCH(D17,FX_Ccy,0))</f>
        <v>1</v>
      </c>
      <c r="E55" s="36" t="n">
        <f aca="false">INDEX(FX_Rate,MATCH(RepCcy,FX_Ccy,0))/INDEX(FX_Rate,MATCH(E17,FX_Ccy,0))</f>
        <v>1</v>
      </c>
      <c r="F55" s="36" t="n">
        <f aca="false">INDEX(FX_Rate,MATCH(RepCcy,FX_Ccy,0))/INDEX(FX_Rate,MATCH(F17,FX_Ccy,0))</f>
        <v>1</v>
      </c>
    </row>
    <row r="56" customFormat="false" ht="15" hidden="false" customHeight="false" outlineLevel="0" collapsed="false">
      <c r="A56" s="13" t="s">
        <v>580</v>
      </c>
      <c r="C56" s="5" t="str">
        <f aca="false">IF(AND(C47=1,C8&lt;=C7),"Yes — costs start now","No")</f>
        <v>No</v>
      </c>
      <c r="D56" s="5" t="str">
        <f aca="false">IF(AND(D47=1,D8&lt;=D7),"Yes — costs start now","No")</f>
        <v>No</v>
      </c>
      <c r="E56" s="5" t="str">
        <f aca="false">IF(AND(E47=1,E8&lt;=E7),"Yes — costs start now","No")</f>
        <v>No</v>
      </c>
      <c r="F56" s="5" t="str">
        <f aca="false">IF(AND(F47=1,F8&lt;=F7),"Yes — costs start now","No")</f>
        <v>No</v>
      </c>
    </row>
    <row r="60" customFormat="false" ht="15" hidden="false" customHeight="false" outlineLevel="0" collapsed="false">
      <c r="A60" s="6" t="str">
        <f aca="false">"Child 1: "&amp;C6&amp;" — costs by plan year (fee currency: "&amp;C17&amp;", reporting: "&amp;RepCcy&amp;")"</f>
        <v>Child 1: Child 1 — costs by plan year (fee currency: PKR, reporting: PKR)</v>
      </c>
    </row>
    <row r="61" customFormat="false" ht="54" hidden="false" customHeight="true" outlineLevel="0" collapsed="false">
      <c r="A61" s="22" t="s">
        <v>581</v>
      </c>
      <c r="B61" s="22" t="s">
        <v>582</v>
      </c>
      <c r="C61" s="22" t="s">
        <v>583</v>
      </c>
      <c r="D61" s="22" t="s">
        <v>584</v>
      </c>
      <c r="E61" s="22" t="s">
        <v>585</v>
      </c>
      <c r="F61" s="22" t="s">
        <v>586</v>
      </c>
      <c r="G61" s="22" t="s">
        <v>587</v>
      </c>
      <c r="H61" s="22" t="s">
        <v>588</v>
      </c>
      <c r="I61" s="22" t="s">
        <v>589</v>
      </c>
      <c r="J61" s="22" t="s">
        <v>590</v>
      </c>
      <c r="K61" s="22" t="s">
        <v>591</v>
      </c>
      <c r="L61" s="22" t="s">
        <v>422</v>
      </c>
      <c r="M61" s="22" t="s">
        <v>423</v>
      </c>
      <c r="N61" s="22" t="s">
        <v>424</v>
      </c>
      <c r="O61" s="22" t="s">
        <v>592</v>
      </c>
      <c r="P61" s="22" t="s">
        <v>426</v>
      </c>
      <c r="Q61" s="22" t="s">
        <v>593</v>
      </c>
      <c r="R61" s="22" t="s">
        <v>594</v>
      </c>
      <c r="S61" s="22" t="s">
        <v>595</v>
      </c>
      <c r="T61" s="22" t="s">
        <v>596</v>
      </c>
      <c r="U61" s="22" t="s">
        <v>597</v>
      </c>
      <c r="V61" s="22" t="s">
        <v>598</v>
      </c>
      <c r="W61" s="22" t="s">
        <v>599</v>
      </c>
      <c r="X61" s="22" t="s">
        <v>600</v>
      </c>
      <c r="Y61" s="22" t="s">
        <v>601</v>
      </c>
      <c r="Z61" s="22" t="s">
        <v>602</v>
      </c>
      <c r="AA61" s="22" t="s">
        <v>603</v>
      </c>
      <c r="AB61" s="22" t="s">
        <v>604</v>
      </c>
      <c r="AC61" s="22" t="s">
        <v>605</v>
      </c>
    </row>
    <row r="62" customFormat="false" ht="15" hidden="false" customHeight="false" outlineLevel="0" collapsed="false">
      <c r="A62" s="27" t="n">
        <v>1</v>
      </c>
      <c r="B62" s="27" t="n">
        <f aca="false">IF(AND(A62&lt;=$C$52,$C$47=1),1,0)</f>
        <v>1</v>
      </c>
      <c r="C62" s="27" t="n">
        <f aca="false">IF(B62=1,$C$7+A62-1,"")</f>
        <v>10</v>
      </c>
      <c r="D62" s="28" t="str">
        <f aca="false">(PlanStartYear+A62-1)&amp;"/"&amp;RIGHT(PlanStartYear+A62,2)</f>
        <v>2026/27</v>
      </c>
      <c r="E62" s="27" t="n">
        <f aca="false">A62-1-$C$49</f>
        <v>-8</v>
      </c>
      <c r="F62" s="39" t="n">
        <f aca="false">IF(AND(B62=1,E62&gt;=0,E62&lt;$C$50),MIN(1,$C$37-E62),0)</f>
        <v>0</v>
      </c>
      <c r="G62" s="27" t="n">
        <f aca="false">(A62-1)+$C$54</f>
        <v>0</v>
      </c>
      <c r="H62" s="40" t="n">
        <f aca="false">(1+TuiInf)^G62</f>
        <v>1</v>
      </c>
      <c r="I62" s="40" t="n">
        <f aca="false">(1+LivInf)^G62</f>
        <v>1</v>
      </c>
      <c r="J62" s="28" t="n">
        <f aca="false">$C$24*H62*F62</f>
        <v>0</v>
      </c>
      <c r="K62" s="28" t="n">
        <f aca="false">$C$25*H62*F62</f>
        <v>0</v>
      </c>
      <c r="L62" s="28" t="n">
        <f aca="false">$C$26*I62*F62</f>
        <v>0</v>
      </c>
      <c r="M62" s="28" t="n">
        <f aca="false">$C$27*I62*F62</f>
        <v>0</v>
      </c>
      <c r="N62" s="28" t="n">
        <f aca="false">$C$28*I62*F62</f>
        <v>0</v>
      </c>
      <c r="O62" s="28" t="n">
        <f aca="false">$C$29*I62*F62</f>
        <v>0</v>
      </c>
      <c r="P62" s="28" t="n">
        <f aca="false">$C$30*I62*F62</f>
        <v>0</v>
      </c>
      <c r="Q62" s="28" t="n">
        <f aca="false">$C$31*I62*F62</f>
        <v>0</v>
      </c>
      <c r="R62" s="28" t="n">
        <f aca="false">$C$32*I62*F62</f>
        <v>0</v>
      </c>
      <c r="S62" s="28" t="n">
        <f aca="false">IF(AND(F62&gt;0,E62=0),($C$33+$C$36)*H62+($C$34+$C$35)*I62,0)</f>
        <v>0</v>
      </c>
      <c r="T62" s="28" t="n">
        <f aca="false">SUM(J62:S62)</f>
        <v>0</v>
      </c>
      <c r="U62" s="28" t="n">
        <f aca="false">T62*Cont</f>
        <v>0</v>
      </c>
      <c r="V62" s="28" t="n">
        <f aca="false">MIN(J62,J62*$C$43)</f>
        <v>0</v>
      </c>
      <c r="W62" s="40" t="n">
        <f aca="false">$C$55*(1+FxDrift)^(A62-1)</f>
        <v>1</v>
      </c>
      <c r="X62" s="28" t="n">
        <f aca="false">(T62+U62)*W62</f>
        <v>0</v>
      </c>
      <c r="Y62" s="28" t="n">
        <f aca="false">IF(B62=1,MIN(X62,V62*W62+IF(F62&gt;0,$C$44*F62,0)),0)</f>
        <v>0</v>
      </c>
      <c r="Z62" s="41" t="n">
        <f aca="false">IF(B62=1,MAX(0,X62-(V62*W62+IF(F62&gt;0,$C$44*F62,0))),0)</f>
        <v>0</v>
      </c>
      <c r="AA62" s="28" t="n">
        <f aca="false">IF(B62=1,(J62+K62)*W62,0)</f>
        <v>0</v>
      </c>
      <c r="AB62" s="28" t="n">
        <f aca="false">IF(B62=1,SUM(L62:R62)*W62,0)</f>
        <v>0</v>
      </c>
      <c r="AC62" s="28" t="n">
        <f aca="false">IF(B62=1,(S62+U62)*W62,0)</f>
        <v>0</v>
      </c>
    </row>
    <row r="63" customFormat="false" ht="15" hidden="false" customHeight="false" outlineLevel="0" collapsed="false">
      <c r="A63" s="27" t="n">
        <v>2</v>
      </c>
      <c r="B63" s="27" t="n">
        <f aca="false">IF(AND(A63&lt;=$C$52,$C$47=1),1,0)</f>
        <v>1</v>
      </c>
      <c r="C63" s="27" t="n">
        <f aca="false">IF(B63=1,$C$7+A63-1,"")</f>
        <v>11</v>
      </c>
      <c r="D63" s="28" t="str">
        <f aca="false">(PlanStartYear+A63-1)&amp;"/"&amp;RIGHT(PlanStartYear+A63,2)</f>
        <v>2027/28</v>
      </c>
      <c r="E63" s="27" t="n">
        <f aca="false">A63-1-$C$49</f>
        <v>-7</v>
      </c>
      <c r="F63" s="39" t="n">
        <f aca="false">IF(AND(B63=1,E63&gt;=0,E63&lt;$C$50),MIN(1,$C$37-E63),0)</f>
        <v>0</v>
      </c>
      <c r="G63" s="27" t="n">
        <f aca="false">(A63-1)+$C$54</f>
        <v>1</v>
      </c>
      <c r="H63" s="40" t="n">
        <f aca="false">(1+TuiInf)^G63</f>
        <v>1.1</v>
      </c>
      <c r="I63" s="40" t="n">
        <f aca="false">(1+LivInf)^G63</f>
        <v>1.08</v>
      </c>
      <c r="J63" s="28" t="n">
        <f aca="false">$C$24*H63*F63</f>
        <v>0</v>
      </c>
      <c r="K63" s="28" t="n">
        <f aca="false">$C$25*H63*F63</f>
        <v>0</v>
      </c>
      <c r="L63" s="28" t="n">
        <f aca="false">$C$26*I63*F63</f>
        <v>0</v>
      </c>
      <c r="M63" s="28" t="n">
        <f aca="false">$C$27*I63*F63</f>
        <v>0</v>
      </c>
      <c r="N63" s="28" t="n">
        <f aca="false">$C$28*I63*F63</f>
        <v>0</v>
      </c>
      <c r="O63" s="28" t="n">
        <f aca="false">$C$29*I63*F63</f>
        <v>0</v>
      </c>
      <c r="P63" s="28" t="n">
        <f aca="false">$C$30*I63*F63</f>
        <v>0</v>
      </c>
      <c r="Q63" s="28" t="n">
        <f aca="false">$C$31*I63*F63</f>
        <v>0</v>
      </c>
      <c r="R63" s="28" t="n">
        <f aca="false">$C$32*I63*F63</f>
        <v>0</v>
      </c>
      <c r="S63" s="28" t="n">
        <f aca="false">IF(AND(F63&gt;0,E63=0),($C$33+$C$36)*H63+($C$34+$C$35)*I63,0)</f>
        <v>0</v>
      </c>
      <c r="T63" s="28" t="n">
        <f aca="false">SUM(J63:S63)</f>
        <v>0</v>
      </c>
      <c r="U63" s="28" t="n">
        <f aca="false">T63*Cont</f>
        <v>0</v>
      </c>
      <c r="V63" s="28" t="n">
        <f aca="false">MIN(J63,J63*$C$43)</f>
        <v>0</v>
      </c>
      <c r="W63" s="40" t="n">
        <f aca="false">$C$55*(1+FxDrift)^(A63-1)</f>
        <v>1</v>
      </c>
      <c r="X63" s="28" t="n">
        <f aca="false">(T63+U63)*W63</f>
        <v>0</v>
      </c>
      <c r="Y63" s="28" t="n">
        <f aca="false">IF(B63=1,MIN(X63,V63*W63+IF(F63&gt;0,$C$44*F63,0)),0)</f>
        <v>0</v>
      </c>
      <c r="Z63" s="41" t="n">
        <f aca="false">IF(B63=1,MAX(0,X63-(V63*W63+IF(F63&gt;0,$C$44*F63,0))),0)</f>
        <v>0</v>
      </c>
      <c r="AA63" s="28" t="n">
        <f aca="false">IF(B63=1,(J63+K63)*W63,0)</f>
        <v>0</v>
      </c>
      <c r="AB63" s="28" t="n">
        <f aca="false">IF(B63=1,SUM(L63:R63)*W63,0)</f>
        <v>0</v>
      </c>
      <c r="AC63" s="28" t="n">
        <f aca="false">IF(B63=1,(S63+U63)*W63,0)</f>
        <v>0</v>
      </c>
    </row>
    <row r="64" customFormat="false" ht="15" hidden="false" customHeight="false" outlineLevel="0" collapsed="false">
      <c r="A64" s="27" t="n">
        <v>3</v>
      </c>
      <c r="B64" s="27" t="n">
        <f aca="false">IF(AND(A64&lt;=$C$52,$C$47=1),1,0)</f>
        <v>1</v>
      </c>
      <c r="C64" s="27" t="n">
        <f aca="false">IF(B64=1,$C$7+A64-1,"")</f>
        <v>12</v>
      </c>
      <c r="D64" s="28" t="str">
        <f aca="false">(PlanStartYear+A64-1)&amp;"/"&amp;RIGHT(PlanStartYear+A64,2)</f>
        <v>2028/29</v>
      </c>
      <c r="E64" s="27" t="n">
        <f aca="false">A64-1-$C$49</f>
        <v>-6</v>
      </c>
      <c r="F64" s="39" t="n">
        <f aca="false">IF(AND(B64=1,E64&gt;=0,E64&lt;$C$50),MIN(1,$C$37-E64),0)</f>
        <v>0</v>
      </c>
      <c r="G64" s="27" t="n">
        <f aca="false">(A64-1)+$C$54</f>
        <v>2</v>
      </c>
      <c r="H64" s="40" t="n">
        <f aca="false">(1+TuiInf)^G64</f>
        <v>1.21</v>
      </c>
      <c r="I64" s="40" t="n">
        <f aca="false">(1+LivInf)^G64</f>
        <v>1.1664</v>
      </c>
      <c r="J64" s="28" t="n">
        <f aca="false">$C$24*H64*F64</f>
        <v>0</v>
      </c>
      <c r="K64" s="28" t="n">
        <f aca="false">$C$25*H64*F64</f>
        <v>0</v>
      </c>
      <c r="L64" s="28" t="n">
        <f aca="false">$C$26*I64*F64</f>
        <v>0</v>
      </c>
      <c r="M64" s="28" t="n">
        <f aca="false">$C$27*I64*F64</f>
        <v>0</v>
      </c>
      <c r="N64" s="28" t="n">
        <f aca="false">$C$28*I64*F64</f>
        <v>0</v>
      </c>
      <c r="O64" s="28" t="n">
        <f aca="false">$C$29*I64*F64</f>
        <v>0</v>
      </c>
      <c r="P64" s="28" t="n">
        <f aca="false">$C$30*I64*F64</f>
        <v>0</v>
      </c>
      <c r="Q64" s="28" t="n">
        <f aca="false">$C$31*I64*F64</f>
        <v>0</v>
      </c>
      <c r="R64" s="28" t="n">
        <f aca="false">$C$32*I64*F64</f>
        <v>0</v>
      </c>
      <c r="S64" s="28" t="n">
        <f aca="false">IF(AND(F64&gt;0,E64=0),($C$33+$C$36)*H64+($C$34+$C$35)*I64,0)</f>
        <v>0</v>
      </c>
      <c r="T64" s="28" t="n">
        <f aca="false">SUM(J64:S64)</f>
        <v>0</v>
      </c>
      <c r="U64" s="28" t="n">
        <f aca="false">T64*Cont</f>
        <v>0</v>
      </c>
      <c r="V64" s="28" t="n">
        <f aca="false">MIN(J64,J64*$C$43)</f>
        <v>0</v>
      </c>
      <c r="W64" s="40" t="n">
        <f aca="false">$C$55*(1+FxDrift)^(A64-1)</f>
        <v>1</v>
      </c>
      <c r="X64" s="28" t="n">
        <f aca="false">(T64+U64)*W64</f>
        <v>0</v>
      </c>
      <c r="Y64" s="28" t="n">
        <f aca="false">IF(B64=1,MIN(X64,V64*W64+IF(F64&gt;0,$C$44*F64,0)),0)</f>
        <v>0</v>
      </c>
      <c r="Z64" s="41" t="n">
        <f aca="false">IF(B64=1,MAX(0,X64-(V64*W64+IF(F64&gt;0,$C$44*F64,0))),0)</f>
        <v>0</v>
      </c>
      <c r="AA64" s="28" t="n">
        <f aca="false">IF(B64=1,(J64+K64)*W64,0)</f>
        <v>0</v>
      </c>
      <c r="AB64" s="28" t="n">
        <f aca="false">IF(B64=1,SUM(L64:R64)*W64,0)</f>
        <v>0</v>
      </c>
      <c r="AC64" s="28" t="n">
        <f aca="false">IF(B64=1,(S64+U64)*W64,0)</f>
        <v>0</v>
      </c>
    </row>
    <row r="65" customFormat="false" ht="15" hidden="false" customHeight="false" outlineLevel="0" collapsed="false">
      <c r="A65" s="27" t="n">
        <v>4</v>
      </c>
      <c r="B65" s="27" t="n">
        <f aca="false">IF(AND(A65&lt;=$C$52,$C$47=1),1,0)</f>
        <v>1</v>
      </c>
      <c r="C65" s="27" t="n">
        <f aca="false">IF(B65=1,$C$7+A65-1,"")</f>
        <v>13</v>
      </c>
      <c r="D65" s="28" t="str">
        <f aca="false">(PlanStartYear+A65-1)&amp;"/"&amp;RIGHT(PlanStartYear+A65,2)</f>
        <v>2029/30</v>
      </c>
      <c r="E65" s="27" t="n">
        <f aca="false">A65-1-$C$49</f>
        <v>-5</v>
      </c>
      <c r="F65" s="39" t="n">
        <f aca="false">IF(AND(B65=1,E65&gt;=0,E65&lt;$C$50),MIN(1,$C$37-E65),0)</f>
        <v>0</v>
      </c>
      <c r="G65" s="27" t="n">
        <f aca="false">(A65-1)+$C$54</f>
        <v>3</v>
      </c>
      <c r="H65" s="40" t="n">
        <f aca="false">(1+TuiInf)^G65</f>
        <v>1.331</v>
      </c>
      <c r="I65" s="40" t="n">
        <f aca="false">(1+LivInf)^G65</f>
        <v>1.259712</v>
      </c>
      <c r="J65" s="28" t="n">
        <f aca="false">$C$24*H65*F65</f>
        <v>0</v>
      </c>
      <c r="K65" s="28" t="n">
        <f aca="false">$C$25*H65*F65</f>
        <v>0</v>
      </c>
      <c r="L65" s="28" t="n">
        <f aca="false">$C$26*I65*F65</f>
        <v>0</v>
      </c>
      <c r="M65" s="28" t="n">
        <f aca="false">$C$27*I65*F65</f>
        <v>0</v>
      </c>
      <c r="N65" s="28" t="n">
        <f aca="false">$C$28*I65*F65</f>
        <v>0</v>
      </c>
      <c r="O65" s="28" t="n">
        <f aca="false">$C$29*I65*F65</f>
        <v>0</v>
      </c>
      <c r="P65" s="28" t="n">
        <f aca="false">$C$30*I65*F65</f>
        <v>0</v>
      </c>
      <c r="Q65" s="28" t="n">
        <f aca="false">$C$31*I65*F65</f>
        <v>0</v>
      </c>
      <c r="R65" s="28" t="n">
        <f aca="false">$C$32*I65*F65</f>
        <v>0</v>
      </c>
      <c r="S65" s="28" t="n">
        <f aca="false">IF(AND(F65&gt;0,E65=0),($C$33+$C$36)*H65+($C$34+$C$35)*I65,0)</f>
        <v>0</v>
      </c>
      <c r="T65" s="28" t="n">
        <f aca="false">SUM(J65:S65)</f>
        <v>0</v>
      </c>
      <c r="U65" s="28" t="n">
        <f aca="false">T65*Cont</f>
        <v>0</v>
      </c>
      <c r="V65" s="28" t="n">
        <f aca="false">MIN(J65,J65*$C$43)</f>
        <v>0</v>
      </c>
      <c r="W65" s="40" t="n">
        <f aca="false">$C$55*(1+FxDrift)^(A65-1)</f>
        <v>1</v>
      </c>
      <c r="X65" s="28" t="n">
        <f aca="false">(T65+U65)*W65</f>
        <v>0</v>
      </c>
      <c r="Y65" s="28" t="n">
        <f aca="false">IF(B65=1,MIN(X65,V65*W65+IF(F65&gt;0,$C$44*F65,0)),0)</f>
        <v>0</v>
      </c>
      <c r="Z65" s="41" t="n">
        <f aca="false">IF(B65=1,MAX(0,X65-(V65*W65+IF(F65&gt;0,$C$44*F65,0))),0)</f>
        <v>0</v>
      </c>
      <c r="AA65" s="28" t="n">
        <f aca="false">IF(B65=1,(J65+K65)*W65,0)</f>
        <v>0</v>
      </c>
      <c r="AB65" s="28" t="n">
        <f aca="false">IF(B65=1,SUM(L65:R65)*W65,0)</f>
        <v>0</v>
      </c>
      <c r="AC65" s="28" t="n">
        <f aca="false">IF(B65=1,(S65+U65)*W65,0)</f>
        <v>0</v>
      </c>
    </row>
    <row r="66" customFormat="false" ht="15" hidden="false" customHeight="false" outlineLevel="0" collapsed="false">
      <c r="A66" s="27" t="n">
        <v>5</v>
      </c>
      <c r="B66" s="27" t="n">
        <f aca="false">IF(AND(A66&lt;=$C$52,$C$47=1),1,0)</f>
        <v>1</v>
      </c>
      <c r="C66" s="27" t="n">
        <f aca="false">IF(B66=1,$C$7+A66-1,"")</f>
        <v>14</v>
      </c>
      <c r="D66" s="28" t="str">
        <f aca="false">(PlanStartYear+A66-1)&amp;"/"&amp;RIGHT(PlanStartYear+A66,2)</f>
        <v>2030/31</v>
      </c>
      <c r="E66" s="27" t="n">
        <f aca="false">A66-1-$C$49</f>
        <v>-4</v>
      </c>
      <c r="F66" s="39" t="n">
        <f aca="false">IF(AND(B66=1,E66&gt;=0,E66&lt;$C$50),MIN(1,$C$37-E66),0)</f>
        <v>0</v>
      </c>
      <c r="G66" s="27" t="n">
        <f aca="false">(A66-1)+$C$54</f>
        <v>4</v>
      </c>
      <c r="H66" s="40" t="n">
        <f aca="false">(1+TuiInf)^G66</f>
        <v>1.4641</v>
      </c>
      <c r="I66" s="40" t="n">
        <f aca="false">(1+LivInf)^G66</f>
        <v>1.36048896</v>
      </c>
      <c r="J66" s="28" t="n">
        <f aca="false">$C$24*H66*F66</f>
        <v>0</v>
      </c>
      <c r="K66" s="28" t="n">
        <f aca="false">$C$25*H66*F66</f>
        <v>0</v>
      </c>
      <c r="L66" s="28" t="n">
        <f aca="false">$C$26*I66*F66</f>
        <v>0</v>
      </c>
      <c r="M66" s="28" t="n">
        <f aca="false">$C$27*I66*F66</f>
        <v>0</v>
      </c>
      <c r="N66" s="28" t="n">
        <f aca="false">$C$28*I66*F66</f>
        <v>0</v>
      </c>
      <c r="O66" s="28" t="n">
        <f aca="false">$C$29*I66*F66</f>
        <v>0</v>
      </c>
      <c r="P66" s="28" t="n">
        <f aca="false">$C$30*I66*F66</f>
        <v>0</v>
      </c>
      <c r="Q66" s="28" t="n">
        <f aca="false">$C$31*I66*F66</f>
        <v>0</v>
      </c>
      <c r="R66" s="28" t="n">
        <f aca="false">$C$32*I66*F66</f>
        <v>0</v>
      </c>
      <c r="S66" s="28" t="n">
        <f aca="false">IF(AND(F66&gt;0,E66=0),($C$33+$C$36)*H66+($C$34+$C$35)*I66,0)</f>
        <v>0</v>
      </c>
      <c r="T66" s="28" t="n">
        <f aca="false">SUM(J66:S66)</f>
        <v>0</v>
      </c>
      <c r="U66" s="28" t="n">
        <f aca="false">T66*Cont</f>
        <v>0</v>
      </c>
      <c r="V66" s="28" t="n">
        <f aca="false">MIN(J66,J66*$C$43)</f>
        <v>0</v>
      </c>
      <c r="W66" s="40" t="n">
        <f aca="false">$C$55*(1+FxDrift)^(A66-1)</f>
        <v>1</v>
      </c>
      <c r="X66" s="28" t="n">
        <f aca="false">(T66+U66)*W66</f>
        <v>0</v>
      </c>
      <c r="Y66" s="28" t="n">
        <f aca="false">IF(B66=1,MIN(X66,V66*W66+IF(F66&gt;0,$C$44*F66,0)),0)</f>
        <v>0</v>
      </c>
      <c r="Z66" s="41" t="n">
        <f aca="false">IF(B66=1,MAX(0,X66-(V66*W66+IF(F66&gt;0,$C$44*F66,0))),0)</f>
        <v>0</v>
      </c>
      <c r="AA66" s="28" t="n">
        <f aca="false">IF(B66=1,(J66+K66)*W66,0)</f>
        <v>0</v>
      </c>
      <c r="AB66" s="28" t="n">
        <f aca="false">IF(B66=1,SUM(L66:R66)*W66,0)</f>
        <v>0</v>
      </c>
      <c r="AC66" s="28" t="n">
        <f aca="false">IF(B66=1,(S66+U66)*W66,0)</f>
        <v>0</v>
      </c>
    </row>
    <row r="67" customFormat="false" ht="15" hidden="false" customHeight="false" outlineLevel="0" collapsed="false">
      <c r="A67" s="27" t="n">
        <v>6</v>
      </c>
      <c r="B67" s="27" t="n">
        <f aca="false">IF(AND(A67&lt;=$C$52,$C$47=1),1,0)</f>
        <v>1</v>
      </c>
      <c r="C67" s="27" t="n">
        <f aca="false">IF(B67=1,$C$7+A67-1,"")</f>
        <v>15</v>
      </c>
      <c r="D67" s="28" t="str">
        <f aca="false">(PlanStartYear+A67-1)&amp;"/"&amp;RIGHT(PlanStartYear+A67,2)</f>
        <v>2031/32</v>
      </c>
      <c r="E67" s="27" t="n">
        <f aca="false">A67-1-$C$49</f>
        <v>-3</v>
      </c>
      <c r="F67" s="39" t="n">
        <f aca="false">IF(AND(B67=1,E67&gt;=0,E67&lt;$C$50),MIN(1,$C$37-E67),0)</f>
        <v>0</v>
      </c>
      <c r="G67" s="27" t="n">
        <f aca="false">(A67-1)+$C$54</f>
        <v>5</v>
      </c>
      <c r="H67" s="40" t="n">
        <f aca="false">(1+TuiInf)^G67</f>
        <v>1.61051</v>
      </c>
      <c r="I67" s="40" t="n">
        <f aca="false">(1+LivInf)^G67</f>
        <v>1.4693280768</v>
      </c>
      <c r="J67" s="28" t="n">
        <f aca="false">$C$24*H67*F67</f>
        <v>0</v>
      </c>
      <c r="K67" s="28" t="n">
        <f aca="false">$C$25*H67*F67</f>
        <v>0</v>
      </c>
      <c r="L67" s="28" t="n">
        <f aca="false">$C$26*I67*F67</f>
        <v>0</v>
      </c>
      <c r="M67" s="28" t="n">
        <f aca="false">$C$27*I67*F67</f>
        <v>0</v>
      </c>
      <c r="N67" s="28" t="n">
        <f aca="false">$C$28*I67*F67</f>
        <v>0</v>
      </c>
      <c r="O67" s="28" t="n">
        <f aca="false">$C$29*I67*F67</f>
        <v>0</v>
      </c>
      <c r="P67" s="28" t="n">
        <f aca="false">$C$30*I67*F67</f>
        <v>0</v>
      </c>
      <c r="Q67" s="28" t="n">
        <f aca="false">$C$31*I67*F67</f>
        <v>0</v>
      </c>
      <c r="R67" s="28" t="n">
        <f aca="false">$C$32*I67*F67</f>
        <v>0</v>
      </c>
      <c r="S67" s="28" t="n">
        <f aca="false">IF(AND(F67&gt;0,E67=0),($C$33+$C$36)*H67+($C$34+$C$35)*I67,0)</f>
        <v>0</v>
      </c>
      <c r="T67" s="28" t="n">
        <f aca="false">SUM(J67:S67)</f>
        <v>0</v>
      </c>
      <c r="U67" s="28" t="n">
        <f aca="false">T67*Cont</f>
        <v>0</v>
      </c>
      <c r="V67" s="28" t="n">
        <f aca="false">MIN(J67,J67*$C$43)</f>
        <v>0</v>
      </c>
      <c r="W67" s="40" t="n">
        <f aca="false">$C$55*(1+FxDrift)^(A67-1)</f>
        <v>1</v>
      </c>
      <c r="X67" s="28" t="n">
        <f aca="false">(T67+U67)*W67</f>
        <v>0</v>
      </c>
      <c r="Y67" s="28" t="n">
        <f aca="false">IF(B67=1,MIN(X67,V67*W67+IF(F67&gt;0,$C$44*F67,0)),0)</f>
        <v>0</v>
      </c>
      <c r="Z67" s="41" t="n">
        <f aca="false">IF(B67=1,MAX(0,X67-(V67*W67+IF(F67&gt;0,$C$44*F67,0))),0)</f>
        <v>0</v>
      </c>
      <c r="AA67" s="28" t="n">
        <f aca="false">IF(B67=1,(J67+K67)*W67,0)</f>
        <v>0</v>
      </c>
      <c r="AB67" s="28" t="n">
        <f aca="false">IF(B67=1,SUM(L67:R67)*W67,0)</f>
        <v>0</v>
      </c>
      <c r="AC67" s="28" t="n">
        <f aca="false">IF(B67=1,(S67+U67)*W67,0)</f>
        <v>0</v>
      </c>
    </row>
    <row r="68" customFormat="false" ht="15" hidden="false" customHeight="false" outlineLevel="0" collapsed="false">
      <c r="A68" s="27" t="n">
        <v>7</v>
      </c>
      <c r="B68" s="27" t="n">
        <f aca="false">IF(AND(A68&lt;=$C$52,$C$47=1),1,0)</f>
        <v>1</v>
      </c>
      <c r="C68" s="27" t="n">
        <f aca="false">IF(B68=1,$C$7+A68-1,"")</f>
        <v>16</v>
      </c>
      <c r="D68" s="28" t="str">
        <f aca="false">(PlanStartYear+A68-1)&amp;"/"&amp;RIGHT(PlanStartYear+A68,2)</f>
        <v>2032/33</v>
      </c>
      <c r="E68" s="27" t="n">
        <f aca="false">A68-1-$C$49</f>
        <v>-2</v>
      </c>
      <c r="F68" s="39" t="n">
        <f aca="false">IF(AND(B68=1,E68&gt;=0,E68&lt;$C$50),MIN(1,$C$37-E68),0)</f>
        <v>0</v>
      </c>
      <c r="G68" s="27" t="n">
        <f aca="false">(A68-1)+$C$54</f>
        <v>6</v>
      </c>
      <c r="H68" s="40" t="n">
        <f aca="false">(1+TuiInf)^G68</f>
        <v>1.771561</v>
      </c>
      <c r="I68" s="40" t="n">
        <f aca="false">(1+LivInf)^G68</f>
        <v>1.586874322944</v>
      </c>
      <c r="J68" s="28" t="n">
        <f aca="false">$C$24*H68*F68</f>
        <v>0</v>
      </c>
      <c r="K68" s="28" t="n">
        <f aca="false">$C$25*H68*F68</f>
        <v>0</v>
      </c>
      <c r="L68" s="28" t="n">
        <f aca="false">$C$26*I68*F68</f>
        <v>0</v>
      </c>
      <c r="M68" s="28" t="n">
        <f aca="false">$C$27*I68*F68</f>
        <v>0</v>
      </c>
      <c r="N68" s="28" t="n">
        <f aca="false">$C$28*I68*F68</f>
        <v>0</v>
      </c>
      <c r="O68" s="28" t="n">
        <f aca="false">$C$29*I68*F68</f>
        <v>0</v>
      </c>
      <c r="P68" s="28" t="n">
        <f aca="false">$C$30*I68*F68</f>
        <v>0</v>
      </c>
      <c r="Q68" s="28" t="n">
        <f aca="false">$C$31*I68*F68</f>
        <v>0</v>
      </c>
      <c r="R68" s="28" t="n">
        <f aca="false">$C$32*I68*F68</f>
        <v>0</v>
      </c>
      <c r="S68" s="28" t="n">
        <f aca="false">IF(AND(F68&gt;0,E68=0),($C$33+$C$36)*H68+($C$34+$C$35)*I68,0)</f>
        <v>0</v>
      </c>
      <c r="T68" s="28" t="n">
        <f aca="false">SUM(J68:S68)</f>
        <v>0</v>
      </c>
      <c r="U68" s="28" t="n">
        <f aca="false">T68*Cont</f>
        <v>0</v>
      </c>
      <c r="V68" s="28" t="n">
        <f aca="false">MIN(J68,J68*$C$43)</f>
        <v>0</v>
      </c>
      <c r="W68" s="40" t="n">
        <f aca="false">$C$55*(1+FxDrift)^(A68-1)</f>
        <v>1</v>
      </c>
      <c r="X68" s="28" t="n">
        <f aca="false">(T68+U68)*W68</f>
        <v>0</v>
      </c>
      <c r="Y68" s="28" t="n">
        <f aca="false">IF(B68=1,MIN(X68,V68*W68+IF(F68&gt;0,$C$44*F68,0)),0)</f>
        <v>0</v>
      </c>
      <c r="Z68" s="41" t="n">
        <f aca="false">IF(B68=1,MAX(0,X68-(V68*W68+IF(F68&gt;0,$C$44*F68,0))),0)</f>
        <v>0</v>
      </c>
      <c r="AA68" s="28" t="n">
        <f aca="false">IF(B68=1,(J68+K68)*W68,0)</f>
        <v>0</v>
      </c>
      <c r="AB68" s="28" t="n">
        <f aca="false">IF(B68=1,SUM(L68:R68)*W68,0)</f>
        <v>0</v>
      </c>
      <c r="AC68" s="28" t="n">
        <f aca="false">IF(B68=1,(S68+U68)*W68,0)</f>
        <v>0</v>
      </c>
    </row>
    <row r="69" customFormat="false" ht="15" hidden="false" customHeight="false" outlineLevel="0" collapsed="false">
      <c r="A69" s="27" t="n">
        <v>8</v>
      </c>
      <c r="B69" s="27" t="n">
        <f aca="false">IF(AND(A69&lt;=$C$52,$C$47=1),1,0)</f>
        <v>1</v>
      </c>
      <c r="C69" s="27" t="n">
        <f aca="false">IF(B69=1,$C$7+A69-1,"")</f>
        <v>17</v>
      </c>
      <c r="D69" s="28" t="str">
        <f aca="false">(PlanStartYear+A69-1)&amp;"/"&amp;RIGHT(PlanStartYear+A69,2)</f>
        <v>2033/34</v>
      </c>
      <c r="E69" s="27" t="n">
        <f aca="false">A69-1-$C$49</f>
        <v>-1</v>
      </c>
      <c r="F69" s="39" t="n">
        <f aca="false">IF(AND(B69=1,E69&gt;=0,E69&lt;$C$50),MIN(1,$C$37-E69),0)</f>
        <v>0</v>
      </c>
      <c r="G69" s="27" t="n">
        <f aca="false">(A69-1)+$C$54</f>
        <v>7</v>
      </c>
      <c r="H69" s="40" t="n">
        <f aca="false">(1+TuiInf)^G69</f>
        <v>1.9487171</v>
      </c>
      <c r="I69" s="40" t="n">
        <f aca="false">(1+LivInf)^G69</f>
        <v>1.71382426877952</v>
      </c>
      <c r="J69" s="28" t="n">
        <f aca="false">$C$24*H69*F69</f>
        <v>0</v>
      </c>
      <c r="K69" s="28" t="n">
        <f aca="false">$C$25*H69*F69</f>
        <v>0</v>
      </c>
      <c r="L69" s="28" t="n">
        <f aca="false">$C$26*I69*F69</f>
        <v>0</v>
      </c>
      <c r="M69" s="28" t="n">
        <f aca="false">$C$27*I69*F69</f>
        <v>0</v>
      </c>
      <c r="N69" s="28" t="n">
        <f aca="false">$C$28*I69*F69</f>
        <v>0</v>
      </c>
      <c r="O69" s="28" t="n">
        <f aca="false">$C$29*I69*F69</f>
        <v>0</v>
      </c>
      <c r="P69" s="28" t="n">
        <f aca="false">$C$30*I69*F69</f>
        <v>0</v>
      </c>
      <c r="Q69" s="28" t="n">
        <f aca="false">$C$31*I69*F69</f>
        <v>0</v>
      </c>
      <c r="R69" s="28" t="n">
        <f aca="false">$C$32*I69*F69</f>
        <v>0</v>
      </c>
      <c r="S69" s="28" t="n">
        <f aca="false">IF(AND(F69&gt;0,E69=0),($C$33+$C$36)*H69+($C$34+$C$35)*I69,0)</f>
        <v>0</v>
      </c>
      <c r="T69" s="28" t="n">
        <f aca="false">SUM(J69:S69)</f>
        <v>0</v>
      </c>
      <c r="U69" s="28" t="n">
        <f aca="false">T69*Cont</f>
        <v>0</v>
      </c>
      <c r="V69" s="28" t="n">
        <f aca="false">MIN(J69,J69*$C$43)</f>
        <v>0</v>
      </c>
      <c r="W69" s="40" t="n">
        <f aca="false">$C$55*(1+FxDrift)^(A69-1)</f>
        <v>1</v>
      </c>
      <c r="X69" s="28" t="n">
        <f aca="false">(T69+U69)*W69</f>
        <v>0</v>
      </c>
      <c r="Y69" s="28" t="n">
        <f aca="false">IF(B69=1,MIN(X69,V69*W69+IF(F69&gt;0,$C$44*F69,0)),0)</f>
        <v>0</v>
      </c>
      <c r="Z69" s="41" t="n">
        <f aca="false">IF(B69=1,MAX(0,X69-(V69*W69+IF(F69&gt;0,$C$44*F69,0))),0)</f>
        <v>0</v>
      </c>
      <c r="AA69" s="28" t="n">
        <f aca="false">IF(B69=1,(J69+K69)*W69,0)</f>
        <v>0</v>
      </c>
      <c r="AB69" s="28" t="n">
        <f aca="false">IF(B69=1,SUM(L69:R69)*W69,0)</f>
        <v>0</v>
      </c>
      <c r="AC69" s="28" t="n">
        <f aca="false">IF(B69=1,(S69+U69)*W69,0)</f>
        <v>0</v>
      </c>
    </row>
    <row r="70" customFormat="false" ht="15" hidden="false" customHeight="false" outlineLevel="0" collapsed="false">
      <c r="A70" s="27" t="n">
        <v>9</v>
      </c>
      <c r="B70" s="27" t="n">
        <f aca="false">IF(AND(A70&lt;=$C$52,$C$47=1),1,0)</f>
        <v>1</v>
      </c>
      <c r="C70" s="27" t="n">
        <f aca="false">IF(B70=1,$C$7+A70-1,"")</f>
        <v>18</v>
      </c>
      <c r="D70" s="28" t="str">
        <f aca="false">(PlanStartYear+A70-1)&amp;"/"&amp;RIGHT(PlanStartYear+A70,2)</f>
        <v>2034/35</v>
      </c>
      <c r="E70" s="27" t="n">
        <f aca="false">A70-1-$C$49</f>
        <v>0</v>
      </c>
      <c r="F70" s="39" t="n">
        <f aca="false">IF(AND(B70=1,E70&gt;=0,E70&lt;$C$50),MIN(1,$C$37-E70),0)</f>
        <v>1</v>
      </c>
      <c r="G70" s="27" t="n">
        <f aca="false">(A70-1)+$C$54</f>
        <v>8</v>
      </c>
      <c r="H70" s="40" t="n">
        <f aca="false">(1+TuiInf)^G70</f>
        <v>2.14358881</v>
      </c>
      <c r="I70" s="40" t="n">
        <f aca="false">(1+LivInf)^G70</f>
        <v>1.85093021028188</v>
      </c>
      <c r="J70" s="28" t="n">
        <f aca="false">$C$24*H70*F70</f>
        <v>2165167.60402067</v>
      </c>
      <c r="K70" s="28" t="n">
        <f aca="false">$C$25*H70*F70</f>
        <v>279666.886744667</v>
      </c>
      <c r="L70" s="28" t="n">
        <f aca="false">$C$26*I70*F70</f>
        <v>365743.8095517</v>
      </c>
      <c r="M70" s="28" t="n">
        <f aca="false">$C$27*I70*F70</f>
        <v>0</v>
      </c>
      <c r="N70" s="28" t="n">
        <f aca="false">$C$28*I70*F70</f>
        <v>0</v>
      </c>
      <c r="O70" s="28" t="n">
        <f aca="false">$C$29*I70*F70</f>
        <v>0</v>
      </c>
      <c r="P70" s="28" t="n">
        <f aca="false">$C$30*I70*F70</f>
        <v>0</v>
      </c>
      <c r="Q70" s="28" t="n">
        <f aca="false">$C$31*I70*F70</f>
        <v>0</v>
      </c>
      <c r="R70" s="28" t="n">
        <f aca="false">$C$32*I70*F70</f>
        <v>0</v>
      </c>
      <c r="S70" s="28" t="n">
        <f aca="false">IF(AND(F70&gt;0,E70=0),($C$33+$C$36)*H70+($C$34+$C$35)*I70,0)</f>
        <v>261946.552582</v>
      </c>
      <c r="T70" s="28" t="n">
        <f aca="false">SUM(J70:S70)</f>
        <v>3072524.85289904</v>
      </c>
      <c r="U70" s="28" t="n">
        <f aca="false">T70*Cont</f>
        <v>153626.242644952</v>
      </c>
      <c r="V70" s="28" t="n">
        <f aca="false">MIN(J70,J70*$C$43)</f>
        <v>0</v>
      </c>
      <c r="W70" s="40" t="n">
        <f aca="false">$C$55*(1+FxDrift)^(A70-1)</f>
        <v>1</v>
      </c>
      <c r="X70" s="28" t="n">
        <f aca="false">(T70+U70)*W70</f>
        <v>3226151.09554399</v>
      </c>
      <c r="Y70" s="28" t="n">
        <f aca="false">IF(B70=1,MIN(X70,V70*W70+IF(F70&gt;0,$C$44*F70,0)),0)</f>
        <v>0</v>
      </c>
      <c r="Z70" s="41" t="n">
        <f aca="false">IF(B70=1,MAX(0,X70-(V70*W70+IF(F70&gt;0,$C$44*F70,0))),0)</f>
        <v>3226151.09554399</v>
      </c>
      <c r="AA70" s="28" t="n">
        <f aca="false">IF(B70=1,(J70+K70)*W70,0)</f>
        <v>2444834.49076534</v>
      </c>
      <c r="AB70" s="28" t="n">
        <f aca="false">IF(B70=1,SUM(L70:R70)*W70,0)</f>
        <v>365743.8095517</v>
      </c>
      <c r="AC70" s="28" t="n">
        <f aca="false">IF(B70=1,(S70+U70)*W70,0)</f>
        <v>415572.795226952</v>
      </c>
    </row>
    <row r="71" customFormat="false" ht="15" hidden="false" customHeight="false" outlineLevel="0" collapsed="false">
      <c r="A71" s="27" t="n">
        <v>10</v>
      </c>
      <c r="B71" s="27" t="n">
        <f aca="false">IF(AND(A71&lt;=$C$52,$C$47=1),1,0)</f>
        <v>1</v>
      </c>
      <c r="C71" s="27" t="n">
        <f aca="false">IF(B71=1,$C$7+A71-1,"")</f>
        <v>19</v>
      </c>
      <c r="D71" s="28" t="str">
        <f aca="false">(PlanStartYear+A71-1)&amp;"/"&amp;RIGHT(PlanStartYear+A71,2)</f>
        <v>2035/36</v>
      </c>
      <c r="E71" s="27" t="n">
        <f aca="false">A71-1-$C$49</f>
        <v>1</v>
      </c>
      <c r="F71" s="39" t="n">
        <f aca="false">IF(AND(B71=1,E71&gt;=0,E71&lt;$C$50),MIN(1,$C$37-E71),0)</f>
        <v>1</v>
      </c>
      <c r="G71" s="27" t="n">
        <f aca="false">(A71-1)+$C$54</f>
        <v>9</v>
      </c>
      <c r="H71" s="40" t="n">
        <f aca="false">(1+TuiInf)^G71</f>
        <v>2.357947691</v>
      </c>
      <c r="I71" s="40" t="n">
        <f aca="false">(1+LivInf)^G71</f>
        <v>1.99900462710443</v>
      </c>
      <c r="J71" s="28" t="n">
        <f aca="false">$C$24*H71*F71</f>
        <v>2381684.36442274</v>
      </c>
      <c r="K71" s="28" t="n">
        <f aca="false">$C$25*H71*F71</f>
        <v>307633.575419134</v>
      </c>
      <c r="L71" s="28" t="n">
        <f aca="false">$C$26*I71*F71</f>
        <v>395003.314315836</v>
      </c>
      <c r="M71" s="28" t="n">
        <f aca="false">$C$27*I71*F71</f>
        <v>0</v>
      </c>
      <c r="N71" s="28" t="n">
        <f aca="false">$C$28*I71*F71</f>
        <v>0</v>
      </c>
      <c r="O71" s="28" t="n">
        <f aca="false">$C$29*I71*F71</f>
        <v>0</v>
      </c>
      <c r="P71" s="28" t="n">
        <f aca="false">$C$30*I71*F71</f>
        <v>0</v>
      </c>
      <c r="Q71" s="28" t="n">
        <f aca="false">$C$31*I71*F71</f>
        <v>0</v>
      </c>
      <c r="R71" s="28" t="n">
        <f aca="false">$C$32*I71*F71</f>
        <v>0</v>
      </c>
      <c r="S71" s="28" t="n">
        <f aca="false">IF(AND(F71&gt;0,E71=0),($C$33+$C$36)*H71+($C$34+$C$35)*I71,0)</f>
        <v>0</v>
      </c>
      <c r="T71" s="28" t="n">
        <f aca="false">SUM(J71:S71)</f>
        <v>3084321.2541577</v>
      </c>
      <c r="U71" s="28" t="n">
        <f aca="false">T71*Cont</f>
        <v>154216.062707885</v>
      </c>
      <c r="V71" s="28" t="n">
        <f aca="false">MIN(J71,J71*$C$43)</f>
        <v>0</v>
      </c>
      <c r="W71" s="40" t="n">
        <f aca="false">$C$55*(1+FxDrift)^(A71-1)</f>
        <v>1</v>
      </c>
      <c r="X71" s="28" t="n">
        <f aca="false">(T71+U71)*W71</f>
        <v>3238537.31686559</v>
      </c>
      <c r="Y71" s="28" t="n">
        <f aca="false">IF(B71=1,MIN(X71,V71*W71+IF(F71&gt;0,$C$44*F71,0)),0)</f>
        <v>0</v>
      </c>
      <c r="Z71" s="41" t="n">
        <f aca="false">IF(B71=1,MAX(0,X71-(V71*W71+IF(F71&gt;0,$C$44*F71,0))),0)</f>
        <v>3238537.31686559</v>
      </c>
      <c r="AA71" s="28" t="n">
        <f aca="false">IF(B71=1,(J71+K71)*W71,0)</f>
        <v>2689317.93984187</v>
      </c>
      <c r="AB71" s="28" t="n">
        <f aca="false">IF(B71=1,SUM(L71:R71)*W71,0)</f>
        <v>395003.314315836</v>
      </c>
      <c r="AC71" s="28" t="n">
        <f aca="false">IF(B71=1,(S71+U71)*W71,0)</f>
        <v>154216.062707885</v>
      </c>
    </row>
    <row r="72" customFormat="false" ht="15" hidden="false" customHeight="false" outlineLevel="0" collapsed="false">
      <c r="A72" s="27" t="n">
        <v>11</v>
      </c>
      <c r="B72" s="27" t="n">
        <f aca="false">IF(AND(A72&lt;=$C$52,$C$47=1),1,0)</f>
        <v>1</v>
      </c>
      <c r="C72" s="27" t="n">
        <f aca="false">IF(B72=1,$C$7+A72-1,"")</f>
        <v>20</v>
      </c>
      <c r="D72" s="28" t="str">
        <f aca="false">(PlanStartYear+A72-1)&amp;"/"&amp;RIGHT(PlanStartYear+A72,2)</f>
        <v>2036/37</v>
      </c>
      <c r="E72" s="27" t="n">
        <f aca="false">A72-1-$C$49</f>
        <v>2</v>
      </c>
      <c r="F72" s="39" t="n">
        <f aca="false">IF(AND(B72=1,E72&gt;=0,E72&lt;$C$50),MIN(1,$C$37-E72),0)</f>
        <v>1</v>
      </c>
      <c r="G72" s="27" t="n">
        <f aca="false">(A72-1)+$C$54</f>
        <v>10</v>
      </c>
      <c r="H72" s="40" t="n">
        <f aca="false">(1+TuiInf)^G72</f>
        <v>2.5937424601</v>
      </c>
      <c r="I72" s="40" t="n">
        <f aca="false">(1+LivInf)^G72</f>
        <v>2.15892499727279</v>
      </c>
      <c r="J72" s="28" t="n">
        <f aca="false">$C$24*H72*F72</f>
        <v>2619852.80086501</v>
      </c>
      <c r="K72" s="28" t="n">
        <f aca="false">$C$25*H72*F72</f>
        <v>338396.932961047</v>
      </c>
      <c r="L72" s="28" t="n">
        <f aca="false">$C$26*I72*F72</f>
        <v>426603.579461103</v>
      </c>
      <c r="M72" s="28" t="n">
        <f aca="false">$C$27*I72*F72</f>
        <v>0</v>
      </c>
      <c r="N72" s="28" t="n">
        <f aca="false">$C$28*I72*F72</f>
        <v>0</v>
      </c>
      <c r="O72" s="28" t="n">
        <f aca="false">$C$29*I72*F72</f>
        <v>0</v>
      </c>
      <c r="P72" s="28" t="n">
        <f aca="false">$C$30*I72*F72</f>
        <v>0</v>
      </c>
      <c r="Q72" s="28" t="n">
        <f aca="false">$C$31*I72*F72</f>
        <v>0</v>
      </c>
      <c r="R72" s="28" t="n">
        <f aca="false">$C$32*I72*F72</f>
        <v>0</v>
      </c>
      <c r="S72" s="28" t="n">
        <f aca="false">IF(AND(F72&gt;0,E72=0),($C$33+$C$36)*H72+($C$34+$C$35)*I72,0)</f>
        <v>0</v>
      </c>
      <c r="T72" s="28" t="n">
        <f aca="false">SUM(J72:S72)</f>
        <v>3384853.31328716</v>
      </c>
      <c r="U72" s="28" t="n">
        <f aca="false">T72*Cont</f>
        <v>169242.665664358</v>
      </c>
      <c r="V72" s="28" t="n">
        <f aca="false">MIN(J72,J72*$C$43)</f>
        <v>0</v>
      </c>
      <c r="W72" s="40" t="n">
        <f aca="false">$C$55*(1+FxDrift)^(A72-1)</f>
        <v>1</v>
      </c>
      <c r="X72" s="28" t="n">
        <f aca="false">(T72+U72)*W72</f>
        <v>3554095.97895152</v>
      </c>
      <c r="Y72" s="28" t="n">
        <f aca="false">IF(B72=1,MIN(X72,V72*W72+IF(F72&gt;0,$C$44*F72,0)),0)</f>
        <v>0</v>
      </c>
      <c r="Z72" s="41" t="n">
        <f aca="false">IF(B72=1,MAX(0,X72-(V72*W72+IF(F72&gt;0,$C$44*F72,0))),0)</f>
        <v>3554095.97895152</v>
      </c>
      <c r="AA72" s="28" t="n">
        <f aca="false">IF(B72=1,(J72+K72)*W72,0)</f>
        <v>2958249.73382606</v>
      </c>
      <c r="AB72" s="28" t="n">
        <f aca="false">IF(B72=1,SUM(L72:R72)*W72,0)</f>
        <v>426603.579461103</v>
      </c>
      <c r="AC72" s="28" t="n">
        <f aca="false">IF(B72=1,(S72+U72)*W72,0)</f>
        <v>169242.665664358</v>
      </c>
    </row>
    <row r="73" customFormat="false" ht="15" hidden="false" customHeight="false" outlineLevel="0" collapsed="false">
      <c r="A73" s="27" t="n">
        <v>12</v>
      </c>
      <c r="B73" s="27" t="n">
        <f aca="false">IF(AND(A73&lt;=$C$52,$C$47=1),1,0)</f>
        <v>1</v>
      </c>
      <c r="C73" s="27" t="n">
        <f aca="false">IF(B73=1,$C$7+A73-1,"")</f>
        <v>21</v>
      </c>
      <c r="D73" s="28" t="str">
        <f aca="false">(PlanStartYear+A73-1)&amp;"/"&amp;RIGHT(PlanStartYear+A73,2)</f>
        <v>2037/38</v>
      </c>
      <c r="E73" s="27" t="n">
        <f aca="false">A73-1-$C$49</f>
        <v>3</v>
      </c>
      <c r="F73" s="39" t="n">
        <f aca="false">IF(AND(B73=1,E73&gt;=0,E73&lt;$C$50),MIN(1,$C$37-E73),0)</f>
        <v>1</v>
      </c>
      <c r="G73" s="27" t="n">
        <f aca="false">(A73-1)+$C$54</f>
        <v>11</v>
      </c>
      <c r="H73" s="40" t="n">
        <f aca="false">(1+TuiInf)^G73</f>
        <v>2.85311670611</v>
      </c>
      <c r="I73" s="40" t="n">
        <f aca="false">(1+LivInf)^G73</f>
        <v>2.33163899705461</v>
      </c>
      <c r="J73" s="28" t="n">
        <f aca="false">$C$24*H73*F73</f>
        <v>2881838.08095151</v>
      </c>
      <c r="K73" s="28" t="n">
        <f aca="false">$C$25*H73*F73</f>
        <v>372236.626257152</v>
      </c>
      <c r="L73" s="28" t="n">
        <f aca="false">$C$26*I73*F73</f>
        <v>460731.865817991</v>
      </c>
      <c r="M73" s="28" t="n">
        <f aca="false">$C$27*I73*F73</f>
        <v>0</v>
      </c>
      <c r="N73" s="28" t="n">
        <f aca="false">$C$28*I73*F73</f>
        <v>0</v>
      </c>
      <c r="O73" s="28" t="n">
        <f aca="false">$C$29*I73*F73</f>
        <v>0</v>
      </c>
      <c r="P73" s="28" t="n">
        <f aca="false">$C$30*I73*F73</f>
        <v>0</v>
      </c>
      <c r="Q73" s="28" t="n">
        <f aca="false">$C$31*I73*F73</f>
        <v>0</v>
      </c>
      <c r="R73" s="28" t="n">
        <f aca="false">$C$32*I73*F73</f>
        <v>0</v>
      </c>
      <c r="S73" s="28" t="n">
        <f aca="false">IF(AND(F73&gt;0,E73=0),($C$33+$C$36)*H73+($C$34+$C$35)*I73,0)</f>
        <v>0</v>
      </c>
      <c r="T73" s="28" t="n">
        <f aca="false">SUM(J73:S73)</f>
        <v>3714806.57302665</v>
      </c>
      <c r="U73" s="28" t="n">
        <f aca="false">T73*Cont</f>
        <v>185740.328651333</v>
      </c>
      <c r="V73" s="28" t="n">
        <f aca="false">MIN(J73,J73*$C$43)</f>
        <v>0</v>
      </c>
      <c r="W73" s="40" t="n">
        <f aca="false">$C$55*(1+FxDrift)^(A73-1)</f>
        <v>1</v>
      </c>
      <c r="X73" s="28" t="n">
        <f aca="false">(T73+U73)*W73</f>
        <v>3900546.90167799</v>
      </c>
      <c r="Y73" s="28" t="n">
        <f aca="false">IF(B73=1,MIN(X73,V73*W73+IF(F73&gt;0,$C$44*F73,0)),0)</f>
        <v>0</v>
      </c>
      <c r="Z73" s="41" t="n">
        <f aca="false">IF(B73=1,MAX(0,X73-(V73*W73+IF(F73&gt;0,$C$44*F73,0))),0)</f>
        <v>3900546.90167799</v>
      </c>
      <c r="AA73" s="28" t="n">
        <f aca="false">IF(B73=1,(J73+K73)*W73,0)</f>
        <v>3254074.70720866</v>
      </c>
      <c r="AB73" s="28" t="n">
        <f aca="false">IF(B73=1,SUM(L73:R73)*W73,0)</f>
        <v>460731.865817991</v>
      </c>
      <c r="AC73" s="28" t="n">
        <f aca="false">IF(B73=1,(S73+U73)*W73,0)</f>
        <v>185740.328651333</v>
      </c>
    </row>
    <row r="74" customFormat="false" ht="15" hidden="false" customHeight="false" outlineLevel="0" collapsed="false">
      <c r="A74" s="27" t="n">
        <v>13</v>
      </c>
      <c r="B74" s="27" t="n">
        <f aca="false">IF(AND(A74&lt;=$C$52,$C$47=1),1,0)</f>
        <v>0</v>
      </c>
      <c r="C74" s="27" t="str">
        <f aca="false">IF(B74=1,$C$7+A74-1,"")</f>
        <v/>
      </c>
      <c r="D74" s="28" t="str">
        <f aca="false">(PlanStartYear+A74-1)&amp;"/"&amp;RIGHT(PlanStartYear+A74,2)</f>
        <v>2038/39</v>
      </c>
      <c r="E74" s="27" t="n">
        <f aca="false">A74-1-$C$49</f>
        <v>4</v>
      </c>
      <c r="F74" s="39" t="n">
        <f aca="false">IF(AND(B74=1,E74&gt;=0,E74&lt;$C$50),MIN(1,$C$37-E74),0)</f>
        <v>0</v>
      </c>
      <c r="G74" s="27" t="n">
        <f aca="false">(A74-1)+$C$54</f>
        <v>12</v>
      </c>
      <c r="H74" s="40" t="n">
        <f aca="false">(1+TuiInf)^G74</f>
        <v>3.138428376721</v>
      </c>
      <c r="I74" s="40" t="n">
        <f aca="false">(1+LivInf)^G74</f>
        <v>2.51817011681898</v>
      </c>
      <c r="J74" s="28" t="n">
        <f aca="false">$C$24*H74*F74</f>
        <v>0</v>
      </c>
      <c r="K74" s="28" t="n">
        <f aca="false">$C$25*H74*F74</f>
        <v>0</v>
      </c>
      <c r="L74" s="28" t="n">
        <f aca="false">$C$26*I74*F74</f>
        <v>0</v>
      </c>
      <c r="M74" s="28" t="n">
        <f aca="false">$C$27*I74*F74</f>
        <v>0</v>
      </c>
      <c r="N74" s="28" t="n">
        <f aca="false">$C$28*I74*F74</f>
        <v>0</v>
      </c>
      <c r="O74" s="28" t="n">
        <f aca="false">$C$29*I74*F74</f>
        <v>0</v>
      </c>
      <c r="P74" s="28" t="n">
        <f aca="false">$C$30*I74*F74</f>
        <v>0</v>
      </c>
      <c r="Q74" s="28" t="n">
        <f aca="false">$C$31*I74*F74</f>
        <v>0</v>
      </c>
      <c r="R74" s="28" t="n">
        <f aca="false">$C$32*I74*F74</f>
        <v>0</v>
      </c>
      <c r="S74" s="28" t="n">
        <f aca="false">IF(AND(F74&gt;0,E74=0),($C$33+$C$36)*H74+($C$34+$C$35)*I74,0)</f>
        <v>0</v>
      </c>
      <c r="T74" s="28" t="n">
        <f aca="false">SUM(J74:S74)</f>
        <v>0</v>
      </c>
      <c r="U74" s="28" t="n">
        <f aca="false">T74*Cont</f>
        <v>0</v>
      </c>
      <c r="V74" s="28" t="n">
        <f aca="false">MIN(J74,J74*$C$43)</f>
        <v>0</v>
      </c>
      <c r="W74" s="40" t="n">
        <f aca="false">$C$55*(1+FxDrift)^(A74-1)</f>
        <v>1</v>
      </c>
      <c r="X74" s="28" t="n">
        <f aca="false">(T74+U74)*W74</f>
        <v>0</v>
      </c>
      <c r="Y74" s="28" t="n">
        <f aca="false">IF(B74=1,MIN(X74,V74*W74+IF(F74&gt;0,$C$44*F74,0)),0)</f>
        <v>0</v>
      </c>
      <c r="Z74" s="41" t="n">
        <f aca="false">IF(B74=1,MAX(0,X74-(V74*W74+IF(F74&gt;0,$C$44*F74,0))),0)</f>
        <v>0</v>
      </c>
      <c r="AA74" s="28" t="n">
        <f aca="false">IF(B74=1,(J74+K74)*W74,0)</f>
        <v>0</v>
      </c>
      <c r="AB74" s="28" t="n">
        <f aca="false">IF(B74=1,SUM(L74:R74)*W74,0)</f>
        <v>0</v>
      </c>
      <c r="AC74" s="28" t="n">
        <f aca="false">IF(B74=1,(S74+U74)*W74,0)</f>
        <v>0</v>
      </c>
    </row>
    <row r="75" customFormat="false" ht="15" hidden="false" customHeight="false" outlineLevel="0" collapsed="false">
      <c r="A75" s="27" t="n">
        <v>14</v>
      </c>
      <c r="B75" s="27" t="n">
        <f aca="false">IF(AND(A75&lt;=$C$52,$C$47=1),1,0)</f>
        <v>0</v>
      </c>
      <c r="C75" s="27" t="str">
        <f aca="false">IF(B75=1,$C$7+A75-1,"")</f>
        <v/>
      </c>
      <c r="D75" s="28" t="str">
        <f aca="false">(PlanStartYear+A75-1)&amp;"/"&amp;RIGHT(PlanStartYear+A75,2)</f>
        <v>2039/40</v>
      </c>
      <c r="E75" s="27" t="n">
        <f aca="false">A75-1-$C$49</f>
        <v>5</v>
      </c>
      <c r="F75" s="39" t="n">
        <f aca="false">IF(AND(B75=1,E75&gt;=0,E75&lt;$C$50),MIN(1,$C$37-E75),0)</f>
        <v>0</v>
      </c>
      <c r="G75" s="27" t="n">
        <f aca="false">(A75-1)+$C$54</f>
        <v>13</v>
      </c>
      <c r="H75" s="40" t="n">
        <f aca="false">(1+TuiInf)^G75</f>
        <v>3.4522712143931</v>
      </c>
      <c r="I75" s="40" t="n">
        <f aca="false">(1+LivInf)^G75</f>
        <v>2.7196237261645</v>
      </c>
      <c r="J75" s="28" t="n">
        <f aca="false">$C$24*H75*F75</f>
        <v>0</v>
      </c>
      <c r="K75" s="28" t="n">
        <f aca="false">$C$25*H75*F75</f>
        <v>0</v>
      </c>
      <c r="L75" s="28" t="n">
        <f aca="false">$C$26*I75*F75</f>
        <v>0</v>
      </c>
      <c r="M75" s="28" t="n">
        <f aca="false">$C$27*I75*F75</f>
        <v>0</v>
      </c>
      <c r="N75" s="28" t="n">
        <f aca="false">$C$28*I75*F75</f>
        <v>0</v>
      </c>
      <c r="O75" s="28" t="n">
        <f aca="false">$C$29*I75*F75</f>
        <v>0</v>
      </c>
      <c r="P75" s="28" t="n">
        <f aca="false">$C$30*I75*F75</f>
        <v>0</v>
      </c>
      <c r="Q75" s="28" t="n">
        <f aca="false">$C$31*I75*F75</f>
        <v>0</v>
      </c>
      <c r="R75" s="28" t="n">
        <f aca="false">$C$32*I75*F75</f>
        <v>0</v>
      </c>
      <c r="S75" s="28" t="n">
        <f aca="false">IF(AND(F75&gt;0,E75=0),($C$33+$C$36)*H75+($C$34+$C$35)*I75,0)</f>
        <v>0</v>
      </c>
      <c r="T75" s="28" t="n">
        <f aca="false">SUM(J75:S75)</f>
        <v>0</v>
      </c>
      <c r="U75" s="28" t="n">
        <f aca="false">T75*Cont</f>
        <v>0</v>
      </c>
      <c r="V75" s="28" t="n">
        <f aca="false">MIN(J75,J75*$C$43)</f>
        <v>0</v>
      </c>
      <c r="W75" s="40" t="n">
        <f aca="false">$C$55*(1+FxDrift)^(A75-1)</f>
        <v>1</v>
      </c>
      <c r="X75" s="28" t="n">
        <f aca="false">(T75+U75)*W75</f>
        <v>0</v>
      </c>
      <c r="Y75" s="28" t="n">
        <f aca="false">IF(B75=1,MIN(X75,V75*W75+IF(F75&gt;0,$C$44*F75,0)),0)</f>
        <v>0</v>
      </c>
      <c r="Z75" s="41" t="n">
        <f aca="false">IF(B75=1,MAX(0,X75-(V75*W75+IF(F75&gt;0,$C$44*F75,0))),0)</f>
        <v>0</v>
      </c>
      <c r="AA75" s="28" t="n">
        <f aca="false">IF(B75=1,(J75+K75)*W75,0)</f>
        <v>0</v>
      </c>
      <c r="AB75" s="28" t="n">
        <f aca="false">IF(B75=1,SUM(L75:R75)*W75,0)</f>
        <v>0</v>
      </c>
      <c r="AC75" s="28" t="n">
        <f aca="false">IF(B75=1,(S75+U75)*W75,0)</f>
        <v>0</v>
      </c>
    </row>
    <row r="76" customFormat="false" ht="15" hidden="false" customHeight="false" outlineLevel="0" collapsed="false">
      <c r="A76" s="27" t="n">
        <v>15</v>
      </c>
      <c r="B76" s="27" t="n">
        <f aca="false">IF(AND(A76&lt;=$C$52,$C$47=1),1,0)</f>
        <v>0</v>
      </c>
      <c r="C76" s="27" t="str">
        <f aca="false">IF(B76=1,$C$7+A76-1,"")</f>
        <v/>
      </c>
      <c r="D76" s="28" t="str">
        <f aca="false">(PlanStartYear+A76-1)&amp;"/"&amp;RIGHT(PlanStartYear+A76,2)</f>
        <v>2040/41</v>
      </c>
      <c r="E76" s="27" t="n">
        <f aca="false">A76-1-$C$49</f>
        <v>6</v>
      </c>
      <c r="F76" s="39" t="n">
        <f aca="false">IF(AND(B76=1,E76&gt;=0,E76&lt;$C$50),MIN(1,$C$37-E76),0)</f>
        <v>0</v>
      </c>
      <c r="G76" s="27" t="n">
        <f aca="false">(A76-1)+$C$54</f>
        <v>14</v>
      </c>
      <c r="H76" s="40" t="n">
        <f aca="false">(1+TuiInf)^G76</f>
        <v>3.79749833583241</v>
      </c>
      <c r="I76" s="40" t="n">
        <f aca="false">(1+LivInf)^G76</f>
        <v>2.93719362425766</v>
      </c>
      <c r="J76" s="28" t="n">
        <f aca="false">$C$24*H76*F76</f>
        <v>0</v>
      </c>
      <c r="K76" s="28" t="n">
        <f aca="false">$C$25*H76*F76</f>
        <v>0</v>
      </c>
      <c r="L76" s="28" t="n">
        <f aca="false">$C$26*I76*F76</f>
        <v>0</v>
      </c>
      <c r="M76" s="28" t="n">
        <f aca="false">$C$27*I76*F76</f>
        <v>0</v>
      </c>
      <c r="N76" s="28" t="n">
        <f aca="false">$C$28*I76*F76</f>
        <v>0</v>
      </c>
      <c r="O76" s="28" t="n">
        <f aca="false">$C$29*I76*F76</f>
        <v>0</v>
      </c>
      <c r="P76" s="28" t="n">
        <f aca="false">$C$30*I76*F76</f>
        <v>0</v>
      </c>
      <c r="Q76" s="28" t="n">
        <f aca="false">$C$31*I76*F76</f>
        <v>0</v>
      </c>
      <c r="R76" s="28" t="n">
        <f aca="false">$C$32*I76*F76</f>
        <v>0</v>
      </c>
      <c r="S76" s="28" t="n">
        <f aca="false">IF(AND(F76&gt;0,E76=0),($C$33+$C$36)*H76+($C$34+$C$35)*I76,0)</f>
        <v>0</v>
      </c>
      <c r="T76" s="28" t="n">
        <f aca="false">SUM(J76:S76)</f>
        <v>0</v>
      </c>
      <c r="U76" s="28" t="n">
        <f aca="false">T76*Cont</f>
        <v>0</v>
      </c>
      <c r="V76" s="28" t="n">
        <f aca="false">MIN(J76,J76*$C$43)</f>
        <v>0</v>
      </c>
      <c r="W76" s="40" t="n">
        <f aca="false">$C$55*(1+FxDrift)^(A76-1)</f>
        <v>1</v>
      </c>
      <c r="X76" s="28" t="n">
        <f aca="false">(T76+U76)*W76</f>
        <v>0</v>
      </c>
      <c r="Y76" s="28" t="n">
        <f aca="false">IF(B76=1,MIN(X76,V76*W76+IF(F76&gt;0,$C$44*F76,0)),0)</f>
        <v>0</v>
      </c>
      <c r="Z76" s="41" t="n">
        <f aca="false">IF(B76=1,MAX(0,X76-(V76*W76+IF(F76&gt;0,$C$44*F76,0))),0)</f>
        <v>0</v>
      </c>
      <c r="AA76" s="28" t="n">
        <f aca="false">IF(B76=1,(J76+K76)*W76,0)</f>
        <v>0</v>
      </c>
      <c r="AB76" s="28" t="n">
        <f aca="false">IF(B76=1,SUM(L76:R76)*W76,0)</f>
        <v>0</v>
      </c>
      <c r="AC76" s="28" t="n">
        <f aca="false">IF(B76=1,(S76+U76)*W76,0)</f>
        <v>0</v>
      </c>
    </row>
    <row r="77" customFormat="false" ht="15" hidden="false" customHeight="false" outlineLevel="0" collapsed="false">
      <c r="A77" s="27" t="n">
        <v>16</v>
      </c>
      <c r="B77" s="27" t="n">
        <f aca="false">IF(AND(A77&lt;=$C$52,$C$47=1),1,0)</f>
        <v>0</v>
      </c>
      <c r="C77" s="27" t="str">
        <f aca="false">IF(B77=1,$C$7+A77-1,"")</f>
        <v/>
      </c>
      <c r="D77" s="28" t="str">
        <f aca="false">(PlanStartYear+A77-1)&amp;"/"&amp;RIGHT(PlanStartYear+A77,2)</f>
        <v>2041/42</v>
      </c>
      <c r="E77" s="27" t="n">
        <f aca="false">A77-1-$C$49</f>
        <v>7</v>
      </c>
      <c r="F77" s="39" t="n">
        <f aca="false">IF(AND(B77=1,E77&gt;=0,E77&lt;$C$50),MIN(1,$C$37-E77),0)</f>
        <v>0</v>
      </c>
      <c r="G77" s="27" t="n">
        <f aca="false">(A77-1)+$C$54</f>
        <v>15</v>
      </c>
      <c r="H77" s="40" t="n">
        <f aca="false">(1+TuiInf)^G77</f>
        <v>4.17724816941566</v>
      </c>
      <c r="I77" s="40" t="n">
        <f aca="false">(1+LivInf)^G77</f>
        <v>3.17216911419827</v>
      </c>
      <c r="J77" s="28" t="n">
        <f aca="false">$C$24*H77*F77</f>
        <v>0</v>
      </c>
      <c r="K77" s="28" t="n">
        <f aca="false">$C$25*H77*F77</f>
        <v>0</v>
      </c>
      <c r="L77" s="28" t="n">
        <f aca="false">$C$26*I77*F77</f>
        <v>0</v>
      </c>
      <c r="M77" s="28" t="n">
        <f aca="false">$C$27*I77*F77</f>
        <v>0</v>
      </c>
      <c r="N77" s="28" t="n">
        <f aca="false">$C$28*I77*F77</f>
        <v>0</v>
      </c>
      <c r="O77" s="28" t="n">
        <f aca="false">$C$29*I77*F77</f>
        <v>0</v>
      </c>
      <c r="P77" s="28" t="n">
        <f aca="false">$C$30*I77*F77</f>
        <v>0</v>
      </c>
      <c r="Q77" s="28" t="n">
        <f aca="false">$C$31*I77*F77</f>
        <v>0</v>
      </c>
      <c r="R77" s="28" t="n">
        <f aca="false">$C$32*I77*F77</f>
        <v>0</v>
      </c>
      <c r="S77" s="28" t="n">
        <f aca="false">IF(AND(F77&gt;0,E77=0),($C$33+$C$36)*H77+($C$34+$C$35)*I77,0)</f>
        <v>0</v>
      </c>
      <c r="T77" s="28" t="n">
        <f aca="false">SUM(J77:S77)</f>
        <v>0</v>
      </c>
      <c r="U77" s="28" t="n">
        <f aca="false">T77*Cont</f>
        <v>0</v>
      </c>
      <c r="V77" s="28" t="n">
        <f aca="false">MIN(J77,J77*$C$43)</f>
        <v>0</v>
      </c>
      <c r="W77" s="40" t="n">
        <f aca="false">$C$55*(1+FxDrift)^(A77-1)</f>
        <v>1</v>
      </c>
      <c r="X77" s="28" t="n">
        <f aca="false">(T77+U77)*W77</f>
        <v>0</v>
      </c>
      <c r="Y77" s="28" t="n">
        <f aca="false">IF(B77=1,MIN(X77,V77*W77+IF(F77&gt;0,$C$44*F77,0)),0)</f>
        <v>0</v>
      </c>
      <c r="Z77" s="41" t="n">
        <f aca="false">IF(B77=1,MAX(0,X77-(V77*W77+IF(F77&gt;0,$C$44*F77,0))),0)</f>
        <v>0</v>
      </c>
      <c r="AA77" s="28" t="n">
        <f aca="false">IF(B77=1,(J77+K77)*W77,0)</f>
        <v>0</v>
      </c>
      <c r="AB77" s="28" t="n">
        <f aca="false">IF(B77=1,SUM(L77:R77)*W77,0)</f>
        <v>0</v>
      </c>
      <c r="AC77" s="28" t="n">
        <f aca="false">IF(B77=1,(S77+U77)*W77,0)</f>
        <v>0</v>
      </c>
    </row>
    <row r="78" customFormat="false" ht="15" hidden="false" customHeight="false" outlineLevel="0" collapsed="false">
      <c r="A78" s="27" t="n">
        <v>17</v>
      </c>
      <c r="B78" s="27" t="n">
        <f aca="false">IF(AND(A78&lt;=$C$52,$C$47=1),1,0)</f>
        <v>0</v>
      </c>
      <c r="C78" s="27" t="str">
        <f aca="false">IF(B78=1,$C$7+A78-1,"")</f>
        <v/>
      </c>
      <c r="D78" s="28" t="str">
        <f aca="false">(PlanStartYear+A78-1)&amp;"/"&amp;RIGHT(PlanStartYear+A78,2)</f>
        <v>2042/43</v>
      </c>
      <c r="E78" s="27" t="n">
        <f aca="false">A78-1-$C$49</f>
        <v>8</v>
      </c>
      <c r="F78" s="39" t="n">
        <f aca="false">IF(AND(B78=1,E78&gt;=0,E78&lt;$C$50),MIN(1,$C$37-E78),0)</f>
        <v>0</v>
      </c>
      <c r="G78" s="27" t="n">
        <f aca="false">(A78-1)+$C$54</f>
        <v>16</v>
      </c>
      <c r="H78" s="40" t="n">
        <f aca="false">(1+TuiInf)^G78</f>
        <v>4.59497298635722</v>
      </c>
      <c r="I78" s="40" t="n">
        <f aca="false">(1+LivInf)^G78</f>
        <v>3.42594264333413</v>
      </c>
      <c r="J78" s="28" t="n">
        <f aca="false">$C$24*H78*F78</f>
        <v>0</v>
      </c>
      <c r="K78" s="28" t="n">
        <f aca="false">$C$25*H78*F78</f>
        <v>0</v>
      </c>
      <c r="L78" s="28" t="n">
        <f aca="false">$C$26*I78*F78</f>
        <v>0</v>
      </c>
      <c r="M78" s="28" t="n">
        <f aca="false">$C$27*I78*F78</f>
        <v>0</v>
      </c>
      <c r="N78" s="28" t="n">
        <f aca="false">$C$28*I78*F78</f>
        <v>0</v>
      </c>
      <c r="O78" s="28" t="n">
        <f aca="false">$C$29*I78*F78</f>
        <v>0</v>
      </c>
      <c r="P78" s="28" t="n">
        <f aca="false">$C$30*I78*F78</f>
        <v>0</v>
      </c>
      <c r="Q78" s="28" t="n">
        <f aca="false">$C$31*I78*F78</f>
        <v>0</v>
      </c>
      <c r="R78" s="28" t="n">
        <f aca="false">$C$32*I78*F78</f>
        <v>0</v>
      </c>
      <c r="S78" s="28" t="n">
        <f aca="false">IF(AND(F78&gt;0,E78=0),($C$33+$C$36)*H78+($C$34+$C$35)*I78,0)</f>
        <v>0</v>
      </c>
      <c r="T78" s="28" t="n">
        <f aca="false">SUM(J78:S78)</f>
        <v>0</v>
      </c>
      <c r="U78" s="28" t="n">
        <f aca="false">T78*Cont</f>
        <v>0</v>
      </c>
      <c r="V78" s="28" t="n">
        <f aca="false">MIN(J78,J78*$C$43)</f>
        <v>0</v>
      </c>
      <c r="W78" s="40" t="n">
        <f aca="false">$C$55*(1+FxDrift)^(A78-1)</f>
        <v>1</v>
      </c>
      <c r="X78" s="28" t="n">
        <f aca="false">(T78+U78)*W78</f>
        <v>0</v>
      </c>
      <c r="Y78" s="28" t="n">
        <f aca="false">IF(B78=1,MIN(X78,V78*W78+IF(F78&gt;0,$C$44*F78,0)),0)</f>
        <v>0</v>
      </c>
      <c r="Z78" s="41" t="n">
        <f aca="false">IF(B78=1,MAX(0,X78-(V78*W78+IF(F78&gt;0,$C$44*F78,0))),0)</f>
        <v>0</v>
      </c>
      <c r="AA78" s="28" t="n">
        <f aca="false">IF(B78=1,(J78+K78)*W78,0)</f>
        <v>0</v>
      </c>
      <c r="AB78" s="28" t="n">
        <f aca="false">IF(B78=1,SUM(L78:R78)*W78,0)</f>
        <v>0</v>
      </c>
      <c r="AC78" s="28" t="n">
        <f aca="false">IF(B78=1,(S78+U78)*W78,0)</f>
        <v>0</v>
      </c>
    </row>
    <row r="79" customFormat="false" ht="15" hidden="false" customHeight="false" outlineLevel="0" collapsed="false">
      <c r="A79" s="27" t="n">
        <v>18</v>
      </c>
      <c r="B79" s="27" t="n">
        <f aca="false">IF(AND(A79&lt;=$C$52,$C$47=1),1,0)</f>
        <v>0</v>
      </c>
      <c r="C79" s="27" t="str">
        <f aca="false">IF(B79=1,$C$7+A79-1,"")</f>
        <v/>
      </c>
      <c r="D79" s="28" t="str">
        <f aca="false">(PlanStartYear+A79-1)&amp;"/"&amp;RIGHT(PlanStartYear+A79,2)</f>
        <v>2043/44</v>
      </c>
      <c r="E79" s="27" t="n">
        <f aca="false">A79-1-$C$49</f>
        <v>9</v>
      </c>
      <c r="F79" s="39" t="n">
        <f aca="false">IF(AND(B79=1,E79&gt;=0,E79&lt;$C$50),MIN(1,$C$37-E79),0)</f>
        <v>0</v>
      </c>
      <c r="G79" s="27" t="n">
        <f aca="false">(A79-1)+$C$54</f>
        <v>17</v>
      </c>
      <c r="H79" s="40" t="n">
        <f aca="false">(1+TuiInf)^G79</f>
        <v>5.05447028499295</v>
      </c>
      <c r="I79" s="40" t="n">
        <f aca="false">(1+LivInf)^G79</f>
        <v>3.70001805480087</v>
      </c>
      <c r="J79" s="28" t="n">
        <f aca="false">$C$24*H79*F79</f>
        <v>0</v>
      </c>
      <c r="K79" s="28" t="n">
        <f aca="false">$C$25*H79*F79</f>
        <v>0</v>
      </c>
      <c r="L79" s="28" t="n">
        <f aca="false">$C$26*I79*F79</f>
        <v>0</v>
      </c>
      <c r="M79" s="28" t="n">
        <f aca="false">$C$27*I79*F79</f>
        <v>0</v>
      </c>
      <c r="N79" s="28" t="n">
        <f aca="false">$C$28*I79*F79</f>
        <v>0</v>
      </c>
      <c r="O79" s="28" t="n">
        <f aca="false">$C$29*I79*F79</f>
        <v>0</v>
      </c>
      <c r="P79" s="28" t="n">
        <f aca="false">$C$30*I79*F79</f>
        <v>0</v>
      </c>
      <c r="Q79" s="28" t="n">
        <f aca="false">$C$31*I79*F79</f>
        <v>0</v>
      </c>
      <c r="R79" s="28" t="n">
        <f aca="false">$C$32*I79*F79</f>
        <v>0</v>
      </c>
      <c r="S79" s="28" t="n">
        <f aca="false">IF(AND(F79&gt;0,E79=0),($C$33+$C$36)*H79+($C$34+$C$35)*I79,0)</f>
        <v>0</v>
      </c>
      <c r="T79" s="28" t="n">
        <f aca="false">SUM(J79:S79)</f>
        <v>0</v>
      </c>
      <c r="U79" s="28" t="n">
        <f aca="false">T79*Cont</f>
        <v>0</v>
      </c>
      <c r="V79" s="28" t="n">
        <f aca="false">MIN(J79,J79*$C$43)</f>
        <v>0</v>
      </c>
      <c r="W79" s="40" t="n">
        <f aca="false">$C$55*(1+FxDrift)^(A79-1)</f>
        <v>1</v>
      </c>
      <c r="X79" s="28" t="n">
        <f aca="false">(T79+U79)*W79</f>
        <v>0</v>
      </c>
      <c r="Y79" s="28" t="n">
        <f aca="false">IF(B79=1,MIN(X79,V79*W79+IF(F79&gt;0,$C$44*F79,0)),0)</f>
        <v>0</v>
      </c>
      <c r="Z79" s="41" t="n">
        <f aca="false">IF(B79=1,MAX(0,X79-(V79*W79+IF(F79&gt;0,$C$44*F79,0))),0)</f>
        <v>0</v>
      </c>
      <c r="AA79" s="28" t="n">
        <f aca="false">IF(B79=1,(J79+K79)*W79,0)</f>
        <v>0</v>
      </c>
      <c r="AB79" s="28" t="n">
        <f aca="false">IF(B79=1,SUM(L79:R79)*W79,0)</f>
        <v>0</v>
      </c>
      <c r="AC79" s="28" t="n">
        <f aca="false">IF(B79=1,(S79+U79)*W79,0)</f>
        <v>0</v>
      </c>
    </row>
    <row r="80" customFormat="false" ht="15" hidden="false" customHeight="false" outlineLevel="0" collapsed="false">
      <c r="A80" s="27" t="n">
        <v>19</v>
      </c>
      <c r="B80" s="27" t="n">
        <f aca="false">IF(AND(A80&lt;=$C$52,$C$47=1),1,0)</f>
        <v>0</v>
      </c>
      <c r="C80" s="27" t="str">
        <f aca="false">IF(B80=1,$C$7+A80-1,"")</f>
        <v/>
      </c>
      <c r="D80" s="28" t="str">
        <f aca="false">(PlanStartYear+A80-1)&amp;"/"&amp;RIGHT(PlanStartYear+A80,2)</f>
        <v>2044/45</v>
      </c>
      <c r="E80" s="27" t="n">
        <f aca="false">A80-1-$C$49</f>
        <v>10</v>
      </c>
      <c r="F80" s="39" t="n">
        <f aca="false">IF(AND(B80=1,E80&gt;=0,E80&lt;$C$50),MIN(1,$C$37-E80),0)</f>
        <v>0</v>
      </c>
      <c r="G80" s="27" t="n">
        <f aca="false">(A80-1)+$C$54</f>
        <v>18</v>
      </c>
      <c r="H80" s="40" t="n">
        <f aca="false">(1+TuiInf)^G80</f>
        <v>5.55991731349224</v>
      </c>
      <c r="I80" s="40" t="n">
        <f aca="false">(1+LivInf)^G80</f>
        <v>3.99601949918493</v>
      </c>
      <c r="J80" s="28" t="n">
        <f aca="false">$C$24*H80*F80</f>
        <v>0</v>
      </c>
      <c r="K80" s="28" t="n">
        <f aca="false">$C$25*H80*F80</f>
        <v>0</v>
      </c>
      <c r="L80" s="28" t="n">
        <f aca="false">$C$26*I80*F80</f>
        <v>0</v>
      </c>
      <c r="M80" s="28" t="n">
        <f aca="false">$C$27*I80*F80</f>
        <v>0</v>
      </c>
      <c r="N80" s="28" t="n">
        <f aca="false">$C$28*I80*F80</f>
        <v>0</v>
      </c>
      <c r="O80" s="28" t="n">
        <f aca="false">$C$29*I80*F80</f>
        <v>0</v>
      </c>
      <c r="P80" s="28" t="n">
        <f aca="false">$C$30*I80*F80</f>
        <v>0</v>
      </c>
      <c r="Q80" s="28" t="n">
        <f aca="false">$C$31*I80*F80</f>
        <v>0</v>
      </c>
      <c r="R80" s="28" t="n">
        <f aca="false">$C$32*I80*F80</f>
        <v>0</v>
      </c>
      <c r="S80" s="28" t="n">
        <f aca="false">IF(AND(F80&gt;0,E80=0),($C$33+$C$36)*H80+($C$34+$C$35)*I80,0)</f>
        <v>0</v>
      </c>
      <c r="T80" s="28" t="n">
        <f aca="false">SUM(J80:S80)</f>
        <v>0</v>
      </c>
      <c r="U80" s="28" t="n">
        <f aca="false">T80*Cont</f>
        <v>0</v>
      </c>
      <c r="V80" s="28" t="n">
        <f aca="false">MIN(J80,J80*$C$43)</f>
        <v>0</v>
      </c>
      <c r="W80" s="40" t="n">
        <f aca="false">$C$55*(1+FxDrift)^(A80-1)</f>
        <v>1</v>
      </c>
      <c r="X80" s="28" t="n">
        <f aca="false">(T80+U80)*W80</f>
        <v>0</v>
      </c>
      <c r="Y80" s="28" t="n">
        <f aca="false">IF(B80=1,MIN(X80,V80*W80+IF(F80&gt;0,$C$44*F80,0)),0)</f>
        <v>0</v>
      </c>
      <c r="Z80" s="41" t="n">
        <f aca="false">IF(B80=1,MAX(0,X80-(V80*W80+IF(F80&gt;0,$C$44*F80,0))),0)</f>
        <v>0</v>
      </c>
      <c r="AA80" s="28" t="n">
        <f aca="false">IF(B80=1,(J80+K80)*W80,0)</f>
        <v>0</v>
      </c>
      <c r="AB80" s="28" t="n">
        <f aca="false">IF(B80=1,SUM(L80:R80)*W80,0)</f>
        <v>0</v>
      </c>
      <c r="AC80" s="28" t="n">
        <f aca="false">IF(B80=1,(S80+U80)*W80,0)</f>
        <v>0</v>
      </c>
    </row>
    <row r="81" customFormat="false" ht="15" hidden="false" customHeight="false" outlineLevel="0" collapsed="false">
      <c r="A81" s="27" t="n">
        <v>20</v>
      </c>
      <c r="B81" s="27" t="n">
        <f aca="false">IF(AND(A81&lt;=$C$52,$C$47=1),1,0)</f>
        <v>0</v>
      </c>
      <c r="C81" s="27" t="str">
        <f aca="false">IF(B81=1,$C$7+A81-1,"")</f>
        <v/>
      </c>
      <c r="D81" s="28" t="str">
        <f aca="false">(PlanStartYear+A81-1)&amp;"/"&amp;RIGHT(PlanStartYear+A81,2)</f>
        <v>2045/46</v>
      </c>
      <c r="E81" s="27" t="n">
        <f aca="false">A81-1-$C$49</f>
        <v>11</v>
      </c>
      <c r="F81" s="39" t="n">
        <f aca="false">IF(AND(B81=1,E81&gt;=0,E81&lt;$C$50),MIN(1,$C$37-E81),0)</f>
        <v>0</v>
      </c>
      <c r="G81" s="27" t="n">
        <f aca="false">(A81-1)+$C$54</f>
        <v>19</v>
      </c>
      <c r="H81" s="40" t="n">
        <f aca="false">(1+TuiInf)^G81</f>
        <v>6.11590904484146</v>
      </c>
      <c r="I81" s="40" t="n">
        <f aca="false">(1+LivInf)^G81</f>
        <v>4.31570105911973</v>
      </c>
      <c r="J81" s="28" t="n">
        <f aca="false">$C$24*H81*F81</f>
        <v>0</v>
      </c>
      <c r="K81" s="28" t="n">
        <f aca="false">$C$25*H81*F81</f>
        <v>0</v>
      </c>
      <c r="L81" s="28" t="n">
        <f aca="false">$C$26*I81*F81</f>
        <v>0</v>
      </c>
      <c r="M81" s="28" t="n">
        <f aca="false">$C$27*I81*F81</f>
        <v>0</v>
      </c>
      <c r="N81" s="28" t="n">
        <f aca="false">$C$28*I81*F81</f>
        <v>0</v>
      </c>
      <c r="O81" s="28" t="n">
        <f aca="false">$C$29*I81*F81</f>
        <v>0</v>
      </c>
      <c r="P81" s="28" t="n">
        <f aca="false">$C$30*I81*F81</f>
        <v>0</v>
      </c>
      <c r="Q81" s="28" t="n">
        <f aca="false">$C$31*I81*F81</f>
        <v>0</v>
      </c>
      <c r="R81" s="28" t="n">
        <f aca="false">$C$32*I81*F81</f>
        <v>0</v>
      </c>
      <c r="S81" s="28" t="n">
        <f aca="false">IF(AND(F81&gt;0,E81=0),($C$33+$C$36)*H81+($C$34+$C$35)*I81,0)</f>
        <v>0</v>
      </c>
      <c r="T81" s="28" t="n">
        <f aca="false">SUM(J81:S81)</f>
        <v>0</v>
      </c>
      <c r="U81" s="28" t="n">
        <f aca="false">T81*Cont</f>
        <v>0</v>
      </c>
      <c r="V81" s="28" t="n">
        <f aca="false">MIN(J81,J81*$C$43)</f>
        <v>0</v>
      </c>
      <c r="W81" s="40" t="n">
        <f aca="false">$C$55*(1+FxDrift)^(A81-1)</f>
        <v>1</v>
      </c>
      <c r="X81" s="28" t="n">
        <f aca="false">(T81+U81)*W81</f>
        <v>0</v>
      </c>
      <c r="Y81" s="28" t="n">
        <f aca="false">IF(B81=1,MIN(X81,V81*W81+IF(F81&gt;0,$C$44*F81,0)),0)</f>
        <v>0</v>
      </c>
      <c r="Z81" s="41" t="n">
        <f aca="false">IF(B81=1,MAX(0,X81-(V81*W81+IF(F81&gt;0,$C$44*F81,0))),0)</f>
        <v>0</v>
      </c>
      <c r="AA81" s="28" t="n">
        <f aca="false">IF(B81=1,(J81+K81)*W81,0)</f>
        <v>0</v>
      </c>
      <c r="AB81" s="28" t="n">
        <f aca="false">IF(B81=1,SUM(L81:R81)*W81,0)</f>
        <v>0</v>
      </c>
      <c r="AC81" s="28" t="n">
        <f aca="false">IF(B81=1,(S81+U81)*W81,0)</f>
        <v>0</v>
      </c>
    </row>
    <row r="82" customFormat="false" ht="15" hidden="false" customHeight="false" outlineLevel="0" collapsed="false">
      <c r="A82" s="27" t="n">
        <v>21</v>
      </c>
      <c r="B82" s="27" t="n">
        <f aca="false">IF(AND(A82&lt;=$C$52,$C$47=1),1,0)</f>
        <v>0</v>
      </c>
      <c r="C82" s="27" t="str">
        <f aca="false">IF(B82=1,$C$7+A82-1,"")</f>
        <v/>
      </c>
      <c r="D82" s="28" t="str">
        <f aca="false">(PlanStartYear+A82-1)&amp;"/"&amp;RIGHT(PlanStartYear+A82,2)</f>
        <v>2046/47</v>
      </c>
      <c r="E82" s="27" t="n">
        <f aca="false">A82-1-$C$49</f>
        <v>12</v>
      </c>
      <c r="F82" s="39" t="n">
        <f aca="false">IF(AND(B82=1,E82&gt;=0,E82&lt;$C$50),MIN(1,$C$37-E82),0)</f>
        <v>0</v>
      </c>
      <c r="G82" s="27" t="n">
        <f aca="false">(A82-1)+$C$54</f>
        <v>20</v>
      </c>
      <c r="H82" s="40" t="n">
        <f aca="false">(1+TuiInf)^G82</f>
        <v>6.72749994932561</v>
      </c>
      <c r="I82" s="40" t="n">
        <f aca="false">(1+LivInf)^G82</f>
        <v>4.66095714384931</v>
      </c>
      <c r="J82" s="28" t="n">
        <f aca="false">$C$24*H82*F82</f>
        <v>0</v>
      </c>
      <c r="K82" s="28" t="n">
        <f aca="false">$C$25*H82*F82</f>
        <v>0</v>
      </c>
      <c r="L82" s="28" t="n">
        <f aca="false">$C$26*I82*F82</f>
        <v>0</v>
      </c>
      <c r="M82" s="28" t="n">
        <f aca="false">$C$27*I82*F82</f>
        <v>0</v>
      </c>
      <c r="N82" s="28" t="n">
        <f aca="false">$C$28*I82*F82</f>
        <v>0</v>
      </c>
      <c r="O82" s="28" t="n">
        <f aca="false">$C$29*I82*F82</f>
        <v>0</v>
      </c>
      <c r="P82" s="28" t="n">
        <f aca="false">$C$30*I82*F82</f>
        <v>0</v>
      </c>
      <c r="Q82" s="28" t="n">
        <f aca="false">$C$31*I82*F82</f>
        <v>0</v>
      </c>
      <c r="R82" s="28" t="n">
        <f aca="false">$C$32*I82*F82</f>
        <v>0</v>
      </c>
      <c r="S82" s="28" t="n">
        <f aca="false">IF(AND(F82&gt;0,E82=0),($C$33+$C$36)*H82+($C$34+$C$35)*I82,0)</f>
        <v>0</v>
      </c>
      <c r="T82" s="28" t="n">
        <f aca="false">SUM(J82:S82)</f>
        <v>0</v>
      </c>
      <c r="U82" s="28" t="n">
        <f aca="false">T82*Cont</f>
        <v>0</v>
      </c>
      <c r="V82" s="28" t="n">
        <f aca="false">MIN(J82,J82*$C$43)</f>
        <v>0</v>
      </c>
      <c r="W82" s="40" t="n">
        <f aca="false">$C$55*(1+FxDrift)^(A82-1)</f>
        <v>1</v>
      </c>
      <c r="X82" s="28" t="n">
        <f aca="false">(T82+U82)*W82</f>
        <v>0</v>
      </c>
      <c r="Y82" s="28" t="n">
        <f aca="false">IF(B82=1,MIN(X82,V82*W82+IF(F82&gt;0,$C$44*F82,0)),0)</f>
        <v>0</v>
      </c>
      <c r="Z82" s="41" t="n">
        <f aca="false">IF(B82=1,MAX(0,X82-(V82*W82+IF(F82&gt;0,$C$44*F82,0))),0)</f>
        <v>0</v>
      </c>
      <c r="AA82" s="28" t="n">
        <f aca="false">IF(B82=1,(J82+K82)*W82,0)</f>
        <v>0</v>
      </c>
      <c r="AB82" s="28" t="n">
        <f aca="false">IF(B82=1,SUM(L82:R82)*W82,0)</f>
        <v>0</v>
      </c>
      <c r="AC82" s="28" t="n">
        <f aca="false">IF(B82=1,(S82+U82)*W82,0)</f>
        <v>0</v>
      </c>
    </row>
    <row r="83" customFormat="false" ht="15" hidden="false" customHeight="false" outlineLevel="0" collapsed="false">
      <c r="A83" s="27" t="n">
        <v>22</v>
      </c>
      <c r="B83" s="27" t="n">
        <f aca="false">IF(AND(A83&lt;=$C$52,$C$47=1),1,0)</f>
        <v>0</v>
      </c>
      <c r="C83" s="27" t="str">
        <f aca="false">IF(B83=1,$C$7+A83-1,"")</f>
        <v/>
      </c>
      <c r="D83" s="28" t="str">
        <f aca="false">(PlanStartYear+A83-1)&amp;"/"&amp;RIGHT(PlanStartYear+A83,2)</f>
        <v>2047/48</v>
      </c>
      <c r="E83" s="27" t="n">
        <f aca="false">A83-1-$C$49</f>
        <v>13</v>
      </c>
      <c r="F83" s="39" t="n">
        <f aca="false">IF(AND(B83=1,E83&gt;=0,E83&lt;$C$50),MIN(1,$C$37-E83),0)</f>
        <v>0</v>
      </c>
      <c r="G83" s="27" t="n">
        <f aca="false">(A83-1)+$C$54</f>
        <v>21</v>
      </c>
      <c r="H83" s="40" t="n">
        <f aca="false">(1+TuiInf)^G83</f>
        <v>7.40024994425817</v>
      </c>
      <c r="I83" s="40" t="n">
        <f aca="false">(1+LivInf)^G83</f>
        <v>5.03383371535725</v>
      </c>
      <c r="J83" s="28" t="n">
        <f aca="false">$C$24*H83*F83</f>
        <v>0</v>
      </c>
      <c r="K83" s="28" t="n">
        <f aca="false">$C$25*H83*F83</f>
        <v>0</v>
      </c>
      <c r="L83" s="28" t="n">
        <f aca="false">$C$26*I83*F83</f>
        <v>0</v>
      </c>
      <c r="M83" s="28" t="n">
        <f aca="false">$C$27*I83*F83</f>
        <v>0</v>
      </c>
      <c r="N83" s="28" t="n">
        <f aca="false">$C$28*I83*F83</f>
        <v>0</v>
      </c>
      <c r="O83" s="28" t="n">
        <f aca="false">$C$29*I83*F83</f>
        <v>0</v>
      </c>
      <c r="P83" s="28" t="n">
        <f aca="false">$C$30*I83*F83</f>
        <v>0</v>
      </c>
      <c r="Q83" s="28" t="n">
        <f aca="false">$C$31*I83*F83</f>
        <v>0</v>
      </c>
      <c r="R83" s="28" t="n">
        <f aca="false">$C$32*I83*F83</f>
        <v>0</v>
      </c>
      <c r="S83" s="28" t="n">
        <f aca="false">IF(AND(F83&gt;0,E83=0),($C$33+$C$36)*H83+($C$34+$C$35)*I83,0)</f>
        <v>0</v>
      </c>
      <c r="T83" s="28" t="n">
        <f aca="false">SUM(J83:S83)</f>
        <v>0</v>
      </c>
      <c r="U83" s="28" t="n">
        <f aca="false">T83*Cont</f>
        <v>0</v>
      </c>
      <c r="V83" s="28" t="n">
        <f aca="false">MIN(J83,J83*$C$43)</f>
        <v>0</v>
      </c>
      <c r="W83" s="40" t="n">
        <f aca="false">$C$55*(1+FxDrift)^(A83-1)</f>
        <v>1</v>
      </c>
      <c r="X83" s="28" t="n">
        <f aca="false">(T83+U83)*W83</f>
        <v>0</v>
      </c>
      <c r="Y83" s="28" t="n">
        <f aca="false">IF(B83=1,MIN(X83,V83*W83+IF(F83&gt;0,$C$44*F83,0)),0)</f>
        <v>0</v>
      </c>
      <c r="Z83" s="41" t="n">
        <f aca="false">IF(B83=1,MAX(0,X83-(V83*W83+IF(F83&gt;0,$C$44*F83,0))),0)</f>
        <v>0</v>
      </c>
      <c r="AA83" s="28" t="n">
        <f aca="false">IF(B83=1,(J83+K83)*W83,0)</f>
        <v>0</v>
      </c>
      <c r="AB83" s="28" t="n">
        <f aca="false">IF(B83=1,SUM(L83:R83)*W83,0)</f>
        <v>0</v>
      </c>
      <c r="AC83" s="28" t="n">
        <f aca="false">IF(B83=1,(S83+U83)*W83,0)</f>
        <v>0</v>
      </c>
    </row>
    <row r="84" customFormat="false" ht="15" hidden="false" customHeight="false" outlineLevel="0" collapsed="false">
      <c r="A84" s="27" t="n">
        <v>23</v>
      </c>
      <c r="B84" s="27" t="n">
        <f aca="false">IF(AND(A84&lt;=$C$52,$C$47=1),1,0)</f>
        <v>0</v>
      </c>
      <c r="C84" s="27" t="str">
        <f aca="false">IF(B84=1,$C$7+A84-1,"")</f>
        <v/>
      </c>
      <c r="D84" s="28" t="str">
        <f aca="false">(PlanStartYear+A84-1)&amp;"/"&amp;RIGHT(PlanStartYear+A84,2)</f>
        <v>2048/49</v>
      </c>
      <c r="E84" s="27" t="n">
        <f aca="false">A84-1-$C$49</f>
        <v>14</v>
      </c>
      <c r="F84" s="39" t="n">
        <f aca="false">IF(AND(B84=1,E84&gt;=0,E84&lt;$C$50),MIN(1,$C$37-E84),0)</f>
        <v>0</v>
      </c>
      <c r="G84" s="27" t="n">
        <f aca="false">(A84-1)+$C$54</f>
        <v>22</v>
      </c>
      <c r="H84" s="40" t="n">
        <f aca="false">(1+TuiInf)^G84</f>
        <v>8.14027493868399</v>
      </c>
      <c r="I84" s="40" t="n">
        <f aca="false">(1+LivInf)^G84</f>
        <v>5.43654041258583</v>
      </c>
      <c r="J84" s="28" t="n">
        <f aca="false">$C$24*H84*F84</f>
        <v>0</v>
      </c>
      <c r="K84" s="28" t="n">
        <f aca="false">$C$25*H84*F84</f>
        <v>0</v>
      </c>
      <c r="L84" s="28" t="n">
        <f aca="false">$C$26*I84*F84</f>
        <v>0</v>
      </c>
      <c r="M84" s="28" t="n">
        <f aca="false">$C$27*I84*F84</f>
        <v>0</v>
      </c>
      <c r="N84" s="28" t="n">
        <f aca="false">$C$28*I84*F84</f>
        <v>0</v>
      </c>
      <c r="O84" s="28" t="n">
        <f aca="false">$C$29*I84*F84</f>
        <v>0</v>
      </c>
      <c r="P84" s="28" t="n">
        <f aca="false">$C$30*I84*F84</f>
        <v>0</v>
      </c>
      <c r="Q84" s="28" t="n">
        <f aca="false">$C$31*I84*F84</f>
        <v>0</v>
      </c>
      <c r="R84" s="28" t="n">
        <f aca="false">$C$32*I84*F84</f>
        <v>0</v>
      </c>
      <c r="S84" s="28" t="n">
        <f aca="false">IF(AND(F84&gt;0,E84=0),($C$33+$C$36)*H84+($C$34+$C$35)*I84,0)</f>
        <v>0</v>
      </c>
      <c r="T84" s="28" t="n">
        <f aca="false">SUM(J84:S84)</f>
        <v>0</v>
      </c>
      <c r="U84" s="28" t="n">
        <f aca="false">T84*Cont</f>
        <v>0</v>
      </c>
      <c r="V84" s="28" t="n">
        <f aca="false">MIN(J84,J84*$C$43)</f>
        <v>0</v>
      </c>
      <c r="W84" s="40" t="n">
        <f aca="false">$C$55*(1+FxDrift)^(A84-1)</f>
        <v>1</v>
      </c>
      <c r="X84" s="28" t="n">
        <f aca="false">(T84+U84)*W84</f>
        <v>0</v>
      </c>
      <c r="Y84" s="28" t="n">
        <f aca="false">IF(B84=1,MIN(X84,V84*W84+IF(F84&gt;0,$C$44*F84,0)),0)</f>
        <v>0</v>
      </c>
      <c r="Z84" s="41" t="n">
        <f aca="false">IF(B84=1,MAX(0,X84-(V84*W84+IF(F84&gt;0,$C$44*F84,0))),0)</f>
        <v>0</v>
      </c>
      <c r="AA84" s="28" t="n">
        <f aca="false">IF(B84=1,(J84+K84)*W84,0)</f>
        <v>0</v>
      </c>
      <c r="AB84" s="28" t="n">
        <f aca="false">IF(B84=1,SUM(L84:R84)*W84,0)</f>
        <v>0</v>
      </c>
      <c r="AC84" s="28" t="n">
        <f aca="false">IF(B84=1,(S84+U84)*W84,0)</f>
        <v>0</v>
      </c>
    </row>
    <row r="85" customFormat="false" ht="15" hidden="false" customHeight="false" outlineLevel="0" collapsed="false">
      <c r="A85" s="27" t="n">
        <v>24</v>
      </c>
      <c r="B85" s="27" t="n">
        <f aca="false">IF(AND(A85&lt;=$C$52,$C$47=1),1,0)</f>
        <v>0</v>
      </c>
      <c r="C85" s="27" t="str">
        <f aca="false">IF(B85=1,$C$7+A85-1,"")</f>
        <v/>
      </c>
      <c r="D85" s="28" t="str">
        <f aca="false">(PlanStartYear+A85-1)&amp;"/"&amp;RIGHT(PlanStartYear+A85,2)</f>
        <v>2049/50</v>
      </c>
      <c r="E85" s="27" t="n">
        <f aca="false">A85-1-$C$49</f>
        <v>15</v>
      </c>
      <c r="F85" s="39" t="n">
        <f aca="false">IF(AND(B85=1,E85&gt;=0,E85&lt;$C$50),MIN(1,$C$37-E85),0)</f>
        <v>0</v>
      </c>
      <c r="G85" s="27" t="n">
        <f aca="false">(A85-1)+$C$54</f>
        <v>23</v>
      </c>
      <c r="H85" s="40" t="n">
        <f aca="false">(1+TuiInf)^G85</f>
        <v>8.95430243255239</v>
      </c>
      <c r="I85" s="40" t="n">
        <f aca="false">(1+LivInf)^G85</f>
        <v>5.8714636455927</v>
      </c>
      <c r="J85" s="28" t="n">
        <f aca="false">$C$24*H85*F85</f>
        <v>0</v>
      </c>
      <c r="K85" s="28" t="n">
        <f aca="false">$C$25*H85*F85</f>
        <v>0</v>
      </c>
      <c r="L85" s="28" t="n">
        <f aca="false">$C$26*I85*F85</f>
        <v>0</v>
      </c>
      <c r="M85" s="28" t="n">
        <f aca="false">$C$27*I85*F85</f>
        <v>0</v>
      </c>
      <c r="N85" s="28" t="n">
        <f aca="false">$C$28*I85*F85</f>
        <v>0</v>
      </c>
      <c r="O85" s="28" t="n">
        <f aca="false">$C$29*I85*F85</f>
        <v>0</v>
      </c>
      <c r="P85" s="28" t="n">
        <f aca="false">$C$30*I85*F85</f>
        <v>0</v>
      </c>
      <c r="Q85" s="28" t="n">
        <f aca="false">$C$31*I85*F85</f>
        <v>0</v>
      </c>
      <c r="R85" s="28" t="n">
        <f aca="false">$C$32*I85*F85</f>
        <v>0</v>
      </c>
      <c r="S85" s="28" t="n">
        <f aca="false">IF(AND(F85&gt;0,E85=0),($C$33+$C$36)*H85+($C$34+$C$35)*I85,0)</f>
        <v>0</v>
      </c>
      <c r="T85" s="28" t="n">
        <f aca="false">SUM(J85:S85)</f>
        <v>0</v>
      </c>
      <c r="U85" s="28" t="n">
        <f aca="false">T85*Cont</f>
        <v>0</v>
      </c>
      <c r="V85" s="28" t="n">
        <f aca="false">MIN(J85,J85*$C$43)</f>
        <v>0</v>
      </c>
      <c r="W85" s="40" t="n">
        <f aca="false">$C$55*(1+FxDrift)^(A85-1)</f>
        <v>1</v>
      </c>
      <c r="X85" s="28" t="n">
        <f aca="false">(T85+U85)*W85</f>
        <v>0</v>
      </c>
      <c r="Y85" s="28" t="n">
        <f aca="false">IF(B85=1,MIN(X85,V85*W85+IF(F85&gt;0,$C$44*F85,0)),0)</f>
        <v>0</v>
      </c>
      <c r="Z85" s="41" t="n">
        <f aca="false">IF(B85=1,MAX(0,X85-(V85*W85+IF(F85&gt;0,$C$44*F85,0))),0)</f>
        <v>0</v>
      </c>
      <c r="AA85" s="28" t="n">
        <f aca="false">IF(B85=1,(J85+K85)*W85,0)</f>
        <v>0</v>
      </c>
      <c r="AB85" s="28" t="n">
        <f aca="false">IF(B85=1,SUM(L85:R85)*W85,0)</f>
        <v>0</v>
      </c>
      <c r="AC85" s="28" t="n">
        <f aca="false">IF(B85=1,(S85+U85)*W85,0)</f>
        <v>0</v>
      </c>
    </row>
    <row r="86" customFormat="false" ht="15" hidden="false" customHeight="false" outlineLevel="0" collapsed="false">
      <c r="A86" s="27" t="n">
        <v>25</v>
      </c>
      <c r="B86" s="27" t="n">
        <f aca="false">IF(AND(A86&lt;=$C$52,$C$47=1),1,0)</f>
        <v>0</v>
      </c>
      <c r="C86" s="27" t="str">
        <f aca="false">IF(B86=1,$C$7+A86-1,"")</f>
        <v/>
      </c>
      <c r="D86" s="28" t="str">
        <f aca="false">(PlanStartYear+A86-1)&amp;"/"&amp;RIGHT(PlanStartYear+A86,2)</f>
        <v>2050/51</v>
      </c>
      <c r="E86" s="27" t="n">
        <f aca="false">A86-1-$C$49</f>
        <v>16</v>
      </c>
      <c r="F86" s="39" t="n">
        <f aca="false">IF(AND(B86=1,E86&gt;=0,E86&lt;$C$50),MIN(1,$C$37-E86),0)</f>
        <v>0</v>
      </c>
      <c r="G86" s="27" t="n">
        <f aca="false">(A86-1)+$C$54</f>
        <v>24</v>
      </c>
      <c r="H86" s="40" t="n">
        <f aca="false">(1+TuiInf)^G86</f>
        <v>9.84973267580763</v>
      </c>
      <c r="I86" s="40" t="n">
        <f aca="false">(1+LivInf)^G86</f>
        <v>6.34118073724012</v>
      </c>
      <c r="J86" s="28" t="n">
        <f aca="false">$C$24*H86*F86</f>
        <v>0</v>
      </c>
      <c r="K86" s="28" t="n">
        <f aca="false">$C$25*H86*F86</f>
        <v>0</v>
      </c>
      <c r="L86" s="28" t="n">
        <f aca="false">$C$26*I86*F86</f>
        <v>0</v>
      </c>
      <c r="M86" s="28" t="n">
        <f aca="false">$C$27*I86*F86</f>
        <v>0</v>
      </c>
      <c r="N86" s="28" t="n">
        <f aca="false">$C$28*I86*F86</f>
        <v>0</v>
      </c>
      <c r="O86" s="28" t="n">
        <f aca="false">$C$29*I86*F86</f>
        <v>0</v>
      </c>
      <c r="P86" s="28" t="n">
        <f aca="false">$C$30*I86*F86</f>
        <v>0</v>
      </c>
      <c r="Q86" s="28" t="n">
        <f aca="false">$C$31*I86*F86</f>
        <v>0</v>
      </c>
      <c r="R86" s="28" t="n">
        <f aca="false">$C$32*I86*F86</f>
        <v>0</v>
      </c>
      <c r="S86" s="28" t="n">
        <f aca="false">IF(AND(F86&gt;0,E86=0),($C$33+$C$36)*H86+($C$34+$C$35)*I86,0)</f>
        <v>0</v>
      </c>
      <c r="T86" s="28" t="n">
        <f aca="false">SUM(J86:S86)</f>
        <v>0</v>
      </c>
      <c r="U86" s="28" t="n">
        <f aca="false">T86*Cont</f>
        <v>0</v>
      </c>
      <c r="V86" s="28" t="n">
        <f aca="false">MIN(J86,J86*$C$43)</f>
        <v>0</v>
      </c>
      <c r="W86" s="40" t="n">
        <f aca="false">$C$55*(1+FxDrift)^(A86-1)</f>
        <v>1</v>
      </c>
      <c r="X86" s="28" t="n">
        <f aca="false">(T86+U86)*W86</f>
        <v>0</v>
      </c>
      <c r="Y86" s="28" t="n">
        <f aca="false">IF(B86=1,MIN(X86,V86*W86+IF(F86&gt;0,$C$44*F86,0)),0)</f>
        <v>0</v>
      </c>
      <c r="Z86" s="41" t="n">
        <f aca="false">IF(B86=1,MAX(0,X86-(V86*W86+IF(F86&gt;0,$C$44*F86,0))),0)</f>
        <v>0</v>
      </c>
      <c r="AA86" s="28" t="n">
        <f aca="false">IF(B86=1,(J86+K86)*W86,0)</f>
        <v>0</v>
      </c>
      <c r="AB86" s="28" t="n">
        <f aca="false">IF(B86=1,SUM(L86:R86)*W86,0)</f>
        <v>0</v>
      </c>
      <c r="AC86" s="28" t="n">
        <f aca="false">IF(B86=1,(S86+U86)*W86,0)</f>
        <v>0</v>
      </c>
    </row>
    <row r="87" customFormat="false" ht="15" hidden="false" customHeight="false" outlineLevel="0" collapsed="false">
      <c r="A87" s="27" t="n">
        <v>26</v>
      </c>
      <c r="B87" s="27" t="n">
        <f aca="false">IF(AND(A87&lt;=$C$52,$C$47=1),1,0)</f>
        <v>0</v>
      </c>
      <c r="C87" s="27" t="str">
        <f aca="false">IF(B87=1,$C$7+A87-1,"")</f>
        <v/>
      </c>
      <c r="D87" s="28" t="str">
        <f aca="false">(PlanStartYear+A87-1)&amp;"/"&amp;RIGHT(PlanStartYear+A87,2)</f>
        <v>2051/52</v>
      </c>
      <c r="E87" s="27" t="n">
        <f aca="false">A87-1-$C$49</f>
        <v>17</v>
      </c>
      <c r="F87" s="39" t="n">
        <f aca="false">IF(AND(B87=1,E87&gt;=0,E87&lt;$C$50),MIN(1,$C$37-E87),0)</f>
        <v>0</v>
      </c>
      <c r="G87" s="27" t="n">
        <f aca="false">(A87-1)+$C$54</f>
        <v>25</v>
      </c>
      <c r="H87" s="40" t="n">
        <f aca="false">(1+TuiInf)^G87</f>
        <v>10.8347059433884</v>
      </c>
      <c r="I87" s="40" t="n">
        <f aca="false">(1+LivInf)^G87</f>
        <v>6.84847519621933</v>
      </c>
      <c r="J87" s="28" t="n">
        <f aca="false">$C$24*H87*F87</f>
        <v>0</v>
      </c>
      <c r="K87" s="28" t="n">
        <f aca="false">$C$25*H87*F87</f>
        <v>0</v>
      </c>
      <c r="L87" s="28" t="n">
        <f aca="false">$C$26*I87*F87</f>
        <v>0</v>
      </c>
      <c r="M87" s="28" t="n">
        <f aca="false">$C$27*I87*F87</f>
        <v>0</v>
      </c>
      <c r="N87" s="28" t="n">
        <f aca="false">$C$28*I87*F87</f>
        <v>0</v>
      </c>
      <c r="O87" s="28" t="n">
        <f aca="false">$C$29*I87*F87</f>
        <v>0</v>
      </c>
      <c r="P87" s="28" t="n">
        <f aca="false">$C$30*I87*F87</f>
        <v>0</v>
      </c>
      <c r="Q87" s="28" t="n">
        <f aca="false">$C$31*I87*F87</f>
        <v>0</v>
      </c>
      <c r="R87" s="28" t="n">
        <f aca="false">$C$32*I87*F87</f>
        <v>0</v>
      </c>
      <c r="S87" s="28" t="n">
        <f aca="false">IF(AND(F87&gt;0,E87=0),($C$33+$C$36)*H87+($C$34+$C$35)*I87,0)</f>
        <v>0</v>
      </c>
      <c r="T87" s="28" t="n">
        <f aca="false">SUM(J87:S87)</f>
        <v>0</v>
      </c>
      <c r="U87" s="28" t="n">
        <f aca="false">T87*Cont</f>
        <v>0</v>
      </c>
      <c r="V87" s="28" t="n">
        <f aca="false">MIN(J87,J87*$C$43)</f>
        <v>0</v>
      </c>
      <c r="W87" s="40" t="n">
        <f aca="false">$C$55*(1+FxDrift)^(A87-1)</f>
        <v>1</v>
      </c>
      <c r="X87" s="28" t="n">
        <f aca="false">(T87+U87)*W87</f>
        <v>0</v>
      </c>
      <c r="Y87" s="28" t="n">
        <f aca="false">IF(B87=1,MIN(X87,V87*W87+IF(F87&gt;0,$C$44*F87,0)),0)</f>
        <v>0</v>
      </c>
      <c r="Z87" s="41" t="n">
        <f aca="false">IF(B87=1,MAX(0,X87-(V87*W87+IF(F87&gt;0,$C$44*F87,0))),0)</f>
        <v>0</v>
      </c>
      <c r="AA87" s="28" t="n">
        <f aca="false">IF(B87=1,(J87+K87)*W87,0)</f>
        <v>0</v>
      </c>
      <c r="AB87" s="28" t="n">
        <f aca="false">IF(B87=1,SUM(L87:R87)*W87,0)</f>
        <v>0</v>
      </c>
      <c r="AC87" s="28" t="n">
        <f aca="false">IF(B87=1,(S87+U87)*W87,0)</f>
        <v>0</v>
      </c>
    </row>
    <row r="88" customFormat="false" ht="15" hidden="false" customHeight="false" outlineLevel="0" collapsed="false">
      <c r="A88" s="27" t="n">
        <v>27</v>
      </c>
      <c r="B88" s="27" t="n">
        <f aca="false">IF(AND(A88&lt;=$C$52,$C$47=1),1,0)</f>
        <v>0</v>
      </c>
      <c r="C88" s="27" t="str">
        <f aca="false">IF(B88=1,$C$7+A88-1,"")</f>
        <v/>
      </c>
      <c r="D88" s="28" t="str">
        <f aca="false">(PlanStartYear+A88-1)&amp;"/"&amp;RIGHT(PlanStartYear+A88,2)</f>
        <v>2052/53</v>
      </c>
      <c r="E88" s="27" t="n">
        <f aca="false">A88-1-$C$49</f>
        <v>18</v>
      </c>
      <c r="F88" s="39" t="n">
        <f aca="false">IF(AND(B88=1,E88&gt;=0,E88&lt;$C$50),MIN(1,$C$37-E88),0)</f>
        <v>0</v>
      </c>
      <c r="G88" s="27" t="n">
        <f aca="false">(A88-1)+$C$54</f>
        <v>26</v>
      </c>
      <c r="H88" s="40" t="n">
        <f aca="false">(1+TuiInf)^G88</f>
        <v>11.9181765377272</v>
      </c>
      <c r="I88" s="40" t="n">
        <f aca="false">(1+LivInf)^G88</f>
        <v>7.39635321191687</v>
      </c>
      <c r="J88" s="28" t="n">
        <f aca="false">$C$24*H88*F88</f>
        <v>0</v>
      </c>
      <c r="K88" s="28" t="n">
        <f aca="false">$C$25*H88*F88</f>
        <v>0</v>
      </c>
      <c r="L88" s="28" t="n">
        <f aca="false">$C$26*I88*F88</f>
        <v>0</v>
      </c>
      <c r="M88" s="28" t="n">
        <f aca="false">$C$27*I88*F88</f>
        <v>0</v>
      </c>
      <c r="N88" s="28" t="n">
        <f aca="false">$C$28*I88*F88</f>
        <v>0</v>
      </c>
      <c r="O88" s="28" t="n">
        <f aca="false">$C$29*I88*F88</f>
        <v>0</v>
      </c>
      <c r="P88" s="28" t="n">
        <f aca="false">$C$30*I88*F88</f>
        <v>0</v>
      </c>
      <c r="Q88" s="28" t="n">
        <f aca="false">$C$31*I88*F88</f>
        <v>0</v>
      </c>
      <c r="R88" s="28" t="n">
        <f aca="false">$C$32*I88*F88</f>
        <v>0</v>
      </c>
      <c r="S88" s="28" t="n">
        <f aca="false">IF(AND(F88&gt;0,E88=0),($C$33+$C$36)*H88+($C$34+$C$35)*I88,0)</f>
        <v>0</v>
      </c>
      <c r="T88" s="28" t="n">
        <f aca="false">SUM(J88:S88)</f>
        <v>0</v>
      </c>
      <c r="U88" s="28" t="n">
        <f aca="false">T88*Cont</f>
        <v>0</v>
      </c>
      <c r="V88" s="28" t="n">
        <f aca="false">MIN(J88,J88*$C$43)</f>
        <v>0</v>
      </c>
      <c r="W88" s="40" t="n">
        <f aca="false">$C$55*(1+FxDrift)^(A88-1)</f>
        <v>1</v>
      </c>
      <c r="X88" s="28" t="n">
        <f aca="false">(T88+U88)*W88</f>
        <v>0</v>
      </c>
      <c r="Y88" s="28" t="n">
        <f aca="false">IF(B88=1,MIN(X88,V88*W88+IF(F88&gt;0,$C$44*F88,0)),0)</f>
        <v>0</v>
      </c>
      <c r="Z88" s="41" t="n">
        <f aca="false">IF(B88=1,MAX(0,X88-(V88*W88+IF(F88&gt;0,$C$44*F88,0))),0)</f>
        <v>0</v>
      </c>
      <c r="AA88" s="28" t="n">
        <f aca="false">IF(B88=1,(J88+K88)*W88,0)</f>
        <v>0</v>
      </c>
      <c r="AB88" s="28" t="n">
        <f aca="false">IF(B88=1,SUM(L88:R88)*W88,0)</f>
        <v>0</v>
      </c>
      <c r="AC88" s="28" t="n">
        <f aca="false">IF(B88=1,(S88+U88)*W88,0)</f>
        <v>0</v>
      </c>
    </row>
    <row r="89" customFormat="false" ht="15" hidden="false" customHeight="false" outlineLevel="0" collapsed="false">
      <c r="A89" s="27" t="n">
        <v>28</v>
      </c>
      <c r="B89" s="27" t="n">
        <f aca="false">IF(AND(A89&lt;=$C$52,$C$47=1),1,0)</f>
        <v>0</v>
      </c>
      <c r="C89" s="27" t="str">
        <f aca="false">IF(B89=1,$C$7+A89-1,"")</f>
        <v/>
      </c>
      <c r="D89" s="28" t="str">
        <f aca="false">(PlanStartYear+A89-1)&amp;"/"&amp;RIGHT(PlanStartYear+A89,2)</f>
        <v>2053/54</v>
      </c>
      <c r="E89" s="27" t="n">
        <f aca="false">A89-1-$C$49</f>
        <v>19</v>
      </c>
      <c r="F89" s="39" t="n">
        <f aca="false">IF(AND(B89=1,E89&gt;=0,E89&lt;$C$50),MIN(1,$C$37-E89),0)</f>
        <v>0</v>
      </c>
      <c r="G89" s="27" t="n">
        <f aca="false">(A89-1)+$C$54</f>
        <v>27</v>
      </c>
      <c r="H89" s="40" t="n">
        <f aca="false">(1+TuiInf)^G89</f>
        <v>13.1099941915</v>
      </c>
      <c r="I89" s="40" t="n">
        <f aca="false">(1+LivInf)^G89</f>
        <v>7.98806146887022</v>
      </c>
      <c r="J89" s="28" t="n">
        <f aca="false">$C$24*H89*F89</f>
        <v>0</v>
      </c>
      <c r="K89" s="28" t="n">
        <f aca="false">$C$25*H89*F89</f>
        <v>0</v>
      </c>
      <c r="L89" s="28" t="n">
        <f aca="false">$C$26*I89*F89</f>
        <v>0</v>
      </c>
      <c r="M89" s="28" t="n">
        <f aca="false">$C$27*I89*F89</f>
        <v>0</v>
      </c>
      <c r="N89" s="28" t="n">
        <f aca="false">$C$28*I89*F89</f>
        <v>0</v>
      </c>
      <c r="O89" s="28" t="n">
        <f aca="false">$C$29*I89*F89</f>
        <v>0</v>
      </c>
      <c r="P89" s="28" t="n">
        <f aca="false">$C$30*I89*F89</f>
        <v>0</v>
      </c>
      <c r="Q89" s="28" t="n">
        <f aca="false">$C$31*I89*F89</f>
        <v>0</v>
      </c>
      <c r="R89" s="28" t="n">
        <f aca="false">$C$32*I89*F89</f>
        <v>0</v>
      </c>
      <c r="S89" s="28" t="n">
        <f aca="false">IF(AND(F89&gt;0,E89=0),($C$33+$C$36)*H89+($C$34+$C$35)*I89,0)</f>
        <v>0</v>
      </c>
      <c r="T89" s="28" t="n">
        <f aca="false">SUM(J89:S89)</f>
        <v>0</v>
      </c>
      <c r="U89" s="28" t="n">
        <f aca="false">T89*Cont</f>
        <v>0</v>
      </c>
      <c r="V89" s="28" t="n">
        <f aca="false">MIN(J89,J89*$C$43)</f>
        <v>0</v>
      </c>
      <c r="W89" s="40" t="n">
        <f aca="false">$C$55*(1+FxDrift)^(A89-1)</f>
        <v>1</v>
      </c>
      <c r="X89" s="28" t="n">
        <f aca="false">(T89+U89)*W89</f>
        <v>0</v>
      </c>
      <c r="Y89" s="28" t="n">
        <f aca="false">IF(B89=1,MIN(X89,V89*W89+IF(F89&gt;0,$C$44*F89,0)),0)</f>
        <v>0</v>
      </c>
      <c r="Z89" s="41" t="n">
        <f aca="false">IF(B89=1,MAX(0,X89-(V89*W89+IF(F89&gt;0,$C$44*F89,0))),0)</f>
        <v>0</v>
      </c>
      <c r="AA89" s="28" t="n">
        <f aca="false">IF(B89=1,(J89+K89)*W89,0)</f>
        <v>0</v>
      </c>
      <c r="AB89" s="28" t="n">
        <f aca="false">IF(B89=1,SUM(L89:R89)*W89,0)</f>
        <v>0</v>
      </c>
      <c r="AC89" s="28" t="n">
        <f aca="false">IF(B89=1,(S89+U89)*W89,0)</f>
        <v>0</v>
      </c>
    </row>
    <row r="90" customFormat="false" ht="15" hidden="false" customHeight="false" outlineLevel="0" collapsed="false">
      <c r="A90" s="27" t="n">
        <v>29</v>
      </c>
      <c r="B90" s="27" t="n">
        <f aca="false">IF(AND(A90&lt;=$C$52,$C$47=1),1,0)</f>
        <v>0</v>
      </c>
      <c r="C90" s="27" t="str">
        <f aca="false">IF(B90=1,$C$7+A90-1,"")</f>
        <v/>
      </c>
      <c r="D90" s="28" t="str">
        <f aca="false">(PlanStartYear+A90-1)&amp;"/"&amp;RIGHT(PlanStartYear+A90,2)</f>
        <v>2054/55</v>
      </c>
      <c r="E90" s="27" t="n">
        <f aca="false">A90-1-$C$49</f>
        <v>20</v>
      </c>
      <c r="F90" s="39" t="n">
        <f aca="false">IF(AND(B90=1,E90&gt;=0,E90&lt;$C$50),MIN(1,$C$37-E90),0)</f>
        <v>0</v>
      </c>
      <c r="G90" s="27" t="n">
        <f aca="false">(A90-1)+$C$54</f>
        <v>28</v>
      </c>
      <c r="H90" s="40" t="n">
        <f aca="false">(1+TuiInf)^G90</f>
        <v>14.42099361065</v>
      </c>
      <c r="I90" s="40" t="n">
        <f aca="false">(1+LivInf)^G90</f>
        <v>8.62710638637984</v>
      </c>
      <c r="J90" s="28" t="n">
        <f aca="false">$C$24*H90*F90</f>
        <v>0</v>
      </c>
      <c r="K90" s="28" t="n">
        <f aca="false">$C$25*H90*F90</f>
        <v>0</v>
      </c>
      <c r="L90" s="28" t="n">
        <f aca="false">$C$26*I90*F90</f>
        <v>0</v>
      </c>
      <c r="M90" s="28" t="n">
        <f aca="false">$C$27*I90*F90</f>
        <v>0</v>
      </c>
      <c r="N90" s="28" t="n">
        <f aca="false">$C$28*I90*F90</f>
        <v>0</v>
      </c>
      <c r="O90" s="28" t="n">
        <f aca="false">$C$29*I90*F90</f>
        <v>0</v>
      </c>
      <c r="P90" s="28" t="n">
        <f aca="false">$C$30*I90*F90</f>
        <v>0</v>
      </c>
      <c r="Q90" s="28" t="n">
        <f aca="false">$C$31*I90*F90</f>
        <v>0</v>
      </c>
      <c r="R90" s="28" t="n">
        <f aca="false">$C$32*I90*F90</f>
        <v>0</v>
      </c>
      <c r="S90" s="28" t="n">
        <f aca="false">IF(AND(F90&gt;0,E90=0),($C$33+$C$36)*H90+($C$34+$C$35)*I90,0)</f>
        <v>0</v>
      </c>
      <c r="T90" s="28" t="n">
        <f aca="false">SUM(J90:S90)</f>
        <v>0</v>
      </c>
      <c r="U90" s="28" t="n">
        <f aca="false">T90*Cont</f>
        <v>0</v>
      </c>
      <c r="V90" s="28" t="n">
        <f aca="false">MIN(J90,J90*$C$43)</f>
        <v>0</v>
      </c>
      <c r="W90" s="40" t="n">
        <f aca="false">$C$55*(1+FxDrift)^(A90-1)</f>
        <v>1</v>
      </c>
      <c r="X90" s="28" t="n">
        <f aca="false">(T90+U90)*W90</f>
        <v>0</v>
      </c>
      <c r="Y90" s="28" t="n">
        <f aca="false">IF(B90=1,MIN(X90,V90*W90+IF(F90&gt;0,$C$44*F90,0)),0)</f>
        <v>0</v>
      </c>
      <c r="Z90" s="41" t="n">
        <f aca="false">IF(B90=1,MAX(0,X90-(V90*W90+IF(F90&gt;0,$C$44*F90,0))),0)</f>
        <v>0</v>
      </c>
      <c r="AA90" s="28" t="n">
        <f aca="false">IF(B90=1,(J90+K90)*W90,0)</f>
        <v>0</v>
      </c>
      <c r="AB90" s="28" t="n">
        <f aca="false">IF(B90=1,SUM(L90:R90)*W90,0)</f>
        <v>0</v>
      </c>
      <c r="AC90" s="28" t="n">
        <f aca="false">IF(B90=1,(S90+U90)*W90,0)</f>
        <v>0</v>
      </c>
    </row>
    <row r="91" customFormat="false" ht="15" hidden="false" customHeight="false" outlineLevel="0" collapsed="false">
      <c r="A91" s="27" t="n">
        <v>30</v>
      </c>
      <c r="B91" s="27" t="n">
        <f aca="false">IF(AND(A91&lt;=$C$52,$C$47=1),1,0)</f>
        <v>0</v>
      </c>
      <c r="C91" s="27" t="str">
        <f aca="false">IF(B91=1,$C$7+A91-1,"")</f>
        <v/>
      </c>
      <c r="D91" s="28" t="str">
        <f aca="false">(PlanStartYear+A91-1)&amp;"/"&amp;RIGHT(PlanStartYear+A91,2)</f>
        <v>2055/56</v>
      </c>
      <c r="E91" s="27" t="n">
        <f aca="false">A91-1-$C$49</f>
        <v>21</v>
      </c>
      <c r="F91" s="39" t="n">
        <f aca="false">IF(AND(B91=1,E91&gt;=0,E91&lt;$C$50),MIN(1,$C$37-E91),0)</f>
        <v>0</v>
      </c>
      <c r="G91" s="27" t="n">
        <f aca="false">(A91-1)+$C$54</f>
        <v>29</v>
      </c>
      <c r="H91" s="40" t="n">
        <f aca="false">(1+TuiInf)^G91</f>
        <v>15.863092971715</v>
      </c>
      <c r="I91" s="40" t="n">
        <f aca="false">(1+LivInf)^G91</f>
        <v>9.31727489729023</v>
      </c>
      <c r="J91" s="28" t="n">
        <f aca="false">$C$24*H91*F91</f>
        <v>0</v>
      </c>
      <c r="K91" s="28" t="n">
        <f aca="false">$C$25*H91*F91</f>
        <v>0</v>
      </c>
      <c r="L91" s="28" t="n">
        <f aca="false">$C$26*I91*F91</f>
        <v>0</v>
      </c>
      <c r="M91" s="28" t="n">
        <f aca="false">$C$27*I91*F91</f>
        <v>0</v>
      </c>
      <c r="N91" s="28" t="n">
        <f aca="false">$C$28*I91*F91</f>
        <v>0</v>
      </c>
      <c r="O91" s="28" t="n">
        <f aca="false">$C$29*I91*F91</f>
        <v>0</v>
      </c>
      <c r="P91" s="28" t="n">
        <f aca="false">$C$30*I91*F91</f>
        <v>0</v>
      </c>
      <c r="Q91" s="28" t="n">
        <f aca="false">$C$31*I91*F91</f>
        <v>0</v>
      </c>
      <c r="R91" s="28" t="n">
        <f aca="false">$C$32*I91*F91</f>
        <v>0</v>
      </c>
      <c r="S91" s="28" t="n">
        <f aca="false">IF(AND(F91&gt;0,E91=0),($C$33+$C$36)*H91+($C$34+$C$35)*I91,0)</f>
        <v>0</v>
      </c>
      <c r="T91" s="28" t="n">
        <f aca="false">SUM(J91:S91)</f>
        <v>0</v>
      </c>
      <c r="U91" s="28" t="n">
        <f aca="false">T91*Cont</f>
        <v>0</v>
      </c>
      <c r="V91" s="28" t="n">
        <f aca="false">MIN(J91,J91*$C$43)</f>
        <v>0</v>
      </c>
      <c r="W91" s="40" t="n">
        <f aca="false">$C$55*(1+FxDrift)^(A91-1)</f>
        <v>1</v>
      </c>
      <c r="X91" s="28" t="n">
        <f aca="false">(T91+U91)*W91</f>
        <v>0</v>
      </c>
      <c r="Y91" s="28" t="n">
        <f aca="false">IF(B91=1,MIN(X91,V91*W91+IF(F91&gt;0,$C$44*F91,0)),0)</f>
        <v>0</v>
      </c>
      <c r="Z91" s="41" t="n">
        <f aca="false">IF(B91=1,MAX(0,X91-(V91*W91+IF(F91&gt;0,$C$44*F91,0))),0)</f>
        <v>0</v>
      </c>
      <c r="AA91" s="28" t="n">
        <f aca="false">IF(B91=1,(J91+K91)*W91,0)</f>
        <v>0</v>
      </c>
      <c r="AB91" s="28" t="n">
        <f aca="false">IF(B91=1,SUM(L91:R91)*W91,0)</f>
        <v>0</v>
      </c>
      <c r="AC91" s="28" t="n">
        <f aca="false">IF(B91=1,(S91+U91)*W91,0)</f>
        <v>0</v>
      </c>
    </row>
    <row r="92" customFormat="false" ht="15" hidden="false" customHeight="false" outlineLevel="0" collapsed="false">
      <c r="A92" s="27" t="n">
        <v>31</v>
      </c>
      <c r="B92" s="27" t="n">
        <f aca="false">IF(AND(A92&lt;=$C$52,$C$47=1),1,0)</f>
        <v>0</v>
      </c>
      <c r="C92" s="27" t="str">
        <f aca="false">IF(B92=1,$C$7+A92-1,"")</f>
        <v/>
      </c>
      <c r="D92" s="28" t="str">
        <f aca="false">(PlanStartYear+A92-1)&amp;"/"&amp;RIGHT(PlanStartYear+A92,2)</f>
        <v>2056/57</v>
      </c>
      <c r="E92" s="27" t="n">
        <f aca="false">A92-1-$C$49</f>
        <v>22</v>
      </c>
      <c r="F92" s="39" t="n">
        <f aca="false">IF(AND(B92=1,E92&gt;=0,E92&lt;$C$50),MIN(1,$C$37-E92),0)</f>
        <v>0</v>
      </c>
      <c r="G92" s="27" t="n">
        <f aca="false">(A92-1)+$C$54</f>
        <v>30</v>
      </c>
      <c r="H92" s="40" t="n">
        <f aca="false">(1+TuiInf)^G92</f>
        <v>17.4494022688865</v>
      </c>
      <c r="I92" s="40" t="n">
        <f aca="false">(1+LivInf)^G92</f>
        <v>10.0626568890735</v>
      </c>
      <c r="J92" s="28" t="n">
        <f aca="false">$C$24*H92*F92</f>
        <v>0</v>
      </c>
      <c r="K92" s="28" t="n">
        <f aca="false">$C$25*H92*F92</f>
        <v>0</v>
      </c>
      <c r="L92" s="28" t="n">
        <f aca="false">$C$26*I92*F92</f>
        <v>0</v>
      </c>
      <c r="M92" s="28" t="n">
        <f aca="false">$C$27*I92*F92</f>
        <v>0</v>
      </c>
      <c r="N92" s="28" t="n">
        <f aca="false">$C$28*I92*F92</f>
        <v>0</v>
      </c>
      <c r="O92" s="28" t="n">
        <f aca="false">$C$29*I92*F92</f>
        <v>0</v>
      </c>
      <c r="P92" s="28" t="n">
        <f aca="false">$C$30*I92*F92</f>
        <v>0</v>
      </c>
      <c r="Q92" s="28" t="n">
        <f aca="false">$C$31*I92*F92</f>
        <v>0</v>
      </c>
      <c r="R92" s="28" t="n">
        <f aca="false">$C$32*I92*F92</f>
        <v>0</v>
      </c>
      <c r="S92" s="28" t="n">
        <f aca="false">IF(AND(F92&gt;0,E92=0),($C$33+$C$36)*H92+($C$34+$C$35)*I92,0)</f>
        <v>0</v>
      </c>
      <c r="T92" s="28" t="n">
        <f aca="false">SUM(J92:S92)</f>
        <v>0</v>
      </c>
      <c r="U92" s="28" t="n">
        <f aca="false">T92*Cont</f>
        <v>0</v>
      </c>
      <c r="V92" s="28" t="n">
        <f aca="false">MIN(J92,J92*$C$43)</f>
        <v>0</v>
      </c>
      <c r="W92" s="40" t="n">
        <f aca="false">$C$55*(1+FxDrift)^(A92-1)</f>
        <v>1</v>
      </c>
      <c r="X92" s="28" t="n">
        <f aca="false">(T92+U92)*W92</f>
        <v>0</v>
      </c>
      <c r="Y92" s="28" t="n">
        <f aca="false">IF(B92=1,MIN(X92,V92*W92+IF(F92&gt;0,$C$44*F92,0)),0)</f>
        <v>0</v>
      </c>
      <c r="Z92" s="41" t="n">
        <f aca="false">IF(B92=1,MAX(0,X92-(V92*W92+IF(F92&gt;0,$C$44*F92,0))),0)</f>
        <v>0</v>
      </c>
      <c r="AA92" s="28" t="n">
        <f aca="false">IF(B92=1,(J92+K92)*W92,0)</f>
        <v>0</v>
      </c>
      <c r="AB92" s="28" t="n">
        <f aca="false">IF(B92=1,SUM(L92:R92)*W92,0)</f>
        <v>0</v>
      </c>
      <c r="AC92" s="28" t="n">
        <f aca="false">IF(B92=1,(S92+U92)*W92,0)</f>
        <v>0</v>
      </c>
    </row>
    <row r="93" customFormat="false" ht="15" hidden="false" customHeight="false" outlineLevel="0" collapsed="false">
      <c r="A93" s="27" t="n">
        <v>32</v>
      </c>
      <c r="B93" s="27" t="n">
        <f aca="false">IF(AND(A93&lt;=$C$52,$C$47=1),1,0)</f>
        <v>0</v>
      </c>
      <c r="C93" s="27" t="str">
        <f aca="false">IF(B93=1,$C$7+A93-1,"")</f>
        <v/>
      </c>
      <c r="D93" s="28" t="str">
        <f aca="false">(PlanStartYear+A93-1)&amp;"/"&amp;RIGHT(PlanStartYear+A93,2)</f>
        <v>2057/58</v>
      </c>
      <c r="E93" s="27" t="n">
        <f aca="false">A93-1-$C$49</f>
        <v>23</v>
      </c>
      <c r="F93" s="39" t="n">
        <f aca="false">IF(AND(B93=1,E93&gt;=0,E93&lt;$C$50),MIN(1,$C$37-E93),0)</f>
        <v>0</v>
      </c>
      <c r="G93" s="27" t="n">
        <f aca="false">(A93-1)+$C$54</f>
        <v>31</v>
      </c>
      <c r="H93" s="40" t="n">
        <f aca="false">(1+TuiInf)^G93</f>
        <v>19.1943424957751</v>
      </c>
      <c r="I93" s="40" t="n">
        <f aca="false">(1+LivInf)^G93</f>
        <v>10.8676694401993</v>
      </c>
      <c r="J93" s="28" t="n">
        <f aca="false">$C$24*H93*F93</f>
        <v>0</v>
      </c>
      <c r="K93" s="28" t="n">
        <f aca="false">$C$25*H93*F93</f>
        <v>0</v>
      </c>
      <c r="L93" s="28" t="n">
        <f aca="false">$C$26*I93*F93</f>
        <v>0</v>
      </c>
      <c r="M93" s="28" t="n">
        <f aca="false">$C$27*I93*F93</f>
        <v>0</v>
      </c>
      <c r="N93" s="28" t="n">
        <f aca="false">$C$28*I93*F93</f>
        <v>0</v>
      </c>
      <c r="O93" s="28" t="n">
        <f aca="false">$C$29*I93*F93</f>
        <v>0</v>
      </c>
      <c r="P93" s="28" t="n">
        <f aca="false">$C$30*I93*F93</f>
        <v>0</v>
      </c>
      <c r="Q93" s="28" t="n">
        <f aca="false">$C$31*I93*F93</f>
        <v>0</v>
      </c>
      <c r="R93" s="28" t="n">
        <f aca="false">$C$32*I93*F93</f>
        <v>0</v>
      </c>
      <c r="S93" s="28" t="n">
        <f aca="false">IF(AND(F93&gt;0,E93=0),($C$33+$C$36)*H93+($C$34+$C$35)*I93,0)</f>
        <v>0</v>
      </c>
      <c r="T93" s="28" t="n">
        <f aca="false">SUM(J93:S93)</f>
        <v>0</v>
      </c>
      <c r="U93" s="28" t="n">
        <f aca="false">T93*Cont</f>
        <v>0</v>
      </c>
      <c r="V93" s="28" t="n">
        <f aca="false">MIN(J93,J93*$C$43)</f>
        <v>0</v>
      </c>
      <c r="W93" s="40" t="n">
        <f aca="false">$C$55*(1+FxDrift)^(A93-1)</f>
        <v>1</v>
      </c>
      <c r="X93" s="28" t="n">
        <f aca="false">(T93+U93)*W93</f>
        <v>0</v>
      </c>
      <c r="Y93" s="28" t="n">
        <f aca="false">IF(B93=1,MIN(X93,V93*W93+IF(F93&gt;0,$C$44*F93,0)),0)</f>
        <v>0</v>
      </c>
      <c r="Z93" s="41" t="n">
        <f aca="false">IF(B93=1,MAX(0,X93-(V93*W93+IF(F93&gt;0,$C$44*F93,0))),0)</f>
        <v>0</v>
      </c>
      <c r="AA93" s="28" t="n">
        <f aca="false">IF(B93=1,(J93+K93)*W93,0)</f>
        <v>0</v>
      </c>
      <c r="AB93" s="28" t="n">
        <f aca="false">IF(B93=1,SUM(L93:R93)*W93,0)</f>
        <v>0</v>
      </c>
      <c r="AC93" s="28" t="n">
        <f aca="false">IF(B93=1,(S93+U93)*W93,0)</f>
        <v>0</v>
      </c>
    </row>
    <row r="94" customFormat="false" ht="15" hidden="false" customHeight="false" outlineLevel="0" collapsed="false">
      <c r="A94" s="27" t="n">
        <v>33</v>
      </c>
      <c r="B94" s="27" t="n">
        <f aca="false">IF(AND(A94&lt;=$C$52,$C$47=1),1,0)</f>
        <v>0</v>
      </c>
      <c r="C94" s="27" t="str">
        <f aca="false">IF(B94=1,$C$7+A94-1,"")</f>
        <v/>
      </c>
      <c r="D94" s="28" t="str">
        <f aca="false">(PlanStartYear+A94-1)&amp;"/"&amp;RIGHT(PlanStartYear+A94,2)</f>
        <v>2058/59</v>
      </c>
      <c r="E94" s="27" t="n">
        <f aca="false">A94-1-$C$49</f>
        <v>24</v>
      </c>
      <c r="F94" s="39" t="n">
        <f aca="false">IF(AND(B94=1,E94&gt;=0,E94&lt;$C$50),MIN(1,$C$37-E94),0)</f>
        <v>0</v>
      </c>
      <c r="G94" s="27" t="n">
        <f aca="false">(A94-1)+$C$54</f>
        <v>32</v>
      </c>
      <c r="H94" s="40" t="n">
        <f aca="false">(1+TuiInf)^G94</f>
        <v>21.1137767453526</v>
      </c>
      <c r="I94" s="40" t="n">
        <f aca="false">(1+LivInf)^G94</f>
        <v>11.7370829954153</v>
      </c>
      <c r="J94" s="28" t="n">
        <f aca="false">$C$24*H94*F94</f>
        <v>0</v>
      </c>
      <c r="K94" s="28" t="n">
        <f aca="false">$C$25*H94*F94</f>
        <v>0</v>
      </c>
      <c r="L94" s="28" t="n">
        <f aca="false">$C$26*I94*F94</f>
        <v>0</v>
      </c>
      <c r="M94" s="28" t="n">
        <f aca="false">$C$27*I94*F94</f>
        <v>0</v>
      </c>
      <c r="N94" s="28" t="n">
        <f aca="false">$C$28*I94*F94</f>
        <v>0</v>
      </c>
      <c r="O94" s="28" t="n">
        <f aca="false">$C$29*I94*F94</f>
        <v>0</v>
      </c>
      <c r="P94" s="28" t="n">
        <f aca="false">$C$30*I94*F94</f>
        <v>0</v>
      </c>
      <c r="Q94" s="28" t="n">
        <f aca="false">$C$31*I94*F94</f>
        <v>0</v>
      </c>
      <c r="R94" s="28" t="n">
        <f aca="false">$C$32*I94*F94</f>
        <v>0</v>
      </c>
      <c r="S94" s="28" t="n">
        <f aca="false">IF(AND(F94&gt;0,E94=0),($C$33+$C$36)*H94+($C$34+$C$35)*I94,0)</f>
        <v>0</v>
      </c>
      <c r="T94" s="28" t="n">
        <f aca="false">SUM(J94:S94)</f>
        <v>0</v>
      </c>
      <c r="U94" s="28" t="n">
        <f aca="false">T94*Cont</f>
        <v>0</v>
      </c>
      <c r="V94" s="28" t="n">
        <f aca="false">MIN(J94,J94*$C$43)</f>
        <v>0</v>
      </c>
      <c r="W94" s="40" t="n">
        <f aca="false">$C$55*(1+FxDrift)^(A94-1)</f>
        <v>1</v>
      </c>
      <c r="X94" s="28" t="n">
        <f aca="false">(T94+U94)*W94</f>
        <v>0</v>
      </c>
      <c r="Y94" s="28" t="n">
        <f aca="false">IF(B94=1,MIN(X94,V94*W94+IF(F94&gt;0,$C$44*F94,0)),0)</f>
        <v>0</v>
      </c>
      <c r="Z94" s="41" t="n">
        <f aca="false">IF(B94=1,MAX(0,X94-(V94*W94+IF(F94&gt;0,$C$44*F94,0))),0)</f>
        <v>0</v>
      </c>
      <c r="AA94" s="28" t="n">
        <f aca="false">IF(B94=1,(J94+K94)*W94,0)</f>
        <v>0</v>
      </c>
      <c r="AB94" s="28" t="n">
        <f aca="false">IF(B94=1,SUM(L94:R94)*W94,0)</f>
        <v>0</v>
      </c>
      <c r="AC94" s="28" t="n">
        <f aca="false">IF(B94=1,(S94+U94)*W94,0)</f>
        <v>0</v>
      </c>
    </row>
    <row r="95" customFormat="false" ht="15" hidden="false" customHeight="false" outlineLevel="0" collapsed="false">
      <c r="A95" s="27" t="n">
        <v>34</v>
      </c>
      <c r="B95" s="27" t="n">
        <f aca="false">IF(AND(A95&lt;=$C$52,$C$47=1),1,0)</f>
        <v>0</v>
      </c>
      <c r="C95" s="27" t="str">
        <f aca="false">IF(B95=1,$C$7+A95-1,"")</f>
        <v/>
      </c>
      <c r="D95" s="28" t="str">
        <f aca="false">(PlanStartYear+A95-1)&amp;"/"&amp;RIGHT(PlanStartYear+A95,2)</f>
        <v>2059/60</v>
      </c>
      <c r="E95" s="27" t="n">
        <f aca="false">A95-1-$C$49</f>
        <v>25</v>
      </c>
      <c r="F95" s="39" t="n">
        <f aca="false">IF(AND(B95=1,E95&gt;=0,E95&lt;$C$50),MIN(1,$C$37-E95),0)</f>
        <v>0</v>
      </c>
      <c r="G95" s="27" t="n">
        <f aca="false">(A95-1)+$C$54</f>
        <v>33</v>
      </c>
      <c r="H95" s="40" t="n">
        <f aca="false">(1+TuiInf)^G95</f>
        <v>23.2251544198879</v>
      </c>
      <c r="I95" s="40" t="n">
        <f aca="false">(1+LivInf)^G95</f>
        <v>12.6760496350485</v>
      </c>
      <c r="J95" s="28" t="n">
        <f aca="false">$C$24*H95*F95</f>
        <v>0</v>
      </c>
      <c r="K95" s="28" t="n">
        <f aca="false">$C$25*H95*F95</f>
        <v>0</v>
      </c>
      <c r="L95" s="28" t="n">
        <f aca="false">$C$26*I95*F95</f>
        <v>0</v>
      </c>
      <c r="M95" s="28" t="n">
        <f aca="false">$C$27*I95*F95</f>
        <v>0</v>
      </c>
      <c r="N95" s="28" t="n">
        <f aca="false">$C$28*I95*F95</f>
        <v>0</v>
      </c>
      <c r="O95" s="28" t="n">
        <f aca="false">$C$29*I95*F95</f>
        <v>0</v>
      </c>
      <c r="P95" s="28" t="n">
        <f aca="false">$C$30*I95*F95</f>
        <v>0</v>
      </c>
      <c r="Q95" s="28" t="n">
        <f aca="false">$C$31*I95*F95</f>
        <v>0</v>
      </c>
      <c r="R95" s="28" t="n">
        <f aca="false">$C$32*I95*F95</f>
        <v>0</v>
      </c>
      <c r="S95" s="28" t="n">
        <f aca="false">IF(AND(F95&gt;0,E95=0),($C$33+$C$36)*H95+($C$34+$C$35)*I95,0)</f>
        <v>0</v>
      </c>
      <c r="T95" s="28" t="n">
        <f aca="false">SUM(J95:S95)</f>
        <v>0</v>
      </c>
      <c r="U95" s="28" t="n">
        <f aca="false">T95*Cont</f>
        <v>0</v>
      </c>
      <c r="V95" s="28" t="n">
        <f aca="false">MIN(J95,J95*$C$43)</f>
        <v>0</v>
      </c>
      <c r="W95" s="40" t="n">
        <f aca="false">$C$55*(1+FxDrift)^(A95-1)</f>
        <v>1</v>
      </c>
      <c r="X95" s="28" t="n">
        <f aca="false">(T95+U95)*W95</f>
        <v>0</v>
      </c>
      <c r="Y95" s="28" t="n">
        <f aca="false">IF(B95=1,MIN(X95,V95*W95+IF(F95&gt;0,$C$44*F95,0)),0)</f>
        <v>0</v>
      </c>
      <c r="Z95" s="41" t="n">
        <f aca="false">IF(B95=1,MAX(0,X95-(V95*W95+IF(F95&gt;0,$C$44*F95,0))),0)</f>
        <v>0</v>
      </c>
      <c r="AA95" s="28" t="n">
        <f aca="false">IF(B95=1,(J95+K95)*W95,0)</f>
        <v>0</v>
      </c>
      <c r="AB95" s="28" t="n">
        <f aca="false">IF(B95=1,SUM(L95:R95)*W95,0)</f>
        <v>0</v>
      </c>
      <c r="AC95" s="28" t="n">
        <f aca="false">IF(B95=1,(S95+U95)*W95,0)</f>
        <v>0</v>
      </c>
    </row>
    <row r="96" customFormat="false" ht="15" hidden="false" customHeight="false" outlineLevel="0" collapsed="false">
      <c r="A96" s="27" t="n">
        <v>35</v>
      </c>
      <c r="B96" s="27" t="n">
        <f aca="false">IF(AND(A96&lt;=$C$52,$C$47=1),1,0)</f>
        <v>0</v>
      </c>
      <c r="C96" s="27" t="str">
        <f aca="false">IF(B96=1,$C$7+A96-1,"")</f>
        <v/>
      </c>
      <c r="D96" s="28" t="str">
        <f aca="false">(PlanStartYear+A96-1)&amp;"/"&amp;RIGHT(PlanStartYear+A96,2)</f>
        <v>2060/61</v>
      </c>
      <c r="E96" s="27" t="n">
        <f aca="false">A96-1-$C$49</f>
        <v>26</v>
      </c>
      <c r="F96" s="39" t="n">
        <f aca="false">IF(AND(B96=1,E96&gt;=0,E96&lt;$C$50),MIN(1,$C$37-E96),0)</f>
        <v>0</v>
      </c>
      <c r="G96" s="27" t="n">
        <f aca="false">(A96-1)+$C$54</f>
        <v>34</v>
      </c>
      <c r="H96" s="40" t="n">
        <f aca="false">(1+TuiInf)^G96</f>
        <v>25.5476698618767</v>
      </c>
      <c r="I96" s="40" t="n">
        <f aca="false">(1+LivInf)^G96</f>
        <v>13.6901336058524</v>
      </c>
      <c r="J96" s="28" t="n">
        <f aca="false">$C$24*H96*F96</f>
        <v>0</v>
      </c>
      <c r="K96" s="28" t="n">
        <f aca="false">$C$25*H96*F96</f>
        <v>0</v>
      </c>
      <c r="L96" s="28" t="n">
        <f aca="false">$C$26*I96*F96</f>
        <v>0</v>
      </c>
      <c r="M96" s="28" t="n">
        <f aca="false">$C$27*I96*F96</f>
        <v>0</v>
      </c>
      <c r="N96" s="28" t="n">
        <f aca="false">$C$28*I96*F96</f>
        <v>0</v>
      </c>
      <c r="O96" s="28" t="n">
        <f aca="false">$C$29*I96*F96</f>
        <v>0</v>
      </c>
      <c r="P96" s="28" t="n">
        <f aca="false">$C$30*I96*F96</f>
        <v>0</v>
      </c>
      <c r="Q96" s="28" t="n">
        <f aca="false">$C$31*I96*F96</f>
        <v>0</v>
      </c>
      <c r="R96" s="28" t="n">
        <f aca="false">$C$32*I96*F96</f>
        <v>0</v>
      </c>
      <c r="S96" s="28" t="n">
        <f aca="false">IF(AND(F96&gt;0,E96=0),($C$33+$C$36)*H96+($C$34+$C$35)*I96,0)</f>
        <v>0</v>
      </c>
      <c r="T96" s="28" t="n">
        <f aca="false">SUM(J96:S96)</f>
        <v>0</v>
      </c>
      <c r="U96" s="28" t="n">
        <f aca="false">T96*Cont</f>
        <v>0</v>
      </c>
      <c r="V96" s="28" t="n">
        <f aca="false">MIN(J96,J96*$C$43)</f>
        <v>0</v>
      </c>
      <c r="W96" s="40" t="n">
        <f aca="false">$C$55*(1+FxDrift)^(A96-1)</f>
        <v>1</v>
      </c>
      <c r="X96" s="28" t="n">
        <f aca="false">(T96+U96)*W96</f>
        <v>0</v>
      </c>
      <c r="Y96" s="28" t="n">
        <f aca="false">IF(B96=1,MIN(X96,V96*W96+IF(F96&gt;0,$C$44*F96,0)),0)</f>
        <v>0</v>
      </c>
      <c r="Z96" s="41" t="n">
        <f aca="false">IF(B96=1,MAX(0,X96-(V96*W96+IF(F96&gt;0,$C$44*F96,0))),0)</f>
        <v>0</v>
      </c>
      <c r="AA96" s="28" t="n">
        <f aca="false">IF(B96=1,(J96+K96)*W96,0)</f>
        <v>0</v>
      </c>
      <c r="AB96" s="28" t="n">
        <f aca="false">IF(B96=1,SUM(L96:R96)*W96,0)</f>
        <v>0</v>
      </c>
      <c r="AC96" s="28" t="n">
        <f aca="false">IF(B96=1,(S96+U96)*W96,0)</f>
        <v>0</v>
      </c>
    </row>
    <row r="97" customFormat="false" ht="15" hidden="false" customHeight="false" outlineLevel="0" collapsed="false">
      <c r="A97" s="27" t="n">
        <v>36</v>
      </c>
      <c r="B97" s="27" t="n">
        <f aca="false">IF(AND(A97&lt;=$C$52,$C$47=1),1,0)</f>
        <v>0</v>
      </c>
      <c r="C97" s="27" t="str">
        <f aca="false">IF(B97=1,$C$7+A97-1,"")</f>
        <v/>
      </c>
      <c r="D97" s="28" t="str">
        <f aca="false">(PlanStartYear+A97-1)&amp;"/"&amp;RIGHT(PlanStartYear+A97,2)</f>
        <v>2061/62</v>
      </c>
      <c r="E97" s="27" t="n">
        <f aca="false">A97-1-$C$49</f>
        <v>27</v>
      </c>
      <c r="F97" s="39" t="n">
        <f aca="false">IF(AND(B97=1,E97&gt;=0,E97&lt;$C$50),MIN(1,$C$37-E97),0)</f>
        <v>0</v>
      </c>
      <c r="G97" s="27" t="n">
        <f aca="false">(A97-1)+$C$54</f>
        <v>35</v>
      </c>
      <c r="H97" s="40" t="n">
        <f aca="false">(1+TuiInf)^G97</f>
        <v>28.1024368480643</v>
      </c>
      <c r="I97" s="40" t="n">
        <f aca="false">(1+LivInf)^G97</f>
        <v>14.7853442943206</v>
      </c>
      <c r="J97" s="28" t="n">
        <f aca="false">$C$24*H97*F97</f>
        <v>0</v>
      </c>
      <c r="K97" s="28" t="n">
        <f aca="false">$C$25*H97*F97</f>
        <v>0</v>
      </c>
      <c r="L97" s="28" t="n">
        <f aca="false">$C$26*I97*F97</f>
        <v>0</v>
      </c>
      <c r="M97" s="28" t="n">
        <f aca="false">$C$27*I97*F97</f>
        <v>0</v>
      </c>
      <c r="N97" s="28" t="n">
        <f aca="false">$C$28*I97*F97</f>
        <v>0</v>
      </c>
      <c r="O97" s="28" t="n">
        <f aca="false">$C$29*I97*F97</f>
        <v>0</v>
      </c>
      <c r="P97" s="28" t="n">
        <f aca="false">$C$30*I97*F97</f>
        <v>0</v>
      </c>
      <c r="Q97" s="28" t="n">
        <f aca="false">$C$31*I97*F97</f>
        <v>0</v>
      </c>
      <c r="R97" s="28" t="n">
        <f aca="false">$C$32*I97*F97</f>
        <v>0</v>
      </c>
      <c r="S97" s="28" t="n">
        <f aca="false">IF(AND(F97&gt;0,E97=0),($C$33+$C$36)*H97+($C$34+$C$35)*I97,0)</f>
        <v>0</v>
      </c>
      <c r="T97" s="28" t="n">
        <f aca="false">SUM(J97:S97)</f>
        <v>0</v>
      </c>
      <c r="U97" s="28" t="n">
        <f aca="false">T97*Cont</f>
        <v>0</v>
      </c>
      <c r="V97" s="28" t="n">
        <f aca="false">MIN(J97,J97*$C$43)</f>
        <v>0</v>
      </c>
      <c r="W97" s="40" t="n">
        <f aca="false">$C$55*(1+FxDrift)^(A97-1)</f>
        <v>1</v>
      </c>
      <c r="X97" s="28" t="n">
        <f aca="false">(T97+U97)*W97</f>
        <v>0</v>
      </c>
      <c r="Y97" s="28" t="n">
        <f aca="false">IF(B97=1,MIN(X97,V97*W97+IF(F97&gt;0,$C$44*F97,0)),0)</f>
        <v>0</v>
      </c>
      <c r="Z97" s="41" t="n">
        <f aca="false">IF(B97=1,MAX(0,X97-(V97*W97+IF(F97&gt;0,$C$44*F97,0))),0)</f>
        <v>0</v>
      </c>
      <c r="AA97" s="28" t="n">
        <f aca="false">IF(B97=1,(J97+K97)*W97,0)</f>
        <v>0</v>
      </c>
      <c r="AB97" s="28" t="n">
        <f aca="false">IF(B97=1,SUM(L97:R97)*W97,0)</f>
        <v>0</v>
      </c>
      <c r="AC97" s="28" t="n">
        <f aca="false">IF(B97=1,(S97+U97)*W97,0)</f>
        <v>0</v>
      </c>
    </row>
    <row r="98" customFormat="false" ht="15" hidden="false" customHeight="false" outlineLevel="0" collapsed="false">
      <c r="A98" s="27" t="n">
        <v>37</v>
      </c>
      <c r="B98" s="27" t="n">
        <f aca="false">IF(AND(A98&lt;=$C$52,$C$47=1),1,0)</f>
        <v>0</v>
      </c>
      <c r="C98" s="27" t="str">
        <f aca="false">IF(B98=1,$C$7+A98-1,"")</f>
        <v/>
      </c>
      <c r="D98" s="28" t="str">
        <f aca="false">(PlanStartYear+A98-1)&amp;"/"&amp;RIGHT(PlanStartYear+A98,2)</f>
        <v>2062/63</v>
      </c>
      <c r="E98" s="27" t="n">
        <f aca="false">A98-1-$C$49</f>
        <v>28</v>
      </c>
      <c r="F98" s="39" t="n">
        <f aca="false">IF(AND(B98=1,E98&gt;=0,E98&lt;$C$50),MIN(1,$C$37-E98),0)</f>
        <v>0</v>
      </c>
      <c r="G98" s="27" t="n">
        <f aca="false">(A98-1)+$C$54</f>
        <v>36</v>
      </c>
      <c r="H98" s="40" t="n">
        <f aca="false">(1+TuiInf)^G98</f>
        <v>30.9126805328708</v>
      </c>
      <c r="I98" s="40" t="n">
        <f aca="false">(1+LivInf)^G98</f>
        <v>15.9681718378662</v>
      </c>
      <c r="J98" s="28" t="n">
        <f aca="false">$C$24*H98*F98</f>
        <v>0</v>
      </c>
      <c r="K98" s="28" t="n">
        <f aca="false">$C$25*H98*F98</f>
        <v>0</v>
      </c>
      <c r="L98" s="28" t="n">
        <f aca="false">$C$26*I98*F98</f>
        <v>0</v>
      </c>
      <c r="M98" s="28" t="n">
        <f aca="false">$C$27*I98*F98</f>
        <v>0</v>
      </c>
      <c r="N98" s="28" t="n">
        <f aca="false">$C$28*I98*F98</f>
        <v>0</v>
      </c>
      <c r="O98" s="28" t="n">
        <f aca="false">$C$29*I98*F98</f>
        <v>0</v>
      </c>
      <c r="P98" s="28" t="n">
        <f aca="false">$C$30*I98*F98</f>
        <v>0</v>
      </c>
      <c r="Q98" s="28" t="n">
        <f aca="false">$C$31*I98*F98</f>
        <v>0</v>
      </c>
      <c r="R98" s="28" t="n">
        <f aca="false">$C$32*I98*F98</f>
        <v>0</v>
      </c>
      <c r="S98" s="28" t="n">
        <f aca="false">IF(AND(F98&gt;0,E98=0),($C$33+$C$36)*H98+($C$34+$C$35)*I98,0)</f>
        <v>0</v>
      </c>
      <c r="T98" s="28" t="n">
        <f aca="false">SUM(J98:S98)</f>
        <v>0</v>
      </c>
      <c r="U98" s="28" t="n">
        <f aca="false">T98*Cont</f>
        <v>0</v>
      </c>
      <c r="V98" s="28" t="n">
        <f aca="false">MIN(J98,J98*$C$43)</f>
        <v>0</v>
      </c>
      <c r="W98" s="40" t="n">
        <f aca="false">$C$55*(1+FxDrift)^(A98-1)</f>
        <v>1</v>
      </c>
      <c r="X98" s="28" t="n">
        <f aca="false">(T98+U98)*W98</f>
        <v>0</v>
      </c>
      <c r="Y98" s="28" t="n">
        <f aca="false">IF(B98=1,MIN(X98,V98*W98+IF(F98&gt;0,$C$44*F98,0)),0)</f>
        <v>0</v>
      </c>
      <c r="Z98" s="41" t="n">
        <f aca="false">IF(B98=1,MAX(0,X98-(V98*W98+IF(F98&gt;0,$C$44*F98,0))),0)</f>
        <v>0</v>
      </c>
      <c r="AA98" s="28" t="n">
        <f aca="false">IF(B98=1,(J98+K98)*W98,0)</f>
        <v>0</v>
      </c>
      <c r="AB98" s="28" t="n">
        <f aca="false">IF(B98=1,SUM(L98:R98)*W98,0)</f>
        <v>0</v>
      </c>
      <c r="AC98" s="28" t="n">
        <f aca="false">IF(B98=1,(S98+U98)*W98,0)</f>
        <v>0</v>
      </c>
    </row>
    <row r="99" customFormat="false" ht="15" hidden="false" customHeight="false" outlineLevel="0" collapsed="false">
      <c r="A99" s="27" t="n">
        <v>38</v>
      </c>
      <c r="B99" s="27" t="n">
        <f aca="false">IF(AND(A99&lt;=$C$52,$C$47=1),1,0)</f>
        <v>0</v>
      </c>
      <c r="C99" s="27" t="str">
        <f aca="false">IF(B99=1,$C$7+A99-1,"")</f>
        <v/>
      </c>
      <c r="D99" s="28" t="str">
        <f aca="false">(PlanStartYear+A99-1)&amp;"/"&amp;RIGHT(PlanStartYear+A99,2)</f>
        <v>2063/64</v>
      </c>
      <c r="E99" s="27" t="n">
        <f aca="false">A99-1-$C$49</f>
        <v>29</v>
      </c>
      <c r="F99" s="39" t="n">
        <f aca="false">IF(AND(B99=1,E99&gt;=0,E99&lt;$C$50),MIN(1,$C$37-E99),0)</f>
        <v>0</v>
      </c>
      <c r="G99" s="27" t="n">
        <f aca="false">(A99-1)+$C$54</f>
        <v>37</v>
      </c>
      <c r="H99" s="40" t="n">
        <f aca="false">(1+TuiInf)^G99</f>
        <v>34.0039485861578</v>
      </c>
      <c r="I99" s="40" t="n">
        <f aca="false">(1+LivInf)^G99</f>
        <v>17.2456255848955</v>
      </c>
      <c r="J99" s="28" t="n">
        <f aca="false">$C$24*H99*F99</f>
        <v>0</v>
      </c>
      <c r="K99" s="28" t="n">
        <f aca="false">$C$25*H99*F99</f>
        <v>0</v>
      </c>
      <c r="L99" s="28" t="n">
        <f aca="false">$C$26*I99*F99</f>
        <v>0</v>
      </c>
      <c r="M99" s="28" t="n">
        <f aca="false">$C$27*I99*F99</f>
        <v>0</v>
      </c>
      <c r="N99" s="28" t="n">
        <f aca="false">$C$28*I99*F99</f>
        <v>0</v>
      </c>
      <c r="O99" s="28" t="n">
        <f aca="false">$C$29*I99*F99</f>
        <v>0</v>
      </c>
      <c r="P99" s="28" t="n">
        <f aca="false">$C$30*I99*F99</f>
        <v>0</v>
      </c>
      <c r="Q99" s="28" t="n">
        <f aca="false">$C$31*I99*F99</f>
        <v>0</v>
      </c>
      <c r="R99" s="28" t="n">
        <f aca="false">$C$32*I99*F99</f>
        <v>0</v>
      </c>
      <c r="S99" s="28" t="n">
        <f aca="false">IF(AND(F99&gt;0,E99=0),($C$33+$C$36)*H99+($C$34+$C$35)*I99,0)</f>
        <v>0</v>
      </c>
      <c r="T99" s="28" t="n">
        <f aca="false">SUM(J99:S99)</f>
        <v>0</v>
      </c>
      <c r="U99" s="28" t="n">
        <f aca="false">T99*Cont</f>
        <v>0</v>
      </c>
      <c r="V99" s="28" t="n">
        <f aca="false">MIN(J99,J99*$C$43)</f>
        <v>0</v>
      </c>
      <c r="W99" s="40" t="n">
        <f aca="false">$C$55*(1+FxDrift)^(A99-1)</f>
        <v>1</v>
      </c>
      <c r="X99" s="28" t="n">
        <f aca="false">(T99+U99)*W99</f>
        <v>0</v>
      </c>
      <c r="Y99" s="28" t="n">
        <f aca="false">IF(B99=1,MIN(X99,V99*W99+IF(F99&gt;0,$C$44*F99,0)),0)</f>
        <v>0</v>
      </c>
      <c r="Z99" s="41" t="n">
        <f aca="false">IF(B99=1,MAX(0,X99-(V99*W99+IF(F99&gt;0,$C$44*F99,0))),0)</f>
        <v>0</v>
      </c>
      <c r="AA99" s="28" t="n">
        <f aca="false">IF(B99=1,(J99+K99)*W99,0)</f>
        <v>0</v>
      </c>
      <c r="AB99" s="28" t="n">
        <f aca="false">IF(B99=1,SUM(L99:R99)*W99,0)</f>
        <v>0</v>
      </c>
      <c r="AC99" s="28" t="n">
        <f aca="false">IF(B99=1,(S99+U99)*W99,0)</f>
        <v>0</v>
      </c>
    </row>
    <row r="100" customFormat="false" ht="15" hidden="false" customHeight="false" outlineLevel="0" collapsed="false">
      <c r="A100" s="27" t="n">
        <v>39</v>
      </c>
      <c r="B100" s="27" t="n">
        <f aca="false">IF(AND(A100&lt;=$C$52,$C$47=1),1,0)</f>
        <v>0</v>
      </c>
      <c r="C100" s="27" t="str">
        <f aca="false">IF(B100=1,$C$7+A100-1,"")</f>
        <v/>
      </c>
      <c r="D100" s="28" t="str">
        <f aca="false">(PlanStartYear+A100-1)&amp;"/"&amp;RIGHT(PlanStartYear+A100,2)</f>
        <v>2064/65</v>
      </c>
      <c r="E100" s="27" t="n">
        <f aca="false">A100-1-$C$49</f>
        <v>30</v>
      </c>
      <c r="F100" s="39" t="n">
        <f aca="false">IF(AND(B100=1,E100&gt;=0,E100&lt;$C$50),MIN(1,$C$37-E100),0)</f>
        <v>0</v>
      </c>
      <c r="G100" s="27" t="n">
        <f aca="false">(A100-1)+$C$54</f>
        <v>38</v>
      </c>
      <c r="H100" s="40" t="n">
        <f aca="false">(1+TuiInf)^G100</f>
        <v>37.4043434447736</v>
      </c>
      <c r="I100" s="40" t="n">
        <f aca="false">(1+LivInf)^G100</f>
        <v>18.6252756316872</v>
      </c>
      <c r="J100" s="28" t="n">
        <f aca="false">$C$24*H100*F100</f>
        <v>0</v>
      </c>
      <c r="K100" s="28" t="n">
        <f aca="false">$C$25*H100*F100</f>
        <v>0</v>
      </c>
      <c r="L100" s="28" t="n">
        <f aca="false">$C$26*I100*F100</f>
        <v>0</v>
      </c>
      <c r="M100" s="28" t="n">
        <f aca="false">$C$27*I100*F100</f>
        <v>0</v>
      </c>
      <c r="N100" s="28" t="n">
        <f aca="false">$C$28*I100*F100</f>
        <v>0</v>
      </c>
      <c r="O100" s="28" t="n">
        <f aca="false">$C$29*I100*F100</f>
        <v>0</v>
      </c>
      <c r="P100" s="28" t="n">
        <f aca="false">$C$30*I100*F100</f>
        <v>0</v>
      </c>
      <c r="Q100" s="28" t="n">
        <f aca="false">$C$31*I100*F100</f>
        <v>0</v>
      </c>
      <c r="R100" s="28" t="n">
        <f aca="false">$C$32*I100*F100</f>
        <v>0</v>
      </c>
      <c r="S100" s="28" t="n">
        <f aca="false">IF(AND(F100&gt;0,E100=0),($C$33+$C$36)*H100+($C$34+$C$35)*I100,0)</f>
        <v>0</v>
      </c>
      <c r="T100" s="28" t="n">
        <f aca="false">SUM(J100:S100)</f>
        <v>0</v>
      </c>
      <c r="U100" s="28" t="n">
        <f aca="false">T100*Cont</f>
        <v>0</v>
      </c>
      <c r="V100" s="28" t="n">
        <f aca="false">MIN(J100,J100*$C$43)</f>
        <v>0</v>
      </c>
      <c r="W100" s="40" t="n">
        <f aca="false">$C$55*(1+FxDrift)^(A100-1)</f>
        <v>1</v>
      </c>
      <c r="X100" s="28" t="n">
        <f aca="false">(T100+U100)*W100</f>
        <v>0</v>
      </c>
      <c r="Y100" s="28" t="n">
        <f aca="false">IF(B100=1,MIN(X100,V100*W100+IF(F100&gt;0,$C$44*F100,0)),0)</f>
        <v>0</v>
      </c>
      <c r="Z100" s="41" t="n">
        <f aca="false">IF(B100=1,MAX(0,X100-(V100*W100+IF(F100&gt;0,$C$44*F100,0))),0)</f>
        <v>0</v>
      </c>
      <c r="AA100" s="28" t="n">
        <f aca="false">IF(B100=1,(J100+K100)*W100,0)</f>
        <v>0</v>
      </c>
      <c r="AB100" s="28" t="n">
        <f aca="false">IF(B100=1,SUM(L100:R100)*W100,0)</f>
        <v>0</v>
      </c>
      <c r="AC100" s="28" t="n">
        <f aca="false">IF(B100=1,(S100+U100)*W100,0)</f>
        <v>0</v>
      </c>
    </row>
    <row r="101" customFormat="false" ht="15" hidden="false" customHeight="false" outlineLevel="0" collapsed="false">
      <c r="A101" s="27" t="n">
        <v>40</v>
      </c>
      <c r="B101" s="27" t="n">
        <f aca="false">IF(AND(A101&lt;=$C$52,$C$47=1),1,0)</f>
        <v>0</v>
      </c>
      <c r="C101" s="27" t="str">
        <f aca="false">IF(B101=1,$C$7+A101-1,"")</f>
        <v/>
      </c>
      <c r="D101" s="28" t="str">
        <f aca="false">(PlanStartYear+A101-1)&amp;"/"&amp;RIGHT(PlanStartYear+A101,2)</f>
        <v>2065/66</v>
      </c>
      <c r="E101" s="27" t="n">
        <f aca="false">A101-1-$C$49</f>
        <v>31</v>
      </c>
      <c r="F101" s="39" t="n">
        <f aca="false">IF(AND(B101=1,E101&gt;=0,E101&lt;$C$50),MIN(1,$C$37-E101),0)</f>
        <v>0</v>
      </c>
      <c r="G101" s="27" t="n">
        <f aca="false">(A101-1)+$C$54</f>
        <v>39</v>
      </c>
      <c r="H101" s="40" t="n">
        <f aca="false">(1+TuiInf)^G101</f>
        <v>41.144777789251</v>
      </c>
      <c r="I101" s="40" t="n">
        <f aca="false">(1+LivInf)^G101</f>
        <v>20.1152976822221</v>
      </c>
      <c r="J101" s="28" t="n">
        <f aca="false">$C$24*H101*F101</f>
        <v>0</v>
      </c>
      <c r="K101" s="28" t="n">
        <f aca="false">$C$25*H101*F101</f>
        <v>0</v>
      </c>
      <c r="L101" s="28" t="n">
        <f aca="false">$C$26*I101*F101</f>
        <v>0</v>
      </c>
      <c r="M101" s="28" t="n">
        <f aca="false">$C$27*I101*F101</f>
        <v>0</v>
      </c>
      <c r="N101" s="28" t="n">
        <f aca="false">$C$28*I101*F101</f>
        <v>0</v>
      </c>
      <c r="O101" s="28" t="n">
        <f aca="false">$C$29*I101*F101</f>
        <v>0</v>
      </c>
      <c r="P101" s="28" t="n">
        <f aca="false">$C$30*I101*F101</f>
        <v>0</v>
      </c>
      <c r="Q101" s="28" t="n">
        <f aca="false">$C$31*I101*F101</f>
        <v>0</v>
      </c>
      <c r="R101" s="28" t="n">
        <f aca="false">$C$32*I101*F101</f>
        <v>0</v>
      </c>
      <c r="S101" s="28" t="n">
        <f aca="false">IF(AND(F101&gt;0,E101=0),($C$33+$C$36)*H101+($C$34+$C$35)*I101,0)</f>
        <v>0</v>
      </c>
      <c r="T101" s="28" t="n">
        <f aca="false">SUM(J101:S101)</f>
        <v>0</v>
      </c>
      <c r="U101" s="28" t="n">
        <f aca="false">T101*Cont</f>
        <v>0</v>
      </c>
      <c r="V101" s="28" t="n">
        <f aca="false">MIN(J101,J101*$C$43)</f>
        <v>0</v>
      </c>
      <c r="W101" s="40" t="n">
        <f aca="false">$C$55*(1+FxDrift)^(A101-1)</f>
        <v>1</v>
      </c>
      <c r="X101" s="28" t="n">
        <f aca="false">(T101+U101)*W101</f>
        <v>0</v>
      </c>
      <c r="Y101" s="28" t="n">
        <f aca="false">IF(B101=1,MIN(X101,V101*W101+IF(F101&gt;0,$C$44*F101,0)),0)</f>
        <v>0</v>
      </c>
      <c r="Z101" s="41" t="n">
        <f aca="false">IF(B101=1,MAX(0,X101-(V101*W101+IF(F101&gt;0,$C$44*F101,0))),0)</f>
        <v>0</v>
      </c>
      <c r="AA101" s="28" t="n">
        <f aca="false">IF(B101=1,(J101+K101)*W101,0)</f>
        <v>0</v>
      </c>
      <c r="AB101" s="28" t="n">
        <f aca="false">IF(B101=1,SUM(L101:R101)*W101,0)</f>
        <v>0</v>
      </c>
      <c r="AC101" s="28" t="n">
        <f aca="false">IF(B101=1,(S101+U101)*W101,0)</f>
        <v>0</v>
      </c>
    </row>
    <row r="102" customFormat="false" ht="15" hidden="false" customHeight="false" outlineLevel="0" collapsed="false">
      <c r="A102" s="27" t="n">
        <v>41</v>
      </c>
      <c r="B102" s="27" t="n">
        <f aca="false">IF(AND(A102&lt;=$C$52,$C$47=1),1,0)</f>
        <v>0</v>
      </c>
      <c r="C102" s="27" t="str">
        <f aca="false">IF(B102=1,$C$7+A102-1,"")</f>
        <v/>
      </c>
      <c r="D102" s="28" t="str">
        <f aca="false">(PlanStartYear+A102-1)&amp;"/"&amp;RIGHT(PlanStartYear+A102,2)</f>
        <v>2066/67</v>
      </c>
      <c r="E102" s="27" t="n">
        <f aca="false">A102-1-$C$49</f>
        <v>32</v>
      </c>
      <c r="F102" s="39" t="n">
        <f aca="false">IF(AND(B102=1,E102&gt;=0,E102&lt;$C$50),MIN(1,$C$37-E102),0)</f>
        <v>0</v>
      </c>
      <c r="G102" s="27" t="n">
        <f aca="false">(A102-1)+$C$54</f>
        <v>40</v>
      </c>
      <c r="H102" s="40" t="n">
        <f aca="false">(1+TuiInf)^G102</f>
        <v>45.2592555681761</v>
      </c>
      <c r="I102" s="40" t="n">
        <f aca="false">(1+LivInf)^G102</f>
        <v>21.7245214967999</v>
      </c>
      <c r="J102" s="28" t="n">
        <f aca="false">$C$24*H102*F102</f>
        <v>0</v>
      </c>
      <c r="K102" s="28" t="n">
        <f aca="false">$C$25*H102*F102</f>
        <v>0</v>
      </c>
      <c r="L102" s="28" t="n">
        <f aca="false">$C$26*I102*F102</f>
        <v>0</v>
      </c>
      <c r="M102" s="28" t="n">
        <f aca="false">$C$27*I102*F102</f>
        <v>0</v>
      </c>
      <c r="N102" s="28" t="n">
        <f aca="false">$C$28*I102*F102</f>
        <v>0</v>
      </c>
      <c r="O102" s="28" t="n">
        <f aca="false">$C$29*I102*F102</f>
        <v>0</v>
      </c>
      <c r="P102" s="28" t="n">
        <f aca="false">$C$30*I102*F102</f>
        <v>0</v>
      </c>
      <c r="Q102" s="28" t="n">
        <f aca="false">$C$31*I102*F102</f>
        <v>0</v>
      </c>
      <c r="R102" s="28" t="n">
        <f aca="false">$C$32*I102*F102</f>
        <v>0</v>
      </c>
      <c r="S102" s="28" t="n">
        <f aca="false">IF(AND(F102&gt;0,E102=0),($C$33+$C$36)*H102+($C$34+$C$35)*I102,0)</f>
        <v>0</v>
      </c>
      <c r="T102" s="28" t="n">
        <f aca="false">SUM(J102:S102)</f>
        <v>0</v>
      </c>
      <c r="U102" s="28" t="n">
        <f aca="false">T102*Cont</f>
        <v>0</v>
      </c>
      <c r="V102" s="28" t="n">
        <f aca="false">MIN(J102,J102*$C$43)</f>
        <v>0</v>
      </c>
      <c r="W102" s="40" t="n">
        <f aca="false">$C$55*(1+FxDrift)^(A102-1)</f>
        <v>1</v>
      </c>
      <c r="X102" s="28" t="n">
        <f aca="false">(T102+U102)*W102</f>
        <v>0</v>
      </c>
      <c r="Y102" s="28" t="n">
        <f aca="false">IF(B102=1,MIN(X102,V102*W102+IF(F102&gt;0,$C$44*F102,0)),0)</f>
        <v>0</v>
      </c>
      <c r="Z102" s="41" t="n">
        <f aca="false">IF(B102=1,MAX(0,X102-(V102*W102+IF(F102&gt;0,$C$44*F102,0))),0)</f>
        <v>0</v>
      </c>
      <c r="AA102" s="28" t="n">
        <f aca="false">IF(B102=1,(J102+K102)*W102,0)</f>
        <v>0</v>
      </c>
      <c r="AB102" s="28" t="n">
        <f aca="false">IF(B102=1,SUM(L102:R102)*W102,0)</f>
        <v>0</v>
      </c>
      <c r="AC102" s="28" t="n">
        <f aca="false">IF(B102=1,(S102+U102)*W102,0)</f>
        <v>0</v>
      </c>
    </row>
    <row r="103" customFormat="false" ht="15" hidden="false" customHeight="false" outlineLevel="0" collapsed="false">
      <c r="A103" s="27" t="n">
        <v>42</v>
      </c>
      <c r="B103" s="27" t="n">
        <f aca="false">IF(AND(A103&lt;=$C$52,$C$47=1),1,0)</f>
        <v>0</v>
      </c>
      <c r="C103" s="27" t="str">
        <f aca="false">IF(B103=1,$C$7+A103-1,"")</f>
        <v/>
      </c>
      <c r="D103" s="28" t="str">
        <f aca="false">(PlanStartYear+A103-1)&amp;"/"&amp;RIGHT(PlanStartYear+A103,2)</f>
        <v>2067/68</v>
      </c>
      <c r="E103" s="27" t="n">
        <f aca="false">A103-1-$C$49</f>
        <v>33</v>
      </c>
      <c r="F103" s="39" t="n">
        <f aca="false">IF(AND(B103=1,E103&gt;=0,E103&lt;$C$50),MIN(1,$C$37-E103),0)</f>
        <v>0</v>
      </c>
      <c r="G103" s="27" t="n">
        <f aca="false">(A103-1)+$C$54</f>
        <v>41</v>
      </c>
      <c r="H103" s="40" t="n">
        <f aca="false">(1+TuiInf)^G103</f>
        <v>49.7851811249937</v>
      </c>
      <c r="I103" s="40" t="n">
        <f aca="false">(1+LivInf)^G103</f>
        <v>23.4624832165439</v>
      </c>
      <c r="J103" s="28" t="n">
        <f aca="false">$C$24*H103*F103</f>
        <v>0</v>
      </c>
      <c r="K103" s="28" t="n">
        <f aca="false">$C$25*H103*F103</f>
        <v>0</v>
      </c>
      <c r="L103" s="28" t="n">
        <f aca="false">$C$26*I103*F103</f>
        <v>0</v>
      </c>
      <c r="M103" s="28" t="n">
        <f aca="false">$C$27*I103*F103</f>
        <v>0</v>
      </c>
      <c r="N103" s="28" t="n">
        <f aca="false">$C$28*I103*F103</f>
        <v>0</v>
      </c>
      <c r="O103" s="28" t="n">
        <f aca="false">$C$29*I103*F103</f>
        <v>0</v>
      </c>
      <c r="P103" s="28" t="n">
        <f aca="false">$C$30*I103*F103</f>
        <v>0</v>
      </c>
      <c r="Q103" s="28" t="n">
        <f aca="false">$C$31*I103*F103</f>
        <v>0</v>
      </c>
      <c r="R103" s="28" t="n">
        <f aca="false">$C$32*I103*F103</f>
        <v>0</v>
      </c>
      <c r="S103" s="28" t="n">
        <f aca="false">IF(AND(F103&gt;0,E103=0),($C$33+$C$36)*H103+($C$34+$C$35)*I103,0)</f>
        <v>0</v>
      </c>
      <c r="T103" s="28" t="n">
        <f aca="false">SUM(J103:S103)</f>
        <v>0</v>
      </c>
      <c r="U103" s="28" t="n">
        <f aca="false">T103*Cont</f>
        <v>0</v>
      </c>
      <c r="V103" s="28" t="n">
        <f aca="false">MIN(J103,J103*$C$43)</f>
        <v>0</v>
      </c>
      <c r="W103" s="40" t="n">
        <f aca="false">$C$55*(1+FxDrift)^(A103-1)</f>
        <v>1</v>
      </c>
      <c r="X103" s="28" t="n">
        <f aca="false">(T103+U103)*W103</f>
        <v>0</v>
      </c>
      <c r="Y103" s="28" t="n">
        <f aca="false">IF(B103=1,MIN(X103,V103*W103+IF(F103&gt;0,$C$44*F103,0)),0)</f>
        <v>0</v>
      </c>
      <c r="Z103" s="41" t="n">
        <f aca="false">IF(B103=1,MAX(0,X103-(V103*W103+IF(F103&gt;0,$C$44*F103,0))),0)</f>
        <v>0</v>
      </c>
      <c r="AA103" s="28" t="n">
        <f aca="false">IF(B103=1,(J103+K103)*W103,0)</f>
        <v>0</v>
      </c>
      <c r="AB103" s="28" t="n">
        <f aca="false">IF(B103=1,SUM(L103:R103)*W103,0)</f>
        <v>0</v>
      </c>
      <c r="AC103" s="28" t="n">
        <f aca="false">IF(B103=1,(S103+U103)*W103,0)</f>
        <v>0</v>
      </c>
    </row>
    <row r="104" customFormat="false" ht="15" hidden="false" customHeight="false" outlineLevel="0" collapsed="false">
      <c r="A104" s="27" t="n">
        <v>43</v>
      </c>
      <c r="B104" s="27" t="n">
        <f aca="false">IF(AND(A104&lt;=$C$52,$C$47=1),1,0)</f>
        <v>0</v>
      </c>
      <c r="C104" s="27" t="str">
        <f aca="false">IF(B104=1,$C$7+A104-1,"")</f>
        <v/>
      </c>
      <c r="D104" s="28" t="str">
        <f aca="false">(PlanStartYear+A104-1)&amp;"/"&amp;RIGHT(PlanStartYear+A104,2)</f>
        <v>2068/69</v>
      </c>
      <c r="E104" s="27" t="n">
        <f aca="false">A104-1-$C$49</f>
        <v>34</v>
      </c>
      <c r="F104" s="39" t="n">
        <f aca="false">IF(AND(B104=1,E104&gt;=0,E104&lt;$C$50),MIN(1,$C$37-E104),0)</f>
        <v>0</v>
      </c>
      <c r="G104" s="27" t="n">
        <f aca="false">(A104-1)+$C$54</f>
        <v>42</v>
      </c>
      <c r="H104" s="40" t="n">
        <f aca="false">(1+TuiInf)^G104</f>
        <v>54.7636992374931</v>
      </c>
      <c r="I104" s="40" t="n">
        <f aca="false">(1+LivInf)^G104</f>
        <v>25.3394818738674</v>
      </c>
      <c r="J104" s="28" t="n">
        <f aca="false">$C$24*H104*F104</f>
        <v>0</v>
      </c>
      <c r="K104" s="28" t="n">
        <f aca="false">$C$25*H104*F104</f>
        <v>0</v>
      </c>
      <c r="L104" s="28" t="n">
        <f aca="false">$C$26*I104*F104</f>
        <v>0</v>
      </c>
      <c r="M104" s="28" t="n">
        <f aca="false">$C$27*I104*F104</f>
        <v>0</v>
      </c>
      <c r="N104" s="28" t="n">
        <f aca="false">$C$28*I104*F104</f>
        <v>0</v>
      </c>
      <c r="O104" s="28" t="n">
        <f aca="false">$C$29*I104*F104</f>
        <v>0</v>
      </c>
      <c r="P104" s="28" t="n">
        <f aca="false">$C$30*I104*F104</f>
        <v>0</v>
      </c>
      <c r="Q104" s="28" t="n">
        <f aca="false">$C$31*I104*F104</f>
        <v>0</v>
      </c>
      <c r="R104" s="28" t="n">
        <f aca="false">$C$32*I104*F104</f>
        <v>0</v>
      </c>
      <c r="S104" s="28" t="n">
        <f aca="false">IF(AND(F104&gt;0,E104=0),($C$33+$C$36)*H104+($C$34+$C$35)*I104,0)</f>
        <v>0</v>
      </c>
      <c r="T104" s="28" t="n">
        <f aca="false">SUM(J104:S104)</f>
        <v>0</v>
      </c>
      <c r="U104" s="28" t="n">
        <f aca="false">T104*Cont</f>
        <v>0</v>
      </c>
      <c r="V104" s="28" t="n">
        <f aca="false">MIN(J104,J104*$C$43)</f>
        <v>0</v>
      </c>
      <c r="W104" s="40" t="n">
        <f aca="false">$C$55*(1+FxDrift)^(A104-1)</f>
        <v>1</v>
      </c>
      <c r="X104" s="28" t="n">
        <f aca="false">(T104+U104)*W104</f>
        <v>0</v>
      </c>
      <c r="Y104" s="28" t="n">
        <f aca="false">IF(B104=1,MIN(X104,V104*W104+IF(F104&gt;0,$C$44*F104,0)),0)</f>
        <v>0</v>
      </c>
      <c r="Z104" s="41" t="n">
        <f aca="false">IF(B104=1,MAX(0,X104-(V104*W104+IF(F104&gt;0,$C$44*F104,0))),0)</f>
        <v>0</v>
      </c>
      <c r="AA104" s="28" t="n">
        <f aca="false">IF(B104=1,(J104+K104)*W104,0)</f>
        <v>0</v>
      </c>
      <c r="AB104" s="28" t="n">
        <f aca="false">IF(B104=1,SUM(L104:R104)*W104,0)</f>
        <v>0</v>
      </c>
      <c r="AC104" s="28" t="n">
        <f aca="false">IF(B104=1,(S104+U104)*W104,0)</f>
        <v>0</v>
      </c>
    </row>
    <row r="105" customFormat="false" ht="15" hidden="false" customHeight="false" outlineLevel="0" collapsed="false">
      <c r="A105" s="27" t="n">
        <v>44</v>
      </c>
      <c r="B105" s="27" t="n">
        <f aca="false">IF(AND(A105&lt;=$C$52,$C$47=1),1,0)</f>
        <v>0</v>
      </c>
      <c r="C105" s="27" t="str">
        <f aca="false">IF(B105=1,$C$7+A105-1,"")</f>
        <v/>
      </c>
      <c r="D105" s="28" t="str">
        <f aca="false">(PlanStartYear+A105-1)&amp;"/"&amp;RIGHT(PlanStartYear+A105,2)</f>
        <v>2069/70</v>
      </c>
      <c r="E105" s="27" t="n">
        <f aca="false">A105-1-$C$49</f>
        <v>35</v>
      </c>
      <c r="F105" s="39" t="n">
        <f aca="false">IF(AND(B105=1,E105&gt;=0,E105&lt;$C$50),MIN(1,$C$37-E105),0)</f>
        <v>0</v>
      </c>
      <c r="G105" s="27" t="n">
        <f aca="false">(A105-1)+$C$54</f>
        <v>43</v>
      </c>
      <c r="H105" s="40" t="n">
        <f aca="false">(1+TuiInf)^G105</f>
        <v>60.2400691612424</v>
      </c>
      <c r="I105" s="40" t="n">
        <f aca="false">(1+LivInf)^G105</f>
        <v>27.3666404237768</v>
      </c>
      <c r="J105" s="28" t="n">
        <f aca="false">$C$24*H105*F105</f>
        <v>0</v>
      </c>
      <c r="K105" s="28" t="n">
        <f aca="false">$C$25*H105*F105</f>
        <v>0</v>
      </c>
      <c r="L105" s="28" t="n">
        <f aca="false">$C$26*I105*F105</f>
        <v>0</v>
      </c>
      <c r="M105" s="28" t="n">
        <f aca="false">$C$27*I105*F105</f>
        <v>0</v>
      </c>
      <c r="N105" s="28" t="n">
        <f aca="false">$C$28*I105*F105</f>
        <v>0</v>
      </c>
      <c r="O105" s="28" t="n">
        <f aca="false">$C$29*I105*F105</f>
        <v>0</v>
      </c>
      <c r="P105" s="28" t="n">
        <f aca="false">$C$30*I105*F105</f>
        <v>0</v>
      </c>
      <c r="Q105" s="28" t="n">
        <f aca="false">$C$31*I105*F105</f>
        <v>0</v>
      </c>
      <c r="R105" s="28" t="n">
        <f aca="false">$C$32*I105*F105</f>
        <v>0</v>
      </c>
      <c r="S105" s="28" t="n">
        <f aca="false">IF(AND(F105&gt;0,E105=0),($C$33+$C$36)*H105+($C$34+$C$35)*I105,0)</f>
        <v>0</v>
      </c>
      <c r="T105" s="28" t="n">
        <f aca="false">SUM(J105:S105)</f>
        <v>0</v>
      </c>
      <c r="U105" s="28" t="n">
        <f aca="false">T105*Cont</f>
        <v>0</v>
      </c>
      <c r="V105" s="28" t="n">
        <f aca="false">MIN(J105,J105*$C$43)</f>
        <v>0</v>
      </c>
      <c r="W105" s="40" t="n">
        <f aca="false">$C$55*(1+FxDrift)^(A105-1)</f>
        <v>1</v>
      </c>
      <c r="X105" s="28" t="n">
        <f aca="false">(T105+U105)*W105</f>
        <v>0</v>
      </c>
      <c r="Y105" s="28" t="n">
        <f aca="false">IF(B105=1,MIN(X105,V105*W105+IF(F105&gt;0,$C$44*F105,0)),0)</f>
        <v>0</v>
      </c>
      <c r="Z105" s="41" t="n">
        <f aca="false">IF(B105=1,MAX(0,X105-(V105*W105+IF(F105&gt;0,$C$44*F105,0))),0)</f>
        <v>0</v>
      </c>
      <c r="AA105" s="28" t="n">
        <f aca="false">IF(B105=1,(J105+K105)*W105,0)</f>
        <v>0</v>
      </c>
      <c r="AB105" s="28" t="n">
        <f aca="false">IF(B105=1,SUM(L105:R105)*W105,0)</f>
        <v>0</v>
      </c>
      <c r="AC105" s="28" t="n">
        <f aca="false">IF(B105=1,(S105+U105)*W105,0)</f>
        <v>0</v>
      </c>
    </row>
    <row r="106" customFormat="false" ht="15" hidden="false" customHeight="false" outlineLevel="0" collapsed="false">
      <c r="A106" s="27" t="n">
        <v>45</v>
      </c>
      <c r="B106" s="27" t="n">
        <f aca="false">IF(AND(A106&lt;=$C$52,$C$47=1),1,0)</f>
        <v>0</v>
      </c>
      <c r="C106" s="27" t="str">
        <f aca="false">IF(B106=1,$C$7+A106-1,"")</f>
        <v/>
      </c>
      <c r="D106" s="28" t="str">
        <f aca="false">(PlanStartYear+A106-1)&amp;"/"&amp;RIGHT(PlanStartYear+A106,2)</f>
        <v>2070/71</v>
      </c>
      <c r="E106" s="27" t="n">
        <f aca="false">A106-1-$C$49</f>
        <v>36</v>
      </c>
      <c r="F106" s="39" t="n">
        <f aca="false">IF(AND(B106=1,E106&gt;=0,E106&lt;$C$50),MIN(1,$C$37-E106),0)</f>
        <v>0</v>
      </c>
      <c r="G106" s="27" t="n">
        <f aca="false">(A106-1)+$C$54</f>
        <v>44</v>
      </c>
      <c r="H106" s="40" t="n">
        <f aca="false">(1+TuiInf)^G106</f>
        <v>66.2640760773667</v>
      </c>
      <c r="I106" s="40" t="n">
        <f aca="false">(1+LivInf)^G106</f>
        <v>29.555971657679</v>
      </c>
      <c r="J106" s="28" t="n">
        <f aca="false">$C$24*H106*F106</f>
        <v>0</v>
      </c>
      <c r="K106" s="28" t="n">
        <f aca="false">$C$25*H106*F106</f>
        <v>0</v>
      </c>
      <c r="L106" s="28" t="n">
        <f aca="false">$C$26*I106*F106</f>
        <v>0</v>
      </c>
      <c r="M106" s="28" t="n">
        <f aca="false">$C$27*I106*F106</f>
        <v>0</v>
      </c>
      <c r="N106" s="28" t="n">
        <f aca="false">$C$28*I106*F106</f>
        <v>0</v>
      </c>
      <c r="O106" s="28" t="n">
        <f aca="false">$C$29*I106*F106</f>
        <v>0</v>
      </c>
      <c r="P106" s="28" t="n">
        <f aca="false">$C$30*I106*F106</f>
        <v>0</v>
      </c>
      <c r="Q106" s="28" t="n">
        <f aca="false">$C$31*I106*F106</f>
        <v>0</v>
      </c>
      <c r="R106" s="28" t="n">
        <f aca="false">$C$32*I106*F106</f>
        <v>0</v>
      </c>
      <c r="S106" s="28" t="n">
        <f aca="false">IF(AND(F106&gt;0,E106=0),($C$33+$C$36)*H106+($C$34+$C$35)*I106,0)</f>
        <v>0</v>
      </c>
      <c r="T106" s="28" t="n">
        <f aca="false">SUM(J106:S106)</f>
        <v>0</v>
      </c>
      <c r="U106" s="28" t="n">
        <f aca="false">T106*Cont</f>
        <v>0</v>
      </c>
      <c r="V106" s="28" t="n">
        <f aca="false">MIN(J106,J106*$C$43)</f>
        <v>0</v>
      </c>
      <c r="W106" s="40" t="n">
        <f aca="false">$C$55*(1+FxDrift)^(A106-1)</f>
        <v>1</v>
      </c>
      <c r="X106" s="28" t="n">
        <f aca="false">(T106+U106)*W106</f>
        <v>0</v>
      </c>
      <c r="Y106" s="28" t="n">
        <f aca="false">IF(B106=1,MIN(X106,V106*W106+IF(F106&gt;0,$C$44*F106,0)),0)</f>
        <v>0</v>
      </c>
      <c r="Z106" s="41" t="n">
        <f aca="false">IF(B106=1,MAX(0,X106-(V106*W106+IF(F106&gt;0,$C$44*F106,0))),0)</f>
        <v>0</v>
      </c>
      <c r="AA106" s="28" t="n">
        <f aca="false">IF(B106=1,(J106+K106)*W106,0)</f>
        <v>0</v>
      </c>
      <c r="AB106" s="28" t="n">
        <f aca="false">IF(B106=1,SUM(L106:R106)*W106,0)</f>
        <v>0</v>
      </c>
      <c r="AC106" s="28" t="n">
        <f aca="false">IF(B106=1,(S106+U106)*W106,0)</f>
        <v>0</v>
      </c>
    </row>
    <row r="107" customFormat="false" ht="15" hidden="false" customHeight="false" outlineLevel="0" collapsed="false">
      <c r="A107" s="27" t="n">
        <v>46</v>
      </c>
      <c r="B107" s="27" t="n">
        <f aca="false">IF(AND(A107&lt;=$C$52,$C$47=1),1,0)</f>
        <v>0</v>
      </c>
      <c r="C107" s="27" t="str">
        <f aca="false">IF(B107=1,$C$7+A107-1,"")</f>
        <v/>
      </c>
      <c r="D107" s="28" t="str">
        <f aca="false">(PlanStartYear+A107-1)&amp;"/"&amp;RIGHT(PlanStartYear+A107,2)</f>
        <v>2071/72</v>
      </c>
      <c r="E107" s="27" t="n">
        <f aca="false">A107-1-$C$49</f>
        <v>37</v>
      </c>
      <c r="F107" s="39" t="n">
        <f aca="false">IF(AND(B107=1,E107&gt;=0,E107&lt;$C$50),MIN(1,$C$37-E107),0)</f>
        <v>0</v>
      </c>
      <c r="G107" s="27" t="n">
        <f aca="false">(A107-1)+$C$54</f>
        <v>45</v>
      </c>
      <c r="H107" s="40" t="n">
        <f aca="false">(1+TuiInf)^G107</f>
        <v>72.8904836851033</v>
      </c>
      <c r="I107" s="40" t="n">
        <f aca="false">(1+LivInf)^G107</f>
        <v>31.9204493902933</v>
      </c>
      <c r="J107" s="28" t="n">
        <f aca="false">$C$24*H107*F107</f>
        <v>0</v>
      </c>
      <c r="K107" s="28" t="n">
        <f aca="false">$C$25*H107*F107</f>
        <v>0</v>
      </c>
      <c r="L107" s="28" t="n">
        <f aca="false">$C$26*I107*F107</f>
        <v>0</v>
      </c>
      <c r="M107" s="28" t="n">
        <f aca="false">$C$27*I107*F107</f>
        <v>0</v>
      </c>
      <c r="N107" s="28" t="n">
        <f aca="false">$C$28*I107*F107</f>
        <v>0</v>
      </c>
      <c r="O107" s="28" t="n">
        <f aca="false">$C$29*I107*F107</f>
        <v>0</v>
      </c>
      <c r="P107" s="28" t="n">
        <f aca="false">$C$30*I107*F107</f>
        <v>0</v>
      </c>
      <c r="Q107" s="28" t="n">
        <f aca="false">$C$31*I107*F107</f>
        <v>0</v>
      </c>
      <c r="R107" s="28" t="n">
        <f aca="false">$C$32*I107*F107</f>
        <v>0</v>
      </c>
      <c r="S107" s="28" t="n">
        <f aca="false">IF(AND(F107&gt;0,E107=0),($C$33+$C$36)*H107+($C$34+$C$35)*I107,0)</f>
        <v>0</v>
      </c>
      <c r="T107" s="28" t="n">
        <f aca="false">SUM(J107:S107)</f>
        <v>0</v>
      </c>
      <c r="U107" s="28" t="n">
        <f aca="false">T107*Cont</f>
        <v>0</v>
      </c>
      <c r="V107" s="28" t="n">
        <f aca="false">MIN(J107,J107*$C$43)</f>
        <v>0</v>
      </c>
      <c r="W107" s="40" t="n">
        <f aca="false">$C$55*(1+FxDrift)^(A107-1)</f>
        <v>1</v>
      </c>
      <c r="X107" s="28" t="n">
        <f aca="false">(T107+U107)*W107</f>
        <v>0</v>
      </c>
      <c r="Y107" s="28" t="n">
        <f aca="false">IF(B107=1,MIN(X107,V107*W107+IF(F107&gt;0,$C$44*F107,0)),0)</f>
        <v>0</v>
      </c>
      <c r="Z107" s="41" t="n">
        <f aca="false">IF(B107=1,MAX(0,X107-(V107*W107+IF(F107&gt;0,$C$44*F107,0))),0)</f>
        <v>0</v>
      </c>
      <c r="AA107" s="28" t="n">
        <f aca="false">IF(B107=1,(J107+K107)*W107,0)</f>
        <v>0</v>
      </c>
      <c r="AB107" s="28" t="n">
        <f aca="false">IF(B107=1,SUM(L107:R107)*W107,0)</f>
        <v>0</v>
      </c>
      <c r="AC107" s="28" t="n">
        <f aca="false">IF(B107=1,(S107+U107)*W107,0)</f>
        <v>0</v>
      </c>
    </row>
    <row r="108" customFormat="false" ht="15" hidden="false" customHeight="false" outlineLevel="0" collapsed="false">
      <c r="A108" s="27" t="n">
        <v>47</v>
      </c>
      <c r="B108" s="27" t="n">
        <f aca="false">IF(AND(A108&lt;=$C$52,$C$47=1),1,0)</f>
        <v>0</v>
      </c>
      <c r="C108" s="27" t="str">
        <f aca="false">IF(B108=1,$C$7+A108-1,"")</f>
        <v/>
      </c>
      <c r="D108" s="28" t="str">
        <f aca="false">(PlanStartYear+A108-1)&amp;"/"&amp;RIGHT(PlanStartYear+A108,2)</f>
        <v>2072/73</v>
      </c>
      <c r="E108" s="27" t="n">
        <f aca="false">A108-1-$C$49</f>
        <v>38</v>
      </c>
      <c r="F108" s="39" t="n">
        <f aca="false">IF(AND(B108=1,E108&gt;=0,E108&lt;$C$50),MIN(1,$C$37-E108),0)</f>
        <v>0</v>
      </c>
      <c r="G108" s="27" t="n">
        <f aca="false">(A108-1)+$C$54</f>
        <v>46</v>
      </c>
      <c r="H108" s="40" t="n">
        <f aca="false">(1+TuiInf)^G108</f>
        <v>80.1795320536137</v>
      </c>
      <c r="I108" s="40" t="n">
        <f aca="false">(1+LivInf)^G108</f>
        <v>34.4740853415167</v>
      </c>
      <c r="J108" s="28" t="n">
        <f aca="false">$C$24*H108*F108</f>
        <v>0</v>
      </c>
      <c r="K108" s="28" t="n">
        <f aca="false">$C$25*H108*F108</f>
        <v>0</v>
      </c>
      <c r="L108" s="28" t="n">
        <f aca="false">$C$26*I108*F108</f>
        <v>0</v>
      </c>
      <c r="M108" s="28" t="n">
        <f aca="false">$C$27*I108*F108</f>
        <v>0</v>
      </c>
      <c r="N108" s="28" t="n">
        <f aca="false">$C$28*I108*F108</f>
        <v>0</v>
      </c>
      <c r="O108" s="28" t="n">
        <f aca="false">$C$29*I108*F108</f>
        <v>0</v>
      </c>
      <c r="P108" s="28" t="n">
        <f aca="false">$C$30*I108*F108</f>
        <v>0</v>
      </c>
      <c r="Q108" s="28" t="n">
        <f aca="false">$C$31*I108*F108</f>
        <v>0</v>
      </c>
      <c r="R108" s="28" t="n">
        <f aca="false">$C$32*I108*F108</f>
        <v>0</v>
      </c>
      <c r="S108" s="28" t="n">
        <f aca="false">IF(AND(F108&gt;0,E108=0),($C$33+$C$36)*H108+($C$34+$C$35)*I108,0)</f>
        <v>0</v>
      </c>
      <c r="T108" s="28" t="n">
        <f aca="false">SUM(J108:S108)</f>
        <v>0</v>
      </c>
      <c r="U108" s="28" t="n">
        <f aca="false">T108*Cont</f>
        <v>0</v>
      </c>
      <c r="V108" s="28" t="n">
        <f aca="false">MIN(J108,J108*$C$43)</f>
        <v>0</v>
      </c>
      <c r="W108" s="40" t="n">
        <f aca="false">$C$55*(1+FxDrift)^(A108-1)</f>
        <v>1</v>
      </c>
      <c r="X108" s="28" t="n">
        <f aca="false">(T108+U108)*W108</f>
        <v>0</v>
      </c>
      <c r="Y108" s="28" t="n">
        <f aca="false">IF(B108=1,MIN(X108,V108*W108+IF(F108&gt;0,$C$44*F108,0)),0)</f>
        <v>0</v>
      </c>
      <c r="Z108" s="41" t="n">
        <f aca="false">IF(B108=1,MAX(0,X108-(V108*W108+IF(F108&gt;0,$C$44*F108,0))),0)</f>
        <v>0</v>
      </c>
      <c r="AA108" s="28" t="n">
        <f aca="false">IF(B108=1,(J108+K108)*W108,0)</f>
        <v>0</v>
      </c>
      <c r="AB108" s="28" t="n">
        <f aca="false">IF(B108=1,SUM(L108:R108)*W108,0)</f>
        <v>0</v>
      </c>
      <c r="AC108" s="28" t="n">
        <f aca="false">IF(B108=1,(S108+U108)*W108,0)</f>
        <v>0</v>
      </c>
    </row>
    <row r="109" customFormat="false" ht="15" hidden="false" customHeight="false" outlineLevel="0" collapsed="false">
      <c r="A109" s="27" t="n">
        <v>48</v>
      </c>
      <c r="B109" s="27" t="n">
        <f aca="false">IF(AND(A109&lt;=$C$52,$C$47=1),1,0)</f>
        <v>0</v>
      </c>
      <c r="C109" s="27" t="str">
        <f aca="false">IF(B109=1,$C$7+A109-1,"")</f>
        <v/>
      </c>
      <c r="D109" s="28" t="str">
        <f aca="false">(PlanStartYear+A109-1)&amp;"/"&amp;RIGHT(PlanStartYear+A109,2)</f>
        <v>2073/74</v>
      </c>
      <c r="E109" s="27" t="n">
        <f aca="false">A109-1-$C$49</f>
        <v>39</v>
      </c>
      <c r="F109" s="39" t="n">
        <f aca="false">IF(AND(B109=1,E109&gt;=0,E109&lt;$C$50),MIN(1,$C$37-E109),0)</f>
        <v>0</v>
      </c>
      <c r="G109" s="27" t="n">
        <f aca="false">(A109-1)+$C$54</f>
        <v>47</v>
      </c>
      <c r="H109" s="40" t="n">
        <f aca="false">(1+TuiInf)^G109</f>
        <v>88.197485258975</v>
      </c>
      <c r="I109" s="40" t="n">
        <f aca="false">(1+LivInf)^G109</f>
        <v>37.2320121688381</v>
      </c>
      <c r="J109" s="28" t="n">
        <f aca="false">$C$24*H109*F109</f>
        <v>0</v>
      </c>
      <c r="K109" s="28" t="n">
        <f aca="false">$C$25*H109*F109</f>
        <v>0</v>
      </c>
      <c r="L109" s="28" t="n">
        <f aca="false">$C$26*I109*F109</f>
        <v>0</v>
      </c>
      <c r="M109" s="28" t="n">
        <f aca="false">$C$27*I109*F109</f>
        <v>0</v>
      </c>
      <c r="N109" s="28" t="n">
        <f aca="false">$C$28*I109*F109</f>
        <v>0</v>
      </c>
      <c r="O109" s="28" t="n">
        <f aca="false">$C$29*I109*F109</f>
        <v>0</v>
      </c>
      <c r="P109" s="28" t="n">
        <f aca="false">$C$30*I109*F109</f>
        <v>0</v>
      </c>
      <c r="Q109" s="28" t="n">
        <f aca="false">$C$31*I109*F109</f>
        <v>0</v>
      </c>
      <c r="R109" s="28" t="n">
        <f aca="false">$C$32*I109*F109</f>
        <v>0</v>
      </c>
      <c r="S109" s="28" t="n">
        <f aca="false">IF(AND(F109&gt;0,E109=0),($C$33+$C$36)*H109+($C$34+$C$35)*I109,0)</f>
        <v>0</v>
      </c>
      <c r="T109" s="28" t="n">
        <f aca="false">SUM(J109:S109)</f>
        <v>0</v>
      </c>
      <c r="U109" s="28" t="n">
        <f aca="false">T109*Cont</f>
        <v>0</v>
      </c>
      <c r="V109" s="28" t="n">
        <f aca="false">MIN(J109,J109*$C$43)</f>
        <v>0</v>
      </c>
      <c r="W109" s="40" t="n">
        <f aca="false">$C$55*(1+FxDrift)^(A109-1)</f>
        <v>1</v>
      </c>
      <c r="X109" s="28" t="n">
        <f aca="false">(T109+U109)*W109</f>
        <v>0</v>
      </c>
      <c r="Y109" s="28" t="n">
        <f aca="false">IF(B109=1,MIN(X109,V109*W109+IF(F109&gt;0,$C$44*F109,0)),0)</f>
        <v>0</v>
      </c>
      <c r="Z109" s="41" t="n">
        <f aca="false">IF(B109=1,MAX(0,X109-(V109*W109+IF(F109&gt;0,$C$44*F109,0))),0)</f>
        <v>0</v>
      </c>
      <c r="AA109" s="28" t="n">
        <f aca="false">IF(B109=1,(J109+K109)*W109,0)</f>
        <v>0</v>
      </c>
      <c r="AB109" s="28" t="n">
        <f aca="false">IF(B109=1,SUM(L109:R109)*W109,0)</f>
        <v>0</v>
      </c>
      <c r="AC109" s="28" t="n">
        <f aca="false">IF(B109=1,(S109+U109)*W109,0)</f>
        <v>0</v>
      </c>
    </row>
    <row r="110" customFormat="false" ht="15" hidden="false" customHeight="false" outlineLevel="0" collapsed="false">
      <c r="A110" s="27" t="n">
        <v>49</v>
      </c>
      <c r="B110" s="27" t="n">
        <f aca="false">IF(AND(A110&lt;=$C$52,$C$47=1),1,0)</f>
        <v>0</v>
      </c>
      <c r="C110" s="27" t="str">
        <f aca="false">IF(B110=1,$C$7+A110-1,"")</f>
        <v/>
      </c>
      <c r="D110" s="28" t="str">
        <f aca="false">(PlanStartYear+A110-1)&amp;"/"&amp;RIGHT(PlanStartYear+A110,2)</f>
        <v>2074/75</v>
      </c>
      <c r="E110" s="27" t="n">
        <f aca="false">A110-1-$C$49</f>
        <v>40</v>
      </c>
      <c r="F110" s="39" t="n">
        <f aca="false">IF(AND(B110=1,E110&gt;=0,E110&lt;$C$50),MIN(1,$C$37-E110),0)</f>
        <v>0</v>
      </c>
      <c r="G110" s="27" t="n">
        <f aca="false">(A110-1)+$C$54</f>
        <v>48</v>
      </c>
      <c r="H110" s="40" t="n">
        <f aca="false">(1+TuiInf)^G110</f>
        <v>97.0172337848725</v>
      </c>
      <c r="I110" s="40" t="n">
        <f aca="false">(1+LivInf)^G110</f>
        <v>40.2105731423451</v>
      </c>
      <c r="J110" s="28" t="n">
        <f aca="false">$C$24*H110*F110</f>
        <v>0</v>
      </c>
      <c r="K110" s="28" t="n">
        <f aca="false">$C$25*H110*F110</f>
        <v>0</v>
      </c>
      <c r="L110" s="28" t="n">
        <f aca="false">$C$26*I110*F110</f>
        <v>0</v>
      </c>
      <c r="M110" s="28" t="n">
        <f aca="false">$C$27*I110*F110</f>
        <v>0</v>
      </c>
      <c r="N110" s="28" t="n">
        <f aca="false">$C$28*I110*F110</f>
        <v>0</v>
      </c>
      <c r="O110" s="28" t="n">
        <f aca="false">$C$29*I110*F110</f>
        <v>0</v>
      </c>
      <c r="P110" s="28" t="n">
        <f aca="false">$C$30*I110*F110</f>
        <v>0</v>
      </c>
      <c r="Q110" s="28" t="n">
        <f aca="false">$C$31*I110*F110</f>
        <v>0</v>
      </c>
      <c r="R110" s="28" t="n">
        <f aca="false">$C$32*I110*F110</f>
        <v>0</v>
      </c>
      <c r="S110" s="28" t="n">
        <f aca="false">IF(AND(F110&gt;0,E110=0),($C$33+$C$36)*H110+($C$34+$C$35)*I110,0)</f>
        <v>0</v>
      </c>
      <c r="T110" s="28" t="n">
        <f aca="false">SUM(J110:S110)</f>
        <v>0</v>
      </c>
      <c r="U110" s="28" t="n">
        <f aca="false">T110*Cont</f>
        <v>0</v>
      </c>
      <c r="V110" s="28" t="n">
        <f aca="false">MIN(J110,J110*$C$43)</f>
        <v>0</v>
      </c>
      <c r="W110" s="40" t="n">
        <f aca="false">$C$55*(1+FxDrift)^(A110-1)</f>
        <v>1</v>
      </c>
      <c r="X110" s="28" t="n">
        <f aca="false">(T110+U110)*W110</f>
        <v>0</v>
      </c>
      <c r="Y110" s="28" t="n">
        <f aca="false">IF(B110=1,MIN(X110,V110*W110+IF(F110&gt;0,$C$44*F110,0)),0)</f>
        <v>0</v>
      </c>
      <c r="Z110" s="41" t="n">
        <f aca="false">IF(B110=1,MAX(0,X110-(V110*W110+IF(F110&gt;0,$C$44*F110,0))),0)</f>
        <v>0</v>
      </c>
      <c r="AA110" s="28" t="n">
        <f aca="false">IF(B110=1,(J110+K110)*W110,0)</f>
        <v>0</v>
      </c>
      <c r="AB110" s="28" t="n">
        <f aca="false">IF(B110=1,SUM(L110:R110)*W110,0)</f>
        <v>0</v>
      </c>
      <c r="AC110" s="28" t="n">
        <f aca="false">IF(B110=1,(S110+U110)*W110,0)</f>
        <v>0</v>
      </c>
    </row>
    <row r="111" customFormat="false" ht="15" hidden="false" customHeight="false" outlineLevel="0" collapsed="false">
      <c r="A111" s="27" t="n">
        <v>50</v>
      </c>
      <c r="B111" s="27" t="n">
        <f aca="false">IF(AND(A111&lt;=$C$52,$C$47=1),1,0)</f>
        <v>0</v>
      </c>
      <c r="C111" s="27" t="str">
        <f aca="false">IF(B111=1,$C$7+A111-1,"")</f>
        <v/>
      </c>
      <c r="D111" s="28" t="str">
        <f aca="false">(PlanStartYear+A111-1)&amp;"/"&amp;RIGHT(PlanStartYear+A111,2)</f>
        <v>2075/76</v>
      </c>
      <c r="E111" s="27" t="n">
        <f aca="false">A111-1-$C$49</f>
        <v>41</v>
      </c>
      <c r="F111" s="39" t="n">
        <f aca="false">IF(AND(B111=1,E111&gt;=0,E111&lt;$C$50),MIN(1,$C$37-E111),0)</f>
        <v>0</v>
      </c>
      <c r="G111" s="27" t="n">
        <f aca="false">(A111-1)+$C$54</f>
        <v>49</v>
      </c>
      <c r="H111" s="40" t="n">
        <f aca="false">(1+TuiInf)^G111</f>
        <v>106.71895716336</v>
      </c>
      <c r="I111" s="40" t="n">
        <f aca="false">(1+LivInf)^G111</f>
        <v>43.4274189937327</v>
      </c>
      <c r="J111" s="28" t="n">
        <f aca="false">$C$24*H111*F111</f>
        <v>0</v>
      </c>
      <c r="K111" s="28" t="n">
        <f aca="false">$C$25*H111*F111</f>
        <v>0</v>
      </c>
      <c r="L111" s="28" t="n">
        <f aca="false">$C$26*I111*F111</f>
        <v>0</v>
      </c>
      <c r="M111" s="28" t="n">
        <f aca="false">$C$27*I111*F111</f>
        <v>0</v>
      </c>
      <c r="N111" s="28" t="n">
        <f aca="false">$C$28*I111*F111</f>
        <v>0</v>
      </c>
      <c r="O111" s="28" t="n">
        <f aca="false">$C$29*I111*F111</f>
        <v>0</v>
      </c>
      <c r="P111" s="28" t="n">
        <f aca="false">$C$30*I111*F111</f>
        <v>0</v>
      </c>
      <c r="Q111" s="28" t="n">
        <f aca="false">$C$31*I111*F111</f>
        <v>0</v>
      </c>
      <c r="R111" s="28" t="n">
        <f aca="false">$C$32*I111*F111</f>
        <v>0</v>
      </c>
      <c r="S111" s="28" t="n">
        <f aca="false">IF(AND(F111&gt;0,E111=0),($C$33+$C$36)*H111+($C$34+$C$35)*I111,0)</f>
        <v>0</v>
      </c>
      <c r="T111" s="28" t="n">
        <f aca="false">SUM(J111:S111)</f>
        <v>0</v>
      </c>
      <c r="U111" s="28" t="n">
        <f aca="false">T111*Cont</f>
        <v>0</v>
      </c>
      <c r="V111" s="28" t="n">
        <f aca="false">MIN(J111,J111*$C$43)</f>
        <v>0</v>
      </c>
      <c r="W111" s="40" t="n">
        <f aca="false">$C$55*(1+FxDrift)^(A111-1)</f>
        <v>1</v>
      </c>
      <c r="X111" s="28" t="n">
        <f aca="false">(T111+U111)*W111</f>
        <v>0</v>
      </c>
      <c r="Y111" s="28" t="n">
        <f aca="false">IF(B111=1,MIN(X111,V111*W111+IF(F111&gt;0,$C$44*F111,0)),0)</f>
        <v>0</v>
      </c>
      <c r="Z111" s="41" t="n">
        <f aca="false">IF(B111=1,MAX(0,X111-(V111*W111+IF(F111&gt;0,$C$44*F111,0))),0)</f>
        <v>0</v>
      </c>
      <c r="AA111" s="28" t="n">
        <f aca="false">IF(B111=1,(J111+K111)*W111,0)</f>
        <v>0</v>
      </c>
      <c r="AB111" s="28" t="n">
        <f aca="false">IF(B111=1,SUM(L111:R111)*W111,0)</f>
        <v>0</v>
      </c>
      <c r="AC111" s="28" t="n">
        <f aca="false">IF(B111=1,(S111+U111)*W111,0)</f>
        <v>0</v>
      </c>
    </row>
    <row r="112" customFormat="false" ht="15" hidden="false" customHeight="false" outlineLevel="0" collapsed="false">
      <c r="A112" s="27" t="n">
        <v>51</v>
      </c>
      <c r="B112" s="27" t="n">
        <f aca="false">IF(AND(A112&lt;=$C$52,$C$47=1),1,0)</f>
        <v>0</v>
      </c>
      <c r="C112" s="27" t="str">
        <f aca="false">IF(B112=1,$C$7+A112-1,"")</f>
        <v/>
      </c>
      <c r="D112" s="28" t="str">
        <f aca="false">(PlanStartYear+A112-1)&amp;"/"&amp;RIGHT(PlanStartYear+A112,2)</f>
        <v>2076/77</v>
      </c>
      <c r="E112" s="27" t="n">
        <f aca="false">A112-1-$C$49</f>
        <v>42</v>
      </c>
      <c r="F112" s="39" t="n">
        <f aca="false">IF(AND(B112=1,E112&gt;=0,E112&lt;$C$50),MIN(1,$C$37-E112),0)</f>
        <v>0</v>
      </c>
      <c r="G112" s="27" t="n">
        <f aca="false">(A112-1)+$C$54</f>
        <v>50</v>
      </c>
      <c r="H112" s="40" t="n">
        <f aca="false">(1+TuiInf)^G112</f>
        <v>117.390852879696</v>
      </c>
      <c r="I112" s="40" t="n">
        <f aca="false">(1+LivInf)^G112</f>
        <v>46.9016125132314</v>
      </c>
      <c r="J112" s="28" t="n">
        <f aca="false">$C$24*H112*F112</f>
        <v>0</v>
      </c>
      <c r="K112" s="28" t="n">
        <f aca="false">$C$25*H112*F112</f>
        <v>0</v>
      </c>
      <c r="L112" s="28" t="n">
        <f aca="false">$C$26*I112*F112</f>
        <v>0</v>
      </c>
      <c r="M112" s="28" t="n">
        <f aca="false">$C$27*I112*F112</f>
        <v>0</v>
      </c>
      <c r="N112" s="28" t="n">
        <f aca="false">$C$28*I112*F112</f>
        <v>0</v>
      </c>
      <c r="O112" s="28" t="n">
        <f aca="false">$C$29*I112*F112</f>
        <v>0</v>
      </c>
      <c r="P112" s="28" t="n">
        <f aca="false">$C$30*I112*F112</f>
        <v>0</v>
      </c>
      <c r="Q112" s="28" t="n">
        <f aca="false">$C$31*I112*F112</f>
        <v>0</v>
      </c>
      <c r="R112" s="28" t="n">
        <f aca="false">$C$32*I112*F112</f>
        <v>0</v>
      </c>
      <c r="S112" s="28" t="n">
        <f aca="false">IF(AND(F112&gt;0,E112=0),($C$33+$C$36)*H112+($C$34+$C$35)*I112,0)</f>
        <v>0</v>
      </c>
      <c r="T112" s="28" t="n">
        <f aca="false">SUM(J112:S112)</f>
        <v>0</v>
      </c>
      <c r="U112" s="28" t="n">
        <f aca="false">T112*Cont</f>
        <v>0</v>
      </c>
      <c r="V112" s="28" t="n">
        <f aca="false">MIN(J112,J112*$C$43)</f>
        <v>0</v>
      </c>
      <c r="W112" s="40" t="n">
        <f aca="false">$C$55*(1+FxDrift)^(A112-1)</f>
        <v>1</v>
      </c>
      <c r="X112" s="28" t="n">
        <f aca="false">(T112+U112)*W112</f>
        <v>0</v>
      </c>
      <c r="Y112" s="28" t="n">
        <f aca="false">IF(B112=1,MIN(X112,V112*W112+IF(F112&gt;0,$C$44*F112,0)),0)</f>
        <v>0</v>
      </c>
      <c r="Z112" s="41" t="n">
        <f aca="false">IF(B112=1,MAX(0,X112-(V112*W112+IF(F112&gt;0,$C$44*F112,0))),0)</f>
        <v>0</v>
      </c>
      <c r="AA112" s="28" t="n">
        <f aca="false">IF(B112=1,(J112+K112)*W112,0)</f>
        <v>0</v>
      </c>
      <c r="AB112" s="28" t="n">
        <f aca="false">IF(B112=1,SUM(L112:R112)*W112,0)</f>
        <v>0</v>
      </c>
      <c r="AC112" s="28" t="n">
        <f aca="false">IF(B112=1,(S112+U112)*W112,0)</f>
        <v>0</v>
      </c>
    </row>
    <row r="113" customFormat="false" ht="15" hidden="false" customHeight="false" outlineLevel="0" collapsed="false">
      <c r="A113" s="27" t="n">
        <v>52</v>
      </c>
      <c r="B113" s="27" t="n">
        <f aca="false">IF(AND(A113&lt;=$C$52,$C$47=1),1,0)</f>
        <v>0</v>
      </c>
      <c r="C113" s="27" t="str">
        <f aca="false">IF(B113=1,$C$7+A113-1,"")</f>
        <v/>
      </c>
      <c r="D113" s="28" t="str">
        <f aca="false">(PlanStartYear+A113-1)&amp;"/"&amp;RIGHT(PlanStartYear+A113,2)</f>
        <v>2077/78</v>
      </c>
      <c r="E113" s="27" t="n">
        <f aca="false">A113-1-$C$49</f>
        <v>43</v>
      </c>
      <c r="F113" s="39" t="n">
        <f aca="false">IF(AND(B113=1,E113&gt;=0,E113&lt;$C$50),MIN(1,$C$37-E113),0)</f>
        <v>0</v>
      </c>
      <c r="G113" s="27" t="n">
        <f aca="false">(A113-1)+$C$54</f>
        <v>51</v>
      </c>
      <c r="H113" s="40" t="n">
        <f aca="false">(1+TuiInf)^G113</f>
        <v>129.129938167665</v>
      </c>
      <c r="I113" s="40" t="n">
        <f aca="false">(1+LivInf)^G113</f>
        <v>50.6537415142899</v>
      </c>
      <c r="J113" s="28" t="n">
        <f aca="false">$C$24*H113*F113</f>
        <v>0</v>
      </c>
      <c r="K113" s="28" t="n">
        <f aca="false">$C$25*H113*F113</f>
        <v>0</v>
      </c>
      <c r="L113" s="28" t="n">
        <f aca="false">$C$26*I113*F113</f>
        <v>0</v>
      </c>
      <c r="M113" s="28" t="n">
        <f aca="false">$C$27*I113*F113</f>
        <v>0</v>
      </c>
      <c r="N113" s="28" t="n">
        <f aca="false">$C$28*I113*F113</f>
        <v>0</v>
      </c>
      <c r="O113" s="28" t="n">
        <f aca="false">$C$29*I113*F113</f>
        <v>0</v>
      </c>
      <c r="P113" s="28" t="n">
        <f aca="false">$C$30*I113*F113</f>
        <v>0</v>
      </c>
      <c r="Q113" s="28" t="n">
        <f aca="false">$C$31*I113*F113</f>
        <v>0</v>
      </c>
      <c r="R113" s="28" t="n">
        <f aca="false">$C$32*I113*F113</f>
        <v>0</v>
      </c>
      <c r="S113" s="28" t="n">
        <f aca="false">IF(AND(F113&gt;0,E113=0),($C$33+$C$36)*H113+($C$34+$C$35)*I113,0)</f>
        <v>0</v>
      </c>
      <c r="T113" s="28" t="n">
        <f aca="false">SUM(J113:S113)</f>
        <v>0</v>
      </c>
      <c r="U113" s="28" t="n">
        <f aca="false">T113*Cont</f>
        <v>0</v>
      </c>
      <c r="V113" s="28" t="n">
        <f aca="false">MIN(J113,J113*$C$43)</f>
        <v>0</v>
      </c>
      <c r="W113" s="40" t="n">
        <f aca="false">$C$55*(1+FxDrift)^(A113-1)</f>
        <v>1</v>
      </c>
      <c r="X113" s="28" t="n">
        <f aca="false">(T113+U113)*W113</f>
        <v>0</v>
      </c>
      <c r="Y113" s="28" t="n">
        <f aca="false">IF(B113=1,MIN(X113,V113*W113+IF(F113&gt;0,$C$44*F113,0)),0)</f>
        <v>0</v>
      </c>
      <c r="Z113" s="41" t="n">
        <f aca="false">IF(B113=1,MAX(0,X113-(V113*W113+IF(F113&gt;0,$C$44*F113,0))),0)</f>
        <v>0</v>
      </c>
      <c r="AA113" s="28" t="n">
        <f aca="false">IF(B113=1,(J113+K113)*W113,0)</f>
        <v>0</v>
      </c>
      <c r="AB113" s="28" t="n">
        <f aca="false">IF(B113=1,SUM(L113:R113)*W113,0)</f>
        <v>0</v>
      </c>
      <c r="AC113" s="28" t="n">
        <f aca="false">IF(B113=1,(S113+U113)*W113,0)</f>
        <v>0</v>
      </c>
    </row>
    <row r="114" customFormat="false" ht="15" hidden="false" customHeight="false" outlineLevel="0" collapsed="false">
      <c r="A114" s="27" t="n">
        <v>53</v>
      </c>
      <c r="B114" s="27" t="n">
        <f aca="false">IF(AND(A114&lt;=$C$52,$C$47=1),1,0)</f>
        <v>0</v>
      </c>
      <c r="C114" s="27" t="str">
        <f aca="false">IF(B114=1,$C$7+A114-1,"")</f>
        <v/>
      </c>
      <c r="D114" s="28" t="str">
        <f aca="false">(PlanStartYear+A114-1)&amp;"/"&amp;RIGHT(PlanStartYear+A114,2)</f>
        <v>2078/79</v>
      </c>
      <c r="E114" s="27" t="n">
        <f aca="false">A114-1-$C$49</f>
        <v>44</v>
      </c>
      <c r="F114" s="39" t="n">
        <f aca="false">IF(AND(B114=1,E114&gt;=0,E114&lt;$C$50),MIN(1,$C$37-E114),0)</f>
        <v>0</v>
      </c>
      <c r="G114" s="27" t="n">
        <f aca="false">(A114-1)+$C$54</f>
        <v>52</v>
      </c>
      <c r="H114" s="40" t="n">
        <f aca="false">(1+TuiInf)^G114</f>
        <v>142.042931984432</v>
      </c>
      <c r="I114" s="40" t="n">
        <f aca="false">(1+LivInf)^G114</f>
        <v>54.7060408354331</v>
      </c>
      <c r="J114" s="28" t="n">
        <f aca="false">$C$24*H114*F114</f>
        <v>0</v>
      </c>
      <c r="K114" s="28" t="n">
        <f aca="false">$C$25*H114*F114</f>
        <v>0</v>
      </c>
      <c r="L114" s="28" t="n">
        <f aca="false">$C$26*I114*F114</f>
        <v>0</v>
      </c>
      <c r="M114" s="28" t="n">
        <f aca="false">$C$27*I114*F114</f>
        <v>0</v>
      </c>
      <c r="N114" s="28" t="n">
        <f aca="false">$C$28*I114*F114</f>
        <v>0</v>
      </c>
      <c r="O114" s="28" t="n">
        <f aca="false">$C$29*I114*F114</f>
        <v>0</v>
      </c>
      <c r="P114" s="28" t="n">
        <f aca="false">$C$30*I114*F114</f>
        <v>0</v>
      </c>
      <c r="Q114" s="28" t="n">
        <f aca="false">$C$31*I114*F114</f>
        <v>0</v>
      </c>
      <c r="R114" s="28" t="n">
        <f aca="false">$C$32*I114*F114</f>
        <v>0</v>
      </c>
      <c r="S114" s="28" t="n">
        <f aca="false">IF(AND(F114&gt;0,E114=0),($C$33+$C$36)*H114+($C$34+$C$35)*I114,0)</f>
        <v>0</v>
      </c>
      <c r="T114" s="28" t="n">
        <f aca="false">SUM(J114:S114)</f>
        <v>0</v>
      </c>
      <c r="U114" s="28" t="n">
        <f aca="false">T114*Cont</f>
        <v>0</v>
      </c>
      <c r="V114" s="28" t="n">
        <f aca="false">MIN(J114,J114*$C$43)</f>
        <v>0</v>
      </c>
      <c r="W114" s="40" t="n">
        <f aca="false">$C$55*(1+FxDrift)^(A114-1)</f>
        <v>1</v>
      </c>
      <c r="X114" s="28" t="n">
        <f aca="false">(T114+U114)*W114</f>
        <v>0</v>
      </c>
      <c r="Y114" s="28" t="n">
        <f aca="false">IF(B114=1,MIN(X114,V114*W114+IF(F114&gt;0,$C$44*F114,0)),0)</f>
        <v>0</v>
      </c>
      <c r="Z114" s="41" t="n">
        <f aca="false">IF(B114=1,MAX(0,X114-(V114*W114+IF(F114&gt;0,$C$44*F114,0))),0)</f>
        <v>0</v>
      </c>
      <c r="AA114" s="28" t="n">
        <f aca="false">IF(B114=1,(J114+K114)*W114,0)</f>
        <v>0</v>
      </c>
      <c r="AB114" s="28" t="n">
        <f aca="false">IF(B114=1,SUM(L114:R114)*W114,0)</f>
        <v>0</v>
      </c>
      <c r="AC114" s="28" t="n">
        <f aca="false">IF(B114=1,(S114+U114)*W114,0)</f>
        <v>0</v>
      </c>
    </row>
    <row r="115" customFormat="false" ht="15" hidden="false" customHeight="false" outlineLevel="0" collapsed="false">
      <c r="A115" s="27" t="n">
        <v>54</v>
      </c>
      <c r="B115" s="27" t="n">
        <f aca="false">IF(AND(A115&lt;=$C$52,$C$47=1),1,0)</f>
        <v>0</v>
      </c>
      <c r="C115" s="27" t="str">
        <f aca="false">IF(B115=1,$C$7+A115-1,"")</f>
        <v/>
      </c>
      <c r="D115" s="28" t="str">
        <f aca="false">(PlanStartYear+A115-1)&amp;"/"&amp;RIGHT(PlanStartYear+A115,2)</f>
        <v>2079/80</v>
      </c>
      <c r="E115" s="27" t="n">
        <f aca="false">A115-1-$C$49</f>
        <v>45</v>
      </c>
      <c r="F115" s="39" t="n">
        <f aca="false">IF(AND(B115=1,E115&gt;=0,E115&lt;$C$50),MIN(1,$C$37-E115),0)</f>
        <v>0</v>
      </c>
      <c r="G115" s="27" t="n">
        <f aca="false">(A115-1)+$C$54</f>
        <v>53</v>
      </c>
      <c r="H115" s="40" t="n">
        <f aca="false">(1+TuiInf)^G115</f>
        <v>156.247225182875</v>
      </c>
      <c r="I115" s="40" t="n">
        <f aca="false">(1+LivInf)^G115</f>
        <v>59.0825241022677</v>
      </c>
      <c r="J115" s="28" t="n">
        <f aca="false">$C$24*H115*F115</f>
        <v>0</v>
      </c>
      <c r="K115" s="28" t="n">
        <f aca="false">$C$25*H115*F115</f>
        <v>0</v>
      </c>
      <c r="L115" s="28" t="n">
        <f aca="false">$C$26*I115*F115</f>
        <v>0</v>
      </c>
      <c r="M115" s="28" t="n">
        <f aca="false">$C$27*I115*F115</f>
        <v>0</v>
      </c>
      <c r="N115" s="28" t="n">
        <f aca="false">$C$28*I115*F115</f>
        <v>0</v>
      </c>
      <c r="O115" s="28" t="n">
        <f aca="false">$C$29*I115*F115</f>
        <v>0</v>
      </c>
      <c r="P115" s="28" t="n">
        <f aca="false">$C$30*I115*F115</f>
        <v>0</v>
      </c>
      <c r="Q115" s="28" t="n">
        <f aca="false">$C$31*I115*F115</f>
        <v>0</v>
      </c>
      <c r="R115" s="28" t="n">
        <f aca="false">$C$32*I115*F115</f>
        <v>0</v>
      </c>
      <c r="S115" s="28" t="n">
        <f aca="false">IF(AND(F115&gt;0,E115=0),($C$33+$C$36)*H115+($C$34+$C$35)*I115,0)</f>
        <v>0</v>
      </c>
      <c r="T115" s="28" t="n">
        <f aca="false">SUM(J115:S115)</f>
        <v>0</v>
      </c>
      <c r="U115" s="28" t="n">
        <f aca="false">T115*Cont</f>
        <v>0</v>
      </c>
      <c r="V115" s="28" t="n">
        <f aca="false">MIN(J115,J115*$C$43)</f>
        <v>0</v>
      </c>
      <c r="W115" s="40" t="n">
        <f aca="false">$C$55*(1+FxDrift)^(A115-1)</f>
        <v>1</v>
      </c>
      <c r="X115" s="28" t="n">
        <f aca="false">(T115+U115)*W115</f>
        <v>0</v>
      </c>
      <c r="Y115" s="28" t="n">
        <f aca="false">IF(B115=1,MIN(X115,V115*W115+IF(F115&gt;0,$C$44*F115,0)),0)</f>
        <v>0</v>
      </c>
      <c r="Z115" s="41" t="n">
        <f aca="false">IF(B115=1,MAX(0,X115-(V115*W115+IF(F115&gt;0,$C$44*F115,0))),0)</f>
        <v>0</v>
      </c>
      <c r="AA115" s="28" t="n">
        <f aca="false">IF(B115=1,(J115+K115)*W115,0)</f>
        <v>0</v>
      </c>
      <c r="AB115" s="28" t="n">
        <f aca="false">IF(B115=1,SUM(L115:R115)*W115,0)</f>
        <v>0</v>
      </c>
      <c r="AC115" s="28" t="n">
        <f aca="false">IF(B115=1,(S115+U115)*W115,0)</f>
        <v>0</v>
      </c>
    </row>
    <row r="116" customFormat="false" ht="15" hidden="false" customHeight="false" outlineLevel="0" collapsed="false">
      <c r="A116" s="27" t="n">
        <v>55</v>
      </c>
      <c r="B116" s="27" t="n">
        <f aca="false">IF(AND(A116&lt;=$C$52,$C$47=1),1,0)</f>
        <v>0</v>
      </c>
      <c r="C116" s="27" t="str">
        <f aca="false">IF(B116=1,$C$7+A116-1,"")</f>
        <v/>
      </c>
      <c r="D116" s="28" t="str">
        <f aca="false">(PlanStartYear+A116-1)&amp;"/"&amp;RIGHT(PlanStartYear+A116,2)</f>
        <v>2080/81</v>
      </c>
      <c r="E116" s="27" t="n">
        <f aca="false">A116-1-$C$49</f>
        <v>46</v>
      </c>
      <c r="F116" s="39" t="n">
        <f aca="false">IF(AND(B116=1,E116&gt;=0,E116&lt;$C$50),MIN(1,$C$37-E116),0)</f>
        <v>0</v>
      </c>
      <c r="G116" s="27" t="n">
        <f aca="false">(A116-1)+$C$54</f>
        <v>54</v>
      </c>
      <c r="H116" s="40" t="n">
        <f aca="false">(1+TuiInf)^G116</f>
        <v>171.871947701163</v>
      </c>
      <c r="I116" s="40" t="n">
        <f aca="false">(1+LivInf)^G116</f>
        <v>63.8091260304491</v>
      </c>
      <c r="J116" s="28" t="n">
        <f aca="false">$C$24*H116*F116</f>
        <v>0</v>
      </c>
      <c r="K116" s="28" t="n">
        <f aca="false">$C$25*H116*F116</f>
        <v>0</v>
      </c>
      <c r="L116" s="28" t="n">
        <f aca="false">$C$26*I116*F116</f>
        <v>0</v>
      </c>
      <c r="M116" s="28" t="n">
        <f aca="false">$C$27*I116*F116</f>
        <v>0</v>
      </c>
      <c r="N116" s="28" t="n">
        <f aca="false">$C$28*I116*F116</f>
        <v>0</v>
      </c>
      <c r="O116" s="28" t="n">
        <f aca="false">$C$29*I116*F116</f>
        <v>0</v>
      </c>
      <c r="P116" s="28" t="n">
        <f aca="false">$C$30*I116*F116</f>
        <v>0</v>
      </c>
      <c r="Q116" s="28" t="n">
        <f aca="false">$C$31*I116*F116</f>
        <v>0</v>
      </c>
      <c r="R116" s="28" t="n">
        <f aca="false">$C$32*I116*F116</f>
        <v>0</v>
      </c>
      <c r="S116" s="28" t="n">
        <f aca="false">IF(AND(F116&gt;0,E116=0),($C$33+$C$36)*H116+($C$34+$C$35)*I116,0)</f>
        <v>0</v>
      </c>
      <c r="T116" s="28" t="n">
        <f aca="false">SUM(J116:S116)</f>
        <v>0</v>
      </c>
      <c r="U116" s="28" t="n">
        <f aca="false">T116*Cont</f>
        <v>0</v>
      </c>
      <c r="V116" s="28" t="n">
        <f aca="false">MIN(J116,J116*$C$43)</f>
        <v>0</v>
      </c>
      <c r="W116" s="40" t="n">
        <f aca="false">$C$55*(1+FxDrift)^(A116-1)</f>
        <v>1</v>
      </c>
      <c r="X116" s="28" t="n">
        <f aca="false">(T116+U116)*W116</f>
        <v>0</v>
      </c>
      <c r="Y116" s="28" t="n">
        <f aca="false">IF(B116=1,MIN(X116,V116*W116+IF(F116&gt;0,$C$44*F116,0)),0)</f>
        <v>0</v>
      </c>
      <c r="Z116" s="41" t="n">
        <f aca="false">IF(B116=1,MAX(0,X116-(V116*W116+IF(F116&gt;0,$C$44*F116,0))),0)</f>
        <v>0</v>
      </c>
      <c r="AA116" s="28" t="n">
        <f aca="false">IF(B116=1,(J116+K116)*W116,0)</f>
        <v>0</v>
      </c>
      <c r="AB116" s="28" t="n">
        <f aca="false">IF(B116=1,SUM(L116:R116)*W116,0)</f>
        <v>0</v>
      </c>
      <c r="AC116" s="28" t="n">
        <f aca="false">IF(B116=1,(S116+U116)*W116,0)</f>
        <v>0</v>
      </c>
    </row>
    <row r="117" customFormat="false" ht="15" hidden="false" customHeight="false" outlineLevel="0" collapsed="false">
      <c r="A117" s="27" t="n">
        <v>56</v>
      </c>
      <c r="B117" s="27" t="n">
        <f aca="false">IF(AND(A117&lt;=$C$52,$C$47=1),1,0)</f>
        <v>0</v>
      </c>
      <c r="C117" s="27" t="str">
        <f aca="false">IF(B117=1,$C$7+A117-1,"")</f>
        <v/>
      </c>
      <c r="D117" s="28" t="str">
        <f aca="false">(PlanStartYear+A117-1)&amp;"/"&amp;RIGHT(PlanStartYear+A117,2)</f>
        <v>2081/82</v>
      </c>
      <c r="E117" s="27" t="n">
        <f aca="false">A117-1-$C$49</f>
        <v>47</v>
      </c>
      <c r="F117" s="39" t="n">
        <f aca="false">IF(AND(B117=1,E117&gt;=0,E117&lt;$C$50),MIN(1,$C$37-E117),0)</f>
        <v>0</v>
      </c>
      <c r="G117" s="27" t="n">
        <f aca="false">(A117-1)+$C$54</f>
        <v>55</v>
      </c>
      <c r="H117" s="40" t="n">
        <f aca="false">(1+TuiInf)^G117</f>
        <v>189.059142471279</v>
      </c>
      <c r="I117" s="40" t="n">
        <f aca="false">(1+LivInf)^G117</f>
        <v>68.9138561128851</v>
      </c>
      <c r="J117" s="28" t="n">
        <f aca="false">$C$24*H117*F117</f>
        <v>0</v>
      </c>
      <c r="K117" s="28" t="n">
        <f aca="false">$C$25*H117*F117</f>
        <v>0</v>
      </c>
      <c r="L117" s="28" t="n">
        <f aca="false">$C$26*I117*F117</f>
        <v>0</v>
      </c>
      <c r="M117" s="28" t="n">
        <f aca="false">$C$27*I117*F117</f>
        <v>0</v>
      </c>
      <c r="N117" s="28" t="n">
        <f aca="false">$C$28*I117*F117</f>
        <v>0</v>
      </c>
      <c r="O117" s="28" t="n">
        <f aca="false">$C$29*I117*F117</f>
        <v>0</v>
      </c>
      <c r="P117" s="28" t="n">
        <f aca="false">$C$30*I117*F117</f>
        <v>0</v>
      </c>
      <c r="Q117" s="28" t="n">
        <f aca="false">$C$31*I117*F117</f>
        <v>0</v>
      </c>
      <c r="R117" s="28" t="n">
        <f aca="false">$C$32*I117*F117</f>
        <v>0</v>
      </c>
      <c r="S117" s="28" t="n">
        <f aca="false">IF(AND(F117&gt;0,E117=0),($C$33+$C$36)*H117+($C$34+$C$35)*I117,0)</f>
        <v>0</v>
      </c>
      <c r="T117" s="28" t="n">
        <f aca="false">SUM(J117:S117)</f>
        <v>0</v>
      </c>
      <c r="U117" s="28" t="n">
        <f aca="false">T117*Cont</f>
        <v>0</v>
      </c>
      <c r="V117" s="28" t="n">
        <f aca="false">MIN(J117,J117*$C$43)</f>
        <v>0</v>
      </c>
      <c r="W117" s="40" t="n">
        <f aca="false">$C$55*(1+FxDrift)^(A117-1)</f>
        <v>1</v>
      </c>
      <c r="X117" s="28" t="n">
        <f aca="false">(T117+U117)*W117</f>
        <v>0</v>
      </c>
      <c r="Y117" s="28" t="n">
        <f aca="false">IF(B117=1,MIN(X117,V117*W117+IF(F117&gt;0,$C$44*F117,0)),0)</f>
        <v>0</v>
      </c>
      <c r="Z117" s="41" t="n">
        <f aca="false">IF(B117=1,MAX(0,X117-(V117*W117+IF(F117&gt;0,$C$44*F117,0))),0)</f>
        <v>0</v>
      </c>
      <c r="AA117" s="28" t="n">
        <f aca="false">IF(B117=1,(J117+K117)*W117,0)</f>
        <v>0</v>
      </c>
      <c r="AB117" s="28" t="n">
        <f aca="false">IF(B117=1,SUM(L117:R117)*W117,0)</f>
        <v>0</v>
      </c>
      <c r="AC117" s="28" t="n">
        <f aca="false">IF(B117=1,(S117+U117)*W117,0)</f>
        <v>0</v>
      </c>
    </row>
    <row r="118" customFormat="false" ht="15" hidden="false" customHeight="false" outlineLevel="0" collapsed="false">
      <c r="A118" s="27" t="n">
        <v>57</v>
      </c>
      <c r="B118" s="27" t="n">
        <f aca="false">IF(AND(A118&lt;=$C$52,$C$47=1),1,0)</f>
        <v>0</v>
      </c>
      <c r="C118" s="27" t="str">
        <f aca="false">IF(B118=1,$C$7+A118-1,"")</f>
        <v/>
      </c>
      <c r="D118" s="28" t="str">
        <f aca="false">(PlanStartYear+A118-1)&amp;"/"&amp;RIGHT(PlanStartYear+A118,2)</f>
        <v>2082/83</v>
      </c>
      <c r="E118" s="27" t="n">
        <f aca="false">A118-1-$C$49</f>
        <v>48</v>
      </c>
      <c r="F118" s="39" t="n">
        <f aca="false">IF(AND(B118=1,E118&gt;=0,E118&lt;$C$50),MIN(1,$C$37-E118),0)</f>
        <v>0</v>
      </c>
      <c r="G118" s="27" t="n">
        <f aca="false">(A118-1)+$C$54</f>
        <v>56</v>
      </c>
      <c r="H118" s="40" t="n">
        <f aca="false">(1+TuiInf)^G118</f>
        <v>207.965056718407</v>
      </c>
      <c r="I118" s="40" t="n">
        <f aca="false">(1+LivInf)^G118</f>
        <v>74.4269646019159</v>
      </c>
      <c r="J118" s="28" t="n">
        <f aca="false">$C$24*H118*F118</f>
        <v>0</v>
      </c>
      <c r="K118" s="28" t="n">
        <f aca="false">$C$25*H118*F118</f>
        <v>0</v>
      </c>
      <c r="L118" s="28" t="n">
        <f aca="false">$C$26*I118*F118</f>
        <v>0</v>
      </c>
      <c r="M118" s="28" t="n">
        <f aca="false">$C$27*I118*F118</f>
        <v>0</v>
      </c>
      <c r="N118" s="28" t="n">
        <f aca="false">$C$28*I118*F118</f>
        <v>0</v>
      </c>
      <c r="O118" s="28" t="n">
        <f aca="false">$C$29*I118*F118</f>
        <v>0</v>
      </c>
      <c r="P118" s="28" t="n">
        <f aca="false">$C$30*I118*F118</f>
        <v>0</v>
      </c>
      <c r="Q118" s="28" t="n">
        <f aca="false">$C$31*I118*F118</f>
        <v>0</v>
      </c>
      <c r="R118" s="28" t="n">
        <f aca="false">$C$32*I118*F118</f>
        <v>0</v>
      </c>
      <c r="S118" s="28" t="n">
        <f aca="false">IF(AND(F118&gt;0,E118=0),($C$33+$C$36)*H118+($C$34+$C$35)*I118,0)</f>
        <v>0</v>
      </c>
      <c r="T118" s="28" t="n">
        <f aca="false">SUM(J118:S118)</f>
        <v>0</v>
      </c>
      <c r="U118" s="28" t="n">
        <f aca="false">T118*Cont</f>
        <v>0</v>
      </c>
      <c r="V118" s="28" t="n">
        <f aca="false">MIN(J118,J118*$C$43)</f>
        <v>0</v>
      </c>
      <c r="W118" s="40" t="n">
        <f aca="false">$C$55*(1+FxDrift)^(A118-1)</f>
        <v>1</v>
      </c>
      <c r="X118" s="28" t="n">
        <f aca="false">(T118+U118)*W118</f>
        <v>0</v>
      </c>
      <c r="Y118" s="28" t="n">
        <f aca="false">IF(B118=1,MIN(X118,V118*W118+IF(F118&gt;0,$C$44*F118,0)),0)</f>
        <v>0</v>
      </c>
      <c r="Z118" s="41" t="n">
        <f aca="false">IF(B118=1,MAX(0,X118-(V118*W118+IF(F118&gt;0,$C$44*F118,0))),0)</f>
        <v>0</v>
      </c>
      <c r="AA118" s="28" t="n">
        <f aca="false">IF(B118=1,(J118+K118)*W118,0)</f>
        <v>0</v>
      </c>
      <c r="AB118" s="28" t="n">
        <f aca="false">IF(B118=1,SUM(L118:R118)*W118,0)</f>
        <v>0</v>
      </c>
      <c r="AC118" s="28" t="n">
        <f aca="false">IF(B118=1,(S118+U118)*W118,0)</f>
        <v>0</v>
      </c>
    </row>
    <row r="119" customFormat="false" ht="15" hidden="false" customHeight="false" outlineLevel="0" collapsed="false">
      <c r="A119" s="27" t="n">
        <v>58</v>
      </c>
      <c r="B119" s="27" t="n">
        <f aca="false">IF(AND(A119&lt;=$C$52,$C$47=1),1,0)</f>
        <v>0</v>
      </c>
      <c r="C119" s="27" t="str">
        <f aca="false">IF(B119=1,$C$7+A119-1,"")</f>
        <v/>
      </c>
      <c r="D119" s="28" t="str">
        <f aca="false">(PlanStartYear+A119-1)&amp;"/"&amp;RIGHT(PlanStartYear+A119,2)</f>
        <v>2083/84</v>
      </c>
      <c r="E119" s="27" t="n">
        <f aca="false">A119-1-$C$49</f>
        <v>49</v>
      </c>
      <c r="F119" s="39" t="n">
        <f aca="false">IF(AND(B119=1,E119&gt;=0,E119&lt;$C$50),MIN(1,$C$37-E119),0)</f>
        <v>0</v>
      </c>
      <c r="G119" s="27" t="n">
        <f aca="false">(A119-1)+$C$54</f>
        <v>57</v>
      </c>
      <c r="H119" s="40" t="n">
        <f aca="false">(1+TuiInf)^G119</f>
        <v>228.761562390248</v>
      </c>
      <c r="I119" s="40" t="n">
        <f aca="false">(1+LivInf)^G119</f>
        <v>80.3811217700691</v>
      </c>
      <c r="J119" s="28" t="n">
        <f aca="false">$C$24*H119*F119</f>
        <v>0</v>
      </c>
      <c r="K119" s="28" t="n">
        <f aca="false">$C$25*H119*F119</f>
        <v>0</v>
      </c>
      <c r="L119" s="28" t="n">
        <f aca="false">$C$26*I119*F119</f>
        <v>0</v>
      </c>
      <c r="M119" s="28" t="n">
        <f aca="false">$C$27*I119*F119</f>
        <v>0</v>
      </c>
      <c r="N119" s="28" t="n">
        <f aca="false">$C$28*I119*F119</f>
        <v>0</v>
      </c>
      <c r="O119" s="28" t="n">
        <f aca="false">$C$29*I119*F119</f>
        <v>0</v>
      </c>
      <c r="P119" s="28" t="n">
        <f aca="false">$C$30*I119*F119</f>
        <v>0</v>
      </c>
      <c r="Q119" s="28" t="n">
        <f aca="false">$C$31*I119*F119</f>
        <v>0</v>
      </c>
      <c r="R119" s="28" t="n">
        <f aca="false">$C$32*I119*F119</f>
        <v>0</v>
      </c>
      <c r="S119" s="28" t="n">
        <f aca="false">IF(AND(F119&gt;0,E119=0),($C$33+$C$36)*H119+($C$34+$C$35)*I119,0)</f>
        <v>0</v>
      </c>
      <c r="T119" s="28" t="n">
        <f aca="false">SUM(J119:S119)</f>
        <v>0</v>
      </c>
      <c r="U119" s="28" t="n">
        <f aca="false">T119*Cont</f>
        <v>0</v>
      </c>
      <c r="V119" s="28" t="n">
        <f aca="false">MIN(J119,J119*$C$43)</f>
        <v>0</v>
      </c>
      <c r="W119" s="40" t="n">
        <f aca="false">$C$55*(1+FxDrift)^(A119-1)</f>
        <v>1</v>
      </c>
      <c r="X119" s="28" t="n">
        <f aca="false">(T119+U119)*W119</f>
        <v>0</v>
      </c>
      <c r="Y119" s="28" t="n">
        <f aca="false">IF(B119=1,MIN(X119,V119*W119+IF(F119&gt;0,$C$44*F119,0)),0)</f>
        <v>0</v>
      </c>
      <c r="Z119" s="41" t="n">
        <f aca="false">IF(B119=1,MAX(0,X119-(V119*W119+IF(F119&gt;0,$C$44*F119,0))),0)</f>
        <v>0</v>
      </c>
      <c r="AA119" s="28" t="n">
        <f aca="false">IF(B119=1,(J119+K119)*W119,0)</f>
        <v>0</v>
      </c>
      <c r="AB119" s="28" t="n">
        <f aca="false">IF(B119=1,SUM(L119:R119)*W119,0)</f>
        <v>0</v>
      </c>
      <c r="AC119" s="28" t="n">
        <f aca="false">IF(B119=1,(S119+U119)*W119,0)</f>
        <v>0</v>
      </c>
    </row>
    <row r="120" customFormat="false" ht="15" hidden="false" customHeight="false" outlineLevel="0" collapsed="false">
      <c r="A120" s="27" t="n">
        <v>59</v>
      </c>
      <c r="B120" s="27" t="n">
        <f aca="false">IF(AND(A120&lt;=$C$52,$C$47=1),1,0)</f>
        <v>0</v>
      </c>
      <c r="C120" s="27" t="str">
        <f aca="false">IF(B120=1,$C$7+A120-1,"")</f>
        <v/>
      </c>
      <c r="D120" s="28" t="str">
        <f aca="false">(PlanStartYear+A120-1)&amp;"/"&amp;RIGHT(PlanStartYear+A120,2)</f>
        <v>2084/85</v>
      </c>
      <c r="E120" s="27" t="n">
        <f aca="false">A120-1-$C$49</f>
        <v>50</v>
      </c>
      <c r="F120" s="39" t="n">
        <f aca="false">IF(AND(B120=1,E120&gt;=0,E120&lt;$C$50),MIN(1,$C$37-E120),0)</f>
        <v>0</v>
      </c>
      <c r="G120" s="27" t="n">
        <f aca="false">(A120-1)+$C$54</f>
        <v>58</v>
      </c>
      <c r="H120" s="40" t="n">
        <f aca="false">(1+TuiInf)^G120</f>
        <v>251.637718629272</v>
      </c>
      <c r="I120" s="40" t="n">
        <f aca="false">(1+LivInf)^G120</f>
        <v>86.8116115116747</v>
      </c>
      <c r="J120" s="28" t="n">
        <f aca="false">$C$24*H120*F120</f>
        <v>0</v>
      </c>
      <c r="K120" s="28" t="n">
        <f aca="false">$C$25*H120*F120</f>
        <v>0</v>
      </c>
      <c r="L120" s="28" t="n">
        <f aca="false">$C$26*I120*F120</f>
        <v>0</v>
      </c>
      <c r="M120" s="28" t="n">
        <f aca="false">$C$27*I120*F120</f>
        <v>0</v>
      </c>
      <c r="N120" s="28" t="n">
        <f aca="false">$C$28*I120*F120</f>
        <v>0</v>
      </c>
      <c r="O120" s="28" t="n">
        <f aca="false">$C$29*I120*F120</f>
        <v>0</v>
      </c>
      <c r="P120" s="28" t="n">
        <f aca="false">$C$30*I120*F120</f>
        <v>0</v>
      </c>
      <c r="Q120" s="28" t="n">
        <f aca="false">$C$31*I120*F120</f>
        <v>0</v>
      </c>
      <c r="R120" s="28" t="n">
        <f aca="false">$C$32*I120*F120</f>
        <v>0</v>
      </c>
      <c r="S120" s="28" t="n">
        <f aca="false">IF(AND(F120&gt;0,E120=0),($C$33+$C$36)*H120+($C$34+$C$35)*I120,0)</f>
        <v>0</v>
      </c>
      <c r="T120" s="28" t="n">
        <f aca="false">SUM(J120:S120)</f>
        <v>0</v>
      </c>
      <c r="U120" s="28" t="n">
        <f aca="false">T120*Cont</f>
        <v>0</v>
      </c>
      <c r="V120" s="28" t="n">
        <f aca="false">MIN(J120,J120*$C$43)</f>
        <v>0</v>
      </c>
      <c r="W120" s="40" t="n">
        <f aca="false">$C$55*(1+FxDrift)^(A120-1)</f>
        <v>1</v>
      </c>
      <c r="X120" s="28" t="n">
        <f aca="false">(T120+U120)*W120</f>
        <v>0</v>
      </c>
      <c r="Y120" s="28" t="n">
        <f aca="false">IF(B120=1,MIN(X120,V120*W120+IF(F120&gt;0,$C$44*F120,0)),0)</f>
        <v>0</v>
      </c>
      <c r="Z120" s="41" t="n">
        <f aca="false">IF(B120=1,MAX(0,X120-(V120*W120+IF(F120&gt;0,$C$44*F120,0))),0)</f>
        <v>0</v>
      </c>
      <c r="AA120" s="28" t="n">
        <f aca="false">IF(B120=1,(J120+K120)*W120,0)</f>
        <v>0</v>
      </c>
      <c r="AB120" s="28" t="n">
        <f aca="false">IF(B120=1,SUM(L120:R120)*W120,0)</f>
        <v>0</v>
      </c>
      <c r="AC120" s="28" t="n">
        <f aca="false">IF(B120=1,(S120+U120)*W120,0)</f>
        <v>0</v>
      </c>
    </row>
    <row r="121" customFormat="false" ht="15" hidden="false" customHeight="false" outlineLevel="0" collapsed="false">
      <c r="A121" s="27" t="n">
        <v>60</v>
      </c>
      <c r="B121" s="27" t="n">
        <f aca="false">IF(AND(A121&lt;=$C$52,$C$47=1),1,0)</f>
        <v>0</v>
      </c>
      <c r="C121" s="27" t="str">
        <f aca="false">IF(B121=1,$C$7+A121-1,"")</f>
        <v/>
      </c>
      <c r="D121" s="28" t="str">
        <f aca="false">(PlanStartYear+A121-1)&amp;"/"&amp;RIGHT(PlanStartYear+A121,2)</f>
        <v>2085/86</v>
      </c>
      <c r="E121" s="27" t="n">
        <f aca="false">A121-1-$C$49</f>
        <v>51</v>
      </c>
      <c r="F121" s="39" t="n">
        <f aca="false">IF(AND(B121=1,E121&gt;=0,E121&lt;$C$50),MIN(1,$C$37-E121),0)</f>
        <v>0</v>
      </c>
      <c r="G121" s="27" t="n">
        <f aca="false">(A121-1)+$C$54</f>
        <v>59</v>
      </c>
      <c r="H121" s="40" t="n">
        <f aca="false">(1+TuiInf)^G121</f>
        <v>276.8014904922</v>
      </c>
      <c r="I121" s="40" t="n">
        <f aca="false">(1+LivInf)^G121</f>
        <v>93.7565404326087</v>
      </c>
      <c r="J121" s="28" t="n">
        <f aca="false">$C$24*H121*F121</f>
        <v>0</v>
      </c>
      <c r="K121" s="28" t="n">
        <f aca="false">$C$25*H121*F121</f>
        <v>0</v>
      </c>
      <c r="L121" s="28" t="n">
        <f aca="false">$C$26*I121*F121</f>
        <v>0</v>
      </c>
      <c r="M121" s="28" t="n">
        <f aca="false">$C$27*I121*F121</f>
        <v>0</v>
      </c>
      <c r="N121" s="28" t="n">
        <f aca="false">$C$28*I121*F121</f>
        <v>0</v>
      </c>
      <c r="O121" s="28" t="n">
        <f aca="false">$C$29*I121*F121</f>
        <v>0</v>
      </c>
      <c r="P121" s="28" t="n">
        <f aca="false">$C$30*I121*F121</f>
        <v>0</v>
      </c>
      <c r="Q121" s="28" t="n">
        <f aca="false">$C$31*I121*F121</f>
        <v>0</v>
      </c>
      <c r="R121" s="28" t="n">
        <f aca="false">$C$32*I121*F121</f>
        <v>0</v>
      </c>
      <c r="S121" s="28" t="n">
        <f aca="false">IF(AND(F121&gt;0,E121=0),($C$33+$C$36)*H121+($C$34+$C$35)*I121,0)</f>
        <v>0</v>
      </c>
      <c r="T121" s="28" t="n">
        <f aca="false">SUM(J121:S121)</f>
        <v>0</v>
      </c>
      <c r="U121" s="28" t="n">
        <f aca="false">T121*Cont</f>
        <v>0</v>
      </c>
      <c r="V121" s="28" t="n">
        <f aca="false">MIN(J121,J121*$C$43)</f>
        <v>0</v>
      </c>
      <c r="W121" s="40" t="n">
        <f aca="false">$C$55*(1+FxDrift)^(A121-1)</f>
        <v>1</v>
      </c>
      <c r="X121" s="28" t="n">
        <f aca="false">(T121+U121)*W121</f>
        <v>0</v>
      </c>
      <c r="Y121" s="28" t="n">
        <f aca="false">IF(B121=1,MIN(X121,V121*W121+IF(F121&gt;0,$C$44*F121,0)),0)</f>
        <v>0</v>
      </c>
      <c r="Z121" s="41" t="n">
        <f aca="false">IF(B121=1,MAX(0,X121-(V121*W121+IF(F121&gt;0,$C$44*F121,0))),0)</f>
        <v>0</v>
      </c>
      <c r="AA121" s="28" t="n">
        <f aca="false">IF(B121=1,(J121+K121)*W121,0)</f>
        <v>0</v>
      </c>
      <c r="AB121" s="28" t="n">
        <f aca="false">IF(B121=1,SUM(L121:R121)*W121,0)</f>
        <v>0</v>
      </c>
      <c r="AC121" s="28" t="n">
        <f aca="false">IF(B121=1,(S121+U121)*W121,0)</f>
        <v>0</v>
      </c>
    </row>
    <row r="124" customFormat="false" ht="15" hidden="false" customHeight="false" outlineLevel="0" collapsed="false">
      <c r="A124" s="6" t="str">
        <f aca="false">"Child 2: "&amp;D6&amp;" — costs by plan year (fee currency: "&amp;D17&amp;", reporting: "&amp;RepCcy&amp;")"</f>
        <v>Child 2: Child 2 — costs by plan year (fee currency: PKR, reporting: PKR)</v>
      </c>
    </row>
    <row r="125" customFormat="false" ht="54" hidden="false" customHeight="true" outlineLevel="0" collapsed="false">
      <c r="A125" s="22" t="s">
        <v>581</v>
      </c>
      <c r="B125" s="22" t="s">
        <v>582</v>
      </c>
      <c r="C125" s="22" t="s">
        <v>583</v>
      </c>
      <c r="D125" s="22" t="s">
        <v>584</v>
      </c>
      <c r="E125" s="22" t="s">
        <v>585</v>
      </c>
      <c r="F125" s="22" t="s">
        <v>586</v>
      </c>
      <c r="G125" s="22" t="s">
        <v>587</v>
      </c>
      <c r="H125" s="22" t="s">
        <v>588</v>
      </c>
      <c r="I125" s="22" t="s">
        <v>589</v>
      </c>
      <c r="J125" s="22" t="s">
        <v>590</v>
      </c>
      <c r="K125" s="22" t="s">
        <v>591</v>
      </c>
      <c r="L125" s="22" t="s">
        <v>422</v>
      </c>
      <c r="M125" s="22" t="s">
        <v>423</v>
      </c>
      <c r="N125" s="22" t="s">
        <v>424</v>
      </c>
      <c r="O125" s="22" t="s">
        <v>592</v>
      </c>
      <c r="P125" s="22" t="s">
        <v>426</v>
      </c>
      <c r="Q125" s="22" t="s">
        <v>593</v>
      </c>
      <c r="R125" s="22" t="s">
        <v>594</v>
      </c>
      <c r="S125" s="22" t="s">
        <v>595</v>
      </c>
      <c r="T125" s="22" t="s">
        <v>596</v>
      </c>
      <c r="U125" s="22" t="s">
        <v>597</v>
      </c>
      <c r="V125" s="22" t="s">
        <v>598</v>
      </c>
      <c r="W125" s="22" t="s">
        <v>599</v>
      </c>
      <c r="X125" s="22" t="s">
        <v>600</v>
      </c>
      <c r="Y125" s="22" t="s">
        <v>601</v>
      </c>
      <c r="Z125" s="22" t="s">
        <v>602</v>
      </c>
      <c r="AA125" s="22" t="s">
        <v>603</v>
      </c>
      <c r="AB125" s="22" t="s">
        <v>604</v>
      </c>
      <c r="AC125" s="22" t="s">
        <v>605</v>
      </c>
    </row>
    <row r="126" customFormat="false" ht="15" hidden="false" customHeight="false" outlineLevel="0" collapsed="false">
      <c r="A126" s="27" t="n">
        <v>1</v>
      </c>
      <c r="B126" s="27" t="n">
        <f aca="false">IF(AND(A126&lt;=$D$52,$D$47=1),1,0)</f>
        <v>1</v>
      </c>
      <c r="C126" s="27" t="n">
        <f aca="false">IF(B126=1,$D$7+A126-1,"")</f>
        <v>6</v>
      </c>
      <c r="D126" s="28" t="str">
        <f aca="false">(PlanStartYear+A126-1)&amp;"/"&amp;RIGHT(PlanStartYear+A126,2)</f>
        <v>2026/27</v>
      </c>
      <c r="E126" s="27" t="n">
        <f aca="false">A126-1-$D$49</f>
        <v>-12</v>
      </c>
      <c r="F126" s="39" t="n">
        <f aca="false">IF(AND(B126=1,E126&gt;=0,E126&lt;$D$50),MIN(1,$D$37-E126),0)</f>
        <v>0</v>
      </c>
      <c r="G126" s="27" t="n">
        <f aca="false">(A126-1)+$D$54</f>
        <v>-1</v>
      </c>
      <c r="H126" s="40" t="n">
        <f aca="false">(1+TuiInf)^G126</f>
        <v>0.909090909090909</v>
      </c>
      <c r="I126" s="40" t="n">
        <f aca="false">(1+LivInf)^G126</f>
        <v>0.925925925925926</v>
      </c>
      <c r="J126" s="28" t="n">
        <f aca="false">$D$24*H126*F126</f>
        <v>0</v>
      </c>
      <c r="K126" s="28" t="n">
        <f aca="false">$D$25*H126*F126</f>
        <v>0</v>
      </c>
      <c r="L126" s="28" t="n">
        <f aca="false">$D$26*I126*F126</f>
        <v>0</v>
      </c>
      <c r="M126" s="28" t="n">
        <f aca="false">$D$27*I126*F126</f>
        <v>0</v>
      </c>
      <c r="N126" s="28" t="n">
        <f aca="false">$D$28*I126*F126</f>
        <v>0</v>
      </c>
      <c r="O126" s="28" t="n">
        <f aca="false">$D$29*I126*F126</f>
        <v>0</v>
      </c>
      <c r="P126" s="28" t="n">
        <f aca="false">$D$30*I126*F126</f>
        <v>0</v>
      </c>
      <c r="Q126" s="28" t="n">
        <f aca="false">$D$31*I126*F126</f>
        <v>0</v>
      </c>
      <c r="R126" s="28" t="n">
        <f aca="false">$D$32*I126*F126</f>
        <v>0</v>
      </c>
      <c r="S126" s="28" t="n">
        <f aca="false">IF(AND(F126&gt;0,E126=0),($D$33+$D$36)*H126+($D$34+$D$35)*I126,0)</f>
        <v>0</v>
      </c>
      <c r="T126" s="28" t="n">
        <f aca="false">SUM(J126:S126)</f>
        <v>0</v>
      </c>
      <c r="U126" s="28" t="n">
        <f aca="false">T126*Cont</f>
        <v>0</v>
      </c>
      <c r="V126" s="28" t="n">
        <f aca="false">MIN(J126,J126*$D$43)</f>
        <v>0</v>
      </c>
      <c r="W126" s="40" t="n">
        <f aca="false">$D$55*(1+FxDrift)^(A126-1)</f>
        <v>1</v>
      </c>
      <c r="X126" s="28" t="n">
        <f aca="false">(T126+U126)*W126</f>
        <v>0</v>
      </c>
      <c r="Y126" s="28" t="n">
        <f aca="false">IF(B126=1,MIN(X126,V126*W126+IF(F126&gt;0,$D$44*F126,0)),0)</f>
        <v>0</v>
      </c>
      <c r="Z126" s="41" t="n">
        <f aca="false">IF(B126=1,MAX(0,X126-(V126*W126+IF(F126&gt;0,$D$44*F126,0))),0)</f>
        <v>0</v>
      </c>
      <c r="AA126" s="28" t="n">
        <f aca="false">IF(B126=1,(J126+K126)*W126,0)</f>
        <v>0</v>
      </c>
      <c r="AB126" s="28" t="n">
        <f aca="false">IF(B126=1,SUM(L126:R126)*W126,0)</f>
        <v>0</v>
      </c>
      <c r="AC126" s="28" t="n">
        <f aca="false">IF(B126=1,(S126+U126)*W126,0)</f>
        <v>0</v>
      </c>
    </row>
    <row r="127" customFormat="false" ht="15" hidden="false" customHeight="false" outlineLevel="0" collapsed="false">
      <c r="A127" s="27" t="n">
        <v>2</v>
      </c>
      <c r="B127" s="27" t="n">
        <f aca="false">IF(AND(A127&lt;=$D$52,$D$47=1),1,0)</f>
        <v>1</v>
      </c>
      <c r="C127" s="27" t="n">
        <f aca="false">IF(B127=1,$D$7+A127-1,"")</f>
        <v>7</v>
      </c>
      <c r="D127" s="28" t="str">
        <f aca="false">(PlanStartYear+A127-1)&amp;"/"&amp;RIGHT(PlanStartYear+A127,2)</f>
        <v>2027/28</v>
      </c>
      <c r="E127" s="27" t="n">
        <f aca="false">A127-1-$D$49</f>
        <v>-11</v>
      </c>
      <c r="F127" s="39" t="n">
        <f aca="false">IF(AND(B127=1,E127&gt;=0,E127&lt;$D$50),MIN(1,$D$37-E127),0)</f>
        <v>0</v>
      </c>
      <c r="G127" s="27" t="n">
        <f aca="false">(A127-1)+$D$54</f>
        <v>0</v>
      </c>
      <c r="H127" s="40" t="n">
        <f aca="false">(1+TuiInf)^G127</f>
        <v>1</v>
      </c>
      <c r="I127" s="40" t="n">
        <f aca="false">(1+LivInf)^G127</f>
        <v>1</v>
      </c>
      <c r="J127" s="28" t="n">
        <f aca="false">$D$24*H127*F127</f>
        <v>0</v>
      </c>
      <c r="K127" s="28" t="n">
        <f aca="false">$D$25*H127*F127</f>
        <v>0</v>
      </c>
      <c r="L127" s="28" t="n">
        <f aca="false">$D$26*I127*F127</f>
        <v>0</v>
      </c>
      <c r="M127" s="28" t="n">
        <f aca="false">$D$27*I127*F127</f>
        <v>0</v>
      </c>
      <c r="N127" s="28" t="n">
        <f aca="false">$D$28*I127*F127</f>
        <v>0</v>
      </c>
      <c r="O127" s="28" t="n">
        <f aca="false">$D$29*I127*F127</f>
        <v>0</v>
      </c>
      <c r="P127" s="28" t="n">
        <f aca="false">$D$30*I127*F127</f>
        <v>0</v>
      </c>
      <c r="Q127" s="28" t="n">
        <f aca="false">$D$31*I127*F127</f>
        <v>0</v>
      </c>
      <c r="R127" s="28" t="n">
        <f aca="false">$D$32*I127*F127</f>
        <v>0</v>
      </c>
      <c r="S127" s="28" t="n">
        <f aca="false">IF(AND(F127&gt;0,E127=0),($D$33+$D$36)*H127+($D$34+$D$35)*I127,0)</f>
        <v>0</v>
      </c>
      <c r="T127" s="28" t="n">
        <f aca="false">SUM(J127:S127)</f>
        <v>0</v>
      </c>
      <c r="U127" s="28" t="n">
        <f aca="false">T127*Cont</f>
        <v>0</v>
      </c>
      <c r="V127" s="28" t="n">
        <f aca="false">MIN(J127,J127*$D$43)</f>
        <v>0</v>
      </c>
      <c r="W127" s="40" t="n">
        <f aca="false">$D$55*(1+FxDrift)^(A127-1)</f>
        <v>1</v>
      </c>
      <c r="X127" s="28" t="n">
        <f aca="false">(T127+U127)*W127</f>
        <v>0</v>
      </c>
      <c r="Y127" s="28" t="n">
        <f aca="false">IF(B127=1,MIN(X127,V127*W127+IF(F127&gt;0,$D$44*F127,0)),0)</f>
        <v>0</v>
      </c>
      <c r="Z127" s="41" t="n">
        <f aca="false">IF(B127=1,MAX(0,X127-(V127*W127+IF(F127&gt;0,$D$44*F127,0))),0)</f>
        <v>0</v>
      </c>
      <c r="AA127" s="28" t="n">
        <f aca="false">IF(B127=1,(J127+K127)*W127,0)</f>
        <v>0</v>
      </c>
      <c r="AB127" s="28" t="n">
        <f aca="false">IF(B127=1,SUM(L127:R127)*W127,0)</f>
        <v>0</v>
      </c>
      <c r="AC127" s="28" t="n">
        <f aca="false">IF(B127=1,(S127+U127)*W127,0)</f>
        <v>0</v>
      </c>
    </row>
    <row r="128" customFormat="false" ht="15" hidden="false" customHeight="false" outlineLevel="0" collapsed="false">
      <c r="A128" s="27" t="n">
        <v>3</v>
      </c>
      <c r="B128" s="27" t="n">
        <f aca="false">IF(AND(A128&lt;=$D$52,$D$47=1),1,0)</f>
        <v>1</v>
      </c>
      <c r="C128" s="27" t="n">
        <f aca="false">IF(B128=1,$D$7+A128-1,"")</f>
        <v>8</v>
      </c>
      <c r="D128" s="28" t="str">
        <f aca="false">(PlanStartYear+A128-1)&amp;"/"&amp;RIGHT(PlanStartYear+A128,2)</f>
        <v>2028/29</v>
      </c>
      <c r="E128" s="27" t="n">
        <f aca="false">A128-1-$D$49</f>
        <v>-10</v>
      </c>
      <c r="F128" s="39" t="n">
        <f aca="false">IF(AND(B128=1,E128&gt;=0,E128&lt;$D$50),MIN(1,$D$37-E128),0)</f>
        <v>0</v>
      </c>
      <c r="G128" s="27" t="n">
        <f aca="false">(A128-1)+$D$54</f>
        <v>1</v>
      </c>
      <c r="H128" s="40" t="n">
        <f aca="false">(1+TuiInf)^G128</f>
        <v>1.1</v>
      </c>
      <c r="I128" s="40" t="n">
        <f aca="false">(1+LivInf)^G128</f>
        <v>1.08</v>
      </c>
      <c r="J128" s="28" t="n">
        <f aca="false">$D$24*H128*F128</f>
        <v>0</v>
      </c>
      <c r="K128" s="28" t="n">
        <f aca="false">$D$25*H128*F128</f>
        <v>0</v>
      </c>
      <c r="L128" s="28" t="n">
        <f aca="false">$D$26*I128*F128</f>
        <v>0</v>
      </c>
      <c r="M128" s="28" t="n">
        <f aca="false">$D$27*I128*F128</f>
        <v>0</v>
      </c>
      <c r="N128" s="28" t="n">
        <f aca="false">$D$28*I128*F128</f>
        <v>0</v>
      </c>
      <c r="O128" s="28" t="n">
        <f aca="false">$D$29*I128*F128</f>
        <v>0</v>
      </c>
      <c r="P128" s="28" t="n">
        <f aca="false">$D$30*I128*F128</f>
        <v>0</v>
      </c>
      <c r="Q128" s="28" t="n">
        <f aca="false">$D$31*I128*F128</f>
        <v>0</v>
      </c>
      <c r="R128" s="28" t="n">
        <f aca="false">$D$32*I128*F128</f>
        <v>0</v>
      </c>
      <c r="S128" s="28" t="n">
        <f aca="false">IF(AND(F128&gt;0,E128=0),($D$33+$D$36)*H128+($D$34+$D$35)*I128,0)</f>
        <v>0</v>
      </c>
      <c r="T128" s="28" t="n">
        <f aca="false">SUM(J128:S128)</f>
        <v>0</v>
      </c>
      <c r="U128" s="28" t="n">
        <f aca="false">T128*Cont</f>
        <v>0</v>
      </c>
      <c r="V128" s="28" t="n">
        <f aca="false">MIN(J128,J128*$D$43)</f>
        <v>0</v>
      </c>
      <c r="W128" s="40" t="n">
        <f aca="false">$D$55*(1+FxDrift)^(A128-1)</f>
        <v>1</v>
      </c>
      <c r="X128" s="28" t="n">
        <f aca="false">(T128+U128)*W128</f>
        <v>0</v>
      </c>
      <c r="Y128" s="28" t="n">
        <f aca="false">IF(B128=1,MIN(X128,V128*W128+IF(F128&gt;0,$D$44*F128,0)),0)</f>
        <v>0</v>
      </c>
      <c r="Z128" s="41" t="n">
        <f aca="false">IF(B128=1,MAX(0,X128-(V128*W128+IF(F128&gt;0,$D$44*F128,0))),0)</f>
        <v>0</v>
      </c>
      <c r="AA128" s="28" t="n">
        <f aca="false">IF(B128=1,(J128+K128)*W128,0)</f>
        <v>0</v>
      </c>
      <c r="AB128" s="28" t="n">
        <f aca="false">IF(B128=1,SUM(L128:R128)*W128,0)</f>
        <v>0</v>
      </c>
      <c r="AC128" s="28" t="n">
        <f aca="false">IF(B128=1,(S128+U128)*W128,0)</f>
        <v>0</v>
      </c>
    </row>
    <row r="129" customFormat="false" ht="15" hidden="false" customHeight="false" outlineLevel="0" collapsed="false">
      <c r="A129" s="27" t="n">
        <v>4</v>
      </c>
      <c r="B129" s="27" t="n">
        <f aca="false">IF(AND(A129&lt;=$D$52,$D$47=1),1,0)</f>
        <v>1</v>
      </c>
      <c r="C129" s="27" t="n">
        <f aca="false">IF(B129=1,$D$7+A129-1,"")</f>
        <v>9</v>
      </c>
      <c r="D129" s="28" t="str">
        <f aca="false">(PlanStartYear+A129-1)&amp;"/"&amp;RIGHT(PlanStartYear+A129,2)</f>
        <v>2029/30</v>
      </c>
      <c r="E129" s="27" t="n">
        <f aca="false">A129-1-$D$49</f>
        <v>-9</v>
      </c>
      <c r="F129" s="39" t="n">
        <f aca="false">IF(AND(B129=1,E129&gt;=0,E129&lt;$D$50),MIN(1,$D$37-E129),0)</f>
        <v>0</v>
      </c>
      <c r="G129" s="27" t="n">
        <f aca="false">(A129-1)+$D$54</f>
        <v>2</v>
      </c>
      <c r="H129" s="40" t="n">
        <f aca="false">(1+TuiInf)^G129</f>
        <v>1.21</v>
      </c>
      <c r="I129" s="40" t="n">
        <f aca="false">(1+LivInf)^G129</f>
        <v>1.1664</v>
      </c>
      <c r="J129" s="28" t="n">
        <f aca="false">$D$24*H129*F129</f>
        <v>0</v>
      </c>
      <c r="K129" s="28" t="n">
        <f aca="false">$D$25*H129*F129</f>
        <v>0</v>
      </c>
      <c r="L129" s="28" t="n">
        <f aca="false">$D$26*I129*F129</f>
        <v>0</v>
      </c>
      <c r="M129" s="28" t="n">
        <f aca="false">$D$27*I129*F129</f>
        <v>0</v>
      </c>
      <c r="N129" s="28" t="n">
        <f aca="false">$D$28*I129*F129</f>
        <v>0</v>
      </c>
      <c r="O129" s="28" t="n">
        <f aca="false">$D$29*I129*F129</f>
        <v>0</v>
      </c>
      <c r="P129" s="28" t="n">
        <f aca="false">$D$30*I129*F129</f>
        <v>0</v>
      </c>
      <c r="Q129" s="28" t="n">
        <f aca="false">$D$31*I129*F129</f>
        <v>0</v>
      </c>
      <c r="R129" s="28" t="n">
        <f aca="false">$D$32*I129*F129</f>
        <v>0</v>
      </c>
      <c r="S129" s="28" t="n">
        <f aca="false">IF(AND(F129&gt;0,E129=0),($D$33+$D$36)*H129+($D$34+$D$35)*I129,0)</f>
        <v>0</v>
      </c>
      <c r="T129" s="28" t="n">
        <f aca="false">SUM(J129:S129)</f>
        <v>0</v>
      </c>
      <c r="U129" s="28" t="n">
        <f aca="false">T129*Cont</f>
        <v>0</v>
      </c>
      <c r="V129" s="28" t="n">
        <f aca="false">MIN(J129,J129*$D$43)</f>
        <v>0</v>
      </c>
      <c r="W129" s="40" t="n">
        <f aca="false">$D$55*(1+FxDrift)^(A129-1)</f>
        <v>1</v>
      </c>
      <c r="X129" s="28" t="n">
        <f aca="false">(T129+U129)*W129</f>
        <v>0</v>
      </c>
      <c r="Y129" s="28" t="n">
        <f aca="false">IF(B129=1,MIN(X129,V129*W129+IF(F129&gt;0,$D$44*F129,0)),0)</f>
        <v>0</v>
      </c>
      <c r="Z129" s="41" t="n">
        <f aca="false">IF(B129=1,MAX(0,X129-(V129*W129+IF(F129&gt;0,$D$44*F129,0))),0)</f>
        <v>0</v>
      </c>
      <c r="AA129" s="28" t="n">
        <f aca="false">IF(B129=1,(J129+K129)*W129,0)</f>
        <v>0</v>
      </c>
      <c r="AB129" s="28" t="n">
        <f aca="false">IF(B129=1,SUM(L129:R129)*W129,0)</f>
        <v>0</v>
      </c>
      <c r="AC129" s="28" t="n">
        <f aca="false">IF(B129=1,(S129+U129)*W129,0)</f>
        <v>0</v>
      </c>
    </row>
    <row r="130" customFormat="false" ht="15" hidden="false" customHeight="false" outlineLevel="0" collapsed="false">
      <c r="A130" s="27" t="n">
        <v>5</v>
      </c>
      <c r="B130" s="27" t="n">
        <f aca="false">IF(AND(A130&lt;=$D$52,$D$47=1),1,0)</f>
        <v>1</v>
      </c>
      <c r="C130" s="27" t="n">
        <f aca="false">IF(B130=1,$D$7+A130-1,"")</f>
        <v>10</v>
      </c>
      <c r="D130" s="28" t="str">
        <f aca="false">(PlanStartYear+A130-1)&amp;"/"&amp;RIGHT(PlanStartYear+A130,2)</f>
        <v>2030/31</v>
      </c>
      <c r="E130" s="27" t="n">
        <f aca="false">A130-1-$D$49</f>
        <v>-8</v>
      </c>
      <c r="F130" s="39" t="n">
        <f aca="false">IF(AND(B130=1,E130&gt;=0,E130&lt;$D$50),MIN(1,$D$37-E130),0)</f>
        <v>0</v>
      </c>
      <c r="G130" s="27" t="n">
        <f aca="false">(A130-1)+$D$54</f>
        <v>3</v>
      </c>
      <c r="H130" s="40" t="n">
        <f aca="false">(1+TuiInf)^G130</f>
        <v>1.331</v>
      </c>
      <c r="I130" s="40" t="n">
        <f aca="false">(1+LivInf)^G130</f>
        <v>1.259712</v>
      </c>
      <c r="J130" s="28" t="n">
        <f aca="false">$D$24*H130*F130</f>
        <v>0</v>
      </c>
      <c r="K130" s="28" t="n">
        <f aca="false">$D$25*H130*F130</f>
        <v>0</v>
      </c>
      <c r="L130" s="28" t="n">
        <f aca="false">$D$26*I130*F130</f>
        <v>0</v>
      </c>
      <c r="M130" s="28" t="n">
        <f aca="false">$D$27*I130*F130</f>
        <v>0</v>
      </c>
      <c r="N130" s="28" t="n">
        <f aca="false">$D$28*I130*F130</f>
        <v>0</v>
      </c>
      <c r="O130" s="28" t="n">
        <f aca="false">$D$29*I130*F130</f>
        <v>0</v>
      </c>
      <c r="P130" s="28" t="n">
        <f aca="false">$D$30*I130*F130</f>
        <v>0</v>
      </c>
      <c r="Q130" s="28" t="n">
        <f aca="false">$D$31*I130*F130</f>
        <v>0</v>
      </c>
      <c r="R130" s="28" t="n">
        <f aca="false">$D$32*I130*F130</f>
        <v>0</v>
      </c>
      <c r="S130" s="28" t="n">
        <f aca="false">IF(AND(F130&gt;0,E130=0),($D$33+$D$36)*H130+($D$34+$D$35)*I130,0)</f>
        <v>0</v>
      </c>
      <c r="T130" s="28" t="n">
        <f aca="false">SUM(J130:S130)</f>
        <v>0</v>
      </c>
      <c r="U130" s="28" t="n">
        <f aca="false">T130*Cont</f>
        <v>0</v>
      </c>
      <c r="V130" s="28" t="n">
        <f aca="false">MIN(J130,J130*$D$43)</f>
        <v>0</v>
      </c>
      <c r="W130" s="40" t="n">
        <f aca="false">$D$55*(1+FxDrift)^(A130-1)</f>
        <v>1</v>
      </c>
      <c r="X130" s="28" t="n">
        <f aca="false">(T130+U130)*W130</f>
        <v>0</v>
      </c>
      <c r="Y130" s="28" t="n">
        <f aca="false">IF(B130=1,MIN(X130,V130*W130+IF(F130&gt;0,$D$44*F130,0)),0)</f>
        <v>0</v>
      </c>
      <c r="Z130" s="41" t="n">
        <f aca="false">IF(B130=1,MAX(0,X130-(V130*W130+IF(F130&gt;0,$D$44*F130,0))),0)</f>
        <v>0</v>
      </c>
      <c r="AA130" s="28" t="n">
        <f aca="false">IF(B130=1,(J130+K130)*W130,0)</f>
        <v>0</v>
      </c>
      <c r="AB130" s="28" t="n">
        <f aca="false">IF(B130=1,SUM(L130:R130)*W130,0)</f>
        <v>0</v>
      </c>
      <c r="AC130" s="28" t="n">
        <f aca="false">IF(B130=1,(S130+U130)*W130,0)</f>
        <v>0</v>
      </c>
    </row>
    <row r="131" customFormat="false" ht="15" hidden="false" customHeight="false" outlineLevel="0" collapsed="false">
      <c r="A131" s="27" t="n">
        <v>6</v>
      </c>
      <c r="B131" s="27" t="n">
        <f aca="false">IF(AND(A131&lt;=$D$52,$D$47=1),1,0)</f>
        <v>1</v>
      </c>
      <c r="C131" s="27" t="n">
        <f aca="false">IF(B131=1,$D$7+A131-1,"")</f>
        <v>11</v>
      </c>
      <c r="D131" s="28" t="str">
        <f aca="false">(PlanStartYear+A131-1)&amp;"/"&amp;RIGHT(PlanStartYear+A131,2)</f>
        <v>2031/32</v>
      </c>
      <c r="E131" s="27" t="n">
        <f aca="false">A131-1-$D$49</f>
        <v>-7</v>
      </c>
      <c r="F131" s="39" t="n">
        <f aca="false">IF(AND(B131=1,E131&gt;=0,E131&lt;$D$50),MIN(1,$D$37-E131),0)</f>
        <v>0</v>
      </c>
      <c r="G131" s="27" t="n">
        <f aca="false">(A131-1)+$D$54</f>
        <v>4</v>
      </c>
      <c r="H131" s="40" t="n">
        <f aca="false">(1+TuiInf)^G131</f>
        <v>1.4641</v>
      </c>
      <c r="I131" s="40" t="n">
        <f aca="false">(1+LivInf)^G131</f>
        <v>1.36048896</v>
      </c>
      <c r="J131" s="28" t="n">
        <f aca="false">$D$24*H131*F131</f>
        <v>0</v>
      </c>
      <c r="K131" s="28" t="n">
        <f aca="false">$D$25*H131*F131</f>
        <v>0</v>
      </c>
      <c r="L131" s="28" t="n">
        <f aca="false">$D$26*I131*F131</f>
        <v>0</v>
      </c>
      <c r="M131" s="28" t="n">
        <f aca="false">$D$27*I131*F131</f>
        <v>0</v>
      </c>
      <c r="N131" s="28" t="n">
        <f aca="false">$D$28*I131*F131</f>
        <v>0</v>
      </c>
      <c r="O131" s="28" t="n">
        <f aca="false">$D$29*I131*F131</f>
        <v>0</v>
      </c>
      <c r="P131" s="28" t="n">
        <f aca="false">$D$30*I131*F131</f>
        <v>0</v>
      </c>
      <c r="Q131" s="28" t="n">
        <f aca="false">$D$31*I131*F131</f>
        <v>0</v>
      </c>
      <c r="R131" s="28" t="n">
        <f aca="false">$D$32*I131*F131</f>
        <v>0</v>
      </c>
      <c r="S131" s="28" t="n">
        <f aca="false">IF(AND(F131&gt;0,E131=0),($D$33+$D$36)*H131+($D$34+$D$35)*I131,0)</f>
        <v>0</v>
      </c>
      <c r="T131" s="28" t="n">
        <f aca="false">SUM(J131:S131)</f>
        <v>0</v>
      </c>
      <c r="U131" s="28" t="n">
        <f aca="false">T131*Cont</f>
        <v>0</v>
      </c>
      <c r="V131" s="28" t="n">
        <f aca="false">MIN(J131,J131*$D$43)</f>
        <v>0</v>
      </c>
      <c r="W131" s="40" t="n">
        <f aca="false">$D$55*(1+FxDrift)^(A131-1)</f>
        <v>1</v>
      </c>
      <c r="X131" s="28" t="n">
        <f aca="false">(T131+U131)*W131</f>
        <v>0</v>
      </c>
      <c r="Y131" s="28" t="n">
        <f aca="false">IF(B131=1,MIN(X131,V131*W131+IF(F131&gt;0,$D$44*F131,0)),0)</f>
        <v>0</v>
      </c>
      <c r="Z131" s="41" t="n">
        <f aca="false">IF(B131=1,MAX(0,X131-(V131*W131+IF(F131&gt;0,$D$44*F131,0))),0)</f>
        <v>0</v>
      </c>
      <c r="AA131" s="28" t="n">
        <f aca="false">IF(B131=1,(J131+K131)*W131,0)</f>
        <v>0</v>
      </c>
      <c r="AB131" s="28" t="n">
        <f aca="false">IF(B131=1,SUM(L131:R131)*W131,0)</f>
        <v>0</v>
      </c>
      <c r="AC131" s="28" t="n">
        <f aca="false">IF(B131=1,(S131+U131)*W131,0)</f>
        <v>0</v>
      </c>
    </row>
    <row r="132" customFormat="false" ht="15" hidden="false" customHeight="false" outlineLevel="0" collapsed="false">
      <c r="A132" s="27" t="n">
        <v>7</v>
      </c>
      <c r="B132" s="27" t="n">
        <f aca="false">IF(AND(A132&lt;=$D$52,$D$47=1),1,0)</f>
        <v>1</v>
      </c>
      <c r="C132" s="27" t="n">
        <f aca="false">IF(B132=1,$D$7+A132-1,"")</f>
        <v>12</v>
      </c>
      <c r="D132" s="28" t="str">
        <f aca="false">(PlanStartYear+A132-1)&amp;"/"&amp;RIGHT(PlanStartYear+A132,2)</f>
        <v>2032/33</v>
      </c>
      <c r="E132" s="27" t="n">
        <f aca="false">A132-1-$D$49</f>
        <v>-6</v>
      </c>
      <c r="F132" s="39" t="n">
        <f aca="false">IF(AND(B132=1,E132&gt;=0,E132&lt;$D$50),MIN(1,$D$37-E132),0)</f>
        <v>0</v>
      </c>
      <c r="G132" s="27" t="n">
        <f aca="false">(A132-1)+$D$54</f>
        <v>5</v>
      </c>
      <c r="H132" s="40" t="n">
        <f aca="false">(1+TuiInf)^G132</f>
        <v>1.61051</v>
      </c>
      <c r="I132" s="40" t="n">
        <f aca="false">(1+LivInf)^G132</f>
        <v>1.4693280768</v>
      </c>
      <c r="J132" s="28" t="n">
        <f aca="false">$D$24*H132*F132</f>
        <v>0</v>
      </c>
      <c r="K132" s="28" t="n">
        <f aca="false">$D$25*H132*F132</f>
        <v>0</v>
      </c>
      <c r="L132" s="28" t="n">
        <f aca="false">$D$26*I132*F132</f>
        <v>0</v>
      </c>
      <c r="M132" s="28" t="n">
        <f aca="false">$D$27*I132*F132</f>
        <v>0</v>
      </c>
      <c r="N132" s="28" t="n">
        <f aca="false">$D$28*I132*F132</f>
        <v>0</v>
      </c>
      <c r="O132" s="28" t="n">
        <f aca="false">$D$29*I132*F132</f>
        <v>0</v>
      </c>
      <c r="P132" s="28" t="n">
        <f aca="false">$D$30*I132*F132</f>
        <v>0</v>
      </c>
      <c r="Q132" s="28" t="n">
        <f aca="false">$D$31*I132*F132</f>
        <v>0</v>
      </c>
      <c r="R132" s="28" t="n">
        <f aca="false">$D$32*I132*F132</f>
        <v>0</v>
      </c>
      <c r="S132" s="28" t="n">
        <f aca="false">IF(AND(F132&gt;0,E132=0),($D$33+$D$36)*H132+($D$34+$D$35)*I132,0)</f>
        <v>0</v>
      </c>
      <c r="T132" s="28" t="n">
        <f aca="false">SUM(J132:S132)</f>
        <v>0</v>
      </c>
      <c r="U132" s="28" t="n">
        <f aca="false">T132*Cont</f>
        <v>0</v>
      </c>
      <c r="V132" s="28" t="n">
        <f aca="false">MIN(J132,J132*$D$43)</f>
        <v>0</v>
      </c>
      <c r="W132" s="40" t="n">
        <f aca="false">$D$55*(1+FxDrift)^(A132-1)</f>
        <v>1</v>
      </c>
      <c r="X132" s="28" t="n">
        <f aca="false">(T132+U132)*W132</f>
        <v>0</v>
      </c>
      <c r="Y132" s="28" t="n">
        <f aca="false">IF(B132=1,MIN(X132,V132*W132+IF(F132&gt;0,$D$44*F132,0)),0)</f>
        <v>0</v>
      </c>
      <c r="Z132" s="41" t="n">
        <f aca="false">IF(B132=1,MAX(0,X132-(V132*W132+IF(F132&gt;0,$D$44*F132,0))),0)</f>
        <v>0</v>
      </c>
      <c r="AA132" s="28" t="n">
        <f aca="false">IF(B132=1,(J132+K132)*W132,0)</f>
        <v>0</v>
      </c>
      <c r="AB132" s="28" t="n">
        <f aca="false">IF(B132=1,SUM(L132:R132)*W132,0)</f>
        <v>0</v>
      </c>
      <c r="AC132" s="28" t="n">
        <f aca="false">IF(B132=1,(S132+U132)*W132,0)</f>
        <v>0</v>
      </c>
    </row>
    <row r="133" customFormat="false" ht="15" hidden="false" customHeight="false" outlineLevel="0" collapsed="false">
      <c r="A133" s="27" t="n">
        <v>8</v>
      </c>
      <c r="B133" s="27" t="n">
        <f aca="false">IF(AND(A133&lt;=$D$52,$D$47=1),1,0)</f>
        <v>1</v>
      </c>
      <c r="C133" s="27" t="n">
        <f aca="false">IF(B133=1,$D$7+A133-1,"")</f>
        <v>13</v>
      </c>
      <c r="D133" s="28" t="str">
        <f aca="false">(PlanStartYear+A133-1)&amp;"/"&amp;RIGHT(PlanStartYear+A133,2)</f>
        <v>2033/34</v>
      </c>
      <c r="E133" s="27" t="n">
        <f aca="false">A133-1-$D$49</f>
        <v>-5</v>
      </c>
      <c r="F133" s="39" t="n">
        <f aca="false">IF(AND(B133=1,E133&gt;=0,E133&lt;$D$50),MIN(1,$D$37-E133),0)</f>
        <v>0</v>
      </c>
      <c r="G133" s="27" t="n">
        <f aca="false">(A133-1)+$D$54</f>
        <v>6</v>
      </c>
      <c r="H133" s="40" t="n">
        <f aca="false">(1+TuiInf)^G133</f>
        <v>1.771561</v>
      </c>
      <c r="I133" s="40" t="n">
        <f aca="false">(1+LivInf)^G133</f>
        <v>1.586874322944</v>
      </c>
      <c r="J133" s="28" t="n">
        <f aca="false">$D$24*H133*F133</f>
        <v>0</v>
      </c>
      <c r="K133" s="28" t="n">
        <f aca="false">$D$25*H133*F133</f>
        <v>0</v>
      </c>
      <c r="L133" s="28" t="n">
        <f aca="false">$D$26*I133*F133</f>
        <v>0</v>
      </c>
      <c r="M133" s="28" t="n">
        <f aca="false">$D$27*I133*F133</f>
        <v>0</v>
      </c>
      <c r="N133" s="28" t="n">
        <f aca="false">$D$28*I133*F133</f>
        <v>0</v>
      </c>
      <c r="O133" s="28" t="n">
        <f aca="false">$D$29*I133*F133</f>
        <v>0</v>
      </c>
      <c r="P133" s="28" t="n">
        <f aca="false">$D$30*I133*F133</f>
        <v>0</v>
      </c>
      <c r="Q133" s="28" t="n">
        <f aca="false">$D$31*I133*F133</f>
        <v>0</v>
      </c>
      <c r="R133" s="28" t="n">
        <f aca="false">$D$32*I133*F133</f>
        <v>0</v>
      </c>
      <c r="S133" s="28" t="n">
        <f aca="false">IF(AND(F133&gt;0,E133=0),($D$33+$D$36)*H133+($D$34+$D$35)*I133,0)</f>
        <v>0</v>
      </c>
      <c r="T133" s="28" t="n">
        <f aca="false">SUM(J133:S133)</f>
        <v>0</v>
      </c>
      <c r="U133" s="28" t="n">
        <f aca="false">T133*Cont</f>
        <v>0</v>
      </c>
      <c r="V133" s="28" t="n">
        <f aca="false">MIN(J133,J133*$D$43)</f>
        <v>0</v>
      </c>
      <c r="W133" s="40" t="n">
        <f aca="false">$D$55*(1+FxDrift)^(A133-1)</f>
        <v>1</v>
      </c>
      <c r="X133" s="28" t="n">
        <f aca="false">(T133+U133)*W133</f>
        <v>0</v>
      </c>
      <c r="Y133" s="28" t="n">
        <f aca="false">IF(B133=1,MIN(X133,V133*W133+IF(F133&gt;0,$D$44*F133,0)),0)</f>
        <v>0</v>
      </c>
      <c r="Z133" s="41" t="n">
        <f aca="false">IF(B133=1,MAX(0,X133-(V133*W133+IF(F133&gt;0,$D$44*F133,0))),0)</f>
        <v>0</v>
      </c>
      <c r="AA133" s="28" t="n">
        <f aca="false">IF(B133=1,(J133+K133)*W133,0)</f>
        <v>0</v>
      </c>
      <c r="AB133" s="28" t="n">
        <f aca="false">IF(B133=1,SUM(L133:R133)*W133,0)</f>
        <v>0</v>
      </c>
      <c r="AC133" s="28" t="n">
        <f aca="false">IF(B133=1,(S133+U133)*W133,0)</f>
        <v>0</v>
      </c>
    </row>
    <row r="134" customFormat="false" ht="15" hidden="false" customHeight="false" outlineLevel="0" collapsed="false">
      <c r="A134" s="27" t="n">
        <v>9</v>
      </c>
      <c r="B134" s="27" t="n">
        <f aca="false">IF(AND(A134&lt;=$D$52,$D$47=1),1,0)</f>
        <v>1</v>
      </c>
      <c r="C134" s="27" t="n">
        <f aca="false">IF(B134=1,$D$7+A134-1,"")</f>
        <v>14</v>
      </c>
      <c r="D134" s="28" t="str">
        <f aca="false">(PlanStartYear+A134-1)&amp;"/"&amp;RIGHT(PlanStartYear+A134,2)</f>
        <v>2034/35</v>
      </c>
      <c r="E134" s="27" t="n">
        <f aca="false">A134-1-$D$49</f>
        <v>-4</v>
      </c>
      <c r="F134" s="39" t="n">
        <f aca="false">IF(AND(B134=1,E134&gt;=0,E134&lt;$D$50),MIN(1,$D$37-E134),0)</f>
        <v>0</v>
      </c>
      <c r="G134" s="27" t="n">
        <f aca="false">(A134-1)+$D$54</f>
        <v>7</v>
      </c>
      <c r="H134" s="40" t="n">
        <f aca="false">(1+TuiInf)^G134</f>
        <v>1.9487171</v>
      </c>
      <c r="I134" s="40" t="n">
        <f aca="false">(1+LivInf)^G134</f>
        <v>1.71382426877952</v>
      </c>
      <c r="J134" s="28" t="n">
        <f aca="false">$D$24*H134*F134</f>
        <v>0</v>
      </c>
      <c r="K134" s="28" t="n">
        <f aca="false">$D$25*H134*F134</f>
        <v>0</v>
      </c>
      <c r="L134" s="28" t="n">
        <f aca="false">$D$26*I134*F134</f>
        <v>0</v>
      </c>
      <c r="M134" s="28" t="n">
        <f aca="false">$D$27*I134*F134</f>
        <v>0</v>
      </c>
      <c r="N134" s="28" t="n">
        <f aca="false">$D$28*I134*F134</f>
        <v>0</v>
      </c>
      <c r="O134" s="28" t="n">
        <f aca="false">$D$29*I134*F134</f>
        <v>0</v>
      </c>
      <c r="P134" s="28" t="n">
        <f aca="false">$D$30*I134*F134</f>
        <v>0</v>
      </c>
      <c r="Q134" s="28" t="n">
        <f aca="false">$D$31*I134*F134</f>
        <v>0</v>
      </c>
      <c r="R134" s="28" t="n">
        <f aca="false">$D$32*I134*F134</f>
        <v>0</v>
      </c>
      <c r="S134" s="28" t="n">
        <f aca="false">IF(AND(F134&gt;0,E134=0),($D$33+$D$36)*H134+($D$34+$D$35)*I134,0)</f>
        <v>0</v>
      </c>
      <c r="T134" s="28" t="n">
        <f aca="false">SUM(J134:S134)</f>
        <v>0</v>
      </c>
      <c r="U134" s="28" t="n">
        <f aca="false">T134*Cont</f>
        <v>0</v>
      </c>
      <c r="V134" s="28" t="n">
        <f aca="false">MIN(J134,J134*$D$43)</f>
        <v>0</v>
      </c>
      <c r="W134" s="40" t="n">
        <f aca="false">$D$55*(1+FxDrift)^(A134-1)</f>
        <v>1</v>
      </c>
      <c r="X134" s="28" t="n">
        <f aca="false">(T134+U134)*W134</f>
        <v>0</v>
      </c>
      <c r="Y134" s="28" t="n">
        <f aca="false">IF(B134=1,MIN(X134,V134*W134+IF(F134&gt;0,$D$44*F134,0)),0)</f>
        <v>0</v>
      </c>
      <c r="Z134" s="41" t="n">
        <f aca="false">IF(B134=1,MAX(0,X134-(V134*W134+IF(F134&gt;0,$D$44*F134,0))),0)</f>
        <v>0</v>
      </c>
      <c r="AA134" s="28" t="n">
        <f aca="false">IF(B134=1,(J134+K134)*W134,0)</f>
        <v>0</v>
      </c>
      <c r="AB134" s="28" t="n">
        <f aca="false">IF(B134=1,SUM(L134:R134)*W134,0)</f>
        <v>0</v>
      </c>
      <c r="AC134" s="28" t="n">
        <f aca="false">IF(B134=1,(S134+U134)*W134,0)</f>
        <v>0</v>
      </c>
    </row>
    <row r="135" customFormat="false" ht="15" hidden="false" customHeight="false" outlineLevel="0" collapsed="false">
      <c r="A135" s="27" t="n">
        <v>10</v>
      </c>
      <c r="B135" s="27" t="n">
        <f aca="false">IF(AND(A135&lt;=$D$52,$D$47=1),1,0)</f>
        <v>1</v>
      </c>
      <c r="C135" s="27" t="n">
        <f aca="false">IF(B135=1,$D$7+A135-1,"")</f>
        <v>15</v>
      </c>
      <c r="D135" s="28" t="str">
        <f aca="false">(PlanStartYear+A135-1)&amp;"/"&amp;RIGHT(PlanStartYear+A135,2)</f>
        <v>2035/36</v>
      </c>
      <c r="E135" s="27" t="n">
        <f aca="false">A135-1-$D$49</f>
        <v>-3</v>
      </c>
      <c r="F135" s="39" t="n">
        <f aca="false">IF(AND(B135=1,E135&gt;=0,E135&lt;$D$50),MIN(1,$D$37-E135),0)</f>
        <v>0</v>
      </c>
      <c r="G135" s="27" t="n">
        <f aca="false">(A135-1)+$D$54</f>
        <v>8</v>
      </c>
      <c r="H135" s="40" t="n">
        <f aca="false">(1+TuiInf)^G135</f>
        <v>2.14358881</v>
      </c>
      <c r="I135" s="40" t="n">
        <f aca="false">(1+LivInf)^G135</f>
        <v>1.85093021028188</v>
      </c>
      <c r="J135" s="28" t="n">
        <f aca="false">$D$24*H135*F135</f>
        <v>0</v>
      </c>
      <c r="K135" s="28" t="n">
        <f aca="false">$D$25*H135*F135</f>
        <v>0</v>
      </c>
      <c r="L135" s="28" t="n">
        <f aca="false">$D$26*I135*F135</f>
        <v>0</v>
      </c>
      <c r="M135" s="28" t="n">
        <f aca="false">$D$27*I135*F135</f>
        <v>0</v>
      </c>
      <c r="N135" s="28" t="n">
        <f aca="false">$D$28*I135*F135</f>
        <v>0</v>
      </c>
      <c r="O135" s="28" t="n">
        <f aca="false">$D$29*I135*F135</f>
        <v>0</v>
      </c>
      <c r="P135" s="28" t="n">
        <f aca="false">$D$30*I135*F135</f>
        <v>0</v>
      </c>
      <c r="Q135" s="28" t="n">
        <f aca="false">$D$31*I135*F135</f>
        <v>0</v>
      </c>
      <c r="R135" s="28" t="n">
        <f aca="false">$D$32*I135*F135</f>
        <v>0</v>
      </c>
      <c r="S135" s="28" t="n">
        <f aca="false">IF(AND(F135&gt;0,E135=0),($D$33+$D$36)*H135+($D$34+$D$35)*I135,0)</f>
        <v>0</v>
      </c>
      <c r="T135" s="28" t="n">
        <f aca="false">SUM(J135:S135)</f>
        <v>0</v>
      </c>
      <c r="U135" s="28" t="n">
        <f aca="false">T135*Cont</f>
        <v>0</v>
      </c>
      <c r="V135" s="28" t="n">
        <f aca="false">MIN(J135,J135*$D$43)</f>
        <v>0</v>
      </c>
      <c r="W135" s="40" t="n">
        <f aca="false">$D$55*(1+FxDrift)^(A135-1)</f>
        <v>1</v>
      </c>
      <c r="X135" s="28" t="n">
        <f aca="false">(T135+U135)*W135</f>
        <v>0</v>
      </c>
      <c r="Y135" s="28" t="n">
        <f aca="false">IF(B135=1,MIN(X135,V135*W135+IF(F135&gt;0,$D$44*F135,0)),0)</f>
        <v>0</v>
      </c>
      <c r="Z135" s="41" t="n">
        <f aca="false">IF(B135=1,MAX(0,X135-(V135*W135+IF(F135&gt;0,$D$44*F135,0))),0)</f>
        <v>0</v>
      </c>
      <c r="AA135" s="28" t="n">
        <f aca="false">IF(B135=1,(J135+K135)*W135,0)</f>
        <v>0</v>
      </c>
      <c r="AB135" s="28" t="n">
        <f aca="false">IF(B135=1,SUM(L135:R135)*W135,0)</f>
        <v>0</v>
      </c>
      <c r="AC135" s="28" t="n">
        <f aca="false">IF(B135=1,(S135+U135)*W135,0)</f>
        <v>0</v>
      </c>
    </row>
    <row r="136" customFormat="false" ht="15" hidden="false" customHeight="false" outlineLevel="0" collapsed="false">
      <c r="A136" s="27" t="n">
        <v>11</v>
      </c>
      <c r="B136" s="27" t="n">
        <f aca="false">IF(AND(A136&lt;=$D$52,$D$47=1),1,0)</f>
        <v>1</v>
      </c>
      <c r="C136" s="27" t="n">
        <f aca="false">IF(B136=1,$D$7+A136-1,"")</f>
        <v>16</v>
      </c>
      <c r="D136" s="28" t="str">
        <f aca="false">(PlanStartYear+A136-1)&amp;"/"&amp;RIGHT(PlanStartYear+A136,2)</f>
        <v>2036/37</v>
      </c>
      <c r="E136" s="27" t="n">
        <f aca="false">A136-1-$D$49</f>
        <v>-2</v>
      </c>
      <c r="F136" s="39" t="n">
        <f aca="false">IF(AND(B136=1,E136&gt;=0,E136&lt;$D$50),MIN(1,$D$37-E136),0)</f>
        <v>0</v>
      </c>
      <c r="G136" s="27" t="n">
        <f aca="false">(A136-1)+$D$54</f>
        <v>9</v>
      </c>
      <c r="H136" s="40" t="n">
        <f aca="false">(1+TuiInf)^G136</f>
        <v>2.357947691</v>
      </c>
      <c r="I136" s="40" t="n">
        <f aca="false">(1+LivInf)^G136</f>
        <v>1.99900462710443</v>
      </c>
      <c r="J136" s="28" t="n">
        <f aca="false">$D$24*H136*F136</f>
        <v>0</v>
      </c>
      <c r="K136" s="28" t="n">
        <f aca="false">$D$25*H136*F136</f>
        <v>0</v>
      </c>
      <c r="L136" s="28" t="n">
        <f aca="false">$D$26*I136*F136</f>
        <v>0</v>
      </c>
      <c r="M136" s="28" t="n">
        <f aca="false">$D$27*I136*F136</f>
        <v>0</v>
      </c>
      <c r="N136" s="28" t="n">
        <f aca="false">$D$28*I136*F136</f>
        <v>0</v>
      </c>
      <c r="O136" s="28" t="n">
        <f aca="false">$D$29*I136*F136</f>
        <v>0</v>
      </c>
      <c r="P136" s="28" t="n">
        <f aca="false">$D$30*I136*F136</f>
        <v>0</v>
      </c>
      <c r="Q136" s="28" t="n">
        <f aca="false">$D$31*I136*F136</f>
        <v>0</v>
      </c>
      <c r="R136" s="28" t="n">
        <f aca="false">$D$32*I136*F136</f>
        <v>0</v>
      </c>
      <c r="S136" s="28" t="n">
        <f aca="false">IF(AND(F136&gt;0,E136=0),($D$33+$D$36)*H136+($D$34+$D$35)*I136,0)</f>
        <v>0</v>
      </c>
      <c r="T136" s="28" t="n">
        <f aca="false">SUM(J136:S136)</f>
        <v>0</v>
      </c>
      <c r="U136" s="28" t="n">
        <f aca="false">T136*Cont</f>
        <v>0</v>
      </c>
      <c r="V136" s="28" t="n">
        <f aca="false">MIN(J136,J136*$D$43)</f>
        <v>0</v>
      </c>
      <c r="W136" s="40" t="n">
        <f aca="false">$D$55*(1+FxDrift)^(A136-1)</f>
        <v>1</v>
      </c>
      <c r="X136" s="28" t="n">
        <f aca="false">(T136+U136)*W136</f>
        <v>0</v>
      </c>
      <c r="Y136" s="28" t="n">
        <f aca="false">IF(B136=1,MIN(X136,V136*W136+IF(F136&gt;0,$D$44*F136,0)),0)</f>
        <v>0</v>
      </c>
      <c r="Z136" s="41" t="n">
        <f aca="false">IF(B136=1,MAX(0,X136-(V136*W136+IF(F136&gt;0,$D$44*F136,0))),0)</f>
        <v>0</v>
      </c>
      <c r="AA136" s="28" t="n">
        <f aca="false">IF(B136=1,(J136+K136)*W136,0)</f>
        <v>0</v>
      </c>
      <c r="AB136" s="28" t="n">
        <f aca="false">IF(B136=1,SUM(L136:R136)*W136,0)</f>
        <v>0</v>
      </c>
      <c r="AC136" s="28" t="n">
        <f aca="false">IF(B136=1,(S136+U136)*W136,0)</f>
        <v>0</v>
      </c>
    </row>
    <row r="137" customFormat="false" ht="15" hidden="false" customHeight="false" outlineLevel="0" collapsed="false">
      <c r="A137" s="27" t="n">
        <v>12</v>
      </c>
      <c r="B137" s="27" t="n">
        <f aca="false">IF(AND(A137&lt;=$D$52,$D$47=1),1,0)</f>
        <v>1</v>
      </c>
      <c r="C137" s="27" t="n">
        <f aca="false">IF(B137=1,$D$7+A137-1,"")</f>
        <v>17</v>
      </c>
      <c r="D137" s="28" t="str">
        <f aca="false">(PlanStartYear+A137-1)&amp;"/"&amp;RIGHT(PlanStartYear+A137,2)</f>
        <v>2037/38</v>
      </c>
      <c r="E137" s="27" t="n">
        <f aca="false">A137-1-$D$49</f>
        <v>-1</v>
      </c>
      <c r="F137" s="39" t="n">
        <f aca="false">IF(AND(B137=1,E137&gt;=0,E137&lt;$D$50),MIN(1,$D$37-E137),0)</f>
        <v>0</v>
      </c>
      <c r="G137" s="27" t="n">
        <f aca="false">(A137-1)+$D$54</f>
        <v>10</v>
      </c>
      <c r="H137" s="40" t="n">
        <f aca="false">(1+TuiInf)^G137</f>
        <v>2.5937424601</v>
      </c>
      <c r="I137" s="40" t="n">
        <f aca="false">(1+LivInf)^G137</f>
        <v>2.15892499727279</v>
      </c>
      <c r="J137" s="28" t="n">
        <f aca="false">$D$24*H137*F137</f>
        <v>0</v>
      </c>
      <c r="K137" s="28" t="n">
        <f aca="false">$D$25*H137*F137</f>
        <v>0</v>
      </c>
      <c r="L137" s="28" t="n">
        <f aca="false">$D$26*I137*F137</f>
        <v>0</v>
      </c>
      <c r="M137" s="28" t="n">
        <f aca="false">$D$27*I137*F137</f>
        <v>0</v>
      </c>
      <c r="N137" s="28" t="n">
        <f aca="false">$D$28*I137*F137</f>
        <v>0</v>
      </c>
      <c r="O137" s="28" t="n">
        <f aca="false">$D$29*I137*F137</f>
        <v>0</v>
      </c>
      <c r="P137" s="28" t="n">
        <f aca="false">$D$30*I137*F137</f>
        <v>0</v>
      </c>
      <c r="Q137" s="28" t="n">
        <f aca="false">$D$31*I137*F137</f>
        <v>0</v>
      </c>
      <c r="R137" s="28" t="n">
        <f aca="false">$D$32*I137*F137</f>
        <v>0</v>
      </c>
      <c r="S137" s="28" t="n">
        <f aca="false">IF(AND(F137&gt;0,E137=0),($D$33+$D$36)*H137+($D$34+$D$35)*I137,0)</f>
        <v>0</v>
      </c>
      <c r="T137" s="28" t="n">
        <f aca="false">SUM(J137:S137)</f>
        <v>0</v>
      </c>
      <c r="U137" s="28" t="n">
        <f aca="false">T137*Cont</f>
        <v>0</v>
      </c>
      <c r="V137" s="28" t="n">
        <f aca="false">MIN(J137,J137*$D$43)</f>
        <v>0</v>
      </c>
      <c r="W137" s="40" t="n">
        <f aca="false">$D$55*(1+FxDrift)^(A137-1)</f>
        <v>1</v>
      </c>
      <c r="X137" s="28" t="n">
        <f aca="false">(T137+U137)*W137</f>
        <v>0</v>
      </c>
      <c r="Y137" s="28" t="n">
        <f aca="false">IF(B137=1,MIN(X137,V137*W137+IF(F137&gt;0,$D$44*F137,0)),0)</f>
        <v>0</v>
      </c>
      <c r="Z137" s="41" t="n">
        <f aca="false">IF(B137=1,MAX(0,X137-(V137*W137+IF(F137&gt;0,$D$44*F137,0))),0)</f>
        <v>0</v>
      </c>
      <c r="AA137" s="28" t="n">
        <f aca="false">IF(B137=1,(J137+K137)*W137,0)</f>
        <v>0</v>
      </c>
      <c r="AB137" s="28" t="n">
        <f aca="false">IF(B137=1,SUM(L137:R137)*W137,0)</f>
        <v>0</v>
      </c>
      <c r="AC137" s="28" t="n">
        <f aca="false">IF(B137=1,(S137+U137)*W137,0)</f>
        <v>0</v>
      </c>
    </row>
    <row r="138" customFormat="false" ht="15" hidden="false" customHeight="false" outlineLevel="0" collapsed="false">
      <c r="A138" s="27" t="n">
        <v>13</v>
      </c>
      <c r="B138" s="27" t="n">
        <f aca="false">IF(AND(A138&lt;=$D$52,$D$47=1),1,0)</f>
        <v>1</v>
      </c>
      <c r="C138" s="27" t="n">
        <f aca="false">IF(B138=1,$D$7+A138-1,"")</f>
        <v>18</v>
      </c>
      <c r="D138" s="28" t="str">
        <f aca="false">(PlanStartYear+A138-1)&amp;"/"&amp;RIGHT(PlanStartYear+A138,2)</f>
        <v>2038/39</v>
      </c>
      <c r="E138" s="27" t="n">
        <f aca="false">A138-1-$D$49</f>
        <v>0</v>
      </c>
      <c r="F138" s="39" t="n">
        <f aca="false">IF(AND(B138=1,E138&gt;=0,E138&lt;$D$50),MIN(1,$D$37-E138),0)</f>
        <v>1</v>
      </c>
      <c r="G138" s="27" t="n">
        <f aca="false">(A138-1)+$D$54</f>
        <v>11</v>
      </c>
      <c r="H138" s="40" t="n">
        <f aca="false">(1+TuiInf)^G138</f>
        <v>2.85311670611</v>
      </c>
      <c r="I138" s="40" t="n">
        <f aca="false">(1+LivInf)^G138</f>
        <v>2.33163899705461</v>
      </c>
      <c r="J138" s="28" t="n">
        <f aca="false">$D$24*H138*F138</f>
        <v>4861710.86721144</v>
      </c>
      <c r="K138" s="28" t="n">
        <f aca="false">$D$25*H138*F138</f>
        <v>5446599.79196399</v>
      </c>
      <c r="L138" s="28" t="n">
        <f aca="false">$D$26*I138*F138</f>
        <v>460731.865817991</v>
      </c>
      <c r="M138" s="28" t="n">
        <f aca="false">$D$27*I138*F138</f>
        <v>0</v>
      </c>
      <c r="N138" s="28" t="n">
        <f aca="false">$D$28*I138*F138</f>
        <v>0</v>
      </c>
      <c r="O138" s="28" t="n">
        <f aca="false">$D$29*I138*F138</f>
        <v>0</v>
      </c>
      <c r="P138" s="28" t="n">
        <f aca="false">$D$30*I138*F138</f>
        <v>0</v>
      </c>
      <c r="Q138" s="28" t="n">
        <f aca="false">$D$31*I138*F138</f>
        <v>0</v>
      </c>
      <c r="R138" s="28" t="n">
        <f aca="false">$D$32*I138*F138</f>
        <v>0</v>
      </c>
      <c r="S138" s="28" t="n">
        <f aca="false">IF(AND(F138&gt;0,E138=0),($D$33+$D$36)*H138+($D$34+$D$35)*I138,0)</f>
        <v>824550.728065791</v>
      </c>
      <c r="T138" s="28" t="n">
        <f aca="false">SUM(J138:S138)</f>
        <v>11593593.2530592</v>
      </c>
      <c r="U138" s="28" t="n">
        <f aca="false">T138*Cont</f>
        <v>579679.662652961</v>
      </c>
      <c r="V138" s="28" t="n">
        <f aca="false">MIN(J138,J138*$D$43)</f>
        <v>0</v>
      </c>
      <c r="W138" s="40" t="n">
        <f aca="false">$D$55*(1+FxDrift)^(A138-1)</f>
        <v>1</v>
      </c>
      <c r="X138" s="28" t="n">
        <f aca="false">(T138+U138)*W138</f>
        <v>12173272.9157122</v>
      </c>
      <c r="Y138" s="28" t="n">
        <f aca="false">IF(B138=1,MIN(X138,V138*W138+IF(F138&gt;0,$D$44*F138,0)),0)</f>
        <v>0</v>
      </c>
      <c r="Z138" s="41" t="n">
        <f aca="false">IF(B138=1,MAX(0,X138-(V138*W138+IF(F138&gt;0,$D$44*F138,0))),0)</f>
        <v>12173272.9157122</v>
      </c>
      <c r="AA138" s="28" t="n">
        <f aca="false">IF(B138=1,(J138+K138)*W138,0)</f>
        <v>10308310.6591754</v>
      </c>
      <c r="AB138" s="28" t="n">
        <f aca="false">IF(B138=1,SUM(L138:R138)*W138,0)</f>
        <v>460731.865817991</v>
      </c>
      <c r="AC138" s="28" t="n">
        <f aca="false">IF(B138=1,(S138+U138)*W138,0)</f>
        <v>1404230.39071875</v>
      </c>
    </row>
    <row r="139" customFormat="false" ht="15" hidden="false" customHeight="false" outlineLevel="0" collapsed="false">
      <c r="A139" s="27" t="n">
        <v>14</v>
      </c>
      <c r="B139" s="27" t="n">
        <f aca="false">IF(AND(A139&lt;=$D$52,$D$47=1),1,0)</f>
        <v>1</v>
      </c>
      <c r="C139" s="27" t="n">
        <f aca="false">IF(B139=1,$D$7+A139-1,"")</f>
        <v>19</v>
      </c>
      <c r="D139" s="28" t="str">
        <f aca="false">(PlanStartYear+A139-1)&amp;"/"&amp;RIGHT(PlanStartYear+A139,2)</f>
        <v>2039/40</v>
      </c>
      <c r="E139" s="27" t="n">
        <f aca="false">A139-1-$D$49</f>
        <v>1</v>
      </c>
      <c r="F139" s="39" t="n">
        <f aca="false">IF(AND(B139=1,E139&gt;=0,E139&lt;$D$50),MIN(1,$D$37-E139),0)</f>
        <v>1</v>
      </c>
      <c r="G139" s="27" t="n">
        <f aca="false">(A139-1)+$D$54</f>
        <v>12</v>
      </c>
      <c r="H139" s="40" t="n">
        <f aca="false">(1+TuiInf)^G139</f>
        <v>3.138428376721</v>
      </c>
      <c r="I139" s="40" t="n">
        <f aca="false">(1+LivInf)^G139</f>
        <v>2.51817011681898</v>
      </c>
      <c r="J139" s="28" t="n">
        <f aca="false">$D$24*H139*F139</f>
        <v>5347881.95393259</v>
      </c>
      <c r="K139" s="28" t="n">
        <f aca="false">$D$25*H139*F139</f>
        <v>5991259.7711604</v>
      </c>
      <c r="L139" s="28" t="n">
        <f aca="false">$D$26*I139*F139</f>
        <v>497590.415083431</v>
      </c>
      <c r="M139" s="28" t="n">
        <f aca="false">$D$27*I139*F139</f>
        <v>0</v>
      </c>
      <c r="N139" s="28" t="n">
        <f aca="false">$D$28*I139*F139</f>
        <v>0</v>
      </c>
      <c r="O139" s="28" t="n">
        <f aca="false">$D$29*I139*F139</f>
        <v>0</v>
      </c>
      <c r="P139" s="28" t="n">
        <f aca="false">$D$30*I139*F139</f>
        <v>0</v>
      </c>
      <c r="Q139" s="28" t="n">
        <f aca="false">$D$31*I139*F139</f>
        <v>0</v>
      </c>
      <c r="R139" s="28" t="n">
        <f aca="false">$D$32*I139*F139</f>
        <v>0</v>
      </c>
      <c r="S139" s="28" t="n">
        <f aca="false">IF(AND(F139&gt;0,E139=0),($D$33+$D$36)*H139+($D$34+$D$35)*I139,0)</f>
        <v>0</v>
      </c>
      <c r="T139" s="28" t="n">
        <f aca="false">SUM(J139:S139)</f>
        <v>11836732.1401764</v>
      </c>
      <c r="U139" s="28" t="n">
        <f aca="false">T139*Cont</f>
        <v>591836.607008821</v>
      </c>
      <c r="V139" s="28" t="n">
        <f aca="false">MIN(J139,J139*$D$43)</f>
        <v>0</v>
      </c>
      <c r="W139" s="40" t="n">
        <f aca="false">$D$55*(1+FxDrift)^(A139-1)</f>
        <v>1</v>
      </c>
      <c r="X139" s="28" t="n">
        <f aca="false">(T139+U139)*W139</f>
        <v>12428568.7471852</v>
      </c>
      <c r="Y139" s="28" t="n">
        <f aca="false">IF(B139=1,MIN(X139,V139*W139+IF(F139&gt;0,$D$44*F139,0)),0)</f>
        <v>0</v>
      </c>
      <c r="Z139" s="41" t="n">
        <f aca="false">IF(B139=1,MAX(0,X139-(V139*W139+IF(F139&gt;0,$D$44*F139,0))),0)</f>
        <v>12428568.7471852</v>
      </c>
      <c r="AA139" s="28" t="n">
        <f aca="false">IF(B139=1,(J139+K139)*W139,0)</f>
        <v>11339141.725093</v>
      </c>
      <c r="AB139" s="28" t="n">
        <f aca="false">IF(B139=1,SUM(L139:R139)*W139,0)</f>
        <v>497590.415083431</v>
      </c>
      <c r="AC139" s="28" t="n">
        <f aca="false">IF(B139=1,(S139+U139)*W139,0)</f>
        <v>591836.607008821</v>
      </c>
    </row>
    <row r="140" customFormat="false" ht="15" hidden="false" customHeight="false" outlineLevel="0" collapsed="false">
      <c r="A140" s="27" t="n">
        <v>15</v>
      </c>
      <c r="B140" s="27" t="n">
        <f aca="false">IF(AND(A140&lt;=$D$52,$D$47=1),1,0)</f>
        <v>1</v>
      </c>
      <c r="C140" s="27" t="n">
        <f aca="false">IF(B140=1,$D$7+A140-1,"")</f>
        <v>20</v>
      </c>
      <c r="D140" s="28" t="str">
        <f aca="false">(PlanStartYear+A140-1)&amp;"/"&amp;RIGHT(PlanStartYear+A140,2)</f>
        <v>2040/41</v>
      </c>
      <c r="E140" s="27" t="n">
        <f aca="false">A140-1-$D$49</f>
        <v>2</v>
      </c>
      <c r="F140" s="39" t="n">
        <f aca="false">IF(AND(B140=1,E140&gt;=0,E140&lt;$D$50),MIN(1,$D$37-E140),0)</f>
        <v>1</v>
      </c>
      <c r="G140" s="27" t="n">
        <f aca="false">(A140-1)+$D$54</f>
        <v>13</v>
      </c>
      <c r="H140" s="40" t="n">
        <f aca="false">(1+TuiInf)^G140</f>
        <v>3.4522712143931</v>
      </c>
      <c r="I140" s="40" t="n">
        <f aca="false">(1+LivInf)^G140</f>
        <v>2.7196237261645</v>
      </c>
      <c r="J140" s="28" t="n">
        <f aca="false">$D$24*H140*F140</f>
        <v>5882670.14932585</v>
      </c>
      <c r="K140" s="28" t="n">
        <f aca="false">$D$25*H140*F140</f>
        <v>6590385.74827644</v>
      </c>
      <c r="L140" s="28" t="n">
        <f aca="false">$D$26*I140*F140</f>
        <v>537397.648290105</v>
      </c>
      <c r="M140" s="28" t="n">
        <f aca="false">$D$27*I140*F140</f>
        <v>0</v>
      </c>
      <c r="N140" s="28" t="n">
        <f aca="false">$D$28*I140*F140</f>
        <v>0</v>
      </c>
      <c r="O140" s="28" t="n">
        <f aca="false">$D$29*I140*F140</f>
        <v>0</v>
      </c>
      <c r="P140" s="28" t="n">
        <f aca="false">$D$30*I140*F140</f>
        <v>0</v>
      </c>
      <c r="Q140" s="28" t="n">
        <f aca="false">$D$31*I140*F140</f>
        <v>0</v>
      </c>
      <c r="R140" s="28" t="n">
        <f aca="false">$D$32*I140*F140</f>
        <v>0</v>
      </c>
      <c r="S140" s="28" t="n">
        <f aca="false">IF(AND(F140&gt;0,E140=0),($D$33+$D$36)*H140+($D$34+$D$35)*I140,0)</f>
        <v>0</v>
      </c>
      <c r="T140" s="28" t="n">
        <f aca="false">SUM(J140:S140)</f>
        <v>13010453.5458924</v>
      </c>
      <c r="U140" s="28" t="n">
        <f aca="false">T140*Cont</f>
        <v>650522.677294619</v>
      </c>
      <c r="V140" s="28" t="n">
        <f aca="false">MIN(J140,J140*$D$43)</f>
        <v>0</v>
      </c>
      <c r="W140" s="40" t="n">
        <f aca="false">$D$55*(1+FxDrift)^(A140-1)</f>
        <v>1</v>
      </c>
      <c r="X140" s="28" t="n">
        <f aca="false">(T140+U140)*W140</f>
        <v>13660976.223187</v>
      </c>
      <c r="Y140" s="28" t="n">
        <f aca="false">IF(B140=1,MIN(X140,V140*W140+IF(F140&gt;0,$D$44*F140,0)),0)</f>
        <v>0</v>
      </c>
      <c r="Z140" s="41" t="n">
        <f aca="false">IF(B140=1,MAX(0,X140-(V140*W140+IF(F140&gt;0,$D$44*F140,0))),0)</f>
        <v>13660976.223187</v>
      </c>
      <c r="AA140" s="28" t="n">
        <f aca="false">IF(B140=1,(J140+K140)*W140,0)</f>
        <v>12473055.8976023</v>
      </c>
      <c r="AB140" s="28" t="n">
        <f aca="false">IF(B140=1,SUM(L140:R140)*W140,0)</f>
        <v>537397.648290105</v>
      </c>
      <c r="AC140" s="28" t="n">
        <f aca="false">IF(B140=1,(S140+U140)*W140,0)</f>
        <v>650522.677294619</v>
      </c>
    </row>
    <row r="141" customFormat="false" ht="15" hidden="false" customHeight="false" outlineLevel="0" collapsed="false">
      <c r="A141" s="27" t="n">
        <v>16</v>
      </c>
      <c r="B141" s="27" t="n">
        <f aca="false">IF(AND(A141&lt;=$D$52,$D$47=1),1,0)</f>
        <v>1</v>
      </c>
      <c r="C141" s="27" t="n">
        <f aca="false">IF(B141=1,$D$7+A141-1,"")</f>
        <v>21</v>
      </c>
      <c r="D141" s="28" t="str">
        <f aca="false">(PlanStartYear+A141-1)&amp;"/"&amp;RIGHT(PlanStartYear+A141,2)</f>
        <v>2041/42</v>
      </c>
      <c r="E141" s="27" t="n">
        <f aca="false">A141-1-$D$49</f>
        <v>3</v>
      </c>
      <c r="F141" s="39" t="n">
        <f aca="false">IF(AND(B141=1,E141&gt;=0,E141&lt;$D$50),MIN(1,$D$37-E141),0)</f>
        <v>1</v>
      </c>
      <c r="G141" s="27" t="n">
        <f aca="false">(A141-1)+$D$54</f>
        <v>14</v>
      </c>
      <c r="H141" s="40" t="n">
        <f aca="false">(1+TuiInf)^G141</f>
        <v>3.79749833583241</v>
      </c>
      <c r="I141" s="40" t="n">
        <f aca="false">(1+LivInf)^G141</f>
        <v>2.93719362425766</v>
      </c>
      <c r="J141" s="28" t="n">
        <f aca="false">$D$24*H141*F141</f>
        <v>6470937.16425843</v>
      </c>
      <c r="K141" s="28" t="n">
        <f aca="false">$D$25*H141*F141</f>
        <v>7249424.32310408</v>
      </c>
      <c r="L141" s="28" t="n">
        <f aca="false">$D$26*I141*F141</f>
        <v>580389.460153314</v>
      </c>
      <c r="M141" s="28" t="n">
        <f aca="false">$D$27*I141*F141</f>
        <v>0</v>
      </c>
      <c r="N141" s="28" t="n">
        <f aca="false">$D$28*I141*F141</f>
        <v>0</v>
      </c>
      <c r="O141" s="28" t="n">
        <f aca="false">$D$29*I141*F141</f>
        <v>0</v>
      </c>
      <c r="P141" s="28" t="n">
        <f aca="false">$D$30*I141*F141</f>
        <v>0</v>
      </c>
      <c r="Q141" s="28" t="n">
        <f aca="false">$D$31*I141*F141</f>
        <v>0</v>
      </c>
      <c r="R141" s="28" t="n">
        <f aca="false">$D$32*I141*F141</f>
        <v>0</v>
      </c>
      <c r="S141" s="28" t="n">
        <f aca="false">IF(AND(F141&gt;0,E141=0),($D$33+$D$36)*H141+($D$34+$D$35)*I141,0)</f>
        <v>0</v>
      </c>
      <c r="T141" s="28" t="n">
        <f aca="false">SUM(J141:S141)</f>
        <v>14300750.9475158</v>
      </c>
      <c r="U141" s="28" t="n">
        <f aca="false">T141*Cont</f>
        <v>715037.547375791</v>
      </c>
      <c r="V141" s="28" t="n">
        <f aca="false">MIN(J141,J141*$D$43)</f>
        <v>0</v>
      </c>
      <c r="W141" s="40" t="n">
        <f aca="false">$D$55*(1+FxDrift)^(A141-1)</f>
        <v>1</v>
      </c>
      <c r="X141" s="28" t="n">
        <f aca="false">(T141+U141)*W141</f>
        <v>15015788.4948916</v>
      </c>
      <c r="Y141" s="28" t="n">
        <f aca="false">IF(B141=1,MIN(X141,V141*W141+IF(F141&gt;0,$D$44*F141,0)),0)</f>
        <v>0</v>
      </c>
      <c r="Z141" s="41" t="n">
        <f aca="false">IF(B141=1,MAX(0,X141-(V141*W141+IF(F141&gt;0,$D$44*F141,0))),0)</f>
        <v>15015788.4948916</v>
      </c>
      <c r="AA141" s="28" t="n">
        <f aca="false">IF(B141=1,(J141+K141)*W141,0)</f>
        <v>13720361.4873625</v>
      </c>
      <c r="AB141" s="28" t="n">
        <f aca="false">IF(B141=1,SUM(L141:R141)*W141,0)</f>
        <v>580389.460153314</v>
      </c>
      <c r="AC141" s="28" t="n">
        <f aca="false">IF(B141=1,(S141+U141)*W141,0)</f>
        <v>715037.547375791</v>
      </c>
    </row>
    <row r="142" customFormat="false" ht="15" hidden="false" customHeight="false" outlineLevel="0" collapsed="false">
      <c r="A142" s="27" t="n">
        <v>17</v>
      </c>
      <c r="B142" s="27" t="n">
        <f aca="false">IF(AND(A142&lt;=$D$52,$D$47=1),1,0)</f>
        <v>1</v>
      </c>
      <c r="C142" s="27" t="n">
        <f aca="false">IF(B142=1,$D$7+A142-1,"")</f>
        <v>22</v>
      </c>
      <c r="D142" s="28" t="str">
        <f aca="false">(PlanStartYear+A142-1)&amp;"/"&amp;RIGHT(PlanStartYear+A142,2)</f>
        <v>2042/43</v>
      </c>
      <c r="E142" s="27" t="n">
        <f aca="false">A142-1-$D$49</f>
        <v>4</v>
      </c>
      <c r="F142" s="39" t="n">
        <f aca="false">IF(AND(B142=1,E142&gt;=0,E142&lt;$D$50),MIN(1,$D$37-E142),0)</f>
        <v>1</v>
      </c>
      <c r="G142" s="27" t="n">
        <f aca="false">(A142-1)+$D$54</f>
        <v>15</v>
      </c>
      <c r="H142" s="40" t="n">
        <f aca="false">(1+TuiInf)^G142</f>
        <v>4.17724816941566</v>
      </c>
      <c r="I142" s="40" t="n">
        <f aca="false">(1+LivInf)^G142</f>
        <v>3.17216911419827</v>
      </c>
      <c r="J142" s="28" t="n">
        <f aca="false">$D$24*H142*F142</f>
        <v>7118030.88068428</v>
      </c>
      <c r="K142" s="28" t="n">
        <f aca="false">$D$25*H142*F142</f>
        <v>7974366.75541449</v>
      </c>
      <c r="L142" s="28" t="n">
        <f aca="false">$D$26*I142*F142</f>
        <v>626820.616965579</v>
      </c>
      <c r="M142" s="28" t="n">
        <f aca="false">$D$27*I142*F142</f>
        <v>0</v>
      </c>
      <c r="N142" s="28" t="n">
        <f aca="false">$D$28*I142*F142</f>
        <v>0</v>
      </c>
      <c r="O142" s="28" t="n">
        <f aca="false">$D$29*I142*F142</f>
        <v>0</v>
      </c>
      <c r="P142" s="28" t="n">
        <f aca="false">$D$30*I142*F142</f>
        <v>0</v>
      </c>
      <c r="Q142" s="28" t="n">
        <f aca="false">$D$31*I142*F142</f>
        <v>0</v>
      </c>
      <c r="R142" s="28" t="n">
        <f aca="false">$D$32*I142*F142</f>
        <v>0</v>
      </c>
      <c r="S142" s="28" t="n">
        <f aca="false">IF(AND(F142&gt;0,E142=0),($D$33+$D$36)*H142+($D$34+$D$35)*I142,0)</f>
        <v>0</v>
      </c>
      <c r="T142" s="28" t="n">
        <f aca="false">SUM(J142:S142)</f>
        <v>15719218.2530643</v>
      </c>
      <c r="U142" s="28" t="n">
        <f aca="false">T142*Cont</f>
        <v>785960.912653217</v>
      </c>
      <c r="V142" s="28" t="n">
        <f aca="false">MIN(J142,J142*$D$43)</f>
        <v>0</v>
      </c>
      <c r="W142" s="40" t="n">
        <f aca="false">$D$55*(1+FxDrift)^(A142-1)</f>
        <v>1</v>
      </c>
      <c r="X142" s="28" t="n">
        <f aca="false">(T142+U142)*W142</f>
        <v>16505179.1657176</v>
      </c>
      <c r="Y142" s="28" t="n">
        <f aca="false">IF(B142=1,MIN(X142,V142*W142+IF(F142&gt;0,$D$44*F142,0)),0)</f>
        <v>0</v>
      </c>
      <c r="Z142" s="41" t="n">
        <f aca="false">IF(B142=1,MAX(0,X142-(V142*W142+IF(F142&gt;0,$D$44*F142,0))),0)</f>
        <v>16505179.1657176</v>
      </c>
      <c r="AA142" s="28" t="n">
        <f aca="false">IF(B142=1,(J142+K142)*W142,0)</f>
        <v>15092397.6360988</v>
      </c>
      <c r="AB142" s="28" t="n">
        <f aca="false">IF(B142=1,SUM(L142:R142)*W142,0)</f>
        <v>626820.616965579</v>
      </c>
      <c r="AC142" s="28" t="n">
        <f aca="false">IF(B142=1,(S142+U142)*W142,0)</f>
        <v>785960.912653217</v>
      </c>
    </row>
    <row r="143" customFormat="false" ht="15" hidden="false" customHeight="false" outlineLevel="0" collapsed="false">
      <c r="A143" s="27" t="n">
        <v>18</v>
      </c>
      <c r="B143" s="27" t="n">
        <f aca="false">IF(AND(A143&lt;=$D$52,$D$47=1),1,0)</f>
        <v>0</v>
      </c>
      <c r="C143" s="27" t="str">
        <f aca="false">IF(B143=1,$D$7+A143-1,"")</f>
        <v/>
      </c>
      <c r="D143" s="28" t="str">
        <f aca="false">(PlanStartYear+A143-1)&amp;"/"&amp;RIGHT(PlanStartYear+A143,2)</f>
        <v>2043/44</v>
      </c>
      <c r="E143" s="27" t="n">
        <f aca="false">A143-1-$D$49</f>
        <v>5</v>
      </c>
      <c r="F143" s="39" t="n">
        <f aca="false">IF(AND(B143=1,E143&gt;=0,E143&lt;$D$50),MIN(1,$D$37-E143),0)</f>
        <v>0</v>
      </c>
      <c r="G143" s="27" t="n">
        <f aca="false">(A143-1)+$D$54</f>
        <v>16</v>
      </c>
      <c r="H143" s="40" t="n">
        <f aca="false">(1+TuiInf)^G143</f>
        <v>4.59497298635722</v>
      </c>
      <c r="I143" s="40" t="n">
        <f aca="false">(1+LivInf)^G143</f>
        <v>3.42594264333413</v>
      </c>
      <c r="J143" s="28" t="n">
        <f aca="false">$D$24*H143*F143</f>
        <v>0</v>
      </c>
      <c r="K143" s="28" t="n">
        <f aca="false">$D$25*H143*F143</f>
        <v>0</v>
      </c>
      <c r="L143" s="28" t="n">
        <f aca="false">$D$26*I143*F143</f>
        <v>0</v>
      </c>
      <c r="M143" s="28" t="n">
        <f aca="false">$D$27*I143*F143</f>
        <v>0</v>
      </c>
      <c r="N143" s="28" t="n">
        <f aca="false">$D$28*I143*F143</f>
        <v>0</v>
      </c>
      <c r="O143" s="28" t="n">
        <f aca="false">$D$29*I143*F143</f>
        <v>0</v>
      </c>
      <c r="P143" s="28" t="n">
        <f aca="false">$D$30*I143*F143</f>
        <v>0</v>
      </c>
      <c r="Q143" s="28" t="n">
        <f aca="false">$D$31*I143*F143</f>
        <v>0</v>
      </c>
      <c r="R143" s="28" t="n">
        <f aca="false">$D$32*I143*F143</f>
        <v>0</v>
      </c>
      <c r="S143" s="28" t="n">
        <f aca="false">IF(AND(F143&gt;0,E143=0),($D$33+$D$36)*H143+($D$34+$D$35)*I143,0)</f>
        <v>0</v>
      </c>
      <c r="T143" s="28" t="n">
        <f aca="false">SUM(J143:S143)</f>
        <v>0</v>
      </c>
      <c r="U143" s="28" t="n">
        <f aca="false">T143*Cont</f>
        <v>0</v>
      </c>
      <c r="V143" s="28" t="n">
        <f aca="false">MIN(J143,J143*$D$43)</f>
        <v>0</v>
      </c>
      <c r="W143" s="40" t="n">
        <f aca="false">$D$55*(1+FxDrift)^(A143-1)</f>
        <v>1</v>
      </c>
      <c r="X143" s="28" t="n">
        <f aca="false">(T143+U143)*W143</f>
        <v>0</v>
      </c>
      <c r="Y143" s="28" t="n">
        <f aca="false">IF(B143=1,MIN(X143,V143*W143+IF(F143&gt;0,$D$44*F143,0)),0)</f>
        <v>0</v>
      </c>
      <c r="Z143" s="41" t="n">
        <f aca="false">IF(B143=1,MAX(0,X143-(V143*W143+IF(F143&gt;0,$D$44*F143,0))),0)</f>
        <v>0</v>
      </c>
      <c r="AA143" s="28" t="n">
        <f aca="false">IF(B143=1,(J143+K143)*W143,0)</f>
        <v>0</v>
      </c>
      <c r="AB143" s="28" t="n">
        <f aca="false">IF(B143=1,SUM(L143:R143)*W143,0)</f>
        <v>0</v>
      </c>
      <c r="AC143" s="28" t="n">
        <f aca="false">IF(B143=1,(S143+U143)*W143,0)</f>
        <v>0</v>
      </c>
    </row>
    <row r="144" customFormat="false" ht="15" hidden="false" customHeight="false" outlineLevel="0" collapsed="false">
      <c r="A144" s="27" t="n">
        <v>19</v>
      </c>
      <c r="B144" s="27" t="n">
        <f aca="false">IF(AND(A144&lt;=$D$52,$D$47=1),1,0)</f>
        <v>0</v>
      </c>
      <c r="C144" s="27" t="str">
        <f aca="false">IF(B144=1,$D$7+A144-1,"")</f>
        <v/>
      </c>
      <c r="D144" s="28" t="str">
        <f aca="false">(PlanStartYear+A144-1)&amp;"/"&amp;RIGHT(PlanStartYear+A144,2)</f>
        <v>2044/45</v>
      </c>
      <c r="E144" s="27" t="n">
        <f aca="false">A144-1-$D$49</f>
        <v>6</v>
      </c>
      <c r="F144" s="39" t="n">
        <f aca="false">IF(AND(B144=1,E144&gt;=0,E144&lt;$D$50),MIN(1,$D$37-E144),0)</f>
        <v>0</v>
      </c>
      <c r="G144" s="27" t="n">
        <f aca="false">(A144-1)+$D$54</f>
        <v>17</v>
      </c>
      <c r="H144" s="40" t="n">
        <f aca="false">(1+TuiInf)^G144</f>
        <v>5.05447028499295</v>
      </c>
      <c r="I144" s="40" t="n">
        <f aca="false">(1+LivInf)^G144</f>
        <v>3.70001805480087</v>
      </c>
      <c r="J144" s="28" t="n">
        <f aca="false">$D$24*H144*F144</f>
        <v>0</v>
      </c>
      <c r="K144" s="28" t="n">
        <f aca="false">$D$25*H144*F144</f>
        <v>0</v>
      </c>
      <c r="L144" s="28" t="n">
        <f aca="false">$D$26*I144*F144</f>
        <v>0</v>
      </c>
      <c r="M144" s="28" t="n">
        <f aca="false">$D$27*I144*F144</f>
        <v>0</v>
      </c>
      <c r="N144" s="28" t="n">
        <f aca="false">$D$28*I144*F144</f>
        <v>0</v>
      </c>
      <c r="O144" s="28" t="n">
        <f aca="false">$D$29*I144*F144</f>
        <v>0</v>
      </c>
      <c r="P144" s="28" t="n">
        <f aca="false">$D$30*I144*F144</f>
        <v>0</v>
      </c>
      <c r="Q144" s="28" t="n">
        <f aca="false">$D$31*I144*F144</f>
        <v>0</v>
      </c>
      <c r="R144" s="28" t="n">
        <f aca="false">$D$32*I144*F144</f>
        <v>0</v>
      </c>
      <c r="S144" s="28" t="n">
        <f aca="false">IF(AND(F144&gt;0,E144=0),($D$33+$D$36)*H144+($D$34+$D$35)*I144,0)</f>
        <v>0</v>
      </c>
      <c r="T144" s="28" t="n">
        <f aca="false">SUM(J144:S144)</f>
        <v>0</v>
      </c>
      <c r="U144" s="28" t="n">
        <f aca="false">T144*Cont</f>
        <v>0</v>
      </c>
      <c r="V144" s="28" t="n">
        <f aca="false">MIN(J144,J144*$D$43)</f>
        <v>0</v>
      </c>
      <c r="W144" s="40" t="n">
        <f aca="false">$D$55*(1+FxDrift)^(A144-1)</f>
        <v>1</v>
      </c>
      <c r="X144" s="28" t="n">
        <f aca="false">(T144+U144)*W144</f>
        <v>0</v>
      </c>
      <c r="Y144" s="28" t="n">
        <f aca="false">IF(B144=1,MIN(X144,V144*W144+IF(F144&gt;0,$D$44*F144,0)),0)</f>
        <v>0</v>
      </c>
      <c r="Z144" s="41" t="n">
        <f aca="false">IF(B144=1,MAX(0,X144-(V144*W144+IF(F144&gt;0,$D$44*F144,0))),0)</f>
        <v>0</v>
      </c>
      <c r="AA144" s="28" t="n">
        <f aca="false">IF(B144=1,(J144+K144)*W144,0)</f>
        <v>0</v>
      </c>
      <c r="AB144" s="28" t="n">
        <f aca="false">IF(B144=1,SUM(L144:R144)*W144,0)</f>
        <v>0</v>
      </c>
      <c r="AC144" s="28" t="n">
        <f aca="false">IF(B144=1,(S144+U144)*W144,0)</f>
        <v>0</v>
      </c>
    </row>
    <row r="145" customFormat="false" ht="15" hidden="false" customHeight="false" outlineLevel="0" collapsed="false">
      <c r="A145" s="27" t="n">
        <v>20</v>
      </c>
      <c r="B145" s="27" t="n">
        <f aca="false">IF(AND(A145&lt;=$D$52,$D$47=1),1,0)</f>
        <v>0</v>
      </c>
      <c r="C145" s="27" t="str">
        <f aca="false">IF(B145=1,$D$7+A145-1,"")</f>
        <v/>
      </c>
      <c r="D145" s="28" t="str">
        <f aca="false">(PlanStartYear+A145-1)&amp;"/"&amp;RIGHT(PlanStartYear+A145,2)</f>
        <v>2045/46</v>
      </c>
      <c r="E145" s="27" t="n">
        <f aca="false">A145-1-$D$49</f>
        <v>7</v>
      </c>
      <c r="F145" s="39" t="n">
        <f aca="false">IF(AND(B145=1,E145&gt;=0,E145&lt;$D$50),MIN(1,$D$37-E145),0)</f>
        <v>0</v>
      </c>
      <c r="G145" s="27" t="n">
        <f aca="false">(A145-1)+$D$54</f>
        <v>18</v>
      </c>
      <c r="H145" s="40" t="n">
        <f aca="false">(1+TuiInf)^G145</f>
        <v>5.55991731349224</v>
      </c>
      <c r="I145" s="40" t="n">
        <f aca="false">(1+LivInf)^G145</f>
        <v>3.99601949918493</v>
      </c>
      <c r="J145" s="28" t="n">
        <f aca="false">$D$24*H145*F145</f>
        <v>0</v>
      </c>
      <c r="K145" s="28" t="n">
        <f aca="false">$D$25*H145*F145</f>
        <v>0</v>
      </c>
      <c r="L145" s="28" t="n">
        <f aca="false">$D$26*I145*F145</f>
        <v>0</v>
      </c>
      <c r="M145" s="28" t="n">
        <f aca="false">$D$27*I145*F145</f>
        <v>0</v>
      </c>
      <c r="N145" s="28" t="n">
        <f aca="false">$D$28*I145*F145</f>
        <v>0</v>
      </c>
      <c r="O145" s="28" t="n">
        <f aca="false">$D$29*I145*F145</f>
        <v>0</v>
      </c>
      <c r="P145" s="28" t="n">
        <f aca="false">$D$30*I145*F145</f>
        <v>0</v>
      </c>
      <c r="Q145" s="28" t="n">
        <f aca="false">$D$31*I145*F145</f>
        <v>0</v>
      </c>
      <c r="R145" s="28" t="n">
        <f aca="false">$D$32*I145*F145</f>
        <v>0</v>
      </c>
      <c r="S145" s="28" t="n">
        <f aca="false">IF(AND(F145&gt;0,E145=0),($D$33+$D$36)*H145+($D$34+$D$35)*I145,0)</f>
        <v>0</v>
      </c>
      <c r="T145" s="28" t="n">
        <f aca="false">SUM(J145:S145)</f>
        <v>0</v>
      </c>
      <c r="U145" s="28" t="n">
        <f aca="false">T145*Cont</f>
        <v>0</v>
      </c>
      <c r="V145" s="28" t="n">
        <f aca="false">MIN(J145,J145*$D$43)</f>
        <v>0</v>
      </c>
      <c r="W145" s="40" t="n">
        <f aca="false">$D$55*(1+FxDrift)^(A145-1)</f>
        <v>1</v>
      </c>
      <c r="X145" s="28" t="n">
        <f aca="false">(T145+U145)*W145</f>
        <v>0</v>
      </c>
      <c r="Y145" s="28" t="n">
        <f aca="false">IF(B145=1,MIN(X145,V145*W145+IF(F145&gt;0,$D$44*F145,0)),0)</f>
        <v>0</v>
      </c>
      <c r="Z145" s="41" t="n">
        <f aca="false">IF(B145=1,MAX(0,X145-(V145*W145+IF(F145&gt;0,$D$44*F145,0))),0)</f>
        <v>0</v>
      </c>
      <c r="AA145" s="28" t="n">
        <f aca="false">IF(B145=1,(J145+K145)*W145,0)</f>
        <v>0</v>
      </c>
      <c r="AB145" s="28" t="n">
        <f aca="false">IF(B145=1,SUM(L145:R145)*W145,0)</f>
        <v>0</v>
      </c>
      <c r="AC145" s="28" t="n">
        <f aca="false">IF(B145=1,(S145+U145)*W145,0)</f>
        <v>0</v>
      </c>
    </row>
    <row r="146" customFormat="false" ht="15" hidden="false" customHeight="false" outlineLevel="0" collapsed="false">
      <c r="A146" s="27" t="n">
        <v>21</v>
      </c>
      <c r="B146" s="27" t="n">
        <f aca="false">IF(AND(A146&lt;=$D$52,$D$47=1),1,0)</f>
        <v>0</v>
      </c>
      <c r="C146" s="27" t="str">
        <f aca="false">IF(B146=1,$D$7+A146-1,"")</f>
        <v/>
      </c>
      <c r="D146" s="28" t="str">
        <f aca="false">(PlanStartYear+A146-1)&amp;"/"&amp;RIGHT(PlanStartYear+A146,2)</f>
        <v>2046/47</v>
      </c>
      <c r="E146" s="27" t="n">
        <f aca="false">A146-1-$D$49</f>
        <v>8</v>
      </c>
      <c r="F146" s="39" t="n">
        <f aca="false">IF(AND(B146=1,E146&gt;=0,E146&lt;$D$50),MIN(1,$D$37-E146),0)</f>
        <v>0</v>
      </c>
      <c r="G146" s="27" t="n">
        <f aca="false">(A146-1)+$D$54</f>
        <v>19</v>
      </c>
      <c r="H146" s="40" t="n">
        <f aca="false">(1+TuiInf)^G146</f>
        <v>6.11590904484146</v>
      </c>
      <c r="I146" s="40" t="n">
        <f aca="false">(1+LivInf)^G146</f>
        <v>4.31570105911973</v>
      </c>
      <c r="J146" s="28" t="n">
        <f aca="false">$D$24*H146*F146</f>
        <v>0</v>
      </c>
      <c r="K146" s="28" t="n">
        <f aca="false">$D$25*H146*F146</f>
        <v>0</v>
      </c>
      <c r="L146" s="28" t="n">
        <f aca="false">$D$26*I146*F146</f>
        <v>0</v>
      </c>
      <c r="M146" s="28" t="n">
        <f aca="false">$D$27*I146*F146</f>
        <v>0</v>
      </c>
      <c r="N146" s="28" t="n">
        <f aca="false">$D$28*I146*F146</f>
        <v>0</v>
      </c>
      <c r="O146" s="28" t="n">
        <f aca="false">$D$29*I146*F146</f>
        <v>0</v>
      </c>
      <c r="P146" s="28" t="n">
        <f aca="false">$D$30*I146*F146</f>
        <v>0</v>
      </c>
      <c r="Q146" s="28" t="n">
        <f aca="false">$D$31*I146*F146</f>
        <v>0</v>
      </c>
      <c r="R146" s="28" t="n">
        <f aca="false">$D$32*I146*F146</f>
        <v>0</v>
      </c>
      <c r="S146" s="28" t="n">
        <f aca="false">IF(AND(F146&gt;0,E146=0),($D$33+$D$36)*H146+($D$34+$D$35)*I146,0)</f>
        <v>0</v>
      </c>
      <c r="T146" s="28" t="n">
        <f aca="false">SUM(J146:S146)</f>
        <v>0</v>
      </c>
      <c r="U146" s="28" t="n">
        <f aca="false">T146*Cont</f>
        <v>0</v>
      </c>
      <c r="V146" s="28" t="n">
        <f aca="false">MIN(J146,J146*$D$43)</f>
        <v>0</v>
      </c>
      <c r="W146" s="40" t="n">
        <f aca="false">$D$55*(1+FxDrift)^(A146-1)</f>
        <v>1</v>
      </c>
      <c r="X146" s="28" t="n">
        <f aca="false">(T146+U146)*W146</f>
        <v>0</v>
      </c>
      <c r="Y146" s="28" t="n">
        <f aca="false">IF(B146=1,MIN(X146,V146*W146+IF(F146&gt;0,$D$44*F146,0)),0)</f>
        <v>0</v>
      </c>
      <c r="Z146" s="41" t="n">
        <f aca="false">IF(B146=1,MAX(0,X146-(V146*W146+IF(F146&gt;0,$D$44*F146,0))),0)</f>
        <v>0</v>
      </c>
      <c r="AA146" s="28" t="n">
        <f aca="false">IF(B146=1,(J146+K146)*W146,0)</f>
        <v>0</v>
      </c>
      <c r="AB146" s="28" t="n">
        <f aca="false">IF(B146=1,SUM(L146:R146)*W146,0)</f>
        <v>0</v>
      </c>
      <c r="AC146" s="28" t="n">
        <f aca="false">IF(B146=1,(S146+U146)*W146,0)</f>
        <v>0</v>
      </c>
    </row>
    <row r="147" customFormat="false" ht="15" hidden="false" customHeight="false" outlineLevel="0" collapsed="false">
      <c r="A147" s="27" t="n">
        <v>22</v>
      </c>
      <c r="B147" s="27" t="n">
        <f aca="false">IF(AND(A147&lt;=$D$52,$D$47=1),1,0)</f>
        <v>0</v>
      </c>
      <c r="C147" s="27" t="str">
        <f aca="false">IF(B147=1,$D$7+A147-1,"")</f>
        <v/>
      </c>
      <c r="D147" s="28" t="str">
        <f aca="false">(PlanStartYear+A147-1)&amp;"/"&amp;RIGHT(PlanStartYear+A147,2)</f>
        <v>2047/48</v>
      </c>
      <c r="E147" s="27" t="n">
        <f aca="false">A147-1-$D$49</f>
        <v>9</v>
      </c>
      <c r="F147" s="39" t="n">
        <f aca="false">IF(AND(B147=1,E147&gt;=0,E147&lt;$D$50),MIN(1,$D$37-E147),0)</f>
        <v>0</v>
      </c>
      <c r="G147" s="27" t="n">
        <f aca="false">(A147-1)+$D$54</f>
        <v>20</v>
      </c>
      <c r="H147" s="40" t="n">
        <f aca="false">(1+TuiInf)^G147</f>
        <v>6.72749994932561</v>
      </c>
      <c r="I147" s="40" t="n">
        <f aca="false">(1+LivInf)^G147</f>
        <v>4.66095714384931</v>
      </c>
      <c r="J147" s="28" t="n">
        <f aca="false">$D$24*H147*F147</f>
        <v>0</v>
      </c>
      <c r="K147" s="28" t="n">
        <f aca="false">$D$25*H147*F147</f>
        <v>0</v>
      </c>
      <c r="L147" s="28" t="n">
        <f aca="false">$D$26*I147*F147</f>
        <v>0</v>
      </c>
      <c r="M147" s="28" t="n">
        <f aca="false">$D$27*I147*F147</f>
        <v>0</v>
      </c>
      <c r="N147" s="28" t="n">
        <f aca="false">$D$28*I147*F147</f>
        <v>0</v>
      </c>
      <c r="O147" s="28" t="n">
        <f aca="false">$D$29*I147*F147</f>
        <v>0</v>
      </c>
      <c r="P147" s="28" t="n">
        <f aca="false">$D$30*I147*F147</f>
        <v>0</v>
      </c>
      <c r="Q147" s="28" t="n">
        <f aca="false">$D$31*I147*F147</f>
        <v>0</v>
      </c>
      <c r="R147" s="28" t="n">
        <f aca="false">$D$32*I147*F147</f>
        <v>0</v>
      </c>
      <c r="S147" s="28" t="n">
        <f aca="false">IF(AND(F147&gt;0,E147=0),($D$33+$D$36)*H147+($D$34+$D$35)*I147,0)</f>
        <v>0</v>
      </c>
      <c r="T147" s="28" t="n">
        <f aca="false">SUM(J147:S147)</f>
        <v>0</v>
      </c>
      <c r="U147" s="28" t="n">
        <f aca="false">T147*Cont</f>
        <v>0</v>
      </c>
      <c r="V147" s="28" t="n">
        <f aca="false">MIN(J147,J147*$D$43)</f>
        <v>0</v>
      </c>
      <c r="W147" s="40" t="n">
        <f aca="false">$D$55*(1+FxDrift)^(A147-1)</f>
        <v>1</v>
      </c>
      <c r="X147" s="28" t="n">
        <f aca="false">(T147+U147)*W147</f>
        <v>0</v>
      </c>
      <c r="Y147" s="28" t="n">
        <f aca="false">IF(B147=1,MIN(X147,V147*W147+IF(F147&gt;0,$D$44*F147,0)),0)</f>
        <v>0</v>
      </c>
      <c r="Z147" s="41" t="n">
        <f aca="false">IF(B147=1,MAX(0,X147-(V147*W147+IF(F147&gt;0,$D$44*F147,0))),0)</f>
        <v>0</v>
      </c>
      <c r="AA147" s="28" t="n">
        <f aca="false">IF(B147=1,(J147+K147)*W147,0)</f>
        <v>0</v>
      </c>
      <c r="AB147" s="28" t="n">
        <f aca="false">IF(B147=1,SUM(L147:R147)*W147,0)</f>
        <v>0</v>
      </c>
      <c r="AC147" s="28" t="n">
        <f aca="false">IF(B147=1,(S147+U147)*W147,0)</f>
        <v>0</v>
      </c>
    </row>
    <row r="148" customFormat="false" ht="15" hidden="false" customHeight="false" outlineLevel="0" collapsed="false">
      <c r="A148" s="27" t="n">
        <v>23</v>
      </c>
      <c r="B148" s="27" t="n">
        <f aca="false">IF(AND(A148&lt;=$D$52,$D$47=1),1,0)</f>
        <v>0</v>
      </c>
      <c r="C148" s="27" t="str">
        <f aca="false">IF(B148=1,$D$7+A148-1,"")</f>
        <v/>
      </c>
      <c r="D148" s="28" t="str">
        <f aca="false">(PlanStartYear+A148-1)&amp;"/"&amp;RIGHT(PlanStartYear+A148,2)</f>
        <v>2048/49</v>
      </c>
      <c r="E148" s="27" t="n">
        <f aca="false">A148-1-$D$49</f>
        <v>10</v>
      </c>
      <c r="F148" s="39" t="n">
        <f aca="false">IF(AND(B148=1,E148&gt;=0,E148&lt;$D$50),MIN(1,$D$37-E148),0)</f>
        <v>0</v>
      </c>
      <c r="G148" s="27" t="n">
        <f aca="false">(A148-1)+$D$54</f>
        <v>21</v>
      </c>
      <c r="H148" s="40" t="n">
        <f aca="false">(1+TuiInf)^G148</f>
        <v>7.40024994425817</v>
      </c>
      <c r="I148" s="40" t="n">
        <f aca="false">(1+LivInf)^G148</f>
        <v>5.03383371535725</v>
      </c>
      <c r="J148" s="28" t="n">
        <f aca="false">$D$24*H148*F148</f>
        <v>0</v>
      </c>
      <c r="K148" s="28" t="n">
        <f aca="false">$D$25*H148*F148</f>
        <v>0</v>
      </c>
      <c r="L148" s="28" t="n">
        <f aca="false">$D$26*I148*F148</f>
        <v>0</v>
      </c>
      <c r="M148" s="28" t="n">
        <f aca="false">$D$27*I148*F148</f>
        <v>0</v>
      </c>
      <c r="N148" s="28" t="n">
        <f aca="false">$D$28*I148*F148</f>
        <v>0</v>
      </c>
      <c r="O148" s="28" t="n">
        <f aca="false">$D$29*I148*F148</f>
        <v>0</v>
      </c>
      <c r="P148" s="28" t="n">
        <f aca="false">$D$30*I148*F148</f>
        <v>0</v>
      </c>
      <c r="Q148" s="28" t="n">
        <f aca="false">$D$31*I148*F148</f>
        <v>0</v>
      </c>
      <c r="R148" s="28" t="n">
        <f aca="false">$D$32*I148*F148</f>
        <v>0</v>
      </c>
      <c r="S148" s="28" t="n">
        <f aca="false">IF(AND(F148&gt;0,E148=0),($D$33+$D$36)*H148+($D$34+$D$35)*I148,0)</f>
        <v>0</v>
      </c>
      <c r="T148" s="28" t="n">
        <f aca="false">SUM(J148:S148)</f>
        <v>0</v>
      </c>
      <c r="U148" s="28" t="n">
        <f aca="false">T148*Cont</f>
        <v>0</v>
      </c>
      <c r="V148" s="28" t="n">
        <f aca="false">MIN(J148,J148*$D$43)</f>
        <v>0</v>
      </c>
      <c r="W148" s="40" t="n">
        <f aca="false">$D$55*(1+FxDrift)^(A148-1)</f>
        <v>1</v>
      </c>
      <c r="X148" s="28" t="n">
        <f aca="false">(T148+U148)*W148</f>
        <v>0</v>
      </c>
      <c r="Y148" s="28" t="n">
        <f aca="false">IF(B148=1,MIN(X148,V148*W148+IF(F148&gt;0,$D$44*F148,0)),0)</f>
        <v>0</v>
      </c>
      <c r="Z148" s="41" t="n">
        <f aca="false">IF(B148=1,MAX(0,X148-(V148*W148+IF(F148&gt;0,$D$44*F148,0))),0)</f>
        <v>0</v>
      </c>
      <c r="AA148" s="28" t="n">
        <f aca="false">IF(B148=1,(J148+K148)*W148,0)</f>
        <v>0</v>
      </c>
      <c r="AB148" s="28" t="n">
        <f aca="false">IF(B148=1,SUM(L148:R148)*W148,0)</f>
        <v>0</v>
      </c>
      <c r="AC148" s="28" t="n">
        <f aca="false">IF(B148=1,(S148+U148)*W148,0)</f>
        <v>0</v>
      </c>
    </row>
    <row r="149" customFormat="false" ht="15" hidden="false" customHeight="false" outlineLevel="0" collapsed="false">
      <c r="A149" s="27" t="n">
        <v>24</v>
      </c>
      <c r="B149" s="27" t="n">
        <f aca="false">IF(AND(A149&lt;=$D$52,$D$47=1),1,0)</f>
        <v>0</v>
      </c>
      <c r="C149" s="27" t="str">
        <f aca="false">IF(B149=1,$D$7+A149-1,"")</f>
        <v/>
      </c>
      <c r="D149" s="28" t="str">
        <f aca="false">(PlanStartYear+A149-1)&amp;"/"&amp;RIGHT(PlanStartYear+A149,2)</f>
        <v>2049/50</v>
      </c>
      <c r="E149" s="27" t="n">
        <f aca="false">A149-1-$D$49</f>
        <v>11</v>
      </c>
      <c r="F149" s="39" t="n">
        <f aca="false">IF(AND(B149=1,E149&gt;=0,E149&lt;$D$50),MIN(1,$D$37-E149),0)</f>
        <v>0</v>
      </c>
      <c r="G149" s="27" t="n">
        <f aca="false">(A149-1)+$D$54</f>
        <v>22</v>
      </c>
      <c r="H149" s="40" t="n">
        <f aca="false">(1+TuiInf)^G149</f>
        <v>8.14027493868399</v>
      </c>
      <c r="I149" s="40" t="n">
        <f aca="false">(1+LivInf)^G149</f>
        <v>5.43654041258583</v>
      </c>
      <c r="J149" s="28" t="n">
        <f aca="false">$D$24*H149*F149</f>
        <v>0</v>
      </c>
      <c r="K149" s="28" t="n">
        <f aca="false">$D$25*H149*F149</f>
        <v>0</v>
      </c>
      <c r="L149" s="28" t="n">
        <f aca="false">$D$26*I149*F149</f>
        <v>0</v>
      </c>
      <c r="M149" s="28" t="n">
        <f aca="false">$D$27*I149*F149</f>
        <v>0</v>
      </c>
      <c r="N149" s="28" t="n">
        <f aca="false">$D$28*I149*F149</f>
        <v>0</v>
      </c>
      <c r="O149" s="28" t="n">
        <f aca="false">$D$29*I149*F149</f>
        <v>0</v>
      </c>
      <c r="P149" s="28" t="n">
        <f aca="false">$D$30*I149*F149</f>
        <v>0</v>
      </c>
      <c r="Q149" s="28" t="n">
        <f aca="false">$D$31*I149*F149</f>
        <v>0</v>
      </c>
      <c r="R149" s="28" t="n">
        <f aca="false">$D$32*I149*F149</f>
        <v>0</v>
      </c>
      <c r="S149" s="28" t="n">
        <f aca="false">IF(AND(F149&gt;0,E149=0),($D$33+$D$36)*H149+($D$34+$D$35)*I149,0)</f>
        <v>0</v>
      </c>
      <c r="T149" s="28" t="n">
        <f aca="false">SUM(J149:S149)</f>
        <v>0</v>
      </c>
      <c r="U149" s="28" t="n">
        <f aca="false">T149*Cont</f>
        <v>0</v>
      </c>
      <c r="V149" s="28" t="n">
        <f aca="false">MIN(J149,J149*$D$43)</f>
        <v>0</v>
      </c>
      <c r="W149" s="40" t="n">
        <f aca="false">$D$55*(1+FxDrift)^(A149-1)</f>
        <v>1</v>
      </c>
      <c r="X149" s="28" t="n">
        <f aca="false">(T149+U149)*W149</f>
        <v>0</v>
      </c>
      <c r="Y149" s="28" t="n">
        <f aca="false">IF(B149=1,MIN(X149,V149*W149+IF(F149&gt;0,$D$44*F149,0)),0)</f>
        <v>0</v>
      </c>
      <c r="Z149" s="41" t="n">
        <f aca="false">IF(B149=1,MAX(0,X149-(V149*W149+IF(F149&gt;0,$D$44*F149,0))),0)</f>
        <v>0</v>
      </c>
      <c r="AA149" s="28" t="n">
        <f aca="false">IF(B149=1,(J149+K149)*W149,0)</f>
        <v>0</v>
      </c>
      <c r="AB149" s="28" t="n">
        <f aca="false">IF(B149=1,SUM(L149:R149)*W149,0)</f>
        <v>0</v>
      </c>
      <c r="AC149" s="28" t="n">
        <f aca="false">IF(B149=1,(S149+U149)*W149,0)</f>
        <v>0</v>
      </c>
    </row>
    <row r="150" customFormat="false" ht="15" hidden="false" customHeight="false" outlineLevel="0" collapsed="false">
      <c r="A150" s="27" t="n">
        <v>25</v>
      </c>
      <c r="B150" s="27" t="n">
        <f aca="false">IF(AND(A150&lt;=$D$52,$D$47=1),1,0)</f>
        <v>0</v>
      </c>
      <c r="C150" s="27" t="str">
        <f aca="false">IF(B150=1,$D$7+A150-1,"")</f>
        <v/>
      </c>
      <c r="D150" s="28" t="str">
        <f aca="false">(PlanStartYear+A150-1)&amp;"/"&amp;RIGHT(PlanStartYear+A150,2)</f>
        <v>2050/51</v>
      </c>
      <c r="E150" s="27" t="n">
        <f aca="false">A150-1-$D$49</f>
        <v>12</v>
      </c>
      <c r="F150" s="39" t="n">
        <f aca="false">IF(AND(B150=1,E150&gt;=0,E150&lt;$D$50),MIN(1,$D$37-E150),0)</f>
        <v>0</v>
      </c>
      <c r="G150" s="27" t="n">
        <f aca="false">(A150-1)+$D$54</f>
        <v>23</v>
      </c>
      <c r="H150" s="40" t="n">
        <f aca="false">(1+TuiInf)^G150</f>
        <v>8.95430243255239</v>
      </c>
      <c r="I150" s="40" t="n">
        <f aca="false">(1+LivInf)^G150</f>
        <v>5.8714636455927</v>
      </c>
      <c r="J150" s="28" t="n">
        <f aca="false">$D$24*H150*F150</f>
        <v>0</v>
      </c>
      <c r="K150" s="28" t="n">
        <f aca="false">$D$25*H150*F150</f>
        <v>0</v>
      </c>
      <c r="L150" s="28" t="n">
        <f aca="false">$D$26*I150*F150</f>
        <v>0</v>
      </c>
      <c r="M150" s="28" t="n">
        <f aca="false">$D$27*I150*F150</f>
        <v>0</v>
      </c>
      <c r="N150" s="28" t="n">
        <f aca="false">$D$28*I150*F150</f>
        <v>0</v>
      </c>
      <c r="O150" s="28" t="n">
        <f aca="false">$D$29*I150*F150</f>
        <v>0</v>
      </c>
      <c r="P150" s="28" t="n">
        <f aca="false">$D$30*I150*F150</f>
        <v>0</v>
      </c>
      <c r="Q150" s="28" t="n">
        <f aca="false">$D$31*I150*F150</f>
        <v>0</v>
      </c>
      <c r="R150" s="28" t="n">
        <f aca="false">$D$32*I150*F150</f>
        <v>0</v>
      </c>
      <c r="S150" s="28" t="n">
        <f aca="false">IF(AND(F150&gt;0,E150=0),($D$33+$D$36)*H150+($D$34+$D$35)*I150,0)</f>
        <v>0</v>
      </c>
      <c r="T150" s="28" t="n">
        <f aca="false">SUM(J150:S150)</f>
        <v>0</v>
      </c>
      <c r="U150" s="28" t="n">
        <f aca="false">T150*Cont</f>
        <v>0</v>
      </c>
      <c r="V150" s="28" t="n">
        <f aca="false">MIN(J150,J150*$D$43)</f>
        <v>0</v>
      </c>
      <c r="W150" s="40" t="n">
        <f aca="false">$D$55*(1+FxDrift)^(A150-1)</f>
        <v>1</v>
      </c>
      <c r="X150" s="28" t="n">
        <f aca="false">(T150+U150)*W150</f>
        <v>0</v>
      </c>
      <c r="Y150" s="28" t="n">
        <f aca="false">IF(B150=1,MIN(X150,V150*W150+IF(F150&gt;0,$D$44*F150,0)),0)</f>
        <v>0</v>
      </c>
      <c r="Z150" s="41" t="n">
        <f aca="false">IF(B150=1,MAX(0,X150-(V150*W150+IF(F150&gt;0,$D$44*F150,0))),0)</f>
        <v>0</v>
      </c>
      <c r="AA150" s="28" t="n">
        <f aca="false">IF(B150=1,(J150+K150)*W150,0)</f>
        <v>0</v>
      </c>
      <c r="AB150" s="28" t="n">
        <f aca="false">IF(B150=1,SUM(L150:R150)*W150,0)</f>
        <v>0</v>
      </c>
      <c r="AC150" s="28" t="n">
        <f aca="false">IF(B150=1,(S150+U150)*W150,0)</f>
        <v>0</v>
      </c>
    </row>
    <row r="151" customFormat="false" ht="15" hidden="false" customHeight="false" outlineLevel="0" collapsed="false">
      <c r="A151" s="27" t="n">
        <v>26</v>
      </c>
      <c r="B151" s="27" t="n">
        <f aca="false">IF(AND(A151&lt;=$D$52,$D$47=1),1,0)</f>
        <v>0</v>
      </c>
      <c r="C151" s="27" t="str">
        <f aca="false">IF(B151=1,$D$7+A151-1,"")</f>
        <v/>
      </c>
      <c r="D151" s="28" t="str">
        <f aca="false">(PlanStartYear+A151-1)&amp;"/"&amp;RIGHT(PlanStartYear+A151,2)</f>
        <v>2051/52</v>
      </c>
      <c r="E151" s="27" t="n">
        <f aca="false">A151-1-$D$49</f>
        <v>13</v>
      </c>
      <c r="F151" s="39" t="n">
        <f aca="false">IF(AND(B151=1,E151&gt;=0,E151&lt;$D$50),MIN(1,$D$37-E151),0)</f>
        <v>0</v>
      </c>
      <c r="G151" s="27" t="n">
        <f aca="false">(A151-1)+$D$54</f>
        <v>24</v>
      </c>
      <c r="H151" s="40" t="n">
        <f aca="false">(1+TuiInf)^G151</f>
        <v>9.84973267580763</v>
      </c>
      <c r="I151" s="40" t="n">
        <f aca="false">(1+LivInf)^G151</f>
        <v>6.34118073724012</v>
      </c>
      <c r="J151" s="28" t="n">
        <f aca="false">$D$24*H151*F151</f>
        <v>0</v>
      </c>
      <c r="K151" s="28" t="n">
        <f aca="false">$D$25*H151*F151</f>
        <v>0</v>
      </c>
      <c r="L151" s="28" t="n">
        <f aca="false">$D$26*I151*F151</f>
        <v>0</v>
      </c>
      <c r="M151" s="28" t="n">
        <f aca="false">$D$27*I151*F151</f>
        <v>0</v>
      </c>
      <c r="N151" s="28" t="n">
        <f aca="false">$D$28*I151*F151</f>
        <v>0</v>
      </c>
      <c r="O151" s="28" t="n">
        <f aca="false">$D$29*I151*F151</f>
        <v>0</v>
      </c>
      <c r="P151" s="28" t="n">
        <f aca="false">$D$30*I151*F151</f>
        <v>0</v>
      </c>
      <c r="Q151" s="28" t="n">
        <f aca="false">$D$31*I151*F151</f>
        <v>0</v>
      </c>
      <c r="R151" s="28" t="n">
        <f aca="false">$D$32*I151*F151</f>
        <v>0</v>
      </c>
      <c r="S151" s="28" t="n">
        <f aca="false">IF(AND(F151&gt;0,E151=0),($D$33+$D$36)*H151+($D$34+$D$35)*I151,0)</f>
        <v>0</v>
      </c>
      <c r="T151" s="28" t="n">
        <f aca="false">SUM(J151:S151)</f>
        <v>0</v>
      </c>
      <c r="U151" s="28" t="n">
        <f aca="false">T151*Cont</f>
        <v>0</v>
      </c>
      <c r="V151" s="28" t="n">
        <f aca="false">MIN(J151,J151*$D$43)</f>
        <v>0</v>
      </c>
      <c r="W151" s="40" t="n">
        <f aca="false">$D$55*(1+FxDrift)^(A151-1)</f>
        <v>1</v>
      </c>
      <c r="X151" s="28" t="n">
        <f aca="false">(T151+U151)*W151</f>
        <v>0</v>
      </c>
      <c r="Y151" s="28" t="n">
        <f aca="false">IF(B151=1,MIN(X151,V151*W151+IF(F151&gt;0,$D$44*F151,0)),0)</f>
        <v>0</v>
      </c>
      <c r="Z151" s="41" t="n">
        <f aca="false">IF(B151=1,MAX(0,X151-(V151*W151+IF(F151&gt;0,$D$44*F151,0))),0)</f>
        <v>0</v>
      </c>
      <c r="AA151" s="28" t="n">
        <f aca="false">IF(B151=1,(J151+K151)*W151,0)</f>
        <v>0</v>
      </c>
      <c r="AB151" s="28" t="n">
        <f aca="false">IF(B151=1,SUM(L151:R151)*W151,0)</f>
        <v>0</v>
      </c>
      <c r="AC151" s="28" t="n">
        <f aca="false">IF(B151=1,(S151+U151)*W151,0)</f>
        <v>0</v>
      </c>
    </row>
    <row r="152" customFormat="false" ht="15" hidden="false" customHeight="false" outlineLevel="0" collapsed="false">
      <c r="A152" s="27" t="n">
        <v>27</v>
      </c>
      <c r="B152" s="27" t="n">
        <f aca="false">IF(AND(A152&lt;=$D$52,$D$47=1),1,0)</f>
        <v>0</v>
      </c>
      <c r="C152" s="27" t="str">
        <f aca="false">IF(B152=1,$D$7+A152-1,"")</f>
        <v/>
      </c>
      <c r="D152" s="28" t="str">
        <f aca="false">(PlanStartYear+A152-1)&amp;"/"&amp;RIGHT(PlanStartYear+A152,2)</f>
        <v>2052/53</v>
      </c>
      <c r="E152" s="27" t="n">
        <f aca="false">A152-1-$D$49</f>
        <v>14</v>
      </c>
      <c r="F152" s="39" t="n">
        <f aca="false">IF(AND(B152=1,E152&gt;=0,E152&lt;$D$50),MIN(1,$D$37-E152),0)</f>
        <v>0</v>
      </c>
      <c r="G152" s="27" t="n">
        <f aca="false">(A152-1)+$D$54</f>
        <v>25</v>
      </c>
      <c r="H152" s="40" t="n">
        <f aca="false">(1+TuiInf)^G152</f>
        <v>10.8347059433884</v>
      </c>
      <c r="I152" s="40" t="n">
        <f aca="false">(1+LivInf)^G152</f>
        <v>6.84847519621933</v>
      </c>
      <c r="J152" s="28" t="n">
        <f aca="false">$D$24*H152*F152</f>
        <v>0</v>
      </c>
      <c r="K152" s="28" t="n">
        <f aca="false">$D$25*H152*F152</f>
        <v>0</v>
      </c>
      <c r="L152" s="28" t="n">
        <f aca="false">$D$26*I152*F152</f>
        <v>0</v>
      </c>
      <c r="M152" s="28" t="n">
        <f aca="false">$D$27*I152*F152</f>
        <v>0</v>
      </c>
      <c r="N152" s="28" t="n">
        <f aca="false">$D$28*I152*F152</f>
        <v>0</v>
      </c>
      <c r="O152" s="28" t="n">
        <f aca="false">$D$29*I152*F152</f>
        <v>0</v>
      </c>
      <c r="P152" s="28" t="n">
        <f aca="false">$D$30*I152*F152</f>
        <v>0</v>
      </c>
      <c r="Q152" s="28" t="n">
        <f aca="false">$D$31*I152*F152</f>
        <v>0</v>
      </c>
      <c r="R152" s="28" t="n">
        <f aca="false">$D$32*I152*F152</f>
        <v>0</v>
      </c>
      <c r="S152" s="28" t="n">
        <f aca="false">IF(AND(F152&gt;0,E152=0),($D$33+$D$36)*H152+($D$34+$D$35)*I152,0)</f>
        <v>0</v>
      </c>
      <c r="T152" s="28" t="n">
        <f aca="false">SUM(J152:S152)</f>
        <v>0</v>
      </c>
      <c r="U152" s="28" t="n">
        <f aca="false">T152*Cont</f>
        <v>0</v>
      </c>
      <c r="V152" s="28" t="n">
        <f aca="false">MIN(J152,J152*$D$43)</f>
        <v>0</v>
      </c>
      <c r="W152" s="40" t="n">
        <f aca="false">$D$55*(1+FxDrift)^(A152-1)</f>
        <v>1</v>
      </c>
      <c r="X152" s="28" t="n">
        <f aca="false">(T152+U152)*W152</f>
        <v>0</v>
      </c>
      <c r="Y152" s="28" t="n">
        <f aca="false">IF(B152=1,MIN(X152,V152*W152+IF(F152&gt;0,$D$44*F152,0)),0)</f>
        <v>0</v>
      </c>
      <c r="Z152" s="41" t="n">
        <f aca="false">IF(B152=1,MAX(0,X152-(V152*W152+IF(F152&gt;0,$D$44*F152,0))),0)</f>
        <v>0</v>
      </c>
      <c r="AA152" s="28" t="n">
        <f aca="false">IF(B152=1,(J152+K152)*W152,0)</f>
        <v>0</v>
      </c>
      <c r="AB152" s="28" t="n">
        <f aca="false">IF(B152=1,SUM(L152:R152)*W152,0)</f>
        <v>0</v>
      </c>
      <c r="AC152" s="28" t="n">
        <f aca="false">IF(B152=1,(S152+U152)*W152,0)</f>
        <v>0</v>
      </c>
    </row>
    <row r="153" customFormat="false" ht="15" hidden="false" customHeight="false" outlineLevel="0" collapsed="false">
      <c r="A153" s="27" t="n">
        <v>28</v>
      </c>
      <c r="B153" s="27" t="n">
        <f aca="false">IF(AND(A153&lt;=$D$52,$D$47=1),1,0)</f>
        <v>0</v>
      </c>
      <c r="C153" s="27" t="str">
        <f aca="false">IF(B153=1,$D$7+A153-1,"")</f>
        <v/>
      </c>
      <c r="D153" s="28" t="str">
        <f aca="false">(PlanStartYear+A153-1)&amp;"/"&amp;RIGHT(PlanStartYear+A153,2)</f>
        <v>2053/54</v>
      </c>
      <c r="E153" s="27" t="n">
        <f aca="false">A153-1-$D$49</f>
        <v>15</v>
      </c>
      <c r="F153" s="39" t="n">
        <f aca="false">IF(AND(B153=1,E153&gt;=0,E153&lt;$D$50),MIN(1,$D$37-E153),0)</f>
        <v>0</v>
      </c>
      <c r="G153" s="27" t="n">
        <f aca="false">(A153-1)+$D$54</f>
        <v>26</v>
      </c>
      <c r="H153" s="40" t="n">
        <f aca="false">(1+TuiInf)^G153</f>
        <v>11.9181765377272</v>
      </c>
      <c r="I153" s="40" t="n">
        <f aca="false">(1+LivInf)^G153</f>
        <v>7.39635321191687</v>
      </c>
      <c r="J153" s="28" t="n">
        <f aca="false">$D$24*H153*F153</f>
        <v>0</v>
      </c>
      <c r="K153" s="28" t="n">
        <f aca="false">$D$25*H153*F153</f>
        <v>0</v>
      </c>
      <c r="L153" s="28" t="n">
        <f aca="false">$D$26*I153*F153</f>
        <v>0</v>
      </c>
      <c r="M153" s="28" t="n">
        <f aca="false">$D$27*I153*F153</f>
        <v>0</v>
      </c>
      <c r="N153" s="28" t="n">
        <f aca="false">$D$28*I153*F153</f>
        <v>0</v>
      </c>
      <c r="O153" s="28" t="n">
        <f aca="false">$D$29*I153*F153</f>
        <v>0</v>
      </c>
      <c r="P153" s="28" t="n">
        <f aca="false">$D$30*I153*F153</f>
        <v>0</v>
      </c>
      <c r="Q153" s="28" t="n">
        <f aca="false">$D$31*I153*F153</f>
        <v>0</v>
      </c>
      <c r="R153" s="28" t="n">
        <f aca="false">$D$32*I153*F153</f>
        <v>0</v>
      </c>
      <c r="S153" s="28" t="n">
        <f aca="false">IF(AND(F153&gt;0,E153=0),($D$33+$D$36)*H153+($D$34+$D$35)*I153,0)</f>
        <v>0</v>
      </c>
      <c r="T153" s="28" t="n">
        <f aca="false">SUM(J153:S153)</f>
        <v>0</v>
      </c>
      <c r="U153" s="28" t="n">
        <f aca="false">T153*Cont</f>
        <v>0</v>
      </c>
      <c r="V153" s="28" t="n">
        <f aca="false">MIN(J153,J153*$D$43)</f>
        <v>0</v>
      </c>
      <c r="W153" s="40" t="n">
        <f aca="false">$D$55*(1+FxDrift)^(A153-1)</f>
        <v>1</v>
      </c>
      <c r="X153" s="28" t="n">
        <f aca="false">(T153+U153)*W153</f>
        <v>0</v>
      </c>
      <c r="Y153" s="28" t="n">
        <f aca="false">IF(B153=1,MIN(X153,V153*W153+IF(F153&gt;0,$D$44*F153,0)),0)</f>
        <v>0</v>
      </c>
      <c r="Z153" s="41" t="n">
        <f aca="false">IF(B153=1,MAX(0,X153-(V153*W153+IF(F153&gt;0,$D$44*F153,0))),0)</f>
        <v>0</v>
      </c>
      <c r="AA153" s="28" t="n">
        <f aca="false">IF(B153=1,(J153+K153)*W153,0)</f>
        <v>0</v>
      </c>
      <c r="AB153" s="28" t="n">
        <f aca="false">IF(B153=1,SUM(L153:R153)*W153,0)</f>
        <v>0</v>
      </c>
      <c r="AC153" s="28" t="n">
        <f aca="false">IF(B153=1,(S153+U153)*W153,0)</f>
        <v>0</v>
      </c>
    </row>
    <row r="154" customFormat="false" ht="15" hidden="false" customHeight="false" outlineLevel="0" collapsed="false">
      <c r="A154" s="27" t="n">
        <v>29</v>
      </c>
      <c r="B154" s="27" t="n">
        <f aca="false">IF(AND(A154&lt;=$D$52,$D$47=1),1,0)</f>
        <v>0</v>
      </c>
      <c r="C154" s="27" t="str">
        <f aca="false">IF(B154=1,$D$7+A154-1,"")</f>
        <v/>
      </c>
      <c r="D154" s="28" t="str">
        <f aca="false">(PlanStartYear+A154-1)&amp;"/"&amp;RIGHT(PlanStartYear+A154,2)</f>
        <v>2054/55</v>
      </c>
      <c r="E154" s="27" t="n">
        <f aca="false">A154-1-$D$49</f>
        <v>16</v>
      </c>
      <c r="F154" s="39" t="n">
        <f aca="false">IF(AND(B154=1,E154&gt;=0,E154&lt;$D$50),MIN(1,$D$37-E154),0)</f>
        <v>0</v>
      </c>
      <c r="G154" s="27" t="n">
        <f aca="false">(A154-1)+$D$54</f>
        <v>27</v>
      </c>
      <c r="H154" s="40" t="n">
        <f aca="false">(1+TuiInf)^G154</f>
        <v>13.1099941915</v>
      </c>
      <c r="I154" s="40" t="n">
        <f aca="false">(1+LivInf)^G154</f>
        <v>7.98806146887022</v>
      </c>
      <c r="J154" s="28" t="n">
        <f aca="false">$D$24*H154*F154</f>
        <v>0</v>
      </c>
      <c r="K154" s="28" t="n">
        <f aca="false">$D$25*H154*F154</f>
        <v>0</v>
      </c>
      <c r="L154" s="28" t="n">
        <f aca="false">$D$26*I154*F154</f>
        <v>0</v>
      </c>
      <c r="M154" s="28" t="n">
        <f aca="false">$D$27*I154*F154</f>
        <v>0</v>
      </c>
      <c r="N154" s="28" t="n">
        <f aca="false">$D$28*I154*F154</f>
        <v>0</v>
      </c>
      <c r="O154" s="28" t="n">
        <f aca="false">$D$29*I154*F154</f>
        <v>0</v>
      </c>
      <c r="P154" s="28" t="n">
        <f aca="false">$D$30*I154*F154</f>
        <v>0</v>
      </c>
      <c r="Q154" s="28" t="n">
        <f aca="false">$D$31*I154*F154</f>
        <v>0</v>
      </c>
      <c r="R154" s="28" t="n">
        <f aca="false">$D$32*I154*F154</f>
        <v>0</v>
      </c>
      <c r="S154" s="28" t="n">
        <f aca="false">IF(AND(F154&gt;0,E154=0),($D$33+$D$36)*H154+($D$34+$D$35)*I154,0)</f>
        <v>0</v>
      </c>
      <c r="T154" s="28" t="n">
        <f aca="false">SUM(J154:S154)</f>
        <v>0</v>
      </c>
      <c r="U154" s="28" t="n">
        <f aca="false">T154*Cont</f>
        <v>0</v>
      </c>
      <c r="V154" s="28" t="n">
        <f aca="false">MIN(J154,J154*$D$43)</f>
        <v>0</v>
      </c>
      <c r="W154" s="40" t="n">
        <f aca="false">$D$55*(1+FxDrift)^(A154-1)</f>
        <v>1</v>
      </c>
      <c r="X154" s="28" t="n">
        <f aca="false">(T154+U154)*W154</f>
        <v>0</v>
      </c>
      <c r="Y154" s="28" t="n">
        <f aca="false">IF(B154=1,MIN(X154,V154*W154+IF(F154&gt;0,$D$44*F154,0)),0)</f>
        <v>0</v>
      </c>
      <c r="Z154" s="41" t="n">
        <f aca="false">IF(B154=1,MAX(0,X154-(V154*W154+IF(F154&gt;0,$D$44*F154,0))),0)</f>
        <v>0</v>
      </c>
      <c r="AA154" s="28" t="n">
        <f aca="false">IF(B154=1,(J154+K154)*W154,0)</f>
        <v>0</v>
      </c>
      <c r="AB154" s="28" t="n">
        <f aca="false">IF(B154=1,SUM(L154:R154)*W154,0)</f>
        <v>0</v>
      </c>
      <c r="AC154" s="28" t="n">
        <f aca="false">IF(B154=1,(S154+U154)*W154,0)</f>
        <v>0</v>
      </c>
    </row>
    <row r="155" customFormat="false" ht="15" hidden="false" customHeight="false" outlineLevel="0" collapsed="false">
      <c r="A155" s="27" t="n">
        <v>30</v>
      </c>
      <c r="B155" s="27" t="n">
        <f aca="false">IF(AND(A155&lt;=$D$52,$D$47=1),1,0)</f>
        <v>0</v>
      </c>
      <c r="C155" s="27" t="str">
        <f aca="false">IF(B155=1,$D$7+A155-1,"")</f>
        <v/>
      </c>
      <c r="D155" s="28" t="str">
        <f aca="false">(PlanStartYear+A155-1)&amp;"/"&amp;RIGHT(PlanStartYear+A155,2)</f>
        <v>2055/56</v>
      </c>
      <c r="E155" s="27" t="n">
        <f aca="false">A155-1-$D$49</f>
        <v>17</v>
      </c>
      <c r="F155" s="39" t="n">
        <f aca="false">IF(AND(B155=1,E155&gt;=0,E155&lt;$D$50),MIN(1,$D$37-E155),0)</f>
        <v>0</v>
      </c>
      <c r="G155" s="27" t="n">
        <f aca="false">(A155-1)+$D$54</f>
        <v>28</v>
      </c>
      <c r="H155" s="40" t="n">
        <f aca="false">(1+TuiInf)^G155</f>
        <v>14.42099361065</v>
      </c>
      <c r="I155" s="40" t="n">
        <f aca="false">(1+LivInf)^G155</f>
        <v>8.62710638637984</v>
      </c>
      <c r="J155" s="28" t="n">
        <f aca="false">$D$24*H155*F155</f>
        <v>0</v>
      </c>
      <c r="K155" s="28" t="n">
        <f aca="false">$D$25*H155*F155</f>
        <v>0</v>
      </c>
      <c r="L155" s="28" t="n">
        <f aca="false">$D$26*I155*F155</f>
        <v>0</v>
      </c>
      <c r="M155" s="28" t="n">
        <f aca="false">$D$27*I155*F155</f>
        <v>0</v>
      </c>
      <c r="N155" s="28" t="n">
        <f aca="false">$D$28*I155*F155</f>
        <v>0</v>
      </c>
      <c r="O155" s="28" t="n">
        <f aca="false">$D$29*I155*F155</f>
        <v>0</v>
      </c>
      <c r="P155" s="28" t="n">
        <f aca="false">$D$30*I155*F155</f>
        <v>0</v>
      </c>
      <c r="Q155" s="28" t="n">
        <f aca="false">$D$31*I155*F155</f>
        <v>0</v>
      </c>
      <c r="R155" s="28" t="n">
        <f aca="false">$D$32*I155*F155</f>
        <v>0</v>
      </c>
      <c r="S155" s="28" t="n">
        <f aca="false">IF(AND(F155&gt;0,E155=0),($D$33+$D$36)*H155+($D$34+$D$35)*I155,0)</f>
        <v>0</v>
      </c>
      <c r="T155" s="28" t="n">
        <f aca="false">SUM(J155:S155)</f>
        <v>0</v>
      </c>
      <c r="U155" s="28" t="n">
        <f aca="false">T155*Cont</f>
        <v>0</v>
      </c>
      <c r="V155" s="28" t="n">
        <f aca="false">MIN(J155,J155*$D$43)</f>
        <v>0</v>
      </c>
      <c r="W155" s="40" t="n">
        <f aca="false">$D$55*(1+FxDrift)^(A155-1)</f>
        <v>1</v>
      </c>
      <c r="X155" s="28" t="n">
        <f aca="false">(T155+U155)*W155</f>
        <v>0</v>
      </c>
      <c r="Y155" s="28" t="n">
        <f aca="false">IF(B155=1,MIN(X155,V155*W155+IF(F155&gt;0,$D$44*F155,0)),0)</f>
        <v>0</v>
      </c>
      <c r="Z155" s="41" t="n">
        <f aca="false">IF(B155=1,MAX(0,X155-(V155*W155+IF(F155&gt;0,$D$44*F155,0))),0)</f>
        <v>0</v>
      </c>
      <c r="AA155" s="28" t="n">
        <f aca="false">IF(B155=1,(J155+K155)*W155,0)</f>
        <v>0</v>
      </c>
      <c r="AB155" s="28" t="n">
        <f aca="false">IF(B155=1,SUM(L155:R155)*W155,0)</f>
        <v>0</v>
      </c>
      <c r="AC155" s="28" t="n">
        <f aca="false">IF(B155=1,(S155+U155)*W155,0)</f>
        <v>0</v>
      </c>
    </row>
    <row r="156" customFormat="false" ht="15" hidden="false" customHeight="false" outlineLevel="0" collapsed="false">
      <c r="A156" s="27" t="n">
        <v>31</v>
      </c>
      <c r="B156" s="27" t="n">
        <f aca="false">IF(AND(A156&lt;=$D$52,$D$47=1),1,0)</f>
        <v>0</v>
      </c>
      <c r="C156" s="27" t="str">
        <f aca="false">IF(B156=1,$D$7+A156-1,"")</f>
        <v/>
      </c>
      <c r="D156" s="28" t="str">
        <f aca="false">(PlanStartYear+A156-1)&amp;"/"&amp;RIGHT(PlanStartYear+A156,2)</f>
        <v>2056/57</v>
      </c>
      <c r="E156" s="27" t="n">
        <f aca="false">A156-1-$D$49</f>
        <v>18</v>
      </c>
      <c r="F156" s="39" t="n">
        <f aca="false">IF(AND(B156=1,E156&gt;=0,E156&lt;$D$50),MIN(1,$D$37-E156),0)</f>
        <v>0</v>
      </c>
      <c r="G156" s="27" t="n">
        <f aca="false">(A156-1)+$D$54</f>
        <v>29</v>
      </c>
      <c r="H156" s="40" t="n">
        <f aca="false">(1+TuiInf)^G156</f>
        <v>15.863092971715</v>
      </c>
      <c r="I156" s="40" t="n">
        <f aca="false">(1+LivInf)^G156</f>
        <v>9.31727489729023</v>
      </c>
      <c r="J156" s="28" t="n">
        <f aca="false">$D$24*H156*F156</f>
        <v>0</v>
      </c>
      <c r="K156" s="28" t="n">
        <f aca="false">$D$25*H156*F156</f>
        <v>0</v>
      </c>
      <c r="L156" s="28" t="n">
        <f aca="false">$D$26*I156*F156</f>
        <v>0</v>
      </c>
      <c r="M156" s="28" t="n">
        <f aca="false">$D$27*I156*F156</f>
        <v>0</v>
      </c>
      <c r="N156" s="28" t="n">
        <f aca="false">$D$28*I156*F156</f>
        <v>0</v>
      </c>
      <c r="O156" s="28" t="n">
        <f aca="false">$D$29*I156*F156</f>
        <v>0</v>
      </c>
      <c r="P156" s="28" t="n">
        <f aca="false">$D$30*I156*F156</f>
        <v>0</v>
      </c>
      <c r="Q156" s="28" t="n">
        <f aca="false">$D$31*I156*F156</f>
        <v>0</v>
      </c>
      <c r="R156" s="28" t="n">
        <f aca="false">$D$32*I156*F156</f>
        <v>0</v>
      </c>
      <c r="S156" s="28" t="n">
        <f aca="false">IF(AND(F156&gt;0,E156=0),($D$33+$D$36)*H156+($D$34+$D$35)*I156,0)</f>
        <v>0</v>
      </c>
      <c r="T156" s="28" t="n">
        <f aca="false">SUM(J156:S156)</f>
        <v>0</v>
      </c>
      <c r="U156" s="28" t="n">
        <f aca="false">T156*Cont</f>
        <v>0</v>
      </c>
      <c r="V156" s="28" t="n">
        <f aca="false">MIN(J156,J156*$D$43)</f>
        <v>0</v>
      </c>
      <c r="W156" s="40" t="n">
        <f aca="false">$D$55*(1+FxDrift)^(A156-1)</f>
        <v>1</v>
      </c>
      <c r="X156" s="28" t="n">
        <f aca="false">(T156+U156)*W156</f>
        <v>0</v>
      </c>
      <c r="Y156" s="28" t="n">
        <f aca="false">IF(B156=1,MIN(X156,V156*W156+IF(F156&gt;0,$D$44*F156,0)),0)</f>
        <v>0</v>
      </c>
      <c r="Z156" s="41" t="n">
        <f aca="false">IF(B156=1,MAX(0,X156-(V156*W156+IF(F156&gt;0,$D$44*F156,0))),0)</f>
        <v>0</v>
      </c>
      <c r="AA156" s="28" t="n">
        <f aca="false">IF(B156=1,(J156+K156)*W156,0)</f>
        <v>0</v>
      </c>
      <c r="AB156" s="28" t="n">
        <f aca="false">IF(B156=1,SUM(L156:R156)*W156,0)</f>
        <v>0</v>
      </c>
      <c r="AC156" s="28" t="n">
        <f aca="false">IF(B156=1,(S156+U156)*W156,0)</f>
        <v>0</v>
      </c>
    </row>
    <row r="157" customFormat="false" ht="15" hidden="false" customHeight="false" outlineLevel="0" collapsed="false">
      <c r="A157" s="27" t="n">
        <v>32</v>
      </c>
      <c r="B157" s="27" t="n">
        <f aca="false">IF(AND(A157&lt;=$D$52,$D$47=1),1,0)</f>
        <v>0</v>
      </c>
      <c r="C157" s="27" t="str">
        <f aca="false">IF(B157=1,$D$7+A157-1,"")</f>
        <v/>
      </c>
      <c r="D157" s="28" t="str">
        <f aca="false">(PlanStartYear+A157-1)&amp;"/"&amp;RIGHT(PlanStartYear+A157,2)</f>
        <v>2057/58</v>
      </c>
      <c r="E157" s="27" t="n">
        <f aca="false">A157-1-$D$49</f>
        <v>19</v>
      </c>
      <c r="F157" s="39" t="n">
        <f aca="false">IF(AND(B157=1,E157&gt;=0,E157&lt;$D$50),MIN(1,$D$37-E157),0)</f>
        <v>0</v>
      </c>
      <c r="G157" s="27" t="n">
        <f aca="false">(A157-1)+$D$54</f>
        <v>30</v>
      </c>
      <c r="H157" s="40" t="n">
        <f aca="false">(1+TuiInf)^G157</f>
        <v>17.4494022688865</v>
      </c>
      <c r="I157" s="40" t="n">
        <f aca="false">(1+LivInf)^G157</f>
        <v>10.0626568890735</v>
      </c>
      <c r="J157" s="28" t="n">
        <f aca="false">$D$24*H157*F157</f>
        <v>0</v>
      </c>
      <c r="K157" s="28" t="n">
        <f aca="false">$D$25*H157*F157</f>
        <v>0</v>
      </c>
      <c r="L157" s="28" t="n">
        <f aca="false">$D$26*I157*F157</f>
        <v>0</v>
      </c>
      <c r="M157" s="28" t="n">
        <f aca="false">$D$27*I157*F157</f>
        <v>0</v>
      </c>
      <c r="N157" s="28" t="n">
        <f aca="false">$D$28*I157*F157</f>
        <v>0</v>
      </c>
      <c r="O157" s="28" t="n">
        <f aca="false">$D$29*I157*F157</f>
        <v>0</v>
      </c>
      <c r="P157" s="28" t="n">
        <f aca="false">$D$30*I157*F157</f>
        <v>0</v>
      </c>
      <c r="Q157" s="28" t="n">
        <f aca="false">$D$31*I157*F157</f>
        <v>0</v>
      </c>
      <c r="R157" s="28" t="n">
        <f aca="false">$D$32*I157*F157</f>
        <v>0</v>
      </c>
      <c r="S157" s="28" t="n">
        <f aca="false">IF(AND(F157&gt;0,E157=0),($D$33+$D$36)*H157+($D$34+$D$35)*I157,0)</f>
        <v>0</v>
      </c>
      <c r="T157" s="28" t="n">
        <f aca="false">SUM(J157:S157)</f>
        <v>0</v>
      </c>
      <c r="U157" s="28" t="n">
        <f aca="false">T157*Cont</f>
        <v>0</v>
      </c>
      <c r="V157" s="28" t="n">
        <f aca="false">MIN(J157,J157*$D$43)</f>
        <v>0</v>
      </c>
      <c r="W157" s="40" t="n">
        <f aca="false">$D$55*(1+FxDrift)^(A157-1)</f>
        <v>1</v>
      </c>
      <c r="X157" s="28" t="n">
        <f aca="false">(T157+U157)*W157</f>
        <v>0</v>
      </c>
      <c r="Y157" s="28" t="n">
        <f aca="false">IF(B157=1,MIN(X157,V157*W157+IF(F157&gt;0,$D$44*F157,0)),0)</f>
        <v>0</v>
      </c>
      <c r="Z157" s="41" t="n">
        <f aca="false">IF(B157=1,MAX(0,X157-(V157*W157+IF(F157&gt;0,$D$44*F157,0))),0)</f>
        <v>0</v>
      </c>
      <c r="AA157" s="28" t="n">
        <f aca="false">IF(B157=1,(J157+K157)*W157,0)</f>
        <v>0</v>
      </c>
      <c r="AB157" s="28" t="n">
        <f aca="false">IF(B157=1,SUM(L157:R157)*W157,0)</f>
        <v>0</v>
      </c>
      <c r="AC157" s="28" t="n">
        <f aca="false">IF(B157=1,(S157+U157)*W157,0)</f>
        <v>0</v>
      </c>
    </row>
    <row r="158" customFormat="false" ht="15" hidden="false" customHeight="false" outlineLevel="0" collapsed="false">
      <c r="A158" s="27" t="n">
        <v>33</v>
      </c>
      <c r="B158" s="27" t="n">
        <f aca="false">IF(AND(A158&lt;=$D$52,$D$47=1),1,0)</f>
        <v>0</v>
      </c>
      <c r="C158" s="27" t="str">
        <f aca="false">IF(B158=1,$D$7+A158-1,"")</f>
        <v/>
      </c>
      <c r="D158" s="28" t="str">
        <f aca="false">(PlanStartYear+A158-1)&amp;"/"&amp;RIGHT(PlanStartYear+A158,2)</f>
        <v>2058/59</v>
      </c>
      <c r="E158" s="27" t="n">
        <f aca="false">A158-1-$D$49</f>
        <v>20</v>
      </c>
      <c r="F158" s="39" t="n">
        <f aca="false">IF(AND(B158=1,E158&gt;=0,E158&lt;$D$50),MIN(1,$D$37-E158),0)</f>
        <v>0</v>
      </c>
      <c r="G158" s="27" t="n">
        <f aca="false">(A158-1)+$D$54</f>
        <v>31</v>
      </c>
      <c r="H158" s="40" t="n">
        <f aca="false">(1+TuiInf)^G158</f>
        <v>19.1943424957751</v>
      </c>
      <c r="I158" s="40" t="n">
        <f aca="false">(1+LivInf)^G158</f>
        <v>10.8676694401993</v>
      </c>
      <c r="J158" s="28" t="n">
        <f aca="false">$D$24*H158*F158</f>
        <v>0</v>
      </c>
      <c r="K158" s="28" t="n">
        <f aca="false">$D$25*H158*F158</f>
        <v>0</v>
      </c>
      <c r="L158" s="28" t="n">
        <f aca="false">$D$26*I158*F158</f>
        <v>0</v>
      </c>
      <c r="M158" s="28" t="n">
        <f aca="false">$D$27*I158*F158</f>
        <v>0</v>
      </c>
      <c r="N158" s="28" t="n">
        <f aca="false">$D$28*I158*F158</f>
        <v>0</v>
      </c>
      <c r="O158" s="28" t="n">
        <f aca="false">$D$29*I158*F158</f>
        <v>0</v>
      </c>
      <c r="P158" s="28" t="n">
        <f aca="false">$D$30*I158*F158</f>
        <v>0</v>
      </c>
      <c r="Q158" s="28" t="n">
        <f aca="false">$D$31*I158*F158</f>
        <v>0</v>
      </c>
      <c r="R158" s="28" t="n">
        <f aca="false">$D$32*I158*F158</f>
        <v>0</v>
      </c>
      <c r="S158" s="28" t="n">
        <f aca="false">IF(AND(F158&gt;0,E158=0),($D$33+$D$36)*H158+($D$34+$D$35)*I158,0)</f>
        <v>0</v>
      </c>
      <c r="T158" s="28" t="n">
        <f aca="false">SUM(J158:S158)</f>
        <v>0</v>
      </c>
      <c r="U158" s="28" t="n">
        <f aca="false">T158*Cont</f>
        <v>0</v>
      </c>
      <c r="V158" s="28" t="n">
        <f aca="false">MIN(J158,J158*$D$43)</f>
        <v>0</v>
      </c>
      <c r="W158" s="40" t="n">
        <f aca="false">$D$55*(1+FxDrift)^(A158-1)</f>
        <v>1</v>
      </c>
      <c r="X158" s="28" t="n">
        <f aca="false">(T158+U158)*W158</f>
        <v>0</v>
      </c>
      <c r="Y158" s="28" t="n">
        <f aca="false">IF(B158=1,MIN(X158,V158*W158+IF(F158&gt;0,$D$44*F158,0)),0)</f>
        <v>0</v>
      </c>
      <c r="Z158" s="41" t="n">
        <f aca="false">IF(B158=1,MAX(0,X158-(V158*W158+IF(F158&gt;0,$D$44*F158,0))),0)</f>
        <v>0</v>
      </c>
      <c r="AA158" s="28" t="n">
        <f aca="false">IF(B158=1,(J158+K158)*W158,0)</f>
        <v>0</v>
      </c>
      <c r="AB158" s="28" t="n">
        <f aca="false">IF(B158=1,SUM(L158:R158)*W158,0)</f>
        <v>0</v>
      </c>
      <c r="AC158" s="28" t="n">
        <f aca="false">IF(B158=1,(S158+U158)*W158,0)</f>
        <v>0</v>
      </c>
    </row>
    <row r="159" customFormat="false" ht="15" hidden="false" customHeight="false" outlineLevel="0" collapsed="false">
      <c r="A159" s="27" t="n">
        <v>34</v>
      </c>
      <c r="B159" s="27" t="n">
        <f aca="false">IF(AND(A159&lt;=$D$52,$D$47=1),1,0)</f>
        <v>0</v>
      </c>
      <c r="C159" s="27" t="str">
        <f aca="false">IF(B159=1,$D$7+A159-1,"")</f>
        <v/>
      </c>
      <c r="D159" s="28" t="str">
        <f aca="false">(PlanStartYear+A159-1)&amp;"/"&amp;RIGHT(PlanStartYear+A159,2)</f>
        <v>2059/60</v>
      </c>
      <c r="E159" s="27" t="n">
        <f aca="false">A159-1-$D$49</f>
        <v>21</v>
      </c>
      <c r="F159" s="39" t="n">
        <f aca="false">IF(AND(B159=1,E159&gt;=0,E159&lt;$D$50),MIN(1,$D$37-E159),0)</f>
        <v>0</v>
      </c>
      <c r="G159" s="27" t="n">
        <f aca="false">(A159-1)+$D$54</f>
        <v>32</v>
      </c>
      <c r="H159" s="40" t="n">
        <f aca="false">(1+TuiInf)^G159</f>
        <v>21.1137767453526</v>
      </c>
      <c r="I159" s="40" t="n">
        <f aca="false">(1+LivInf)^G159</f>
        <v>11.7370829954153</v>
      </c>
      <c r="J159" s="28" t="n">
        <f aca="false">$D$24*H159*F159</f>
        <v>0</v>
      </c>
      <c r="K159" s="28" t="n">
        <f aca="false">$D$25*H159*F159</f>
        <v>0</v>
      </c>
      <c r="L159" s="28" t="n">
        <f aca="false">$D$26*I159*F159</f>
        <v>0</v>
      </c>
      <c r="M159" s="28" t="n">
        <f aca="false">$D$27*I159*F159</f>
        <v>0</v>
      </c>
      <c r="N159" s="28" t="n">
        <f aca="false">$D$28*I159*F159</f>
        <v>0</v>
      </c>
      <c r="O159" s="28" t="n">
        <f aca="false">$D$29*I159*F159</f>
        <v>0</v>
      </c>
      <c r="P159" s="28" t="n">
        <f aca="false">$D$30*I159*F159</f>
        <v>0</v>
      </c>
      <c r="Q159" s="28" t="n">
        <f aca="false">$D$31*I159*F159</f>
        <v>0</v>
      </c>
      <c r="R159" s="28" t="n">
        <f aca="false">$D$32*I159*F159</f>
        <v>0</v>
      </c>
      <c r="S159" s="28" t="n">
        <f aca="false">IF(AND(F159&gt;0,E159=0),($D$33+$D$36)*H159+($D$34+$D$35)*I159,0)</f>
        <v>0</v>
      </c>
      <c r="T159" s="28" t="n">
        <f aca="false">SUM(J159:S159)</f>
        <v>0</v>
      </c>
      <c r="U159" s="28" t="n">
        <f aca="false">T159*Cont</f>
        <v>0</v>
      </c>
      <c r="V159" s="28" t="n">
        <f aca="false">MIN(J159,J159*$D$43)</f>
        <v>0</v>
      </c>
      <c r="W159" s="40" t="n">
        <f aca="false">$D$55*(1+FxDrift)^(A159-1)</f>
        <v>1</v>
      </c>
      <c r="X159" s="28" t="n">
        <f aca="false">(T159+U159)*W159</f>
        <v>0</v>
      </c>
      <c r="Y159" s="28" t="n">
        <f aca="false">IF(B159=1,MIN(X159,V159*W159+IF(F159&gt;0,$D$44*F159,0)),0)</f>
        <v>0</v>
      </c>
      <c r="Z159" s="41" t="n">
        <f aca="false">IF(B159=1,MAX(0,X159-(V159*W159+IF(F159&gt;0,$D$44*F159,0))),0)</f>
        <v>0</v>
      </c>
      <c r="AA159" s="28" t="n">
        <f aca="false">IF(B159=1,(J159+K159)*W159,0)</f>
        <v>0</v>
      </c>
      <c r="AB159" s="28" t="n">
        <f aca="false">IF(B159=1,SUM(L159:R159)*W159,0)</f>
        <v>0</v>
      </c>
      <c r="AC159" s="28" t="n">
        <f aca="false">IF(B159=1,(S159+U159)*W159,0)</f>
        <v>0</v>
      </c>
    </row>
    <row r="160" customFormat="false" ht="15" hidden="false" customHeight="false" outlineLevel="0" collapsed="false">
      <c r="A160" s="27" t="n">
        <v>35</v>
      </c>
      <c r="B160" s="27" t="n">
        <f aca="false">IF(AND(A160&lt;=$D$52,$D$47=1),1,0)</f>
        <v>0</v>
      </c>
      <c r="C160" s="27" t="str">
        <f aca="false">IF(B160=1,$D$7+A160-1,"")</f>
        <v/>
      </c>
      <c r="D160" s="28" t="str">
        <f aca="false">(PlanStartYear+A160-1)&amp;"/"&amp;RIGHT(PlanStartYear+A160,2)</f>
        <v>2060/61</v>
      </c>
      <c r="E160" s="27" t="n">
        <f aca="false">A160-1-$D$49</f>
        <v>22</v>
      </c>
      <c r="F160" s="39" t="n">
        <f aca="false">IF(AND(B160=1,E160&gt;=0,E160&lt;$D$50),MIN(1,$D$37-E160),0)</f>
        <v>0</v>
      </c>
      <c r="G160" s="27" t="n">
        <f aca="false">(A160-1)+$D$54</f>
        <v>33</v>
      </c>
      <c r="H160" s="40" t="n">
        <f aca="false">(1+TuiInf)^G160</f>
        <v>23.2251544198879</v>
      </c>
      <c r="I160" s="40" t="n">
        <f aca="false">(1+LivInf)^G160</f>
        <v>12.6760496350485</v>
      </c>
      <c r="J160" s="28" t="n">
        <f aca="false">$D$24*H160*F160</f>
        <v>0</v>
      </c>
      <c r="K160" s="28" t="n">
        <f aca="false">$D$25*H160*F160</f>
        <v>0</v>
      </c>
      <c r="L160" s="28" t="n">
        <f aca="false">$D$26*I160*F160</f>
        <v>0</v>
      </c>
      <c r="M160" s="28" t="n">
        <f aca="false">$D$27*I160*F160</f>
        <v>0</v>
      </c>
      <c r="N160" s="28" t="n">
        <f aca="false">$D$28*I160*F160</f>
        <v>0</v>
      </c>
      <c r="O160" s="28" t="n">
        <f aca="false">$D$29*I160*F160</f>
        <v>0</v>
      </c>
      <c r="P160" s="28" t="n">
        <f aca="false">$D$30*I160*F160</f>
        <v>0</v>
      </c>
      <c r="Q160" s="28" t="n">
        <f aca="false">$D$31*I160*F160</f>
        <v>0</v>
      </c>
      <c r="R160" s="28" t="n">
        <f aca="false">$D$32*I160*F160</f>
        <v>0</v>
      </c>
      <c r="S160" s="28" t="n">
        <f aca="false">IF(AND(F160&gt;0,E160=0),($D$33+$D$36)*H160+($D$34+$D$35)*I160,0)</f>
        <v>0</v>
      </c>
      <c r="T160" s="28" t="n">
        <f aca="false">SUM(J160:S160)</f>
        <v>0</v>
      </c>
      <c r="U160" s="28" t="n">
        <f aca="false">T160*Cont</f>
        <v>0</v>
      </c>
      <c r="V160" s="28" t="n">
        <f aca="false">MIN(J160,J160*$D$43)</f>
        <v>0</v>
      </c>
      <c r="W160" s="40" t="n">
        <f aca="false">$D$55*(1+FxDrift)^(A160-1)</f>
        <v>1</v>
      </c>
      <c r="X160" s="28" t="n">
        <f aca="false">(T160+U160)*W160</f>
        <v>0</v>
      </c>
      <c r="Y160" s="28" t="n">
        <f aca="false">IF(B160=1,MIN(X160,V160*W160+IF(F160&gt;0,$D$44*F160,0)),0)</f>
        <v>0</v>
      </c>
      <c r="Z160" s="41" t="n">
        <f aca="false">IF(B160=1,MAX(0,X160-(V160*W160+IF(F160&gt;0,$D$44*F160,0))),0)</f>
        <v>0</v>
      </c>
      <c r="AA160" s="28" t="n">
        <f aca="false">IF(B160=1,(J160+K160)*W160,0)</f>
        <v>0</v>
      </c>
      <c r="AB160" s="28" t="n">
        <f aca="false">IF(B160=1,SUM(L160:R160)*W160,0)</f>
        <v>0</v>
      </c>
      <c r="AC160" s="28" t="n">
        <f aca="false">IF(B160=1,(S160+U160)*W160,0)</f>
        <v>0</v>
      </c>
    </row>
    <row r="161" customFormat="false" ht="15" hidden="false" customHeight="false" outlineLevel="0" collapsed="false">
      <c r="A161" s="27" t="n">
        <v>36</v>
      </c>
      <c r="B161" s="27" t="n">
        <f aca="false">IF(AND(A161&lt;=$D$52,$D$47=1),1,0)</f>
        <v>0</v>
      </c>
      <c r="C161" s="27" t="str">
        <f aca="false">IF(B161=1,$D$7+A161-1,"")</f>
        <v/>
      </c>
      <c r="D161" s="28" t="str">
        <f aca="false">(PlanStartYear+A161-1)&amp;"/"&amp;RIGHT(PlanStartYear+A161,2)</f>
        <v>2061/62</v>
      </c>
      <c r="E161" s="27" t="n">
        <f aca="false">A161-1-$D$49</f>
        <v>23</v>
      </c>
      <c r="F161" s="39" t="n">
        <f aca="false">IF(AND(B161=1,E161&gt;=0,E161&lt;$D$50),MIN(1,$D$37-E161),0)</f>
        <v>0</v>
      </c>
      <c r="G161" s="27" t="n">
        <f aca="false">(A161-1)+$D$54</f>
        <v>34</v>
      </c>
      <c r="H161" s="40" t="n">
        <f aca="false">(1+TuiInf)^G161</f>
        <v>25.5476698618767</v>
      </c>
      <c r="I161" s="40" t="n">
        <f aca="false">(1+LivInf)^G161</f>
        <v>13.6901336058524</v>
      </c>
      <c r="J161" s="28" t="n">
        <f aca="false">$D$24*H161*F161</f>
        <v>0</v>
      </c>
      <c r="K161" s="28" t="n">
        <f aca="false">$D$25*H161*F161</f>
        <v>0</v>
      </c>
      <c r="L161" s="28" t="n">
        <f aca="false">$D$26*I161*F161</f>
        <v>0</v>
      </c>
      <c r="M161" s="28" t="n">
        <f aca="false">$D$27*I161*F161</f>
        <v>0</v>
      </c>
      <c r="N161" s="28" t="n">
        <f aca="false">$D$28*I161*F161</f>
        <v>0</v>
      </c>
      <c r="O161" s="28" t="n">
        <f aca="false">$D$29*I161*F161</f>
        <v>0</v>
      </c>
      <c r="P161" s="28" t="n">
        <f aca="false">$D$30*I161*F161</f>
        <v>0</v>
      </c>
      <c r="Q161" s="28" t="n">
        <f aca="false">$D$31*I161*F161</f>
        <v>0</v>
      </c>
      <c r="R161" s="28" t="n">
        <f aca="false">$D$32*I161*F161</f>
        <v>0</v>
      </c>
      <c r="S161" s="28" t="n">
        <f aca="false">IF(AND(F161&gt;0,E161=0),($D$33+$D$36)*H161+($D$34+$D$35)*I161,0)</f>
        <v>0</v>
      </c>
      <c r="T161" s="28" t="n">
        <f aca="false">SUM(J161:S161)</f>
        <v>0</v>
      </c>
      <c r="U161" s="28" t="n">
        <f aca="false">T161*Cont</f>
        <v>0</v>
      </c>
      <c r="V161" s="28" t="n">
        <f aca="false">MIN(J161,J161*$D$43)</f>
        <v>0</v>
      </c>
      <c r="W161" s="40" t="n">
        <f aca="false">$D$55*(1+FxDrift)^(A161-1)</f>
        <v>1</v>
      </c>
      <c r="X161" s="28" t="n">
        <f aca="false">(T161+U161)*W161</f>
        <v>0</v>
      </c>
      <c r="Y161" s="28" t="n">
        <f aca="false">IF(B161=1,MIN(X161,V161*W161+IF(F161&gt;0,$D$44*F161,0)),0)</f>
        <v>0</v>
      </c>
      <c r="Z161" s="41" t="n">
        <f aca="false">IF(B161=1,MAX(0,X161-(V161*W161+IF(F161&gt;0,$D$44*F161,0))),0)</f>
        <v>0</v>
      </c>
      <c r="AA161" s="28" t="n">
        <f aca="false">IF(B161=1,(J161+K161)*W161,0)</f>
        <v>0</v>
      </c>
      <c r="AB161" s="28" t="n">
        <f aca="false">IF(B161=1,SUM(L161:R161)*W161,0)</f>
        <v>0</v>
      </c>
      <c r="AC161" s="28" t="n">
        <f aca="false">IF(B161=1,(S161+U161)*W161,0)</f>
        <v>0</v>
      </c>
    </row>
    <row r="162" customFormat="false" ht="15" hidden="false" customHeight="false" outlineLevel="0" collapsed="false">
      <c r="A162" s="27" t="n">
        <v>37</v>
      </c>
      <c r="B162" s="27" t="n">
        <f aca="false">IF(AND(A162&lt;=$D$52,$D$47=1),1,0)</f>
        <v>0</v>
      </c>
      <c r="C162" s="27" t="str">
        <f aca="false">IF(B162=1,$D$7+A162-1,"")</f>
        <v/>
      </c>
      <c r="D162" s="28" t="str">
        <f aca="false">(PlanStartYear+A162-1)&amp;"/"&amp;RIGHT(PlanStartYear+A162,2)</f>
        <v>2062/63</v>
      </c>
      <c r="E162" s="27" t="n">
        <f aca="false">A162-1-$D$49</f>
        <v>24</v>
      </c>
      <c r="F162" s="39" t="n">
        <f aca="false">IF(AND(B162=1,E162&gt;=0,E162&lt;$D$50),MIN(1,$D$37-E162),0)</f>
        <v>0</v>
      </c>
      <c r="G162" s="27" t="n">
        <f aca="false">(A162-1)+$D$54</f>
        <v>35</v>
      </c>
      <c r="H162" s="40" t="n">
        <f aca="false">(1+TuiInf)^G162</f>
        <v>28.1024368480643</v>
      </c>
      <c r="I162" s="40" t="n">
        <f aca="false">(1+LivInf)^G162</f>
        <v>14.7853442943206</v>
      </c>
      <c r="J162" s="28" t="n">
        <f aca="false">$D$24*H162*F162</f>
        <v>0</v>
      </c>
      <c r="K162" s="28" t="n">
        <f aca="false">$D$25*H162*F162</f>
        <v>0</v>
      </c>
      <c r="L162" s="28" t="n">
        <f aca="false">$D$26*I162*F162</f>
        <v>0</v>
      </c>
      <c r="M162" s="28" t="n">
        <f aca="false">$D$27*I162*F162</f>
        <v>0</v>
      </c>
      <c r="N162" s="28" t="n">
        <f aca="false">$D$28*I162*F162</f>
        <v>0</v>
      </c>
      <c r="O162" s="28" t="n">
        <f aca="false">$D$29*I162*F162</f>
        <v>0</v>
      </c>
      <c r="P162" s="28" t="n">
        <f aca="false">$D$30*I162*F162</f>
        <v>0</v>
      </c>
      <c r="Q162" s="28" t="n">
        <f aca="false">$D$31*I162*F162</f>
        <v>0</v>
      </c>
      <c r="R162" s="28" t="n">
        <f aca="false">$D$32*I162*F162</f>
        <v>0</v>
      </c>
      <c r="S162" s="28" t="n">
        <f aca="false">IF(AND(F162&gt;0,E162=0),($D$33+$D$36)*H162+($D$34+$D$35)*I162,0)</f>
        <v>0</v>
      </c>
      <c r="T162" s="28" t="n">
        <f aca="false">SUM(J162:S162)</f>
        <v>0</v>
      </c>
      <c r="U162" s="28" t="n">
        <f aca="false">T162*Cont</f>
        <v>0</v>
      </c>
      <c r="V162" s="28" t="n">
        <f aca="false">MIN(J162,J162*$D$43)</f>
        <v>0</v>
      </c>
      <c r="W162" s="40" t="n">
        <f aca="false">$D$55*(1+FxDrift)^(A162-1)</f>
        <v>1</v>
      </c>
      <c r="X162" s="28" t="n">
        <f aca="false">(T162+U162)*W162</f>
        <v>0</v>
      </c>
      <c r="Y162" s="28" t="n">
        <f aca="false">IF(B162=1,MIN(X162,V162*W162+IF(F162&gt;0,$D$44*F162,0)),0)</f>
        <v>0</v>
      </c>
      <c r="Z162" s="41" t="n">
        <f aca="false">IF(B162=1,MAX(0,X162-(V162*W162+IF(F162&gt;0,$D$44*F162,0))),0)</f>
        <v>0</v>
      </c>
      <c r="AA162" s="28" t="n">
        <f aca="false">IF(B162=1,(J162+K162)*W162,0)</f>
        <v>0</v>
      </c>
      <c r="AB162" s="28" t="n">
        <f aca="false">IF(B162=1,SUM(L162:R162)*W162,0)</f>
        <v>0</v>
      </c>
      <c r="AC162" s="28" t="n">
        <f aca="false">IF(B162=1,(S162+U162)*W162,0)</f>
        <v>0</v>
      </c>
    </row>
    <row r="163" customFormat="false" ht="15" hidden="false" customHeight="false" outlineLevel="0" collapsed="false">
      <c r="A163" s="27" t="n">
        <v>38</v>
      </c>
      <c r="B163" s="27" t="n">
        <f aca="false">IF(AND(A163&lt;=$D$52,$D$47=1),1,0)</f>
        <v>0</v>
      </c>
      <c r="C163" s="27" t="str">
        <f aca="false">IF(B163=1,$D$7+A163-1,"")</f>
        <v/>
      </c>
      <c r="D163" s="28" t="str">
        <f aca="false">(PlanStartYear+A163-1)&amp;"/"&amp;RIGHT(PlanStartYear+A163,2)</f>
        <v>2063/64</v>
      </c>
      <c r="E163" s="27" t="n">
        <f aca="false">A163-1-$D$49</f>
        <v>25</v>
      </c>
      <c r="F163" s="39" t="n">
        <f aca="false">IF(AND(B163=1,E163&gt;=0,E163&lt;$D$50),MIN(1,$D$37-E163),0)</f>
        <v>0</v>
      </c>
      <c r="G163" s="27" t="n">
        <f aca="false">(A163-1)+$D$54</f>
        <v>36</v>
      </c>
      <c r="H163" s="40" t="n">
        <f aca="false">(1+TuiInf)^G163</f>
        <v>30.9126805328708</v>
      </c>
      <c r="I163" s="40" t="n">
        <f aca="false">(1+LivInf)^G163</f>
        <v>15.9681718378662</v>
      </c>
      <c r="J163" s="28" t="n">
        <f aca="false">$D$24*H163*F163</f>
        <v>0</v>
      </c>
      <c r="K163" s="28" t="n">
        <f aca="false">$D$25*H163*F163</f>
        <v>0</v>
      </c>
      <c r="L163" s="28" t="n">
        <f aca="false">$D$26*I163*F163</f>
        <v>0</v>
      </c>
      <c r="M163" s="28" t="n">
        <f aca="false">$D$27*I163*F163</f>
        <v>0</v>
      </c>
      <c r="N163" s="28" t="n">
        <f aca="false">$D$28*I163*F163</f>
        <v>0</v>
      </c>
      <c r="O163" s="28" t="n">
        <f aca="false">$D$29*I163*F163</f>
        <v>0</v>
      </c>
      <c r="P163" s="28" t="n">
        <f aca="false">$D$30*I163*F163</f>
        <v>0</v>
      </c>
      <c r="Q163" s="28" t="n">
        <f aca="false">$D$31*I163*F163</f>
        <v>0</v>
      </c>
      <c r="R163" s="28" t="n">
        <f aca="false">$D$32*I163*F163</f>
        <v>0</v>
      </c>
      <c r="S163" s="28" t="n">
        <f aca="false">IF(AND(F163&gt;0,E163=0),($D$33+$D$36)*H163+($D$34+$D$35)*I163,0)</f>
        <v>0</v>
      </c>
      <c r="T163" s="28" t="n">
        <f aca="false">SUM(J163:S163)</f>
        <v>0</v>
      </c>
      <c r="U163" s="28" t="n">
        <f aca="false">T163*Cont</f>
        <v>0</v>
      </c>
      <c r="V163" s="28" t="n">
        <f aca="false">MIN(J163,J163*$D$43)</f>
        <v>0</v>
      </c>
      <c r="W163" s="40" t="n">
        <f aca="false">$D$55*(1+FxDrift)^(A163-1)</f>
        <v>1</v>
      </c>
      <c r="X163" s="28" t="n">
        <f aca="false">(T163+U163)*W163</f>
        <v>0</v>
      </c>
      <c r="Y163" s="28" t="n">
        <f aca="false">IF(B163=1,MIN(X163,V163*W163+IF(F163&gt;0,$D$44*F163,0)),0)</f>
        <v>0</v>
      </c>
      <c r="Z163" s="41" t="n">
        <f aca="false">IF(B163=1,MAX(0,X163-(V163*W163+IF(F163&gt;0,$D$44*F163,0))),0)</f>
        <v>0</v>
      </c>
      <c r="AA163" s="28" t="n">
        <f aca="false">IF(B163=1,(J163+K163)*W163,0)</f>
        <v>0</v>
      </c>
      <c r="AB163" s="28" t="n">
        <f aca="false">IF(B163=1,SUM(L163:R163)*W163,0)</f>
        <v>0</v>
      </c>
      <c r="AC163" s="28" t="n">
        <f aca="false">IF(B163=1,(S163+U163)*W163,0)</f>
        <v>0</v>
      </c>
    </row>
    <row r="164" customFormat="false" ht="15" hidden="false" customHeight="false" outlineLevel="0" collapsed="false">
      <c r="A164" s="27" t="n">
        <v>39</v>
      </c>
      <c r="B164" s="27" t="n">
        <f aca="false">IF(AND(A164&lt;=$D$52,$D$47=1),1,0)</f>
        <v>0</v>
      </c>
      <c r="C164" s="27" t="str">
        <f aca="false">IF(B164=1,$D$7+A164-1,"")</f>
        <v/>
      </c>
      <c r="D164" s="28" t="str">
        <f aca="false">(PlanStartYear+A164-1)&amp;"/"&amp;RIGHT(PlanStartYear+A164,2)</f>
        <v>2064/65</v>
      </c>
      <c r="E164" s="27" t="n">
        <f aca="false">A164-1-$D$49</f>
        <v>26</v>
      </c>
      <c r="F164" s="39" t="n">
        <f aca="false">IF(AND(B164=1,E164&gt;=0,E164&lt;$D$50),MIN(1,$D$37-E164),0)</f>
        <v>0</v>
      </c>
      <c r="G164" s="27" t="n">
        <f aca="false">(A164-1)+$D$54</f>
        <v>37</v>
      </c>
      <c r="H164" s="40" t="n">
        <f aca="false">(1+TuiInf)^G164</f>
        <v>34.0039485861578</v>
      </c>
      <c r="I164" s="40" t="n">
        <f aca="false">(1+LivInf)^G164</f>
        <v>17.2456255848955</v>
      </c>
      <c r="J164" s="28" t="n">
        <f aca="false">$D$24*H164*F164</f>
        <v>0</v>
      </c>
      <c r="K164" s="28" t="n">
        <f aca="false">$D$25*H164*F164</f>
        <v>0</v>
      </c>
      <c r="L164" s="28" t="n">
        <f aca="false">$D$26*I164*F164</f>
        <v>0</v>
      </c>
      <c r="M164" s="28" t="n">
        <f aca="false">$D$27*I164*F164</f>
        <v>0</v>
      </c>
      <c r="N164" s="28" t="n">
        <f aca="false">$D$28*I164*F164</f>
        <v>0</v>
      </c>
      <c r="O164" s="28" t="n">
        <f aca="false">$D$29*I164*F164</f>
        <v>0</v>
      </c>
      <c r="P164" s="28" t="n">
        <f aca="false">$D$30*I164*F164</f>
        <v>0</v>
      </c>
      <c r="Q164" s="28" t="n">
        <f aca="false">$D$31*I164*F164</f>
        <v>0</v>
      </c>
      <c r="R164" s="28" t="n">
        <f aca="false">$D$32*I164*F164</f>
        <v>0</v>
      </c>
      <c r="S164" s="28" t="n">
        <f aca="false">IF(AND(F164&gt;0,E164=0),($D$33+$D$36)*H164+($D$34+$D$35)*I164,0)</f>
        <v>0</v>
      </c>
      <c r="T164" s="28" t="n">
        <f aca="false">SUM(J164:S164)</f>
        <v>0</v>
      </c>
      <c r="U164" s="28" t="n">
        <f aca="false">T164*Cont</f>
        <v>0</v>
      </c>
      <c r="V164" s="28" t="n">
        <f aca="false">MIN(J164,J164*$D$43)</f>
        <v>0</v>
      </c>
      <c r="W164" s="40" t="n">
        <f aca="false">$D$55*(1+FxDrift)^(A164-1)</f>
        <v>1</v>
      </c>
      <c r="X164" s="28" t="n">
        <f aca="false">(T164+U164)*W164</f>
        <v>0</v>
      </c>
      <c r="Y164" s="28" t="n">
        <f aca="false">IF(B164=1,MIN(X164,V164*W164+IF(F164&gt;0,$D$44*F164,0)),0)</f>
        <v>0</v>
      </c>
      <c r="Z164" s="41" t="n">
        <f aca="false">IF(B164=1,MAX(0,X164-(V164*W164+IF(F164&gt;0,$D$44*F164,0))),0)</f>
        <v>0</v>
      </c>
      <c r="AA164" s="28" t="n">
        <f aca="false">IF(B164=1,(J164+K164)*W164,0)</f>
        <v>0</v>
      </c>
      <c r="AB164" s="28" t="n">
        <f aca="false">IF(B164=1,SUM(L164:R164)*W164,0)</f>
        <v>0</v>
      </c>
      <c r="AC164" s="28" t="n">
        <f aca="false">IF(B164=1,(S164+U164)*W164,0)</f>
        <v>0</v>
      </c>
    </row>
    <row r="165" customFormat="false" ht="15" hidden="false" customHeight="false" outlineLevel="0" collapsed="false">
      <c r="A165" s="27" t="n">
        <v>40</v>
      </c>
      <c r="B165" s="27" t="n">
        <f aca="false">IF(AND(A165&lt;=$D$52,$D$47=1),1,0)</f>
        <v>0</v>
      </c>
      <c r="C165" s="27" t="str">
        <f aca="false">IF(B165=1,$D$7+A165-1,"")</f>
        <v/>
      </c>
      <c r="D165" s="28" t="str">
        <f aca="false">(PlanStartYear+A165-1)&amp;"/"&amp;RIGHT(PlanStartYear+A165,2)</f>
        <v>2065/66</v>
      </c>
      <c r="E165" s="27" t="n">
        <f aca="false">A165-1-$D$49</f>
        <v>27</v>
      </c>
      <c r="F165" s="39" t="n">
        <f aca="false">IF(AND(B165=1,E165&gt;=0,E165&lt;$D$50),MIN(1,$D$37-E165),0)</f>
        <v>0</v>
      </c>
      <c r="G165" s="27" t="n">
        <f aca="false">(A165-1)+$D$54</f>
        <v>38</v>
      </c>
      <c r="H165" s="40" t="n">
        <f aca="false">(1+TuiInf)^G165</f>
        <v>37.4043434447736</v>
      </c>
      <c r="I165" s="40" t="n">
        <f aca="false">(1+LivInf)^G165</f>
        <v>18.6252756316872</v>
      </c>
      <c r="J165" s="28" t="n">
        <f aca="false">$D$24*H165*F165</f>
        <v>0</v>
      </c>
      <c r="K165" s="28" t="n">
        <f aca="false">$D$25*H165*F165</f>
        <v>0</v>
      </c>
      <c r="L165" s="28" t="n">
        <f aca="false">$D$26*I165*F165</f>
        <v>0</v>
      </c>
      <c r="M165" s="28" t="n">
        <f aca="false">$D$27*I165*F165</f>
        <v>0</v>
      </c>
      <c r="N165" s="28" t="n">
        <f aca="false">$D$28*I165*F165</f>
        <v>0</v>
      </c>
      <c r="O165" s="28" t="n">
        <f aca="false">$D$29*I165*F165</f>
        <v>0</v>
      </c>
      <c r="P165" s="28" t="n">
        <f aca="false">$D$30*I165*F165</f>
        <v>0</v>
      </c>
      <c r="Q165" s="28" t="n">
        <f aca="false">$D$31*I165*F165</f>
        <v>0</v>
      </c>
      <c r="R165" s="28" t="n">
        <f aca="false">$D$32*I165*F165</f>
        <v>0</v>
      </c>
      <c r="S165" s="28" t="n">
        <f aca="false">IF(AND(F165&gt;0,E165=0),($D$33+$D$36)*H165+($D$34+$D$35)*I165,0)</f>
        <v>0</v>
      </c>
      <c r="T165" s="28" t="n">
        <f aca="false">SUM(J165:S165)</f>
        <v>0</v>
      </c>
      <c r="U165" s="28" t="n">
        <f aca="false">T165*Cont</f>
        <v>0</v>
      </c>
      <c r="V165" s="28" t="n">
        <f aca="false">MIN(J165,J165*$D$43)</f>
        <v>0</v>
      </c>
      <c r="W165" s="40" t="n">
        <f aca="false">$D$55*(1+FxDrift)^(A165-1)</f>
        <v>1</v>
      </c>
      <c r="X165" s="28" t="n">
        <f aca="false">(T165+U165)*W165</f>
        <v>0</v>
      </c>
      <c r="Y165" s="28" t="n">
        <f aca="false">IF(B165=1,MIN(X165,V165*W165+IF(F165&gt;0,$D$44*F165,0)),0)</f>
        <v>0</v>
      </c>
      <c r="Z165" s="41" t="n">
        <f aca="false">IF(B165=1,MAX(0,X165-(V165*W165+IF(F165&gt;0,$D$44*F165,0))),0)</f>
        <v>0</v>
      </c>
      <c r="AA165" s="28" t="n">
        <f aca="false">IF(B165=1,(J165+K165)*W165,0)</f>
        <v>0</v>
      </c>
      <c r="AB165" s="28" t="n">
        <f aca="false">IF(B165=1,SUM(L165:R165)*W165,0)</f>
        <v>0</v>
      </c>
      <c r="AC165" s="28" t="n">
        <f aca="false">IF(B165=1,(S165+U165)*W165,0)</f>
        <v>0</v>
      </c>
    </row>
    <row r="166" customFormat="false" ht="15" hidden="false" customHeight="false" outlineLevel="0" collapsed="false">
      <c r="A166" s="27" t="n">
        <v>41</v>
      </c>
      <c r="B166" s="27" t="n">
        <f aca="false">IF(AND(A166&lt;=$D$52,$D$47=1),1,0)</f>
        <v>0</v>
      </c>
      <c r="C166" s="27" t="str">
        <f aca="false">IF(B166=1,$D$7+A166-1,"")</f>
        <v/>
      </c>
      <c r="D166" s="28" t="str">
        <f aca="false">(PlanStartYear+A166-1)&amp;"/"&amp;RIGHT(PlanStartYear+A166,2)</f>
        <v>2066/67</v>
      </c>
      <c r="E166" s="27" t="n">
        <f aca="false">A166-1-$D$49</f>
        <v>28</v>
      </c>
      <c r="F166" s="39" t="n">
        <f aca="false">IF(AND(B166=1,E166&gt;=0,E166&lt;$D$50),MIN(1,$D$37-E166),0)</f>
        <v>0</v>
      </c>
      <c r="G166" s="27" t="n">
        <f aca="false">(A166-1)+$D$54</f>
        <v>39</v>
      </c>
      <c r="H166" s="40" t="n">
        <f aca="false">(1+TuiInf)^G166</f>
        <v>41.144777789251</v>
      </c>
      <c r="I166" s="40" t="n">
        <f aca="false">(1+LivInf)^G166</f>
        <v>20.1152976822221</v>
      </c>
      <c r="J166" s="28" t="n">
        <f aca="false">$D$24*H166*F166</f>
        <v>0</v>
      </c>
      <c r="K166" s="28" t="n">
        <f aca="false">$D$25*H166*F166</f>
        <v>0</v>
      </c>
      <c r="L166" s="28" t="n">
        <f aca="false">$D$26*I166*F166</f>
        <v>0</v>
      </c>
      <c r="M166" s="28" t="n">
        <f aca="false">$D$27*I166*F166</f>
        <v>0</v>
      </c>
      <c r="N166" s="28" t="n">
        <f aca="false">$D$28*I166*F166</f>
        <v>0</v>
      </c>
      <c r="O166" s="28" t="n">
        <f aca="false">$D$29*I166*F166</f>
        <v>0</v>
      </c>
      <c r="P166" s="28" t="n">
        <f aca="false">$D$30*I166*F166</f>
        <v>0</v>
      </c>
      <c r="Q166" s="28" t="n">
        <f aca="false">$D$31*I166*F166</f>
        <v>0</v>
      </c>
      <c r="R166" s="28" t="n">
        <f aca="false">$D$32*I166*F166</f>
        <v>0</v>
      </c>
      <c r="S166" s="28" t="n">
        <f aca="false">IF(AND(F166&gt;0,E166=0),($D$33+$D$36)*H166+($D$34+$D$35)*I166,0)</f>
        <v>0</v>
      </c>
      <c r="T166" s="28" t="n">
        <f aca="false">SUM(J166:S166)</f>
        <v>0</v>
      </c>
      <c r="U166" s="28" t="n">
        <f aca="false">T166*Cont</f>
        <v>0</v>
      </c>
      <c r="V166" s="28" t="n">
        <f aca="false">MIN(J166,J166*$D$43)</f>
        <v>0</v>
      </c>
      <c r="W166" s="40" t="n">
        <f aca="false">$D$55*(1+FxDrift)^(A166-1)</f>
        <v>1</v>
      </c>
      <c r="X166" s="28" t="n">
        <f aca="false">(T166+U166)*W166</f>
        <v>0</v>
      </c>
      <c r="Y166" s="28" t="n">
        <f aca="false">IF(B166=1,MIN(X166,V166*W166+IF(F166&gt;0,$D$44*F166,0)),0)</f>
        <v>0</v>
      </c>
      <c r="Z166" s="41" t="n">
        <f aca="false">IF(B166=1,MAX(0,X166-(V166*W166+IF(F166&gt;0,$D$44*F166,0))),0)</f>
        <v>0</v>
      </c>
      <c r="AA166" s="28" t="n">
        <f aca="false">IF(B166=1,(J166+K166)*W166,0)</f>
        <v>0</v>
      </c>
      <c r="AB166" s="28" t="n">
        <f aca="false">IF(B166=1,SUM(L166:R166)*W166,0)</f>
        <v>0</v>
      </c>
      <c r="AC166" s="28" t="n">
        <f aca="false">IF(B166=1,(S166+U166)*W166,0)</f>
        <v>0</v>
      </c>
    </row>
    <row r="167" customFormat="false" ht="15" hidden="false" customHeight="false" outlineLevel="0" collapsed="false">
      <c r="A167" s="27" t="n">
        <v>42</v>
      </c>
      <c r="B167" s="27" t="n">
        <f aca="false">IF(AND(A167&lt;=$D$52,$D$47=1),1,0)</f>
        <v>0</v>
      </c>
      <c r="C167" s="27" t="str">
        <f aca="false">IF(B167=1,$D$7+A167-1,"")</f>
        <v/>
      </c>
      <c r="D167" s="28" t="str">
        <f aca="false">(PlanStartYear+A167-1)&amp;"/"&amp;RIGHT(PlanStartYear+A167,2)</f>
        <v>2067/68</v>
      </c>
      <c r="E167" s="27" t="n">
        <f aca="false">A167-1-$D$49</f>
        <v>29</v>
      </c>
      <c r="F167" s="39" t="n">
        <f aca="false">IF(AND(B167=1,E167&gt;=0,E167&lt;$D$50),MIN(1,$D$37-E167),0)</f>
        <v>0</v>
      </c>
      <c r="G167" s="27" t="n">
        <f aca="false">(A167-1)+$D$54</f>
        <v>40</v>
      </c>
      <c r="H167" s="40" t="n">
        <f aca="false">(1+TuiInf)^G167</f>
        <v>45.2592555681761</v>
      </c>
      <c r="I167" s="40" t="n">
        <f aca="false">(1+LivInf)^G167</f>
        <v>21.7245214967999</v>
      </c>
      <c r="J167" s="28" t="n">
        <f aca="false">$D$24*H167*F167</f>
        <v>0</v>
      </c>
      <c r="K167" s="28" t="n">
        <f aca="false">$D$25*H167*F167</f>
        <v>0</v>
      </c>
      <c r="L167" s="28" t="n">
        <f aca="false">$D$26*I167*F167</f>
        <v>0</v>
      </c>
      <c r="M167" s="28" t="n">
        <f aca="false">$D$27*I167*F167</f>
        <v>0</v>
      </c>
      <c r="N167" s="28" t="n">
        <f aca="false">$D$28*I167*F167</f>
        <v>0</v>
      </c>
      <c r="O167" s="28" t="n">
        <f aca="false">$D$29*I167*F167</f>
        <v>0</v>
      </c>
      <c r="P167" s="28" t="n">
        <f aca="false">$D$30*I167*F167</f>
        <v>0</v>
      </c>
      <c r="Q167" s="28" t="n">
        <f aca="false">$D$31*I167*F167</f>
        <v>0</v>
      </c>
      <c r="R167" s="28" t="n">
        <f aca="false">$D$32*I167*F167</f>
        <v>0</v>
      </c>
      <c r="S167" s="28" t="n">
        <f aca="false">IF(AND(F167&gt;0,E167=0),($D$33+$D$36)*H167+($D$34+$D$35)*I167,0)</f>
        <v>0</v>
      </c>
      <c r="T167" s="28" t="n">
        <f aca="false">SUM(J167:S167)</f>
        <v>0</v>
      </c>
      <c r="U167" s="28" t="n">
        <f aca="false">T167*Cont</f>
        <v>0</v>
      </c>
      <c r="V167" s="28" t="n">
        <f aca="false">MIN(J167,J167*$D$43)</f>
        <v>0</v>
      </c>
      <c r="W167" s="40" t="n">
        <f aca="false">$D$55*(1+FxDrift)^(A167-1)</f>
        <v>1</v>
      </c>
      <c r="X167" s="28" t="n">
        <f aca="false">(T167+U167)*W167</f>
        <v>0</v>
      </c>
      <c r="Y167" s="28" t="n">
        <f aca="false">IF(B167=1,MIN(X167,V167*W167+IF(F167&gt;0,$D$44*F167,0)),0)</f>
        <v>0</v>
      </c>
      <c r="Z167" s="41" t="n">
        <f aca="false">IF(B167=1,MAX(0,X167-(V167*W167+IF(F167&gt;0,$D$44*F167,0))),0)</f>
        <v>0</v>
      </c>
      <c r="AA167" s="28" t="n">
        <f aca="false">IF(B167=1,(J167+K167)*W167,0)</f>
        <v>0</v>
      </c>
      <c r="AB167" s="28" t="n">
        <f aca="false">IF(B167=1,SUM(L167:R167)*W167,0)</f>
        <v>0</v>
      </c>
      <c r="AC167" s="28" t="n">
        <f aca="false">IF(B167=1,(S167+U167)*W167,0)</f>
        <v>0</v>
      </c>
    </row>
    <row r="168" customFormat="false" ht="15" hidden="false" customHeight="false" outlineLevel="0" collapsed="false">
      <c r="A168" s="27" t="n">
        <v>43</v>
      </c>
      <c r="B168" s="27" t="n">
        <f aca="false">IF(AND(A168&lt;=$D$52,$D$47=1),1,0)</f>
        <v>0</v>
      </c>
      <c r="C168" s="27" t="str">
        <f aca="false">IF(B168=1,$D$7+A168-1,"")</f>
        <v/>
      </c>
      <c r="D168" s="28" t="str">
        <f aca="false">(PlanStartYear+A168-1)&amp;"/"&amp;RIGHT(PlanStartYear+A168,2)</f>
        <v>2068/69</v>
      </c>
      <c r="E168" s="27" t="n">
        <f aca="false">A168-1-$D$49</f>
        <v>30</v>
      </c>
      <c r="F168" s="39" t="n">
        <f aca="false">IF(AND(B168=1,E168&gt;=0,E168&lt;$D$50),MIN(1,$D$37-E168),0)</f>
        <v>0</v>
      </c>
      <c r="G168" s="27" t="n">
        <f aca="false">(A168-1)+$D$54</f>
        <v>41</v>
      </c>
      <c r="H168" s="40" t="n">
        <f aca="false">(1+TuiInf)^G168</f>
        <v>49.7851811249937</v>
      </c>
      <c r="I168" s="40" t="n">
        <f aca="false">(1+LivInf)^G168</f>
        <v>23.4624832165439</v>
      </c>
      <c r="J168" s="28" t="n">
        <f aca="false">$D$24*H168*F168</f>
        <v>0</v>
      </c>
      <c r="K168" s="28" t="n">
        <f aca="false">$D$25*H168*F168</f>
        <v>0</v>
      </c>
      <c r="L168" s="28" t="n">
        <f aca="false">$D$26*I168*F168</f>
        <v>0</v>
      </c>
      <c r="M168" s="28" t="n">
        <f aca="false">$D$27*I168*F168</f>
        <v>0</v>
      </c>
      <c r="N168" s="28" t="n">
        <f aca="false">$D$28*I168*F168</f>
        <v>0</v>
      </c>
      <c r="O168" s="28" t="n">
        <f aca="false">$D$29*I168*F168</f>
        <v>0</v>
      </c>
      <c r="P168" s="28" t="n">
        <f aca="false">$D$30*I168*F168</f>
        <v>0</v>
      </c>
      <c r="Q168" s="28" t="n">
        <f aca="false">$D$31*I168*F168</f>
        <v>0</v>
      </c>
      <c r="R168" s="28" t="n">
        <f aca="false">$D$32*I168*F168</f>
        <v>0</v>
      </c>
      <c r="S168" s="28" t="n">
        <f aca="false">IF(AND(F168&gt;0,E168=0),($D$33+$D$36)*H168+($D$34+$D$35)*I168,0)</f>
        <v>0</v>
      </c>
      <c r="T168" s="28" t="n">
        <f aca="false">SUM(J168:S168)</f>
        <v>0</v>
      </c>
      <c r="U168" s="28" t="n">
        <f aca="false">T168*Cont</f>
        <v>0</v>
      </c>
      <c r="V168" s="28" t="n">
        <f aca="false">MIN(J168,J168*$D$43)</f>
        <v>0</v>
      </c>
      <c r="W168" s="40" t="n">
        <f aca="false">$D$55*(1+FxDrift)^(A168-1)</f>
        <v>1</v>
      </c>
      <c r="X168" s="28" t="n">
        <f aca="false">(T168+U168)*W168</f>
        <v>0</v>
      </c>
      <c r="Y168" s="28" t="n">
        <f aca="false">IF(B168=1,MIN(X168,V168*W168+IF(F168&gt;0,$D$44*F168,0)),0)</f>
        <v>0</v>
      </c>
      <c r="Z168" s="41" t="n">
        <f aca="false">IF(B168=1,MAX(0,X168-(V168*W168+IF(F168&gt;0,$D$44*F168,0))),0)</f>
        <v>0</v>
      </c>
      <c r="AA168" s="28" t="n">
        <f aca="false">IF(B168=1,(J168+K168)*W168,0)</f>
        <v>0</v>
      </c>
      <c r="AB168" s="28" t="n">
        <f aca="false">IF(B168=1,SUM(L168:R168)*W168,0)</f>
        <v>0</v>
      </c>
      <c r="AC168" s="28" t="n">
        <f aca="false">IF(B168=1,(S168+U168)*W168,0)</f>
        <v>0</v>
      </c>
    </row>
    <row r="169" customFormat="false" ht="15" hidden="false" customHeight="false" outlineLevel="0" collapsed="false">
      <c r="A169" s="27" t="n">
        <v>44</v>
      </c>
      <c r="B169" s="27" t="n">
        <f aca="false">IF(AND(A169&lt;=$D$52,$D$47=1),1,0)</f>
        <v>0</v>
      </c>
      <c r="C169" s="27" t="str">
        <f aca="false">IF(B169=1,$D$7+A169-1,"")</f>
        <v/>
      </c>
      <c r="D169" s="28" t="str">
        <f aca="false">(PlanStartYear+A169-1)&amp;"/"&amp;RIGHT(PlanStartYear+A169,2)</f>
        <v>2069/70</v>
      </c>
      <c r="E169" s="27" t="n">
        <f aca="false">A169-1-$D$49</f>
        <v>31</v>
      </c>
      <c r="F169" s="39" t="n">
        <f aca="false">IF(AND(B169=1,E169&gt;=0,E169&lt;$D$50),MIN(1,$D$37-E169),0)</f>
        <v>0</v>
      </c>
      <c r="G169" s="27" t="n">
        <f aca="false">(A169-1)+$D$54</f>
        <v>42</v>
      </c>
      <c r="H169" s="40" t="n">
        <f aca="false">(1+TuiInf)^G169</f>
        <v>54.7636992374931</v>
      </c>
      <c r="I169" s="40" t="n">
        <f aca="false">(1+LivInf)^G169</f>
        <v>25.3394818738674</v>
      </c>
      <c r="J169" s="28" t="n">
        <f aca="false">$D$24*H169*F169</f>
        <v>0</v>
      </c>
      <c r="K169" s="28" t="n">
        <f aca="false">$D$25*H169*F169</f>
        <v>0</v>
      </c>
      <c r="L169" s="28" t="n">
        <f aca="false">$D$26*I169*F169</f>
        <v>0</v>
      </c>
      <c r="M169" s="28" t="n">
        <f aca="false">$D$27*I169*F169</f>
        <v>0</v>
      </c>
      <c r="N169" s="28" t="n">
        <f aca="false">$D$28*I169*F169</f>
        <v>0</v>
      </c>
      <c r="O169" s="28" t="n">
        <f aca="false">$D$29*I169*F169</f>
        <v>0</v>
      </c>
      <c r="P169" s="28" t="n">
        <f aca="false">$D$30*I169*F169</f>
        <v>0</v>
      </c>
      <c r="Q169" s="28" t="n">
        <f aca="false">$D$31*I169*F169</f>
        <v>0</v>
      </c>
      <c r="R169" s="28" t="n">
        <f aca="false">$D$32*I169*F169</f>
        <v>0</v>
      </c>
      <c r="S169" s="28" t="n">
        <f aca="false">IF(AND(F169&gt;0,E169=0),($D$33+$D$36)*H169+($D$34+$D$35)*I169,0)</f>
        <v>0</v>
      </c>
      <c r="T169" s="28" t="n">
        <f aca="false">SUM(J169:S169)</f>
        <v>0</v>
      </c>
      <c r="U169" s="28" t="n">
        <f aca="false">T169*Cont</f>
        <v>0</v>
      </c>
      <c r="V169" s="28" t="n">
        <f aca="false">MIN(J169,J169*$D$43)</f>
        <v>0</v>
      </c>
      <c r="W169" s="40" t="n">
        <f aca="false">$D$55*(1+FxDrift)^(A169-1)</f>
        <v>1</v>
      </c>
      <c r="X169" s="28" t="n">
        <f aca="false">(T169+U169)*W169</f>
        <v>0</v>
      </c>
      <c r="Y169" s="28" t="n">
        <f aca="false">IF(B169=1,MIN(X169,V169*W169+IF(F169&gt;0,$D$44*F169,0)),0)</f>
        <v>0</v>
      </c>
      <c r="Z169" s="41" t="n">
        <f aca="false">IF(B169=1,MAX(0,X169-(V169*W169+IF(F169&gt;0,$D$44*F169,0))),0)</f>
        <v>0</v>
      </c>
      <c r="AA169" s="28" t="n">
        <f aca="false">IF(B169=1,(J169+K169)*W169,0)</f>
        <v>0</v>
      </c>
      <c r="AB169" s="28" t="n">
        <f aca="false">IF(B169=1,SUM(L169:R169)*W169,0)</f>
        <v>0</v>
      </c>
      <c r="AC169" s="28" t="n">
        <f aca="false">IF(B169=1,(S169+U169)*W169,0)</f>
        <v>0</v>
      </c>
    </row>
    <row r="170" customFormat="false" ht="15" hidden="false" customHeight="false" outlineLevel="0" collapsed="false">
      <c r="A170" s="27" t="n">
        <v>45</v>
      </c>
      <c r="B170" s="27" t="n">
        <f aca="false">IF(AND(A170&lt;=$D$52,$D$47=1),1,0)</f>
        <v>0</v>
      </c>
      <c r="C170" s="27" t="str">
        <f aca="false">IF(B170=1,$D$7+A170-1,"")</f>
        <v/>
      </c>
      <c r="D170" s="28" t="str">
        <f aca="false">(PlanStartYear+A170-1)&amp;"/"&amp;RIGHT(PlanStartYear+A170,2)</f>
        <v>2070/71</v>
      </c>
      <c r="E170" s="27" t="n">
        <f aca="false">A170-1-$D$49</f>
        <v>32</v>
      </c>
      <c r="F170" s="39" t="n">
        <f aca="false">IF(AND(B170=1,E170&gt;=0,E170&lt;$D$50),MIN(1,$D$37-E170),0)</f>
        <v>0</v>
      </c>
      <c r="G170" s="27" t="n">
        <f aca="false">(A170-1)+$D$54</f>
        <v>43</v>
      </c>
      <c r="H170" s="40" t="n">
        <f aca="false">(1+TuiInf)^G170</f>
        <v>60.2400691612424</v>
      </c>
      <c r="I170" s="40" t="n">
        <f aca="false">(1+LivInf)^G170</f>
        <v>27.3666404237768</v>
      </c>
      <c r="J170" s="28" t="n">
        <f aca="false">$D$24*H170*F170</f>
        <v>0</v>
      </c>
      <c r="K170" s="28" t="n">
        <f aca="false">$D$25*H170*F170</f>
        <v>0</v>
      </c>
      <c r="L170" s="28" t="n">
        <f aca="false">$D$26*I170*F170</f>
        <v>0</v>
      </c>
      <c r="M170" s="28" t="n">
        <f aca="false">$D$27*I170*F170</f>
        <v>0</v>
      </c>
      <c r="N170" s="28" t="n">
        <f aca="false">$D$28*I170*F170</f>
        <v>0</v>
      </c>
      <c r="O170" s="28" t="n">
        <f aca="false">$D$29*I170*F170</f>
        <v>0</v>
      </c>
      <c r="P170" s="28" t="n">
        <f aca="false">$D$30*I170*F170</f>
        <v>0</v>
      </c>
      <c r="Q170" s="28" t="n">
        <f aca="false">$D$31*I170*F170</f>
        <v>0</v>
      </c>
      <c r="R170" s="28" t="n">
        <f aca="false">$D$32*I170*F170</f>
        <v>0</v>
      </c>
      <c r="S170" s="28" t="n">
        <f aca="false">IF(AND(F170&gt;0,E170=0),($D$33+$D$36)*H170+($D$34+$D$35)*I170,0)</f>
        <v>0</v>
      </c>
      <c r="T170" s="28" t="n">
        <f aca="false">SUM(J170:S170)</f>
        <v>0</v>
      </c>
      <c r="U170" s="28" t="n">
        <f aca="false">T170*Cont</f>
        <v>0</v>
      </c>
      <c r="V170" s="28" t="n">
        <f aca="false">MIN(J170,J170*$D$43)</f>
        <v>0</v>
      </c>
      <c r="W170" s="40" t="n">
        <f aca="false">$D$55*(1+FxDrift)^(A170-1)</f>
        <v>1</v>
      </c>
      <c r="X170" s="28" t="n">
        <f aca="false">(T170+U170)*W170</f>
        <v>0</v>
      </c>
      <c r="Y170" s="28" t="n">
        <f aca="false">IF(B170=1,MIN(X170,V170*W170+IF(F170&gt;0,$D$44*F170,0)),0)</f>
        <v>0</v>
      </c>
      <c r="Z170" s="41" t="n">
        <f aca="false">IF(B170=1,MAX(0,X170-(V170*W170+IF(F170&gt;0,$D$44*F170,0))),0)</f>
        <v>0</v>
      </c>
      <c r="AA170" s="28" t="n">
        <f aca="false">IF(B170=1,(J170+K170)*W170,0)</f>
        <v>0</v>
      </c>
      <c r="AB170" s="28" t="n">
        <f aca="false">IF(B170=1,SUM(L170:R170)*W170,0)</f>
        <v>0</v>
      </c>
      <c r="AC170" s="28" t="n">
        <f aca="false">IF(B170=1,(S170+U170)*W170,0)</f>
        <v>0</v>
      </c>
    </row>
    <row r="171" customFormat="false" ht="15" hidden="false" customHeight="false" outlineLevel="0" collapsed="false">
      <c r="A171" s="27" t="n">
        <v>46</v>
      </c>
      <c r="B171" s="27" t="n">
        <f aca="false">IF(AND(A171&lt;=$D$52,$D$47=1),1,0)</f>
        <v>0</v>
      </c>
      <c r="C171" s="27" t="str">
        <f aca="false">IF(B171=1,$D$7+A171-1,"")</f>
        <v/>
      </c>
      <c r="D171" s="28" t="str">
        <f aca="false">(PlanStartYear+A171-1)&amp;"/"&amp;RIGHT(PlanStartYear+A171,2)</f>
        <v>2071/72</v>
      </c>
      <c r="E171" s="27" t="n">
        <f aca="false">A171-1-$D$49</f>
        <v>33</v>
      </c>
      <c r="F171" s="39" t="n">
        <f aca="false">IF(AND(B171=1,E171&gt;=0,E171&lt;$D$50),MIN(1,$D$37-E171),0)</f>
        <v>0</v>
      </c>
      <c r="G171" s="27" t="n">
        <f aca="false">(A171-1)+$D$54</f>
        <v>44</v>
      </c>
      <c r="H171" s="40" t="n">
        <f aca="false">(1+TuiInf)^G171</f>
        <v>66.2640760773667</v>
      </c>
      <c r="I171" s="40" t="n">
        <f aca="false">(1+LivInf)^G171</f>
        <v>29.555971657679</v>
      </c>
      <c r="J171" s="28" t="n">
        <f aca="false">$D$24*H171*F171</f>
        <v>0</v>
      </c>
      <c r="K171" s="28" t="n">
        <f aca="false">$D$25*H171*F171</f>
        <v>0</v>
      </c>
      <c r="L171" s="28" t="n">
        <f aca="false">$D$26*I171*F171</f>
        <v>0</v>
      </c>
      <c r="M171" s="28" t="n">
        <f aca="false">$D$27*I171*F171</f>
        <v>0</v>
      </c>
      <c r="N171" s="28" t="n">
        <f aca="false">$D$28*I171*F171</f>
        <v>0</v>
      </c>
      <c r="O171" s="28" t="n">
        <f aca="false">$D$29*I171*F171</f>
        <v>0</v>
      </c>
      <c r="P171" s="28" t="n">
        <f aca="false">$D$30*I171*F171</f>
        <v>0</v>
      </c>
      <c r="Q171" s="28" t="n">
        <f aca="false">$D$31*I171*F171</f>
        <v>0</v>
      </c>
      <c r="R171" s="28" t="n">
        <f aca="false">$D$32*I171*F171</f>
        <v>0</v>
      </c>
      <c r="S171" s="28" t="n">
        <f aca="false">IF(AND(F171&gt;0,E171=0),($D$33+$D$36)*H171+($D$34+$D$35)*I171,0)</f>
        <v>0</v>
      </c>
      <c r="T171" s="28" t="n">
        <f aca="false">SUM(J171:S171)</f>
        <v>0</v>
      </c>
      <c r="U171" s="28" t="n">
        <f aca="false">T171*Cont</f>
        <v>0</v>
      </c>
      <c r="V171" s="28" t="n">
        <f aca="false">MIN(J171,J171*$D$43)</f>
        <v>0</v>
      </c>
      <c r="W171" s="40" t="n">
        <f aca="false">$D$55*(1+FxDrift)^(A171-1)</f>
        <v>1</v>
      </c>
      <c r="X171" s="28" t="n">
        <f aca="false">(T171+U171)*W171</f>
        <v>0</v>
      </c>
      <c r="Y171" s="28" t="n">
        <f aca="false">IF(B171=1,MIN(X171,V171*W171+IF(F171&gt;0,$D$44*F171,0)),0)</f>
        <v>0</v>
      </c>
      <c r="Z171" s="41" t="n">
        <f aca="false">IF(B171=1,MAX(0,X171-(V171*W171+IF(F171&gt;0,$D$44*F171,0))),0)</f>
        <v>0</v>
      </c>
      <c r="AA171" s="28" t="n">
        <f aca="false">IF(B171=1,(J171+K171)*W171,0)</f>
        <v>0</v>
      </c>
      <c r="AB171" s="28" t="n">
        <f aca="false">IF(B171=1,SUM(L171:R171)*W171,0)</f>
        <v>0</v>
      </c>
      <c r="AC171" s="28" t="n">
        <f aca="false">IF(B171=1,(S171+U171)*W171,0)</f>
        <v>0</v>
      </c>
    </row>
    <row r="172" customFormat="false" ht="15" hidden="false" customHeight="false" outlineLevel="0" collapsed="false">
      <c r="A172" s="27" t="n">
        <v>47</v>
      </c>
      <c r="B172" s="27" t="n">
        <f aca="false">IF(AND(A172&lt;=$D$52,$D$47=1),1,0)</f>
        <v>0</v>
      </c>
      <c r="C172" s="27" t="str">
        <f aca="false">IF(B172=1,$D$7+A172-1,"")</f>
        <v/>
      </c>
      <c r="D172" s="28" t="str">
        <f aca="false">(PlanStartYear+A172-1)&amp;"/"&amp;RIGHT(PlanStartYear+A172,2)</f>
        <v>2072/73</v>
      </c>
      <c r="E172" s="27" t="n">
        <f aca="false">A172-1-$D$49</f>
        <v>34</v>
      </c>
      <c r="F172" s="39" t="n">
        <f aca="false">IF(AND(B172=1,E172&gt;=0,E172&lt;$D$50),MIN(1,$D$37-E172),0)</f>
        <v>0</v>
      </c>
      <c r="G172" s="27" t="n">
        <f aca="false">(A172-1)+$D$54</f>
        <v>45</v>
      </c>
      <c r="H172" s="40" t="n">
        <f aca="false">(1+TuiInf)^G172</f>
        <v>72.8904836851033</v>
      </c>
      <c r="I172" s="40" t="n">
        <f aca="false">(1+LivInf)^G172</f>
        <v>31.9204493902933</v>
      </c>
      <c r="J172" s="28" t="n">
        <f aca="false">$D$24*H172*F172</f>
        <v>0</v>
      </c>
      <c r="K172" s="28" t="n">
        <f aca="false">$D$25*H172*F172</f>
        <v>0</v>
      </c>
      <c r="L172" s="28" t="n">
        <f aca="false">$D$26*I172*F172</f>
        <v>0</v>
      </c>
      <c r="M172" s="28" t="n">
        <f aca="false">$D$27*I172*F172</f>
        <v>0</v>
      </c>
      <c r="N172" s="28" t="n">
        <f aca="false">$D$28*I172*F172</f>
        <v>0</v>
      </c>
      <c r="O172" s="28" t="n">
        <f aca="false">$D$29*I172*F172</f>
        <v>0</v>
      </c>
      <c r="P172" s="28" t="n">
        <f aca="false">$D$30*I172*F172</f>
        <v>0</v>
      </c>
      <c r="Q172" s="28" t="n">
        <f aca="false">$D$31*I172*F172</f>
        <v>0</v>
      </c>
      <c r="R172" s="28" t="n">
        <f aca="false">$D$32*I172*F172</f>
        <v>0</v>
      </c>
      <c r="S172" s="28" t="n">
        <f aca="false">IF(AND(F172&gt;0,E172=0),($D$33+$D$36)*H172+($D$34+$D$35)*I172,0)</f>
        <v>0</v>
      </c>
      <c r="T172" s="28" t="n">
        <f aca="false">SUM(J172:S172)</f>
        <v>0</v>
      </c>
      <c r="U172" s="28" t="n">
        <f aca="false">T172*Cont</f>
        <v>0</v>
      </c>
      <c r="V172" s="28" t="n">
        <f aca="false">MIN(J172,J172*$D$43)</f>
        <v>0</v>
      </c>
      <c r="W172" s="40" t="n">
        <f aca="false">$D$55*(1+FxDrift)^(A172-1)</f>
        <v>1</v>
      </c>
      <c r="X172" s="28" t="n">
        <f aca="false">(T172+U172)*W172</f>
        <v>0</v>
      </c>
      <c r="Y172" s="28" t="n">
        <f aca="false">IF(B172=1,MIN(X172,V172*W172+IF(F172&gt;0,$D$44*F172,0)),0)</f>
        <v>0</v>
      </c>
      <c r="Z172" s="41" t="n">
        <f aca="false">IF(B172=1,MAX(0,X172-(V172*W172+IF(F172&gt;0,$D$44*F172,0))),0)</f>
        <v>0</v>
      </c>
      <c r="AA172" s="28" t="n">
        <f aca="false">IF(B172=1,(J172+K172)*W172,0)</f>
        <v>0</v>
      </c>
      <c r="AB172" s="28" t="n">
        <f aca="false">IF(B172=1,SUM(L172:R172)*W172,0)</f>
        <v>0</v>
      </c>
      <c r="AC172" s="28" t="n">
        <f aca="false">IF(B172=1,(S172+U172)*W172,0)</f>
        <v>0</v>
      </c>
    </row>
    <row r="173" customFormat="false" ht="15" hidden="false" customHeight="false" outlineLevel="0" collapsed="false">
      <c r="A173" s="27" t="n">
        <v>48</v>
      </c>
      <c r="B173" s="27" t="n">
        <f aca="false">IF(AND(A173&lt;=$D$52,$D$47=1),1,0)</f>
        <v>0</v>
      </c>
      <c r="C173" s="27" t="str">
        <f aca="false">IF(B173=1,$D$7+A173-1,"")</f>
        <v/>
      </c>
      <c r="D173" s="28" t="str">
        <f aca="false">(PlanStartYear+A173-1)&amp;"/"&amp;RIGHT(PlanStartYear+A173,2)</f>
        <v>2073/74</v>
      </c>
      <c r="E173" s="27" t="n">
        <f aca="false">A173-1-$D$49</f>
        <v>35</v>
      </c>
      <c r="F173" s="39" t="n">
        <f aca="false">IF(AND(B173=1,E173&gt;=0,E173&lt;$D$50),MIN(1,$D$37-E173),0)</f>
        <v>0</v>
      </c>
      <c r="G173" s="27" t="n">
        <f aca="false">(A173-1)+$D$54</f>
        <v>46</v>
      </c>
      <c r="H173" s="40" t="n">
        <f aca="false">(1+TuiInf)^G173</f>
        <v>80.1795320536137</v>
      </c>
      <c r="I173" s="40" t="n">
        <f aca="false">(1+LivInf)^G173</f>
        <v>34.4740853415167</v>
      </c>
      <c r="J173" s="28" t="n">
        <f aca="false">$D$24*H173*F173</f>
        <v>0</v>
      </c>
      <c r="K173" s="28" t="n">
        <f aca="false">$D$25*H173*F173</f>
        <v>0</v>
      </c>
      <c r="L173" s="28" t="n">
        <f aca="false">$D$26*I173*F173</f>
        <v>0</v>
      </c>
      <c r="M173" s="28" t="n">
        <f aca="false">$D$27*I173*F173</f>
        <v>0</v>
      </c>
      <c r="N173" s="28" t="n">
        <f aca="false">$D$28*I173*F173</f>
        <v>0</v>
      </c>
      <c r="O173" s="28" t="n">
        <f aca="false">$D$29*I173*F173</f>
        <v>0</v>
      </c>
      <c r="P173" s="28" t="n">
        <f aca="false">$D$30*I173*F173</f>
        <v>0</v>
      </c>
      <c r="Q173" s="28" t="n">
        <f aca="false">$D$31*I173*F173</f>
        <v>0</v>
      </c>
      <c r="R173" s="28" t="n">
        <f aca="false">$D$32*I173*F173</f>
        <v>0</v>
      </c>
      <c r="S173" s="28" t="n">
        <f aca="false">IF(AND(F173&gt;0,E173=0),($D$33+$D$36)*H173+($D$34+$D$35)*I173,0)</f>
        <v>0</v>
      </c>
      <c r="T173" s="28" t="n">
        <f aca="false">SUM(J173:S173)</f>
        <v>0</v>
      </c>
      <c r="U173" s="28" t="n">
        <f aca="false">T173*Cont</f>
        <v>0</v>
      </c>
      <c r="V173" s="28" t="n">
        <f aca="false">MIN(J173,J173*$D$43)</f>
        <v>0</v>
      </c>
      <c r="W173" s="40" t="n">
        <f aca="false">$D$55*(1+FxDrift)^(A173-1)</f>
        <v>1</v>
      </c>
      <c r="X173" s="28" t="n">
        <f aca="false">(T173+U173)*W173</f>
        <v>0</v>
      </c>
      <c r="Y173" s="28" t="n">
        <f aca="false">IF(B173=1,MIN(X173,V173*W173+IF(F173&gt;0,$D$44*F173,0)),0)</f>
        <v>0</v>
      </c>
      <c r="Z173" s="41" t="n">
        <f aca="false">IF(B173=1,MAX(0,X173-(V173*W173+IF(F173&gt;0,$D$44*F173,0))),0)</f>
        <v>0</v>
      </c>
      <c r="AA173" s="28" t="n">
        <f aca="false">IF(B173=1,(J173+K173)*W173,0)</f>
        <v>0</v>
      </c>
      <c r="AB173" s="28" t="n">
        <f aca="false">IF(B173=1,SUM(L173:R173)*W173,0)</f>
        <v>0</v>
      </c>
      <c r="AC173" s="28" t="n">
        <f aca="false">IF(B173=1,(S173+U173)*W173,0)</f>
        <v>0</v>
      </c>
    </row>
    <row r="174" customFormat="false" ht="15" hidden="false" customHeight="false" outlineLevel="0" collapsed="false">
      <c r="A174" s="27" t="n">
        <v>49</v>
      </c>
      <c r="B174" s="27" t="n">
        <f aca="false">IF(AND(A174&lt;=$D$52,$D$47=1),1,0)</f>
        <v>0</v>
      </c>
      <c r="C174" s="27" t="str">
        <f aca="false">IF(B174=1,$D$7+A174-1,"")</f>
        <v/>
      </c>
      <c r="D174" s="28" t="str">
        <f aca="false">(PlanStartYear+A174-1)&amp;"/"&amp;RIGHT(PlanStartYear+A174,2)</f>
        <v>2074/75</v>
      </c>
      <c r="E174" s="27" t="n">
        <f aca="false">A174-1-$D$49</f>
        <v>36</v>
      </c>
      <c r="F174" s="39" t="n">
        <f aca="false">IF(AND(B174=1,E174&gt;=0,E174&lt;$D$50),MIN(1,$D$37-E174),0)</f>
        <v>0</v>
      </c>
      <c r="G174" s="27" t="n">
        <f aca="false">(A174-1)+$D$54</f>
        <v>47</v>
      </c>
      <c r="H174" s="40" t="n">
        <f aca="false">(1+TuiInf)^G174</f>
        <v>88.197485258975</v>
      </c>
      <c r="I174" s="40" t="n">
        <f aca="false">(1+LivInf)^G174</f>
        <v>37.2320121688381</v>
      </c>
      <c r="J174" s="28" t="n">
        <f aca="false">$D$24*H174*F174</f>
        <v>0</v>
      </c>
      <c r="K174" s="28" t="n">
        <f aca="false">$D$25*H174*F174</f>
        <v>0</v>
      </c>
      <c r="L174" s="28" t="n">
        <f aca="false">$D$26*I174*F174</f>
        <v>0</v>
      </c>
      <c r="M174" s="28" t="n">
        <f aca="false">$D$27*I174*F174</f>
        <v>0</v>
      </c>
      <c r="N174" s="28" t="n">
        <f aca="false">$D$28*I174*F174</f>
        <v>0</v>
      </c>
      <c r="O174" s="28" t="n">
        <f aca="false">$D$29*I174*F174</f>
        <v>0</v>
      </c>
      <c r="P174" s="28" t="n">
        <f aca="false">$D$30*I174*F174</f>
        <v>0</v>
      </c>
      <c r="Q174" s="28" t="n">
        <f aca="false">$D$31*I174*F174</f>
        <v>0</v>
      </c>
      <c r="R174" s="28" t="n">
        <f aca="false">$D$32*I174*F174</f>
        <v>0</v>
      </c>
      <c r="S174" s="28" t="n">
        <f aca="false">IF(AND(F174&gt;0,E174=0),($D$33+$D$36)*H174+($D$34+$D$35)*I174,0)</f>
        <v>0</v>
      </c>
      <c r="T174" s="28" t="n">
        <f aca="false">SUM(J174:S174)</f>
        <v>0</v>
      </c>
      <c r="U174" s="28" t="n">
        <f aca="false">T174*Cont</f>
        <v>0</v>
      </c>
      <c r="V174" s="28" t="n">
        <f aca="false">MIN(J174,J174*$D$43)</f>
        <v>0</v>
      </c>
      <c r="W174" s="40" t="n">
        <f aca="false">$D$55*(1+FxDrift)^(A174-1)</f>
        <v>1</v>
      </c>
      <c r="X174" s="28" t="n">
        <f aca="false">(T174+U174)*W174</f>
        <v>0</v>
      </c>
      <c r="Y174" s="28" t="n">
        <f aca="false">IF(B174=1,MIN(X174,V174*W174+IF(F174&gt;0,$D$44*F174,0)),0)</f>
        <v>0</v>
      </c>
      <c r="Z174" s="41" t="n">
        <f aca="false">IF(B174=1,MAX(0,X174-(V174*W174+IF(F174&gt;0,$D$44*F174,0))),0)</f>
        <v>0</v>
      </c>
      <c r="AA174" s="28" t="n">
        <f aca="false">IF(B174=1,(J174+K174)*W174,0)</f>
        <v>0</v>
      </c>
      <c r="AB174" s="28" t="n">
        <f aca="false">IF(B174=1,SUM(L174:R174)*W174,0)</f>
        <v>0</v>
      </c>
      <c r="AC174" s="28" t="n">
        <f aca="false">IF(B174=1,(S174+U174)*W174,0)</f>
        <v>0</v>
      </c>
    </row>
    <row r="175" customFormat="false" ht="15" hidden="false" customHeight="false" outlineLevel="0" collapsed="false">
      <c r="A175" s="27" t="n">
        <v>50</v>
      </c>
      <c r="B175" s="27" t="n">
        <f aca="false">IF(AND(A175&lt;=$D$52,$D$47=1),1,0)</f>
        <v>0</v>
      </c>
      <c r="C175" s="27" t="str">
        <f aca="false">IF(B175=1,$D$7+A175-1,"")</f>
        <v/>
      </c>
      <c r="D175" s="28" t="str">
        <f aca="false">(PlanStartYear+A175-1)&amp;"/"&amp;RIGHT(PlanStartYear+A175,2)</f>
        <v>2075/76</v>
      </c>
      <c r="E175" s="27" t="n">
        <f aca="false">A175-1-$D$49</f>
        <v>37</v>
      </c>
      <c r="F175" s="39" t="n">
        <f aca="false">IF(AND(B175=1,E175&gt;=0,E175&lt;$D$50),MIN(1,$D$37-E175),0)</f>
        <v>0</v>
      </c>
      <c r="G175" s="27" t="n">
        <f aca="false">(A175-1)+$D$54</f>
        <v>48</v>
      </c>
      <c r="H175" s="40" t="n">
        <f aca="false">(1+TuiInf)^G175</f>
        <v>97.0172337848725</v>
      </c>
      <c r="I175" s="40" t="n">
        <f aca="false">(1+LivInf)^G175</f>
        <v>40.2105731423451</v>
      </c>
      <c r="J175" s="28" t="n">
        <f aca="false">$D$24*H175*F175</f>
        <v>0</v>
      </c>
      <c r="K175" s="28" t="n">
        <f aca="false">$D$25*H175*F175</f>
        <v>0</v>
      </c>
      <c r="L175" s="28" t="n">
        <f aca="false">$D$26*I175*F175</f>
        <v>0</v>
      </c>
      <c r="M175" s="28" t="n">
        <f aca="false">$D$27*I175*F175</f>
        <v>0</v>
      </c>
      <c r="N175" s="28" t="n">
        <f aca="false">$D$28*I175*F175</f>
        <v>0</v>
      </c>
      <c r="O175" s="28" t="n">
        <f aca="false">$D$29*I175*F175</f>
        <v>0</v>
      </c>
      <c r="P175" s="28" t="n">
        <f aca="false">$D$30*I175*F175</f>
        <v>0</v>
      </c>
      <c r="Q175" s="28" t="n">
        <f aca="false">$D$31*I175*F175</f>
        <v>0</v>
      </c>
      <c r="R175" s="28" t="n">
        <f aca="false">$D$32*I175*F175</f>
        <v>0</v>
      </c>
      <c r="S175" s="28" t="n">
        <f aca="false">IF(AND(F175&gt;0,E175=0),($D$33+$D$36)*H175+($D$34+$D$35)*I175,0)</f>
        <v>0</v>
      </c>
      <c r="T175" s="28" t="n">
        <f aca="false">SUM(J175:S175)</f>
        <v>0</v>
      </c>
      <c r="U175" s="28" t="n">
        <f aca="false">T175*Cont</f>
        <v>0</v>
      </c>
      <c r="V175" s="28" t="n">
        <f aca="false">MIN(J175,J175*$D$43)</f>
        <v>0</v>
      </c>
      <c r="W175" s="40" t="n">
        <f aca="false">$D$55*(1+FxDrift)^(A175-1)</f>
        <v>1</v>
      </c>
      <c r="X175" s="28" t="n">
        <f aca="false">(T175+U175)*W175</f>
        <v>0</v>
      </c>
      <c r="Y175" s="28" t="n">
        <f aca="false">IF(B175=1,MIN(X175,V175*W175+IF(F175&gt;0,$D$44*F175,0)),0)</f>
        <v>0</v>
      </c>
      <c r="Z175" s="41" t="n">
        <f aca="false">IF(B175=1,MAX(0,X175-(V175*W175+IF(F175&gt;0,$D$44*F175,0))),0)</f>
        <v>0</v>
      </c>
      <c r="AA175" s="28" t="n">
        <f aca="false">IF(B175=1,(J175+K175)*W175,0)</f>
        <v>0</v>
      </c>
      <c r="AB175" s="28" t="n">
        <f aca="false">IF(B175=1,SUM(L175:R175)*W175,0)</f>
        <v>0</v>
      </c>
      <c r="AC175" s="28" t="n">
        <f aca="false">IF(B175=1,(S175+U175)*W175,0)</f>
        <v>0</v>
      </c>
    </row>
    <row r="176" customFormat="false" ht="15" hidden="false" customHeight="false" outlineLevel="0" collapsed="false">
      <c r="A176" s="27" t="n">
        <v>51</v>
      </c>
      <c r="B176" s="27" t="n">
        <f aca="false">IF(AND(A176&lt;=$D$52,$D$47=1),1,0)</f>
        <v>0</v>
      </c>
      <c r="C176" s="27" t="str">
        <f aca="false">IF(B176=1,$D$7+A176-1,"")</f>
        <v/>
      </c>
      <c r="D176" s="28" t="str">
        <f aca="false">(PlanStartYear+A176-1)&amp;"/"&amp;RIGHT(PlanStartYear+A176,2)</f>
        <v>2076/77</v>
      </c>
      <c r="E176" s="27" t="n">
        <f aca="false">A176-1-$D$49</f>
        <v>38</v>
      </c>
      <c r="F176" s="39" t="n">
        <f aca="false">IF(AND(B176=1,E176&gt;=0,E176&lt;$D$50),MIN(1,$D$37-E176),0)</f>
        <v>0</v>
      </c>
      <c r="G176" s="27" t="n">
        <f aca="false">(A176-1)+$D$54</f>
        <v>49</v>
      </c>
      <c r="H176" s="40" t="n">
        <f aca="false">(1+TuiInf)^G176</f>
        <v>106.71895716336</v>
      </c>
      <c r="I176" s="40" t="n">
        <f aca="false">(1+LivInf)^G176</f>
        <v>43.4274189937327</v>
      </c>
      <c r="J176" s="28" t="n">
        <f aca="false">$D$24*H176*F176</f>
        <v>0</v>
      </c>
      <c r="K176" s="28" t="n">
        <f aca="false">$D$25*H176*F176</f>
        <v>0</v>
      </c>
      <c r="L176" s="28" t="n">
        <f aca="false">$D$26*I176*F176</f>
        <v>0</v>
      </c>
      <c r="M176" s="28" t="n">
        <f aca="false">$D$27*I176*F176</f>
        <v>0</v>
      </c>
      <c r="N176" s="28" t="n">
        <f aca="false">$D$28*I176*F176</f>
        <v>0</v>
      </c>
      <c r="O176" s="28" t="n">
        <f aca="false">$D$29*I176*F176</f>
        <v>0</v>
      </c>
      <c r="P176" s="28" t="n">
        <f aca="false">$D$30*I176*F176</f>
        <v>0</v>
      </c>
      <c r="Q176" s="28" t="n">
        <f aca="false">$D$31*I176*F176</f>
        <v>0</v>
      </c>
      <c r="R176" s="28" t="n">
        <f aca="false">$D$32*I176*F176</f>
        <v>0</v>
      </c>
      <c r="S176" s="28" t="n">
        <f aca="false">IF(AND(F176&gt;0,E176=0),($D$33+$D$36)*H176+($D$34+$D$35)*I176,0)</f>
        <v>0</v>
      </c>
      <c r="T176" s="28" t="n">
        <f aca="false">SUM(J176:S176)</f>
        <v>0</v>
      </c>
      <c r="U176" s="28" t="n">
        <f aca="false">T176*Cont</f>
        <v>0</v>
      </c>
      <c r="V176" s="28" t="n">
        <f aca="false">MIN(J176,J176*$D$43)</f>
        <v>0</v>
      </c>
      <c r="W176" s="40" t="n">
        <f aca="false">$D$55*(1+FxDrift)^(A176-1)</f>
        <v>1</v>
      </c>
      <c r="X176" s="28" t="n">
        <f aca="false">(T176+U176)*W176</f>
        <v>0</v>
      </c>
      <c r="Y176" s="28" t="n">
        <f aca="false">IF(B176=1,MIN(X176,V176*W176+IF(F176&gt;0,$D$44*F176,0)),0)</f>
        <v>0</v>
      </c>
      <c r="Z176" s="41" t="n">
        <f aca="false">IF(B176=1,MAX(0,X176-(V176*W176+IF(F176&gt;0,$D$44*F176,0))),0)</f>
        <v>0</v>
      </c>
      <c r="AA176" s="28" t="n">
        <f aca="false">IF(B176=1,(J176+K176)*W176,0)</f>
        <v>0</v>
      </c>
      <c r="AB176" s="28" t="n">
        <f aca="false">IF(B176=1,SUM(L176:R176)*W176,0)</f>
        <v>0</v>
      </c>
      <c r="AC176" s="28" t="n">
        <f aca="false">IF(B176=1,(S176+U176)*W176,0)</f>
        <v>0</v>
      </c>
    </row>
    <row r="177" customFormat="false" ht="15" hidden="false" customHeight="false" outlineLevel="0" collapsed="false">
      <c r="A177" s="27" t="n">
        <v>52</v>
      </c>
      <c r="B177" s="27" t="n">
        <f aca="false">IF(AND(A177&lt;=$D$52,$D$47=1),1,0)</f>
        <v>0</v>
      </c>
      <c r="C177" s="27" t="str">
        <f aca="false">IF(B177=1,$D$7+A177-1,"")</f>
        <v/>
      </c>
      <c r="D177" s="28" t="str">
        <f aca="false">(PlanStartYear+A177-1)&amp;"/"&amp;RIGHT(PlanStartYear+A177,2)</f>
        <v>2077/78</v>
      </c>
      <c r="E177" s="27" t="n">
        <f aca="false">A177-1-$D$49</f>
        <v>39</v>
      </c>
      <c r="F177" s="39" t="n">
        <f aca="false">IF(AND(B177=1,E177&gt;=0,E177&lt;$D$50),MIN(1,$D$37-E177),0)</f>
        <v>0</v>
      </c>
      <c r="G177" s="27" t="n">
        <f aca="false">(A177-1)+$D$54</f>
        <v>50</v>
      </c>
      <c r="H177" s="40" t="n">
        <f aca="false">(1+TuiInf)^G177</f>
        <v>117.390852879696</v>
      </c>
      <c r="I177" s="40" t="n">
        <f aca="false">(1+LivInf)^G177</f>
        <v>46.9016125132314</v>
      </c>
      <c r="J177" s="28" t="n">
        <f aca="false">$D$24*H177*F177</f>
        <v>0</v>
      </c>
      <c r="K177" s="28" t="n">
        <f aca="false">$D$25*H177*F177</f>
        <v>0</v>
      </c>
      <c r="L177" s="28" t="n">
        <f aca="false">$D$26*I177*F177</f>
        <v>0</v>
      </c>
      <c r="M177" s="28" t="n">
        <f aca="false">$D$27*I177*F177</f>
        <v>0</v>
      </c>
      <c r="N177" s="28" t="n">
        <f aca="false">$D$28*I177*F177</f>
        <v>0</v>
      </c>
      <c r="O177" s="28" t="n">
        <f aca="false">$D$29*I177*F177</f>
        <v>0</v>
      </c>
      <c r="P177" s="28" t="n">
        <f aca="false">$D$30*I177*F177</f>
        <v>0</v>
      </c>
      <c r="Q177" s="28" t="n">
        <f aca="false">$D$31*I177*F177</f>
        <v>0</v>
      </c>
      <c r="R177" s="28" t="n">
        <f aca="false">$D$32*I177*F177</f>
        <v>0</v>
      </c>
      <c r="S177" s="28" t="n">
        <f aca="false">IF(AND(F177&gt;0,E177=0),($D$33+$D$36)*H177+($D$34+$D$35)*I177,0)</f>
        <v>0</v>
      </c>
      <c r="T177" s="28" t="n">
        <f aca="false">SUM(J177:S177)</f>
        <v>0</v>
      </c>
      <c r="U177" s="28" t="n">
        <f aca="false">T177*Cont</f>
        <v>0</v>
      </c>
      <c r="V177" s="28" t="n">
        <f aca="false">MIN(J177,J177*$D$43)</f>
        <v>0</v>
      </c>
      <c r="W177" s="40" t="n">
        <f aca="false">$D$55*(1+FxDrift)^(A177-1)</f>
        <v>1</v>
      </c>
      <c r="X177" s="28" t="n">
        <f aca="false">(T177+U177)*W177</f>
        <v>0</v>
      </c>
      <c r="Y177" s="28" t="n">
        <f aca="false">IF(B177=1,MIN(X177,V177*W177+IF(F177&gt;0,$D$44*F177,0)),0)</f>
        <v>0</v>
      </c>
      <c r="Z177" s="41" t="n">
        <f aca="false">IF(B177=1,MAX(0,X177-(V177*W177+IF(F177&gt;0,$D$44*F177,0))),0)</f>
        <v>0</v>
      </c>
      <c r="AA177" s="28" t="n">
        <f aca="false">IF(B177=1,(J177+K177)*W177,0)</f>
        <v>0</v>
      </c>
      <c r="AB177" s="28" t="n">
        <f aca="false">IF(B177=1,SUM(L177:R177)*W177,0)</f>
        <v>0</v>
      </c>
      <c r="AC177" s="28" t="n">
        <f aca="false">IF(B177=1,(S177+U177)*W177,0)</f>
        <v>0</v>
      </c>
    </row>
    <row r="178" customFormat="false" ht="15" hidden="false" customHeight="false" outlineLevel="0" collapsed="false">
      <c r="A178" s="27" t="n">
        <v>53</v>
      </c>
      <c r="B178" s="27" t="n">
        <f aca="false">IF(AND(A178&lt;=$D$52,$D$47=1),1,0)</f>
        <v>0</v>
      </c>
      <c r="C178" s="27" t="str">
        <f aca="false">IF(B178=1,$D$7+A178-1,"")</f>
        <v/>
      </c>
      <c r="D178" s="28" t="str">
        <f aca="false">(PlanStartYear+A178-1)&amp;"/"&amp;RIGHT(PlanStartYear+A178,2)</f>
        <v>2078/79</v>
      </c>
      <c r="E178" s="27" t="n">
        <f aca="false">A178-1-$D$49</f>
        <v>40</v>
      </c>
      <c r="F178" s="39" t="n">
        <f aca="false">IF(AND(B178=1,E178&gt;=0,E178&lt;$D$50),MIN(1,$D$37-E178),0)</f>
        <v>0</v>
      </c>
      <c r="G178" s="27" t="n">
        <f aca="false">(A178-1)+$D$54</f>
        <v>51</v>
      </c>
      <c r="H178" s="40" t="n">
        <f aca="false">(1+TuiInf)^G178</f>
        <v>129.129938167665</v>
      </c>
      <c r="I178" s="40" t="n">
        <f aca="false">(1+LivInf)^G178</f>
        <v>50.6537415142899</v>
      </c>
      <c r="J178" s="28" t="n">
        <f aca="false">$D$24*H178*F178</f>
        <v>0</v>
      </c>
      <c r="K178" s="28" t="n">
        <f aca="false">$D$25*H178*F178</f>
        <v>0</v>
      </c>
      <c r="L178" s="28" t="n">
        <f aca="false">$D$26*I178*F178</f>
        <v>0</v>
      </c>
      <c r="M178" s="28" t="n">
        <f aca="false">$D$27*I178*F178</f>
        <v>0</v>
      </c>
      <c r="N178" s="28" t="n">
        <f aca="false">$D$28*I178*F178</f>
        <v>0</v>
      </c>
      <c r="O178" s="28" t="n">
        <f aca="false">$D$29*I178*F178</f>
        <v>0</v>
      </c>
      <c r="P178" s="28" t="n">
        <f aca="false">$D$30*I178*F178</f>
        <v>0</v>
      </c>
      <c r="Q178" s="28" t="n">
        <f aca="false">$D$31*I178*F178</f>
        <v>0</v>
      </c>
      <c r="R178" s="28" t="n">
        <f aca="false">$D$32*I178*F178</f>
        <v>0</v>
      </c>
      <c r="S178" s="28" t="n">
        <f aca="false">IF(AND(F178&gt;0,E178=0),($D$33+$D$36)*H178+($D$34+$D$35)*I178,0)</f>
        <v>0</v>
      </c>
      <c r="T178" s="28" t="n">
        <f aca="false">SUM(J178:S178)</f>
        <v>0</v>
      </c>
      <c r="U178" s="28" t="n">
        <f aca="false">T178*Cont</f>
        <v>0</v>
      </c>
      <c r="V178" s="28" t="n">
        <f aca="false">MIN(J178,J178*$D$43)</f>
        <v>0</v>
      </c>
      <c r="W178" s="40" t="n">
        <f aca="false">$D$55*(1+FxDrift)^(A178-1)</f>
        <v>1</v>
      </c>
      <c r="X178" s="28" t="n">
        <f aca="false">(T178+U178)*W178</f>
        <v>0</v>
      </c>
      <c r="Y178" s="28" t="n">
        <f aca="false">IF(B178=1,MIN(X178,V178*W178+IF(F178&gt;0,$D$44*F178,0)),0)</f>
        <v>0</v>
      </c>
      <c r="Z178" s="41" t="n">
        <f aca="false">IF(B178=1,MAX(0,X178-(V178*W178+IF(F178&gt;0,$D$44*F178,0))),0)</f>
        <v>0</v>
      </c>
      <c r="AA178" s="28" t="n">
        <f aca="false">IF(B178=1,(J178+K178)*W178,0)</f>
        <v>0</v>
      </c>
      <c r="AB178" s="28" t="n">
        <f aca="false">IF(B178=1,SUM(L178:R178)*W178,0)</f>
        <v>0</v>
      </c>
      <c r="AC178" s="28" t="n">
        <f aca="false">IF(B178=1,(S178+U178)*W178,0)</f>
        <v>0</v>
      </c>
    </row>
    <row r="179" customFormat="false" ht="15" hidden="false" customHeight="false" outlineLevel="0" collapsed="false">
      <c r="A179" s="27" t="n">
        <v>54</v>
      </c>
      <c r="B179" s="27" t="n">
        <f aca="false">IF(AND(A179&lt;=$D$52,$D$47=1),1,0)</f>
        <v>0</v>
      </c>
      <c r="C179" s="27" t="str">
        <f aca="false">IF(B179=1,$D$7+A179-1,"")</f>
        <v/>
      </c>
      <c r="D179" s="28" t="str">
        <f aca="false">(PlanStartYear+A179-1)&amp;"/"&amp;RIGHT(PlanStartYear+A179,2)</f>
        <v>2079/80</v>
      </c>
      <c r="E179" s="27" t="n">
        <f aca="false">A179-1-$D$49</f>
        <v>41</v>
      </c>
      <c r="F179" s="39" t="n">
        <f aca="false">IF(AND(B179=1,E179&gt;=0,E179&lt;$D$50),MIN(1,$D$37-E179),0)</f>
        <v>0</v>
      </c>
      <c r="G179" s="27" t="n">
        <f aca="false">(A179-1)+$D$54</f>
        <v>52</v>
      </c>
      <c r="H179" s="40" t="n">
        <f aca="false">(1+TuiInf)^G179</f>
        <v>142.042931984432</v>
      </c>
      <c r="I179" s="40" t="n">
        <f aca="false">(1+LivInf)^G179</f>
        <v>54.7060408354331</v>
      </c>
      <c r="J179" s="28" t="n">
        <f aca="false">$D$24*H179*F179</f>
        <v>0</v>
      </c>
      <c r="K179" s="28" t="n">
        <f aca="false">$D$25*H179*F179</f>
        <v>0</v>
      </c>
      <c r="L179" s="28" t="n">
        <f aca="false">$D$26*I179*F179</f>
        <v>0</v>
      </c>
      <c r="M179" s="28" t="n">
        <f aca="false">$D$27*I179*F179</f>
        <v>0</v>
      </c>
      <c r="N179" s="28" t="n">
        <f aca="false">$D$28*I179*F179</f>
        <v>0</v>
      </c>
      <c r="O179" s="28" t="n">
        <f aca="false">$D$29*I179*F179</f>
        <v>0</v>
      </c>
      <c r="P179" s="28" t="n">
        <f aca="false">$D$30*I179*F179</f>
        <v>0</v>
      </c>
      <c r="Q179" s="28" t="n">
        <f aca="false">$D$31*I179*F179</f>
        <v>0</v>
      </c>
      <c r="R179" s="28" t="n">
        <f aca="false">$D$32*I179*F179</f>
        <v>0</v>
      </c>
      <c r="S179" s="28" t="n">
        <f aca="false">IF(AND(F179&gt;0,E179=0),($D$33+$D$36)*H179+($D$34+$D$35)*I179,0)</f>
        <v>0</v>
      </c>
      <c r="T179" s="28" t="n">
        <f aca="false">SUM(J179:S179)</f>
        <v>0</v>
      </c>
      <c r="U179" s="28" t="n">
        <f aca="false">T179*Cont</f>
        <v>0</v>
      </c>
      <c r="V179" s="28" t="n">
        <f aca="false">MIN(J179,J179*$D$43)</f>
        <v>0</v>
      </c>
      <c r="W179" s="40" t="n">
        <f aca="false">$D$55*(1+FxDrift)^(A179-1)</f>
        <v>1</v>
      </c>
      <c r="X179" s="28" t="n">
        <f aca="false">(T179+U179)*W179</f>
        <v>0</v>
      </c>
      <c r="Y179" s="28" t="n">
        <f aca="false">IF(B179=1,MIN(X179,V179*W179+IF(F179&gt;0,$D$44*F179,0)),0)</f>
        <v>0</v>
      </c>
      <c r="Z179" s="41" t="n">
        <f aca="false">IF(B179=1,MAX(0,X179-(V179*W179+IF(F179&gt;0,$D$44*F179,0))),0)</f>
        <v>0</v>
      </c>
      <c r="AA179" s="28" t="n">
        <f aca="false">IF(B179=1,(J179+K179)*W179,0)</f>
        <v>0</v>
      </c>
      <c r="AB179" s="28" t="n">
        <f aca="false">IF(B179=1,SUM(L179:R179)*W179,0)</f>
        <v>0</v>
      </c>
      <c r="AC179" s="28" t="n">
        <f aca="false">IF(B179=1,(S179+U179)*W179,0)</f>
        <v>0</v>
      </c>
    </row>
    <row r="180" customFormat="false" ht="15" hidden="false" customHeight="false" outlineLevel="0" collapsed="false">
      <c r="A180" s="27" t="n">
        <v>55</v>
      </c>
      <c r="B180" s="27" t="n">
        <f aca="false">IF(AND(A180&lt;=$D$52,$D$47=1),1,0)</f>
        <v>0</v>
      </c>
      <c r="C180" s="27" t="str">
        <f aca="false">IF(B180=1,$D$7+A180-1,"")</f>
        <v/>
      </c>
      <c r="D180" s="28" t="str">
        <f aca="false">(PlanStartYear+A180-1)&amp;"/"&amp;RIGHT(PlanStartYear+A180,2)</f>
        <v>2080/81</v>
      </c>
      <c r="E180" s="27" t="n">
        <f aca="false">A180-1-$D$49</f>
        <v>42</v>
      </c>
      <c r="F180" s="39" t="n">
        <f aca="false">IF(AND(B180=1,E180&gt;=0,E180&lt;$D$50),MIN(1,$D$37-E180),0)</f>
        <v>0</v>
      </c>
      <c r="G180" s="27" t="n">
        <f aca="false">(A180-1)+$D$54</f>
        <v>53</v>
      </c>
      <c r="H180" s="40" t="n">
        <f aca="false">(1+TuiInf)^G180</f>
        <v>156.247225182875</v>
      </c>
      <c r="I180" s="40" t="n">
        <f aca="false">(1+LivInf)^G180</f>
        <v>59.0825241022677</v>
      </c>
      <c r="J180" s="28" t="n">
        <f aca="false">$D$24*H180*F180</f>
        <v>0</v>
      </c>
      <c r="K180" s="28" t="n">
        <f aca="false">$D$25*H180*F180</f>
        <v>0</v>
      </c>
      <c r="L180" s="28" t="n">
        <f aca="false">$D$26*I180*F180</f>
        <v>0</v>
      </c>
      <c r="M180" s="28" t="n">
        <f aca="false">$D$27*I180*F180</f>
        <v>0</v>
      </c>
      <c r="N180" s="28" t="n">
        <f aca="false">$D$28*I180*F180</f>
        <v>0</v>
      </c>
      <c r="O180" s="28" t="n">
        <f aca="false">$D$29*I180*F180</f>
        <v>0</v>
      </c>
      <c r="P180" s="28" t="n">
        <f aca="false">$D$30*I180*F180</f>
        <v>0</v>
      </c>
      <c r="Q180" s="28" t="n">
        <f aca="false">$D$31*I180*F180</f>
        <v>0</v>
      </c>
      <c r="R180" s="28" t="n">
        <f aca="false">$D$32*I180*F180</f>
        <v>0</v>
      </c>
      <c r="S180" s="28" t="n">
        <f aca="false">IF(AND(F180&gt;0,E180=0),($D$33+$D$36)*H180+($D$34+$D$35)*I180,0)</f>
        <v>0</v>
      </c>
      <c r="T180" s="28" t="n">
        <f aca="false">SUM(J180:S180)</f>
        <v>0</v>
      </c>
      <c r="U180" s="28" t="n">
        <f aca="false">T180*Cont</f>
        <v>0</v>
      </c>
      <c r="V180" s="28" t="n">
        <f aca="false">MIN(J180,J180*$D$43)</f>
        <v>0</v>
      </c>
      <c r="W180" s="40" t="n">
        <f aca="false">$D$55*(1+FxDrift)^(A180-1)</f>
        <v>1</v>
      </c>
      <c r="X180" s="28" t="n">
        <f aca="false">(T180+U180)*W180</f>
        <v>0</v>
      </c>
      <c r="Y180" s="28" t="n">
        <f aca="false">IF(B180=1,MIN(X180,V180*W180+IF(F180&gt;0,$D$44*F180,0)),0)</f>
        <v>0</v>
      </c>
      <c r="Z180" s="41" t="n">
        <f aca="false">IF(B180=1,MAX(0,X180-(V180*W180+IF(F180&gt;0,$D$44*F180,0))),0)</f>
        <v>0</v>
      </c>
      <c r="AA180" s="28" t="n">
        <f aca="false">IF(B180=1,(J180+K180)*W180,0)</f>
        <v>0</v>
      </c>
      <c r="AB180" s="28" t="n">
        <f aca="false">IF(B180=1,SUM(L180:R180)*W180,0)</f>
        <v>0</v>
      </c>
      <c r="AC180" s="28" t="n">
        <f aca="false">IF(B180=1,(S180+U180)*W180,0)</f>
        <v>0</v>
      </c>
    </row>
    <row r="181" customFormat="false" ht="15" hidden="false" customHeight="false" outlineLevel="0" collapsed="false">
      <c r="A181" s="27" t="n">
        <v>56</v>
      </c>
      <c r="B181" s="27" t="n">
        <f aca="false">IF(AND(A181&lt;=$D$52,$D$47=1),1,0)</f>
        <v>0</v>
      </c>
      <c r="C181" s="27" t="str">
        <f aca="false">IF(B181=1,$D$7+A181-1,"")</f>
        <v/>
      </c>
      <c r="D181" s="28" t="str">
        <f aca="false">(PlanStartYear+A181-1)&amp;"/"&amp;RIGHT(PlanStartYear+A181,2)</f>
        <v>2081/82</v>
      </c>
      <c r="E181" s="27" t="n">
        <f aca="false">A181-1-$D$49</f>
        <v>43</v>
      </c>
      <c r="F181" s="39" t="n">
        <f aca="false">IF(AND(B181=1,E181&gt;=0,E181&lt;$D$50),MIN(1,$D$37-E181),0)</f>
        <v>0</v>
      </c>
      <c r="G181" s="27" t="n">
        <f aca="false">(A181-1)+$D$54</f>
        <v>54</v>
      </c>
      <c r="H181" s="40" t="n">
        <f aca="false">(1+TuiInf)^G181</f>
        <v>171.871947701163</v>
      </c>
      <c r="I181" s="40" t="n">
        <f aca="false">(1+LivInf)^G181</f>
        <v>63.8091260304491</v>
      </c>
      <c r="J181" s="28" t="n">
        <f aca="false">$D$24*H181*F181</f>
        <v>0</v>
      </c>
      <c r="K181" s="28" t="n">
        <f aca="false">$D$25*H181*F181</f>
        <v>0</v>
      </c>
      <c r="L181" s="28" t="n">
        <f aca="false">$D$26*I181*F181</f>
        <v>0</v>
      </c>
      <c r="M181" s="28" t="n">
        <f aca="false">$D$27*I181*F181</f>
        <v>0</v>
      </c>
      <c r="N181" s="28" t="n">
        <f aca="false">$D$28*I181*F181</f>
        <v>0</v>
      </c>
      <c r="O181" s="28" t="n">
        <f aca="false">$D$29*I181*F181</f>
        <v>0</v>
      </c>
      <c r="P181" s="28" t="n">
        <f aca="false">$D$30*I181*F181</f>
        <v>0</v>
      </c>
      <c r="Q181" s="28" t="n">
        <f aca="false">$D$31*I181*F181</f>
        <v>0</v>
      </c>
      <c r="R181" s="28" t="n">
        <f aca="false">$D$32*I181*F181</f>
        <v>0</v>
      </c>
      <c r="S181" s="28" t="n">
        <f aca="false">IF(AND(F181&gt;0,E181=0),($D$33+$D$36)*H181+($D$34+$D$35)*I181,0)</f>
        <v>0</v>
      </c>
      <c r="T181" s="28" t="n">
        <f aca="false">SUM(J181:S181)</f>
        <v>0</v>
      </c>
      <c r="U181" s="28" t="n">
        <f aca="false">T181*Cont</f>
        <v>0</v>
      </c>
      <c r="V181" s="28" t="n">
        <f aca="false">MIN(J181,J181*$D$43)</f>
        <v>0</v>
      </c>
      <c r="W181" s="40" t="n">
        <f aca="false">$D$55*(1+FxDrift)^(A181-1)</f>
        <v>1</v>
      </c>
      <c r="X181" s="28" t="n">
        <f aca="false">(T181+U181)*W181</f>
        <v>0</v>
      </c>
      <c r="Y181" s="28" t="n">
        <f aca="false">IF(B181=1,MIN(X181,V181*W181+IF(F181&gt;0,$D$44*F181,0)),0)</f>
        <v>0</v>
      </c>
      <c r="Z181" s="41" t="n">
        <f aca="false">IF(B181=1,MAX(0,X181-(V181*W181+IF(F181&gt;0,$D$44*F181,0))),0)</f>
        <v>0</v>
      </c>
      <c r="AA181" s="28" t="n">
        <f aca="false">IF(B181=1,(J181+K181)*W181,0)</f>
        <v>0</v>
      </c>
      <c r="AB181" s="28" t="n">
        <f aca="false">IF(B181=1,SUM(L181:R181)*W181,0)</f>
        <v>0</v>
      </c>
      <c r="AC181" s="28" t="n">
        <f aca="false">IF(B181=1,(S181+U181)*W181,0)</f>
        <v>0</v>
      </c>
    </row>
    <row r="182" customFormat="false" ht="15" hidden="false" customHeight="false" outlineLevel="0" collapsed="false">
      <c r="A182" s="27" t="n">
        <v>57</v>
      </c>
      <c r="B182" s="27" t="n">
        <f aca="false">IF(AND(A182&lt;=$D$52,$D$47=1),1,0)</f>
        <v>0</v>
      </c>
      <c r="C182" s="27" t="str">
        <f aca="false">IF(B182=1,$D$7+A182-1,"")</f>
        <v/>
      </c>
      <c r="D182" s="28" t="str">
        <f aca="false">(PlanStartYear+A182-1)&amp;"/"&amp;RIGHT(PlanStartYear+A182,2)</f>
        <v>2082/83</v>
      </c>
      <c r="E182" s="27" t="n">
        <f aca="false">A182-1-$D$49</f>
        <v>44</v>
      </c>
      <c r="F182" s="39" t="n">
        <f aca="false">IF(AND(B182=1,E182&gt;=0,E182&lt;$D$50),MIN(1,$D$37-E182),0)</f>
        <v>0</v>
      </c>
      <c r="G182" s="27" t="n">
        <f aca="false">(A182-1)+$D$54</f>
        <v>55</v>
      </c>
      <c r="H182" s="40" t="n">
        <f aca="false">(1+TuiInf)^G182</f>
        <v>189.059142471279</v>
      </c>
      <c r="I182" s="40" t="n">
        <f aca="false">(1+LivInf)^G182</f>
        <v>68.9138561128851</v>
      </c>
      <c r="J182" s="28" t="n">
        <f aca="false">$D$24*H182*F182</f>
        <v>0</v>
      </c>
      <c r="K182" s="28" t="n">
        <f aca="false">$D$25*H182*F182</f>
        <v>0</v>
      </c>
      <c r="L182" s="28" t="n">
        <f aca="false">$D$26*I182*F182</f>
        <v>0</v>
      </c>
      <c r="M182" s="28" t="n">
        <f aca="false">$D$27*I182*F182</f>
        <v>0</v>
      </c>
      <c r="N182" s="28" t="n">
        <f aca="false">$D$28*I182*F182</f>
        <v>0</v>
      </c>
      <c r="O182" s="28" t="n">
        <f aca="false">$D$29*I182*F182</f>
        <v>0</v>
      </c>
      <c r="P182" s="28" t="n">
        <f aca="false">$D$30*I182*F182</f>
        <v>0</v>
      </c>
      <c r="Q182" s="28" t="n">
        <f aca="false">$D$31*I182*F182</f>
        <v>0</v>
      </c>
      <c r="R182" s="28" t="n">
        <f aca="false">$D$32*I182*F182</f>
        <v>0</v>
      </c>
      <c r="S182" s="28" t="n">
        <f aca="false">IF(AND(F182&gt;0,E182=0),($D$33+$D$36)*H182+($D$34+$D$35)*I182,0)</f>
        <v>0</v>
      </c>
      <c r="T182" s="28" t="n">
        <f aca="false">SUM(J182:S182)</f>
        <v>0</v>
      </c>
      <c r="U182" s="28" t="n">
        <f aca="false">T182*Cont</f>
        <v>0</v>
      </c>
      <c r="V182" s="28" t="n">
        <f aca="false">MIN(J182,J182*$D$43)</f>
        <v>0</v>
      </c>
      <c r="W182" s="40" t="n">
        <f aca="false">$D$55*(1+FxDrift)^(A182-1)</f>
        <v>1</v>
      </c>
      <c r="X182" s="28" t="n">
        <f aca="false">(T182+U182)*W182</f>
        <v>0</v>
      </c>
      <c r="Y182" s="28" t="n">
        <f aca="false">IF(B182=1,MIN(X182,V182*W182+IF(F182&gt;0,$D$44*F182,0)),0)</f>
        <v>0</v>
      </c>
      <c r="Z182" s="41" t="n">
        <f aca="false">IF(B182=1,MAX(0,X182-(V182*W182+IF(F182&gt;0,$D$44*F182,0))),0)</f>
        <v>0</v>
      </c>
      <c r="AA182" s="28" t="n">
        <f aca="false">IF(B182=1,(J182+K182)*W182,0)</f>
        <v>0</v>
      </c>
      <c r="AB182" s="28" t="n">
        <f aca="false">IF(B182=1,SUM(L182:R182)*W182,0)</f>
        <v>0</v>
      </c>
      <c r="AC182" s="28" t="n">
        <f aca="false">IF(B182=1,(S182+U182)*W182,0)</f>
        <v>0</v>
      </c>
    </row>
    <row r="183" customFormat="false" ht="15" hidden="false" customHeight="false" outlineLevel="0" collapsed="false">
      <c r="A183" s="27" t="n">
        <v>58</v>
      </c>
      <c r="B183" s="27" t="n">
        <f aca="false">IF(AND(A183&lt;=$D$52,$D$47=1),1,0)</f>
        <v>0</v>
      </c>
      <c r="C183" s="27" t="str">
        <f aca="false">IF(B183=1,$D$7+A183-1,"")</f>
        <v/>
      </c>
      <c r="D183" s="28" t="str">
        <f aca="false">(PlanStartYear+A183-1)&amp;"/"&amp;RIGHT(PlanStartYear+A183,2)</f>
        <v>2083/84</v>
      </c>
      <c r="E183" s="27" t="n">
        <f aca="false">A183-1-$D$49</f>
        <v>45</v>
      </c>
      <c r="F183" s="39" t="n">
        <f aca="false">IF(AND(B183=1,E183&gt;=0,E183&lt;$D$50),MIN(1,$D$37-E183),0)</f>
        <v>0</v>
      </c>
      <c r="G183" s="27" t="n">
        <f aca="false">(A183-1)+$D$54</f>
        <v>56</v>
      </c>
      <c r="H183" s="40" t="n">
        <f aca="false">(1+TuiInf)^G183</f>
        <v>207.965056718407</v>
      </c>
      <c r="I183" s="40" t="n">
        <f aca="false">(1+LivInf)^G183</f>
        <v>74.4269646019159</v>
      </c>
      <c r="J183" s="28" t="n">
        <f aca="false">$D$24*H183*F183</f>
        <v>0</v>
      </c>
      <c r="K183" s="28" t="n">
        <f aca="false">$D$25*H183*F183</f>
        <v>0</v>
      </c>
      <c r="L183" s="28" t="n">
        <f aca="false">$D$26*I183*F183</f>
        <v>0</v>
      </c>
      <c r="M183" s="28" t="n">
        <f aca="false">$D$27*I183*F183</f>
        <v>0</v>
      </c>
      <c r="N183" s="28" t="n">
        <f aca="false">$D$28*I183*F183</f>
        <v>0</v>
      </c>
      <c r="O183" s="28" t="n">
        <f aca="false">$D$29*I183*F183</f>
        <v>0</v>
      </c>
      <c r="P183" s="28" t="n">
        <f aca="false">$D$30*I183*F183</f>
        <v>0</v>
      </c>
      <c r="Q183" s="28" t="n">
        <f aca="false">$D$31*I183*F183</f>
        <v>0</v>
      </c>
      <c r="R183" s="28" t="n">
        <f aca="false">$D$32*I183*F183</f>
        <v>0</v>
      </c>
      <c r="S183" s="28" t="n">
        <f aca="false">IF(AND(F183&gt;0,E183=0),($D$33+$D$36)*H183+($D$34+$D$35)*I183,0)</f>
        <v>0</v>
      </c>
      <c r="T183" s="28" t="n">
        <f aca="false">SUM(J183:S183)</f>
        <v>0</v>
      </c>
      <c r="U183" s="28" t="n">
        <f aca="false">T183*Cont</f>
        <v>0</v>
      </c>
      <c r="V183" s="28" t="n">
        <f aca="false">MIN(J183,J183*$D$43)</f>
        <v>0</v>
      </c>
      <c r="W183" s="40" t="n">
        <f aca="false">$D$55*(1+FxDrift)^(A183-1)</f>
        <v>1</v>
      </c>
      <c r="X183" s="28" t="n">
        <f aca="false">(T183+U183)*W183</f>
        <v>0</v>
      </c>
      <c r="Y183" s="28" t="n">
        <f aca="false">IF(B183=1,MIN(X183,V183*W183+IF(F183&gt;0,$D$44*F183,0)),0)</f>
        <v>0</v>
      </c>
      <c r="Z183" s="41" t="n">
        <f aca="false">IF(B183=1,MAX(0,X183-(V183*W183+IF(F183&gt;0,$D$44*F183,0))),0)</f>
        <v>0</v>
      </c>
      <c r="AA183" s="28" t="n">
        <f aca="false">IF(B183=1,(J183+K183)*W183,0)</f>
        <v>0</v>
      </c>
      <c r="AB183" s="28" t="n">
        <f aca="false">IF(B183=1,SUM(L183:R183)*W183,0)</f>
        <v>0</v>
      </c>
      <c r="AC183" s="28" t="n">
        <f aca="false">IF(B183=1,(S183+U183)*W183,0)</f>
        <v>0</v>
      </c>
    </row>
    <row r="184" customFormat="false" ht="15" hidden="false" customHeight="false" outlineLevel="0" collapsed="false">
      <c r="A184" s="27" t="n">
        <v>59</v>
      </c>
      <c r="B184" s="27" t="n">
        <f aca="false">IF(AND(A184&lt;=$D$52,$D$47=1),1,0)</f>
        <v>0</v>
      </c>
      <c r="C184" s="27" t="str">
        <f aca="false">IF(B184=1,$D$7+A184-1,"")</f>
        <v/>
      </c>
      <c r="D184" s="28" t="str">
        <f aca="false">(PlanStartYear+A184-1)&amp;"/"&amp;RIGHT(PlanStartYear+A184,2)</f>
        <v>2084/85</v>
      </c>
      <c r="E184" s="27" t="n">
        <f aca="false">A184-1-$D$49</f>
        <v>46</v>
      </c>
      <c r="F184" s="39" t="n">
        <f aca="false">IF(AND(B184=1,E184&gt;=0,E184&lt;$D$50),MIN(1,$D$37-E184),0)</f>
        <v>0</v>
      </c>
      <c r="G184" s="27" t="n">
        <f aca="false">(A184-1)+$D$54</f>
        <v>57</v>
      </c>
      <c r="H184" s="40" t="n">
        <f aca="false">(1+TuiInf)^G184</f>
        <v>228.761562390248</v>
      </c>
      <c r="I184" s="40" t="n">
        <f aca="false">(1+LivInf)^G184</f>
        <v>80.3811217700691</v>
      </c>
      <c r="J184" s="28" t="n">
        <f aca="false">$D$24*H184*F184</f>
        <v>0</v>
      </c>
      <c r="K184" s="28" t="n">
        <f aca="false">$D$25*H184*F184</f>
        <v>0</v>
      </c>
      <c r="L184" s="28" t="n">
        <f aca="false">$D$26*I184*F184</f>
        <v>0</v>
      </c>
      <c r="M184" s="28" t="n">
        <f aca="false">$D$27*I184*F184</f>
        <v>0</v>
      </c>
      <c r="N184" s="28" t="n">
        <f aca="false">$D$28*I184*F184</f>
        <v>0</v>
      </c>
      <c r="O184" s="28" t="n">
        <f aca="false">$D$29*I184*F184</f>
        <v>0</v>
      </c>
      <c r="P184" s="28" t="n">
        <f aca="false">$D$30*I184*F184</f>
        <v>0</v>
      </c>
      <c r="Q184" s="28" t="n">
        <f aca="false">$D$31*I184*F184</f>
        <v>0</v>
      </c>
      <c r="R184" s="28" t="n">
        <f aca="false">$D$32*I184*F184</f>
        <v>0</v>
      </c>
      <c r="S184" s="28" t="n">
        <f aca="false">IF(AND(F184&gt;0,E184=0),($D$33+$D$36)*H184+($D$34+$D$35)*I184,0)</f>
        <v>0</v>
      </c>
      <c r="T184" s="28" t="n">
        <f aca="false">SUM(J184:S184)</f>
        <v>0</v>
      </c>
      <c r="U184" s="28" t="n">
        <f aca="false">T184*Cont</f>
        <v>0</v>
      </c>
      <c r="V184" s="28" t="n">
        <f aca="false">MIN(J184,J184*$D$43)</f>
        <v>0</v>
      </c>
      <c r="W184" s="40" t="n">
        <f aca="false">$D$55*(1+FxDrift)^(A184-1)</f>
        <v>1</v>
      </c>
      <c r="X184" s="28" t="n">
        <f aca="false">(T184+U184)*W184</f>
        <v>0</v>
      </c>
      <c r="Y184" s="28" t="n">
        <f aca="false">IF(B184=1,MIN(X184,V184*W184+IF(F184&gt;0,$D$44*F184,0)),0)</f>
        <v>0</v>
      </c>
      <c r="Z184" s="41" t="n">
        <f aca="false">IF(B184=1,MAX(0,X184-(V184*W184+IF(F184&gt;0,$D$44*F184,0))),0)</f>
        <v>0</v>
      </c>
      <c r="AA184" s="28" t="n">
        <f aca="false">IF(B184=1,(J184+K184)*W184,0)</f>
        <v>0</v>
      </c>
      <c r="AB184" s="28" t="n">
        <f aca="false">IF(B184=1,SUM(L184:R184)*W184,0)</f>
        <v>0</v>
      </c>
      <c r="AC184" s="28" t="n">
        <f aca="false">IF(B184=1,(S184+U184)*W184,0)</f>
        <v>0</v>
      </c>
    </row>
    <row r="185" customFormat="false" ht="15" hidden="false" customHeight="false" outlineLevel="0" collapsed="false">
      <c r="A185" s="27" t="n">
        <v>60</v>
      </c>
      <c r="B185" s="27" t="n">
        <f aca="false">IF(AND(A185&lt;=$D$52,$D$47=1),1,0)</f>
        <v>0</v>
      </c>
      <c r="C185" s="27" t="str">
        <f aca="false">IF(B185=1,$D$7+A185-1,"")</f>
        <v/>
      </c>
      <c r="D185" s="28" t="str">
        <f aca="false">(PlanStartYear+A185-1)&amp;"/"&amp;RIGHT(PlanStartYear+A185,2)</f>
        <v>2085/86</v>
      </c>
      <c r="E185" s="27" t="n">
        <f aca="false">A185-1-$D$49</f>
        <v>47</v>
      </c>
      <c r="F185" s="39" t="n">
        <f aca="false">IF(AND(B185=1,E185&gt;=0,E185&lt;$D$50),MIN(1,$D$37-E185),0)</f>
        <v>0</v>
      </c>
      <c r="G185" s="27" t="n">
        <f aca="false">(A185-1)+$D$54</f>
        <v>58</v>
      </c>
      <c r="H185" s="40" t="n">
        <f aca="false">(1+TuiInf)^G185</f>
        <v>251.637718629272</v>
      </c>
      <c r="I185" s="40" t="n">
        <f aca="false">(1+LivInf)^G185</f>
        <v>86.8116115116747</v>
      </c>
      <c r="J185" s="28" t="n">
        <f aca="false">$D$24*H185*F185</f>
        <v>0</v>
      </c>
      <c r="K185" s="28" t="n">
        <f aca="false">$D$25*H185*F185</f>
        <v>0</v>
      </c>
      <c r="L185" s="28" t="n">
        <f aca="false">$D$26*I185*F185</f>
        <v>0</v>
      </c>
      <c r="M185" s="28" t="n">
        <f aca="false">$D$27*I185*F185</f>
        <v>0</v>
      </c>
      <c r="N185" s="28" t="n">
        <f aca="false">$D$28*I185*F185</f>
        <v>0</v>
      </c>
      <c r="O185" s="28" t="n">
        <f aca="false">$D$29*I185*F185</f>
        <v>0</v>
      </c>
      <c r="P185" s="28" t="n">
        <f aca="false">$D$30*I185*F185</f>
        <v>0</v>
      </c>
      <c r="Q185" s="28" t="n">
        <f aca="false">$D$31*I185*F185</f>
        <v>0</v>
      </c>
      <c r="R185" s="28" t="n">
        <f aca="false">$D$32*I185*F185</f>
        <v>0</v>
      </c>
      <c r="S185" s="28" t="n">
        <f aca="false">IF(AND(F185&gt;0,E185=0),($D$33+$D$36)*H185+($D$34+$D$35)*I185,0)</f>
        <v>0</v>
      </c>
      <c r="T185" s="28" t="n">
        <f aca="false">SUM(J185:S185)</f>
        <v>0</v>
      </c>
      <c r="U185" s="28" t="n">
        <f aca="false">T185*Cont</f>
        <v>0</v>
      </c>
      <c r="V185" s="28" t="n">
        <f aca="false">MIN(J185,J185*$D$43)</f>
        <v>0</v>
      </c>
      <c r="W185" s="40" t="n">
        <f aca="false">$D$55*(1+FxDrift)^(A185-1)</f>
        <v>1</v>
      </c>
      <c r="X185" s="28" t="n">
        <f aca="false">(T185+U185)*W185</f>
        <v>0</v>
      </c>
      <c r="Y185" s="28" t="n">
        <f aca="false">IF(B185=1,MIN(X185,V185*W185+IF(F185&gt;0,$D$44*F185,0)),0)</f>
        <v>0</v>
      </c>
      <c r="Z185" s="41" t="n">
        <f aca="false">IF(B185=1,MAX(0,X185-(V185*W185+IF(F185&gt;0,$D$44*F185,0))),0)</f>
        <v>0</v>
      </c>
      <c r="AA185" s="28" t="n">
        <f aca="false">IF(B185=1,(J185+K185)*W185,0)</f>
        <v>0</v>
      </c>
      <c r="AB185" s="28" t="n">
        <f aca="false">IF(B185=1,SUM(L185:R185)*W185,0)</f>
        <v>0</v>
      </c>
      <c r="AC185" s="28" t="n">
        <f aca="false">IF(B185=1,(S185+U185)*W185,0)</f>
        <v>0</v>
      </c>
    </row>
    <row r="188" customFormat="false" ht="15" hidden="false" customHeight="false" outlineLevel="0" collapsed="false">
      <c r="A188" s="6" t="str">
        <f aca="false">"Child 3: "&amp;E6&amp;" — costs by plan year (fee currency: "&amp;E17&amp;", reporting: "&amp;RepCcy&amp;")"</f>
        <v>Child 3: Child 3 — costs by plan year (fee currency: PKR, reporting: PKR)</v>
      </c>
    </row>
    <row r="189" customFormat="false" ht="54" hidden="false" customHeight="true" outlineLevel="0" collapsed="false">
      <c r="A189" s="22" t="s">
        <v>581</v>
      </c>
      <c r="B189" s="22" t="s">
        <v>582</v>
      </c>
      <c r="C189" s="22" t="s">
        <v>583</v>
      </c>
      <c r="D189" s="22" t="s">
        <v>584</v>
      </c>
      <c r="E189" s="22" t="s">
        <v>585</v>
      </c>
      <c r="F189" s="22" t="s">
        <v>586</v>
      </c>
      <c r="G189" s="22" t="s">
        <v>587</v>
      </c>
      <c r="H189" s="22" t="s">
        <v>588</v>
      </c>
      <c r="I189" s="22" t="s">
        <v>589</v>
      </c>
      <c r="J189" s="22" t="s">
        <v>590</v>
      </c>
      <c r="K189" s="22" t="s">
        <v>591</v>
      </c>
      <c r="L189" s="22" t="s">
        <v>422</v>
      </c>
      <c r="M189" s="22" t="s">
        <v>423</v>
      </c>
      <c r="N189" s="22" t="s">
        <v>424</v>
      </c>
      <c r="O189" s="22" t="s">
        <v>592</v>
      </c>
      <c r="P189" s="22" t="s">
        <v>426</v>
      </c>
      <c r="Q189" s="22" t="s">
        <v>593</v>
      </c>
      <c r="R189" s="22" t="s">
        <v>594</v>
      </c>
      <c r="S189" s="22" t="s">
        <v>595</v>
      </c>
      <c r="T189" s="22" t="s">
        <v>596</v>
      </c>
      <c r="U189" s="22" t="s">
        <v>597</v>
      </c>
      <c r="V189" s="22" t="s">
        <v>598</v>
      </c>
      <c r="W189" s="22" t="s">
        <v>599</v>
      </c>
      <c r="X189" s="22" t="s">
        <v>600</v>
      </c>
      <c r="Y189" s="22" t="s">
        <v>601</v>
      </c>
      <c r="Z189" s="22" t="s">
        <v>602</v>
      </c>
      <c r="AA189" s="22" t="s">
        <v>603</v>
      </c>
      <c r="AB189" s="22" t="s">
        <v>604</v>
      </c>
      <c r="AC189" s="22" t="s">
        <v>605</v>
      </c>
    </row>
    <row r="190" customFormat="false" ht="15" hidden="false" customHeight="false" outlineLevel="0" collapsed="false">
      <c r="A190" s="27" t="n">
        <v>1</v>
      </c>
      <c r="B190" s="27" t="n">
        <f aca="false">IF(AND(A190&lt;=$E$52,$E$47=1),1,0)</f>
        <v>0</v>
      </c>
      <c r="C190" s="27" t="str">
        <f aca="false">IF(B190=1,$E$7+A190-1,"")</f>
        <v/>
      </c>
      <c r="D190" s="28" t="str">
        <f aca="false">(PlanStartYear+A190-1)&amp;"/"&amp;RIGHT(PlanStartYear+A190,2)</f>
        <v>2026/27</v>
      </c>
      <c r="E190" s="27" t="n">
        <f aca="false">A190-1-$E$49</f>
        <v>0</v>
      </c>
      <c r="F190" s="39" t="n">
        <f aca="false">IF(AND(B190=1,E190&gt;=0,E190&lt;$E$50),MIN(1,$E$37-E190),0)</f>
        <v>0</v>
      </c>
      <c r="G190" s="27" t="n">
        <f aca="false">(A190-1)+$E$54</f>
        <v>0</v>
      </c>
      <c r="H190" s="40" t="n">
        <f aca="false">(1+TuiInf)^G190</f>
        <v>1</v>
      </c>
      <c r="I190" s="40" t="n">
        <f aca="false">(1+LivInf)^G190</f>
        <v>1</v>
      </c>
      <c r="J190" s="28" t="n">
        <f aca="false">$E$24*H190*F190</f>
        <v>0</v>
      </c>
      <c r="K190" s="28" t="n">
        <f aca="false">$E$25*H190*F190</f>
        <v>0</v>
      </c>
      <c r="L190" s="28" t="n">
        <f aca="false">$E$26*I190*F190</f>
        <v>0</v>
      </c>
      <c r="M190" s="28" t="n">
        <f aca="false">$E$27*I190*F190</f>
        <v>0</v>
      </c>
      <c r="N190" s="28" t="n">
        <f aca="false">$E$28*I190*F190</f>
        <v>0</v>
      </c>
      <c r="O190" s="28" t="n">
        <f aca="false">$E$29*I190*F190</f>
        <v>0</v>
      </c>
      <c r="P190" s="28" t="n">
        <f aca="false">$E$30*I190*F190</f>
        <v>0</v>
      </c>
      <c r="Q190" s="28" t="n">
        <f aca="false">$E$31*I190*F190</f>
        <v>0</v>
      </c>
      <c r="R190" s="28" t="n">
        <f aca="false">$E$32*I190*F190</f>
        <v>0</v>
      </c>
      <c r="S190" s="28" t="n">
        <f aca="false">IF(AND(F190&gt;0,E190=0),($E$33+$E$36)*H190+($E$34+$E$35)*I190,0)</f>
        <v>0</v>
      </c>
      <c r="T190" s="28" t="n">
        <f aca="false">SUM(J190:S190)</f>
        <v>0</v>
      </c>
      <c r="U190" s="28" t="n">
        <f aca="false">T190*Cont</f>
        <v>0</v>
      </c>
      <c r="V190" s="28" t="n">
        <f aca="false">MIN(J190,J190*$E$43)</f>
        <v>0</v>
      </c>
      <c r="W190" s="40" t="n">
        <f aca="false">$E$55*(1+FxDrift)^(A190-1)</f>
        <v>1</v>
      </c>
      <c r="X190" s="28" t="n">
        <f aca="false">(T190+U190)*W190</f>
        <v>0</v>
      </c>
      <c r="Y190" s="28" t="n">
        <f aca="false">IF(B190=1,MIN(X190,V190*W190+IF(F190&gt;0,$E$44*F190,0)),0)</f>
        <v>0</v>
      </c>
      <c r="Z190" s="41" t="n">
        <f aca="false">IF(B190=1,MAX(0,X190-(V190*W190+IF(F190&gt;0,$E$44*F190,0))),0)</f>
        <v>0</v>
      </c>
      <c r="AA190" s="28" t="n">
        <f aca="false">IF(B190=1,(J190+K190)*W190,0)</f>
        <v>0</v>
      </c>
      <c r="AB190" s="28" t="n">
        <f aca="false">IF(B190=1,SUM(L190:R190)*W190,0)</f>
        <v>0</v>
      </c>
      <c r="AC190" s="28" t="n">
        <f aca="false">IF(B190=1,(S190+U190)*W190,0)</f>
        <v>0</v>
      </c>
    </row>
    <row r="191" customFormat="false" ht="15" hidden="false" customHeight="false" outlineLevel="0" collapsed="false">
      <c r="A191" s="27" t="n">
        <v>2</v>
      </c>
      <c r="B191" s="27" t="n">
        <f aca="false">IF(AND(A191&lt;=$E$52,$E$47=1),1,0)</f>
        <v>0</v>
      </c>
      <c r="C191" s="27" t="str">
        <f aca="false">IF(B191=1,$E$7+A191-1,"")</f>
        <v/>
      </c>
      <c r="D191" s="28" t="str">
        <f aca="false">(PlanStartYear+A191-1)&amp;"/"&amp;RIGHT(PlanStartYear+A191,2)</f>
        <v>2027/28</v>
      </c>
      <c r="E191" s="27" t="n">
        <f aca="false">A191-1-$E$49</f>
        <v>1</v>
      </c>
      <c r="F191" s="39" t="n">
        <f aca="false">IF(AND(B191=1,E191&gt;=0,E191&lt;$E$50),MIN(1,$E$37-E191),0)</f>
        <v>0</v>
      </c>
      <c r="G191" s="27" t="n">
        <f aca="false">(A191-1)+$E$54</f>
        <v>1</v>
      </c>
      <c r="H191" s="40" t="n">
        <f aca="false">(1+TuiInf)^G191</f>
        <v>1.1</v>
      </c>
      <c r="I191" s="40" t="n">
        <f aca="false">(1+LivInf)^G191</f>
        <v>1.08</v>
      </c>
      <c r="J191" s="28" t="n">
        <f aca="false">$E$24*H191*F191</f>
        <v>0</v>
      </c>
      <c r="K191" s="28" t="n">
        <f aca="false">$E$25*H191*F191</f>
        <v>0</v>
      </c>
      <c r="L191" s="28" t="n">
        <f aca="false">$E$26*I191*F191</f>
        <v>0</v>
      </c>
      <c r="M191" s="28" t="n">
        <f aca="false">$E$27*I191*F191</f>
        <v>0</v>
      </c>
      <c r="N191" s="28" t="n">
        <f aca="false">$E$28*I191*F191</f>
        <v>0</v>
      </c>
      <c r="O191" s="28" t="n">
        <f aca="false">$E$29*I191*F191</f>
        <v>0</v>
      </c>
      <c r="P191" s="28" t="n">
        <f aca="false">$E$30*I191*F191</f>
        <v>0</v>
      </c>
      <c r="Q191" s="28" t="n">
        <f aca="false">$E$31*I191*F191</f>
        <v>0</v>
      </c>
      <c r="R191" s="28" t="n">
        <f aca="false">$E$32*I191*F191</f>
        <v>0</v>
      </c>
      <c r="S191" s="28" t="n">
        <f aca="false">IF(AND(F191&gt;0,E191=0),($E$33+$E$36)*H191+($E$34+$E$35)*I191,0)</f>
        <v>0</v>
      </c>
      <c r="T191" s="28" t="n">
        <f aca="false">SUM(J191:S191)</f>
        <v>0</v>
      </c>
      <c r="U191" s="28" t="n">
        <f aca="false">T191*Cont</f>
        <v>0</v>
      </c>
      <c r="V191" s="28" t="n">
        <f aca="false">MIN(J191,J191*$E$43)</f>
        <v>0</v>
      </c>
      <c r="W191" s="40" t="n">
        <f aca="false">$E$55*(1+FxDrift)^(A191-1)</f>
        <v>1</v>
      </c>
      <c r="X191" s="28" t="n">
        <f aca="false">(T191+U191)*W191</f>
        <v>0</v>
      </c>
      <c r="Y191" s="28" t="n">
        <f aca="false">IF(B191=1,MIN(X191,V191*W191+IF(F191&gt;0,$E$44*F191,0)),0)</f>
        <v>0</v>
      </c>
      <c r="Z191" s="41" t="n">
        <f aca="false">IF(B191=1,MAX(0,X191-(V191*W191+IF(F191&gt;0,$E$44*F191,0))),0)</f>
        <v>0</v>
      </c>
      <c r="AA191" s="28" t="n">
        <f aca="false">IF(B191=1,(J191+K191)*W191,0)</f>
        <v>0</v>
      </c>
      <c r="AB191" s="28" t="n">
        <f aca="false">IF(B191=1,SUM(L191:R191)*W191,0)</f>
        <v>0</v>
      </c>
      <c r="AC191" s="28" t="n">
        <f aca="false">IF(B191=1,(S191+U191)*W191,0)</f>
        <v>0</v>
      </c>
    </row>
    <row r="192" customFormat="false" ht="15" hidden="false" customHeight="false" outlineLevel="0" collapsed="false">
      <c r="A192" s="27" t="n">
        <v>3</v>
      </c>
      <c r="B192" s="27" t="n">
        <f aca="false">IF(AND(A192&lt;=$E$52,$E$47=1),1,0)</f>
        <v>0</v>
      </c>
      <c r="C192" s="27" t="str">
        <f aca="false">IF(B192=1,$E$7+A192-1,"")</f>
        <v/>
      </c>
      <c r="D192" s="28" t="str">
        <f aca="false">(PlanStartYear+A192-1)&amp;"/"&amp;RIGHT(PlanStartYear+A192,2)</f>
        <v>2028/29</v>
      </c>
      <c r="E192" s="27" t="n">
        <f aca="false">A192-1-$E$49</f>
        <v>2</v>
      </c>
      <c r="F192" s="39" t="n">
        <f aca="false">IF(AND(B192=1,E192&gt;=0,E192&lt;$E$50),MIN(1,$E$37-E192),0)</f>
        <v>0</v>
      </c>
      <c r="G192" s="27" t="n">
        <f aca="false">(A192-1)+$E$54</f>
        <v>2</v>
      </c>
      <c r="H192" s="40" t="n">
        <f aca="false">(1+TuiInf)^G192</f>
        <v>1.21</v>
      </c>
      <c r="I192" s="40" t="n">
        <f aca="false">(1+LivInf)^G192</f>
        <v>1.1664</v>
      </c>
      <c r="J192" s="28" t="n">
        <f aca="false">$E$24*H192*F192</f>
        <v>0</v>
      </c>
      <c r="K192" s="28" t="n">
        <f aca="false">$E$25*H192*F192</f>
        <v>0</v>
      </c>
      <c r="L192" s="28" t="n">
        <f aca="false">$E$26*I192*F192</f>
        <v>0</v>
      </c>
      <c r="M192" s="28" t="n">
        <f aca="false">$E$27*I192*F192</f>
        <v>0</v>
      </c>
      <c r="N192" s="28" t="n">
        <f aca="false">$E$28*I192*F192</f>
        <v>0</v>
      </c>
      <c r="O192" s="28" t="n">
        <f aca="false">$E$29*I192*F192</f>
        <v>0</v>
      </c>
      <c r="P192" s="28" t="n">
        <f aca="false">$E$30*I192*F192</f>
        <v>0</v>
      </c>
      <c r="Q192" s="28" t="n">
        <f aca="false">$E$31*I192*F192</f>
        <v>0</v>
      </c>
      <c r="R192" s="28" t="n">
        <f aca="false">$E$32*I192*F192</f>
        <v>0</v>
      </c>
      <c r="S192" s="28" t="n">
        <f aca="false">IF(AND(F192&gt;0,E192=0),($E$33+$E$36)*H192+($E$34+$E$35)*I192,0)</f>
        <v>0</v>
      </c>
      <c r="T192" s="28" t="n">
        <f aca="false">SUM(J192:S192)</f>
        <v>0</v>
      </c>
      <c r="U192" s="28" t="n">
        <f aca="false">T192*Cont</f>
        <v>0</v>
      </c>
      <c r="V192" s="28" t="n">
        <f aca="false">MIN(J192,J192*$E$43)</f>
        <v>0</v>
      </c>
      <c r="W192" s="40" t="n">
        <f aca="false">$E$55*(1+FxDrift)^(A192-1)</f>
        <v>1</v>
      </c>
      <c r="X192" s="28" t="n">
        <f aca="false">(T192+U192)*W192</f>
        <v>0</v>
      </c>
      <c r="Y192" s="28" t="n">
        <f aca="false">IF(B192=1,MIN(X192,V192*W192+IF(F192&gt;0,$E$44*F192,0)),0)</f>
        <v>0</v>
      </c>
      <c r="Z192" s="41" t="n">
        <f aca="false">IF(B192=1,MAX(0,X192-(V192*W192+IF(F192&gt;0,$E$44*F192,0))),0)</f>
        <v>0</v>
      </c>
      <c r="AA192" s="28" t="n">
        <f aca="false">IF(B192=1,(J192+K192)*W192,0)</f>
        <v>0</v>
      </c>
      <c r="AB192" s="28" t="n">
        <f aca="false">IF(B192=1,SUM(L192:R192)*W192,0)</f>
        <v>0</v>
      </c>
      <c r="AC192" s="28" t="n">
        <f aca="false">IF(B192=1,(S192+U192)*W192,0)</f>
        <v>0</v>
      </c>
    </row>
    <row r="193" customFormat="false" ht="15" hidden="false" customHeight="false" outlineLevel="0" collapsed="false">
      <c r="A193" s="27" t="n">
        <v>4</v>
      </c>
      <c r="B193" s="27" t="n">
        <f aca="false">IF(AND(A193&lt;=$E$52,$E$47=1),1,0)</f>
        <v>0</v>
      </c>
      <c r="C193" s="27" t="str">
        <f aca="false">IF(B193=1,$E$7+A193-1,"")</f>
        <v/>
      </c>
      <c r="D193" s="28" t="str">
        <f aca="false">(PlanStartYear+A193-1)&amp;"/"&amp;RIGHT(PlanStartYear+A193,2)</f>
        <v>2029/30</v>
      </c>
      <c r="E193" s="27" t="n">
        <f aca="false">A193-1-$E$49</f>
        <v>3</v>
      </c>
      <c r="F193" s="39" t="n">
        <f aca="false">IF(AND(B193=1,E193&gt;=0,E193&lt;$E$50),MIN(1,$E$37-E193),0)</f>
        <v>0</v>
      </c>
      <c r="G193" s="27" t="n">
        <f aca="false">(A193-1)+$E$54</f>
        <v>3</v>
      </c>
      <c r="H193" s="40" t="n">
        <f aca="false">(1+TuiInf)^G193</f>
        <v>1.331</v>
      </c>
      <c r="I193" s="40" t="n">
        <f aca="false">(1+LivInf)^G193</f>
        <v>1.259712</v>
      </c>
      <c r="J193" s="28" t="n">
        <f aca="false">$E$24*H193*F193</f>
        <v>0</v>
      </c>
      <c r="K193" s="28" t="n">
        <f aca="false">$E$25*H193*F193</f>
        <v>0</v>
      </c>
      <c r="L193" s="28" t="n">
        <f aca="false">$E$26*I193*F193</f>
        <v>0</v>
      </c>
      <c r="M193" s="28" t="n">
        <f aca="false">$E$27*I193*F193</f>
        <v>0</v>
      </c>
      <c r="N193" s="28" t="n">
        <f aca="false">$E$28*I193*F193</f>
        <v>0</v>
      </c>
      <c r="O193" s="28" t="n">
        <f aca="false">$E$29*I193*F193</f>
        <v>0</v>
      </c>
      <c r="P193" s="28" t="n">
        <f aca="false">$E$30*I193*F193</f>
        <v>0</v>
      </c>
      <c r="Q193" s="28" t="n">
        <f aca="false">$E$31*I193*F193</f>
        <v>0</v>
      </c>
      <c r="R193" s="28" t="n">
        <f aca="false">$E$32*I193*F193</f>
        <v>0</v>
      </c>
      <c r="S193" s="28" t="n">
        <f aca="false">IF(AND(F193&gt;0,E193=0),($E$33+$E$36)*H193+($E$34+$E$35)*I193,0)</f>
        <v>0</v>
      </c>
      <c r="T193" s="28" t="n">
        <f aca="false">SUM(J193:S193)</f>
        <v>0</v>
      </c>
      <c r="U193" s="28" t="n">
        <f aca="false">T193*Cont</f>
        <v>0</v>
      </c>
      <c r="V193" s="28" t="n">
        <f aca="false">MIN(J193,J193*$E$43)</f>
        <v>0</v>
      </c>
      <c r="W193" s="40" t="n">
        <f aca="false">$E$55*(1+FxDrift)^(A193-1)</f>
        <v>1</v>
      </c>
      <c r="X193" s="28" t="n">
        <f aca="false">(T193+U193)*W193</f>
        <v>0</v>
      </c>
      <c r="Y193" s="28" t="n">
        <f aca="false">IF(B193=1,MIN(X193,V193*W193+IF(F193&gt;0,$E$44*F193,0)),0)</f>
        <v>0</v>
      </c>
      <c r="Z193" s="41" t="n">
        <f aca="false">IF(B193=1,MAX(0,X193-(V193*W193+IF(F193&gt;0,$E$44*F193,0))),0)</f>
        <v>0</v>
      </c>
      <c r="AA193" s="28" t="n">
        <f aca="false">IF(B193=1,(J193+K193)*W193,0)</f>
        <v>0</v>
      </c>
      <c r="AB193" s="28" t="n">
        <f aca="false">IF(B193=1,SUM(L193:R193)*W193,0)</f>
        <v>0</v>
      </c>
      <c r="AC193" s="28" t="n">
        <f aca="false">IF(B193=1,(S193+U193)*W193,0)</f>
        <v>0</v>
      </c>
    </row>
    <row r="194" customFormat="false" ht="15" hidden="false" customHeight="false" outlineLevel="0" collapsed="false">
      <c r="A194" s="27" t="n">
        <v>5</v>
      </c>
      <c r="B194" s="27" t="n">
        <f aca="false">IF(AND(A194&lt;=$E$52,$E$47=1),1,0)</f>
        <v>0</v>
      </c>
      <c r="C194" s="27" t="str">
        <f aca="false">IF(B194=1,$E$7+A194-1,"")</f>
        <v/>
      </c>
      <c r="D194" s="28" t="str">
        <f aca="false">(PlanStartYear+A194-1)&amp;"/"&amp;RIGHT(PlanStartYear+A194,2)</f>
        <v>2030/31</v>
      </c>
      <c r="E194" s="27" t="n">
        <f aca="false">A194-1-$E$49</f>
        <v>4</v>
      </c>
      <c r="F194" s="39" t="n">
        <f aca="false">IF(AND(B194=1,E194&gt;=0,E194&lt;$E$50),MIN(1,$E$37-E194),0)</f>
        <v>0</v>
      </c>
      <c r="G194" s="27" t="n">
        <f aca="false">(A194-1)+$E$54</f>
        <v>4</v>
      </c>
      <c r="H194" s="40" t="n">
        <f aca="false">(1+TuiInf)^G194</f>
        <v>1.4641</v>
      </c>
      <c r="I194" s="40" t="n">
        <f aca="false">(1+LivInf)^G194</f>
        <v>1.36048896</v>
      </c>
      <c r="J194" s="28" t="n">
        <f aca="false">$E$24*H194*F194</f>
        <v>0</v>
      </c>
      <c r="K194" s="28" t="n">
        <f aca="false">$E$25*H194*F194</f>
        <v>0</v>
      </c>
      <c r="L194" s="28" t="n">
        <f aca="false">$E$26*I194*F194</f>
        <v>0</v>
      </c>
      <c r="M194" s="28" t="n">
        <f aca="false">$E$27*I194*F194</f>
        <v>0</v>
      </c>
      <c r="N194" s="28" t="n">
        <f aca="false">$E$28*I194*F194</f>
        <v>0</v>
      </c>
      <c r="O194" s="28" t="n">
        <f aca="false">$E$29*I194*F194</f>
        <v>0</v>
      </c>
      <c r="P194" s="28" t="n">
        <f aca="false">$E$30*I194*F194</f>
        <v>0</v>
      </c>
      <c r="Q194" s="28" t="n">
        <f aca="false">$E$31*I194*F194</f>
        <v>0</v>
      </c>
      <c r="R194" s="28" t="n">
        <f aca="false">$E$32*I194*F194</f>
        <v>0</v>
      </c>
      <c r="S194" s="28" t="n">
        <f aca="false">IF(AND(F194&gt;0,E194=0),($E$33+$E$36)*H194+($E$34+$E$35)*I194,0)</f>
        <v>0</v>
      </c>
      <c r="T194" s="28" t="n">
        <f aca="false">SUM(J194:S194)</f>
        <v>0</v>
      </c>
      <c r="U194" s="28" t="n">
        <f aca="false">T194*Cont</f>
        <v>0</v>
      </c>
      <c r="V194" s="28" t="n">
        <f aca="false">MIN(J194,J194*$E$43)</f>
        <v>0</v>
      </c>
      <c r="W194" s="40" t="n">
        <f aca="false">$E$55*(1+FxDrift)^(A194-1)</f>
        <v>1</v>
      </c>
      <c r="X194" s="28" t="n">
        <f aca="false">(T194+U194)*W194</f>
        <v>0</v>
      </c>
      <c r="Y194" s="28" t="n">
        <f aca="false">IF(B194=1,MIN(X194,V194*W194+IF(F194&gt;0,$E$44*F194,0)),0)</f>
        <v>0</v>
      </c>
      <c r="Z194" s="41" t="n">
        <f aca="false">IF(B194=1,MAX(0,X194-(V194*W194+IF(F194&gt;0,$E$44*F194,0))),0)</f>
        <v>0</v>
      </c>
      <c r="AA194" s="28" t="n">
        <f aca="false">IF(B194=1,(J194+K194)*W194,0)</f>
        <v>0</v>
      </c>
      <c r="AB194" s="28" t="n">
        <f aca="false">IF(B194=1,SUM(L194:R194)*W194,0)</f>
        <v>0</v>
      </c>
      <c r="AC194" s="28" t="n">
        <f aca="false">IF(B194=1,(S194+U194)*W194,0)</f>
        <v>0</v>
      </c>
    </row>
    <row r="195" customFormat="false" ht="15" hidden="false" customHeight="false" outlineLevel="0" collapsed="false">
      <c r="A195" s="27" t="n">
        <v>6</v>
      </c>
      <c r="B195" s="27" t="n">
        <f aca="false">IF(AND(A195&lt;=$E$52,$E$47=1),1,0)</f>
        <v>0</v>
      </c>
      <c r="C195" s="27" t="str">
        <f aca="false">IF(B195=1,$E$7+A195-1,"")</f>
        <v/>
      </c>
      <c r="D195" s="28" t="str">
        <f aca="false">(PlanStartYear+A195-1)&amp;"/"&amp;RIGHT(PlanStartYear+A195,2)</f>
        <v>2031/32</v>
      </c>
      <c r="E195" s="27" t="n">
        <f aca="false">A195-1-$E$49</f>
        <v>5</v>
      </c>
      <c r="F195" s="39" t="n">
        <f aca="false">IF(AND(B195=1,E195&gt;=0,E195&lt;$E$50),MIN(1,$E$37-E195),0)</f>
        <v>0</v>
      </c>
      <c r="G195" s="27" t="n">
        <f aca="false">(A195-1)+$E$54</f>
        <v>5</v>
      </c>
      <c r="H195" s="40" t="n">
        <f aca="false">(1+TuiInf)^G195</f>
        <v>1.61051</v>
      </c>
      <c r="I195" s="40" t="n">
        <f aca="false">(1+LivInf)^G195</f>
        <v>1.4693280768</v>
      </c>
      <c r="J195" s="28" t="n">
        <f aca="false">$E$24*H195*F195</f>
        <v>0</v>
      </c>
      <c r="K195" s="28" t="n">
        <f aca="false">$E$25*H195*F195</f>
        <v>0</v>
      </c>
      <c r="L195" s="28" t="n">
        <f aca="false">$E$26*I195*F195</f>
        <v>0</v>
      </c>
      <c r="M195" s="28" t="n">
        <f aca="false">$E$27*I195*F195</f>
        <v>0</v>
      </c>
      <c r="N195" s="28" t="n">
        <f aca="false">$E$28*I195*F195</f>
        <v>0</v>
      </c>
      <c r="O195" s="28" t="n">
        <f aca="false">$E$29*I195*F195</f>
        <v>0</v>
      </c>
      <c r="P195" s="28" t="n">
        <f aca="false">$E$30*I195*F195</f>
        <v>0</v>
      </c>
      <c r="Q195" s="28" t="n">
        <f aca="false">$E$31*I195*F195</f>
        <v>0</v>
      </c>
      <c r="R195" s="28" t="n">
        <f aca="false">$E$32*I195*F195</f>
        <v>0</v>
      </c>
      <c r="S195" s="28" t="n">
        <f aca="false">IF(AND(F195&gt;0,E195=0),($E$33+$E$36)*H195+($E$34+$E$35)*I195,0)</f>
        <v>0</v>
      </c>
      <c r="T195" s="28" t="n">
        <f aca="false">SUM(J195:S195)</f>
        <v>0</v>
      </c>
      <c r="U195" s="28" t="n">
        <f aca="false">T195*Cont</f>
        <v>0</v>
      </c>
      <c r="V195" s="28" t="n">
        <f aca="false">MIN(J195,J195*$E$43)</f>
        <v>0</v>
      </c>
      <c r="W195" s="40" t="n">
        <f aca="false">$E$55*(1+FxDrift)^(A195-1)</f>
        <v>1</v>
      </c>
      <c r="X195" s="28" t="n">
        <f aca="false">(T195+U195)*W195</f>
        <v>0</v>
      </c>
      <c r="Y195" s="28" t="n">
        <f aca="false">IF(B195=1,MIN(X195,V195*W195+IF(F195&gt;0,$E$44*F195,0)),0)</f>
        <v>0</v>
      </c>
      <c r="Z195" s="41" t="n">
        <f aca="false">IF(B195=1,MAX(0,X195-(V195*W195+IF(F195&gt;0,$E$44*F195,0))),0)</f>
        <v>0</v>
      </c>
      <c r="AA195" s="28" t="n">
        <f aca="false">IF(B195=1,(J195+K195)*W195,0)</f>
        <v>0</v>
      </c>
      <c r="AB195" s="28" t="n">
        <f aca="false">IF(B195=1,SUM(L195:R195)*W195,0)</f>
        <v>0</v>
      </c>
      <c r="AC195" s="28" t="n">
        <f aca="false">IF(B195=1,(S195+U195)*W195,0)</f>
        <v>0</v>
      </c>
    </row>
    <row r="196" customFormat="false" ht="15" hidden="false" customHeight="false" outlineLevel="0" collapsed="false">
      <c r="A196" s="27" t="n">
        <v>7</v>
      </c>
      <c r="B196" s="27" t="n">
        <f aca="false">IF(AND(A196&lt;=$E$52,$E$47=1),1,0)</f>
        <v>0</v>
      </c>
      <c r="C196" s="27" t="str">
        <f aca="false">IF(B196=1,$E$7+A196-1,"")</f>
        <v/>
      </c>
      <c r="D196" s="28" t="str">
        <f aca="false">(PlanStartYear+A196-1)&amp;"/"&amp;RIGHT(PlanStartYear+A196,2)</f>
        <v>2032/33</v>
      </c>
      <c r="E196" s="27" t="n">
        <f aca="false">A196-1-$E$49</f>
        <v>6</v>
      </c>
      <c r="F196" s="39" t="n">
        <f aca="false">IF(AND(B196=1,E196&gt;=0,E196&lt;$E$50),MIN(1,$E$37-E196),0)</f>
        <v>0</v>
      </c>
      <c r="G196" s="27" t="n">
        <f aca="false">(A196-1)+$E$54</f>
        <v>6</v>
      </c>
      <c r="H196" s="40" t="n">
        <f aca="false">(1+TuiInf)^G196</f>
        <v>1.771561</v>
      </c>
      <c r="I196" s="40" t="n">
        <f aca="false">(1+LivInf)^G196</f>
        <v>1.586874322944</v>
      </c>
      <c r="J196" s="28" t="n">
        <f aca="false">$E$24*H196*F196</f>
        <v>0</v>
      </c>
      <c r="K196" s="28" t="n">
        <f aca="false">$E$25*H196*F196</f>
        <v>0</v>
      </c>
      <c r="L196" s="28" t="n">
        <f aca="false">$E$26*I196*F196</f>
        <v>0</v>
      </c>
      <c r="M196" s="28" t="n">
        <f aca="false">$E$27*I196*F196</f>
        <v>0</v>
      </c>
      <c r="N196" s="28" t="n">
        <f aca="false">$E$28*I196*F196</f>
        <v>0</v>
      </c>
      <c r="O196" s="28" t="n">
        <f aca="false">$E$29*I196*F196</f>
        <v>0</v>
      </c>
      <c r="P196" s="28" t="n">
        <f aca="false">$E$30*I196*F196</f>
        <v>0</v>
      </c>
      <c r="Q196" s="28" t="n">
        <f aca="false">$E$31*I196*F196</f>
        <v>0</v>
      </c>
      <c r="R196" s="28" t="n">
        <f aca="false">$E$32*I196*F196</f>
        <v>0</v>
      </c>
      <c r="S196" s="28" t="n">
        <f aca="false">IF(AND(F196&gt;0,E196=0),($E$33+$E$36)*H196+($E$34+$E$35)*I196,0)</f>
        <v>0</v>
      </c>
      <c r="T196" s="28" t="n">
        <f aca="false">SUM(J196:S196)</f>
        <v>0</v>
      </c>
      <c r="U196" s="28" t="n">
        <f aca="false">T196*Cont</f>
        <v>0</v>
      </c>
      <c r="V196" s="28" t="n">
        <f aca="false">MIN(J196,J196*$E$43)</f>
        <v>0</v>
      </c>
      <c r="W196" s="40" t="n">
        <f aca="false">$E$55*(1+FxDrift)^(A196-1)</f>
        <v>1</v>
      </c>
      <c r="X196" s="28" t="n">
        <f aca="false">(T196+U196)*W196</f>
        <v>0</v>
      </c>
      <c r="Y196" s="28" t="n">
        <f aca="false">IF(B196=1,MIN(X196,V196*W196+IF(F196&gt;0,$E$44*F196,0)),0)</f>
        <v>0</v>
      </c>
      <c r="Z196" s="41" t="n">
        <f aca="false">IF(B196=1,MAX(0,X196-(V196*W196+IF(F196&gt;0,$E$44*F196,0))),0)</f>
        <v>0</v>
      </c>
      <c r="AA196" s="28" t="n">
        <f aca="false">IF(B196=1,(J196+K196)*W196,0)</f>
        <v>0</v>
      </c>
      <c r="AB196" s="28" t="n">
        <f aca="false">IF(B196=1,SUM(L196:R196)*W196,0)</f>
        <v>0</v>
      </c>
      <c r="AC196" s="28" t="n">
        <f aca="false">IF(B196=1,(S196+U196)*W196,0)</f>
        <v>0</v>
      </c>
    </row>
    <row r="197" customFormat="false" ht="15" hidden="false" customHeight="false" outlineLevel="0" collapsed="false">
      <c r="A197" s="27" t="n">
        <v>8</v>
      </c>
      <c r="B197" s="27" t="n">
        <f aca="false">IF(AND(A197&lt;=$E$52,$E$47=1),1,0)</f>
        <v>0</v>
      </c>
      <c r="C197" s="27" t="str">
        <f aca="false">IF(B197=1,$E$7+A197-1,"")</f>
        <v/>
      </c>
      <c r="D197" s="28" t="str">
        <f aca="false">(PlanStartYear+A197-1)&amp;"/"&amp;RIGHT(PlanStartYear+A197,2)</f>
        <v>2033/34</v>
      </c>
      <c r="E197" s="27" t="n">
        <f aca="false">A197-1-$E$49</f>
        <v>7</v>
      </c>
      <c r="F197" s="39" t="n">
        <f aca="false">IF(AND(B197=1,E197&gt;=0,E197&lt;$E$50),MIN(1,$E$37-E197),0)</f>
        <v>0</v>
      </c>
      <c r="G197" s="27" t="n">
        <f aca="false">(A197-1)+$E$54</f>
        <v>7</v>
      </c>
      <c r="H197" s="40" t="n">
        <f aca="false">(1+TuiInf)^G197</f>
        <v>1.9487171</v>
      </c>
      <c r="I197" s="40" t="n">
        <f aca="false">(1+LivInf)^G197</f>
        <v>1.71382426877952</v>
      </c>
      <c r="J197" s="28" t="n">
        <f aca="false">$E$24*H197*F197</f>
        <v>0</v>
      </c>
      <c r="K197" s="28" t="n">
        <f aca="false">$E$25*H197*F197</f>
        <v>0</v>
      </c>
      <c r="L197" s="28" t="n">
        <f aca="false">$E$26*I197*F197</f>
        <v>0</v>
      </c>
      <c r="M197" s="28" t="n">
        <f aca="false">$E$27*I197*F197</f>
        <v>0</v>
      </c>
      <c r="N197" s="28" t="n">
        <f aca="false">$E$28*I197*F197</f>
        <v>0</v>
      </c>
      <c r="O197" s="28" t="n">
        <f aca="false">$E$29*I197*F197</f>
        <v>0</v>
      </c>
      <c r="P197" s="28" t="n">
        <f aca="false">$E$30*I197*F197</f>
        <v>0</v>
      </c>
      <c r="Q197" s="28" t="n">
        <f aca="false">$E$31*I197*F197</f>
        <v>0</v>
      </c>
      <c r="R197" s="28" t="n">
        <f aca="false">$E$32*I197*F197</f>
        <v>0</v>
      </c>
      <c r="S197" s="28" t="n">
        <f aca="false">IF(AND(F197&gt;0,E197=0),($E$33+$E$36)*H197+($E$34+$E$35)*I197,0)</f>
        <v>0</v>
      </c>
      <c r="T197" s="28" t="n">
        <f aca="false">SUM(J197:S197)</f>
        <v>0</v>
      </c>
      <c r="U197" s="28" t="n">
        <f aca="false">T197*Cont</f>
        <v>0</v>
      </c>
      <c r="V197" s="28" t="n">
        <f aca="false">MIN(J197,J197*$E$43)</f>
        <v>0</v>
      </c>
      <c r="W197" s="40" t="n">
        <f aca="false">$E$55*(1+FxDrift)^(A197-1)</f>
        <v>1</v>
      </c>
      <c r="X197" s="28" t="n">
        <f aca="false">(T197+U197)*W197</f>
        <v>0</v>
      </c>
      <c r="Y197" s="28" t="n">
        <f aca="false">IF(B197=1,MIN(X197,V197*W197+IF(F197&gt;0,$E$44*F197,0)),0)</f>
        <v>0</v>
      </c>
      <c r="Z197" s="41" t="n">
        <f aca="false">IF(B197=1,MAX(0,X197-(V197*W197+IF(F197&gt;0,$E$44*F197,0))),0)</f>
        <v>0</v>
      </c>
      <c r="AA197" s="28" t="n">
        <f aca="false">IF(B197=1,(J197+K197)*W197,0)</f>
        <v>0</v>
      </c>
      <c r="AB197" s="28" t="n">
        <f aca="false">IF(B197=1,SUM(L197:R197)*W197,0)</f>
        <v>0</v>
      </c>
      <c r="AC197" s="28" t="n">
        <f aca="false">IF(B197=1,(S197+U197)*W197,0)</f>
        <v>0</v>
      </c>
    </row>
    <row r="198" customFormat="false" ht="15" hidden="false" customHeight="false" outlineLevel="0" collapsed="false">
      <c r="A198" s="27" t="n">
        <v>9</v>
      </c>
      <c r="B198" s="27" t="n">
        <f aca="false">IF(AND(A198&lt;=$E$52,$E$47=1),1,0)</f>
        <v>0</v>
      </c>
      <c r="C198" s="27" t="str">
        <f aca="false">IF(B198=1,$E$7+A198-1,"")</f>
        <v/>
      </c>
      <c r="D198" s="28" t="str">
        <f aca="false">(PlanStartYear+A198-1)&amp;"/"&amp;RIGHT(PlanStartYear+A198,2)</f>
        <v>2034/35</v>
      </c>
      <c r="E198" s="27" t="n">
        <f aca="false">A198-1-$E$49</f>
        <v>8</v>
      </c>
      <c r="F198" s="39" t="n">
        <f aca="false">IF(AND(B198=1,E198&gt;=0,E198&lt;$E$50),MIN(1,$E$37-E198),0)</f>
        <v>0</v>
      </c>
      <c r="G198" s="27" t="n">
        <f aca="false">(A198-1)+$E$54</f>
        <v>8</v>
      </c>
      <c r="H198" s="40" t="n">
        <f aca="false">(1+TuiInf)^G198</f>
        <v>2.14358881</v>
      </c>
      <c r="I198" s="40" t="n">
        <f aca="false">(1+LivInf)^G198</f>
        <v>1.85093021028188</v>
      </c>
      <c r="J198" s="28" t="n">
        <f aca="false">$E$24*H198*F198</f>
        <v>0</v>
      </c>
      <c r="K198" s="28" t="n">
        <f aca="false">$E$25*H198*F198</f>
        <v>0</v>
      </c>
      <c r="L198" s="28" t="n">
        <f aca="false">$E$26*I198*F198</f>
        <v>0</v>
      </c>
      <c r="M198" s="28" t="n">
        <f aca="false">$E$27*I198*F198</f>
        <v>0</v>
      </c>
      <c r="N198" s="28" t="n">
        <f aca="false">$E$28*I198*F198</f>
        <v>0</v>
      </c>
      <c r="O198" s="28" t="n">
        <f aca="false">$E$29*I198*F198</f>
        <v>0</v>
      </c>
      <c r="P198" s="28" t="n">
        <f aca="false">$E$30*I198*F198</f>
        <v>0</v>
      </c>
      <c r="Q198" s="28" t="n">
        <f aca="false">$E$31*I198*F198</f>
        <v>0</v>
      </c>
      <c r="R198" s="28" t="n">
        <f aca="false">$E$32*I198*F198</f>
        <v>0</v>
      </c>
      <c r="S198" s="28" t="n">
        <f aca="false">IF(AND(F198&gt;0,E198=0),($E$33+$E$36)*H198+($E$34+$E$35)*I198,0)</f>
        <v>0</v>
      </c>
      <c r="T198" s="28" t="n">
        <f aca="false">SUM(J198:S198)</f>
        <v>0</v>
      </c>
      <c r="U198" s="28" t="n">
        <f aca="false">T198*Cont</f>
        <v>0</v>
      </c>
      <c r="V198" s="28" t="n">
        <f aca="false">MIN(J198,J198*$E$43)</f>
        <v>0</v>
      </c>
      <c r="W198" s="40" t="n">
        <f aca="false">$E$55*(1+FxDrift)^(A198-1)</f>
        <v>1</v>
      </c>
      <c r="X198" s="28" t="n">
        <f aca="false">(T198+U198)*W198</f>
        <v>0</v>
      </c>
      <c r="Y198" s="28" t="n">
        <f aca="false">IF(B198=1,MIN(X198,V198*W198+IF(F198&gt;0,$E$44*F198,0)),0)</f>
        <v>0</v>
      </c>
      <c r="Z198" s="41" t="n">
        <f aca="false">IF(B198=1,MAX(0,X198-(V198*W198+IF(F198&gt;0,$E$44*F198,0))),0)</f>
        <v>0</v>
      </c>
      <c r="AA198" s="28" t="n">
        <f aca="false">IF(B198=1,(J198+K198)*W198,0)</f>
        <v>0</v>
      </c>
      <c r="AB198" s="28" t="n">
        <f aca="false">IF(B198=1,SUM(L198:R198)*W198,0)</f>
        <v>0</v>
      </c>
      <c r="AC198" s="28" t="n">
        <f aca="false">IF(B198=1,(S198+U198)*W198,0)</f>
        <v>0</v>
      </c>
    </row>
    <row r="199" customFormat="false" ht="15" hidden="false" customHeight="false" outlineLevel="0" collapsed="false">
      <c r="A199" s="27" t="n">
        <v>10</v>
      </c>
      <c r="B199" s="27" t="n">
        <f aca="false">IF(AND(A199&lt;=$E$52,$E$47=1),1,0)</f>
        <v>0</v>
      </c>
      <c r="C199" s="27" t="str">
        <f aca="false">IF(B199=1,$E$7+A199-1,"")</f>
        <v/>
      </c>
      <c r="D199" s="28" t="str">
        <f aca="false">(PlanStartYear+A199-1)&amp;"/"&amp;RIGHT(PlanStartYear+A199,2)</f>
        <v>2035/36</v>
      </c>
      <c r="E199" s="27" t="n">
        <f aca="false">A199-1-$E$49</f>
        <v>9</v>
      </c>
      <c r="F199" s="39" t="n">
        <f aca="false">IF(AND(B199=1,E199&gt;=0,E199&lt;$E$50),MIN(1,$E$37-E199),0)</f>
        <v>0</v>
      </c>
      <c r="G199" s="27" t="n">
        <f aca="false">(A199-1)+$E$54</f>
        <v>9</v>
      </c>
      <c r="H199" s="40" t="n">
        <f aca="false">(1+TuiInf)^G199</f>
        <v>2.357947691</v>
      </c>
      <c r="I199" s="40" t="n">
        <f aca="false">(1+LivInf)^G199</f>
        <v>1.99900462710443</v>
      </c>
      <c r="J199" s="28" t="n">
        <f aca="false">$E$24*H199*F199</f>
        <v>0</v>
      </c>
      <c r="K199" s="28" t="n">
        <f aca="false">$E$25*H199*F199</f>
        <v>0</v>
      </c>
      <c r="L199" s="28" t="n">
        <f aca="false">$E$26*I199*F199</f>
        <v>0</v>
      </c>
      <c r="M199" s="28" t="n">
        <f aca="false">$E$27*I199*F199</f>
        <v>0</v>
      </c>
      <c r="N199" s="28" t="n">
        <f aca="false">$E$28*I199*F199</f>
        <v>0</v>
      </c>
      <c r="O199" s="28" t="n">
        <f aca="false">$E$29*I199*F199</f>
        <v>0</v>
      </c>
      <c r="P199" s="28" t="n">
        <f aca="false">$E$30*I199*F199</f>
        <v>0</v>
      </c>
      <c r="Q199" s="28" t="n">
        <f aca="false">$E$31*I199*F199</f>
        <v>0</v>
      </c>
      <c r="R199" s="28" t="n">
        <f aca="false">$E$32*I199*F199</f>
        <v>0</v>
      </c>
      <c r="S199" s="28" t="n">
        <f aca="false">IF(AND(F199&gt;0,E199=0),($E$33+$E$36)*H199+($E$34+$E$35)*I199,0)</f>
        <v>0</v>
      </c>
      <c r="T199" s="28" t="n">
        <f aca="false">SUM(J199:S199)</f>
        <v>0</v>
      </c>
      <c r="U199" s="28" t="n">
        <f aca="false">T199*Cont</f>
        <v>0</v>
      </c>
      <c r="V199" s="28" t="n">
        <f aca="false">MIN(J199,J199*$E$43)</f>
        <v>0</v>
      </c>
      <c r="W199" s="40" t="n">
        <f aca="false">$E$55*(1+FxDrift)^(A199-1)</f>
        <v>1</v>
      </c>
      <c r="X199" s="28" t="n">
        <f aca="false">(T199+U199)*W199</f>
        <v>0</v>
      </c>
      <c r="Y199" s="28" t="n">
        <f aca="false">IF(B199=1,MIN(X199,V199*W199+IF(F199&gt;0,$E$44*F199,0)),0)</f>
        <v>0</v>
      </c>
      <c r="Z199" s="41" t="n">
        <f aca="false">IF(B199=1,MAX(0,X199-(V199*W199+IF(F199&gt;0,$E$44*F199,0))),0)</f>
        <v>0</v>
      </c>
      <c r="AA199" s="28" t="n">
        <f aca="false">IF(B199=1,(J199+K199)*W199,0)</f>
        <v>0</v>
      </c>
      <c r="AB199" s="28" t="n">
        <f aca="false">IF(B199=1,SUM(L199:R199)*W199,0)</f>
        <v>0</v>
      </c>
      <c r="AC199" s="28" t="n">
        <f aca="false">IF(B199=1,(S199+U199)*W199,0)</f>
        <v>0</v>
      </c>
    </row>
    <row r="200" customFormat="false" ht="15" hidden="false" customHeight="false" outlineLevel="0" collapsed="false">
      <c r="A200" s="27" t="n">
        <v>11</v>
      </c>
      <c r="B200" s="27" t="n">
        <f aca="false">IF(AND(A200&lt;=$E$52,$E$47=1),1,0)</f>
        <v>0</v>
      </c>
      <c r="C200" s="27" t="str">
        <f aca="false">IF(B200=1,$E$7+A200-1,"")</f>
        <v/>
      </c>
      <c r="D200" s="28" t="str">
        <f aca="false">(PlanStartYear+A200-1)&amp;"/"&amp;RIGHT(PlanStartYear+A200,2)</f>
        <v>2036/37</v>
      </c>
      <c r="E200" s="27" t="n">
        <f aca="false">A200-1-$E$49</f>
        <v>10</v>
      </c>
      <c r="F200" s="39" t="n">
        <f aca="false">IF(AND(B200=1,E200&gt;=0,E200&lt;$E$50),MIN(1,$E$37-E200),0)</f>
        <v>0</v>
      </c>
      <c r="G200" s="27" t="n">
        <f aca="false">(A200-1)+$E$54</f>
        <v>10</v>
      </c>
      <c r="H200" s="40" t="n">
        <f aca="false">(1+TuiInf)^G200</f>
        <v>2.5937424601</v>
      </c>
      <c r="I200" s="40" t="n">
        <f aca="false">(1+LivInf)^G200</f>
        <v>2.15892499727279</v>
      </c>
      <c r="J200" s="28" t="n">
        <f aca="false">$E$24*H200*F200</f>
        <v>0</v>
      </c>
      <c r="K200" s="28" t="n">
        <f aca="false">$E$25*H200*F200</f>
        <v>0</v>
      </c>
      <c r="L200" s="28" t="n">
        <f aca="false">$E$26*I200*F200</f>
        <v>0</v>
      </c>
      <c r="M200" s="28" t="n">
        <f aca="false">$E$27*I200*F200</f>
        <v>0</v>
      </c>
      <c r="N200" s="28" t="n">
        <f aca="false">$E$28*I200*F200</f>
        <v>0</v>
      </c>
      <c r="O200" s="28" t="n">
        <f aca="false">$E$29*I200*F200</f>
        <v>0</v>
      </c>
      <c r="P200" s="28" t="n">
        <f aca="false">$E$30*I200*F200</f>
        <v>0</v>
      </c>
      <c r="Q200" s="28" t="n">
        <f aca="false">$E$31*I200*F200</f>
        <v>0</v>
      </c>
      <c r="R200" s="28" t="n">
        <f aca="false">$E$32*I200*F200</f>
        <v>0</v>
      </c>
      <c r="S200" s="28" t="n">
        <f aca="false">IF(AND(F200&gt;0,E200=0),($E$33+$E$36)*H200+($E$34+$E$35)*I200,0)</f>
        <v>0</v>
      </c>
      <c r="T200" s="28" t="n">
        <f aca="false">SUM(J200:S200)</f>
        <v>0</v>
      </c>
      <c r="U200" s="28" t="n">
        <f aca="false">T200*Cont</f>
        <v>0</v>
      </c>
      <c r="V200" s="28" t="n">
        <f aca="false">MIN(J200,J200*$E$43)</f>
        <v>0</v>
      </c>
      <c r="W200" s="40" t="n">
        <f aca="false">$E$55*(1+FxDrift)^(A200-1)</f>
        <v>1</v>
      </c>
      <c r="X200" s="28" t="n">
        <f aca="false">(T200+U200)*W200</f>
        <v>0</v>
      </c>
      <c r="Y200" s="28" t="n">
        <f aca="false">IF(B200=1,MIN(X200,V200*W200+IF(F200&gt;0,$E$44*F200,0)),0)</f>
        <v>0</v>
      </c>
      <c r="Z200" s="41" t="n">
        <f aca="false">IF(B200=1,MAX(0,X200-(V200*W200+IF(F200&gt;0,$E$44*F200,0))),0)</f>
        <v>0</v>
      </c>
      <c r="AA200" s="28" t="n">
        <f aca="false">IF(B200=1,(J200+K200)*W200,0)</f>
        <v>0</v>
      </c>
      <c r="AB200" s="28" t="n">
        <f aca="false">IF(B200=1,SUM(L200:R200)*W200,0)</f>
        <v>0</v>
      </c>
      <c r="AC200" s="28" t="n">
        <f aca="false">IF(B200=1,(S200+U200)*W200,0)</f>
        <v>0</v>
      </c>
    </row>
    <row r="201" customFormat="false" ht="15" hidden="false" customHeight="false" outlineLevel="0" collapsed="false">
      <c r="A201" s="27" t="n">
        <v>12</v>
      </c>
      <c r="B201" s="27" t="n">
        <f aca="false">IF(AND(A201&lt;=$E$52,$E$47=1),1,0)</f>
        <v>0</v>
      </c>
      <c r="C201" s="27" t="str">
        <f aca="false">IF(B201=1,$E$7+A201-1,"")</f>
        <v/>
      </c>
      <c r="D201" s="28" t="str">
        <f aca="false">(PlanStartYear+A201-1)&amp;"/"&amp;RIGHT(PlanStartYear+A201,2)</f>
        <v>2037/38</v>
      </c>
      <c r="E201" s="27" t="n">
        <f aca="false">A201-1-$E$49</f>
        <v>11</v>
      </c>
      <c r="F201" s="39" t="n">
        <f aca="false">IF(AND(B201=1,E201&gt;=0,E201&lt;$E$50),MIN(1,$E$37-E201),0)</f>
        <v>0</v>
      </c>
      <c r="G201" s="27" t="n">
        <f aca="false">(A201-1)+$E$54</f>
        <v>11</v>
      </c>
      <c r="H201" s="40" t="n">
        <f aca="false">(1+TuiInf)^G201</f>
        <v>2.85311670611</v>
      </c>
      <c r="I201" s="40" t="n">
        <f aca="false">(1+LivInf)^G201</f>
        <v>2.33163899705461</v>
      </c>
      <c r="J201" s="28" t="n">
        <f aca="false">$E$24*H201*F201</f>
        <v>0</v>
      </c>
      <c r="K201" s="28" t="n">
        <f aca="false">$E$25*H201*F201</f>
        <v>0</v>
      </c>
      <c r="L201" s="28" t="n">
        <f aca="false">$E$26*I201*F201</f>
        <v>0</v>
      </c>
      <c r="M201" s="28" t="n">
        <f aca="false">$E$27*I201*F201</f>
        <v>0</v>
      </c>
      <c r="N201" s="28" t="n">
        <f aca="false">$E$28*I201*F201</f>
        <v>0</v>
      </c>
      <c r="O201" s="28" t="n">
        <f aca="false">$E$29*I201*F201</f>
        <v>0</v>
      </c>
      <c r="P201" s="28" t="n">
        <f aca="false">$E$30*I201*F201</f>
        <v>0</v>
      </c>
      <c r="Q201" s="28" t="n">
        <f aca="false">$E$31*I201*F201</f>
        <v>0</v>
      </c>
      <c r="R201" s="28" t="n">
        <f aca="false">$E$32*I201*F201</f>
        <v>0</v>
      </c>
      <c r="S201" s="28" t="n">
        <f aca="false">IF(AND(F201&gt;0,E201=0),($E$33+$E$36)*H201+($E$34+$E$35)*I201,0)</f>
        <v>0</v>
      </c>
      <c r="T201" s="28" t="n">
        <f aca="false">SUM(J201:S201)</f>
        <v>0</v>
      </c>
      <c r="U201" s="28" t="n">
        <f aca="false">T201*Cont</f>
        <v>0</v>
      </c>
      <c r="V201" s="28" t="n">
        <f aca="false">MIN(J201,J201*$E$43)</f>
        <v>0</v>
      </c>
      <c r="W201" s="40" t="n">
        <f aca="false">$E$55*(1+FxDrift)^(A201-1)</f>
        <v>1</v>
      </c>
      <c r="X201" s="28" t="n">
        <f aca="false">(T201+U201)*W201</f>
        <v>0</v>
      </c>
      <c r="Y201" s="28" t="n">
        <f aca="false">IF(B201=1,MIN(X201,V201*W201+IF(F201&gt;0,$E$44*F201,0)),0)</f>
        <v>0</v>
      </c>
      <c r="Z201" s="41" t="n">
        <f aca="false">IF(B201=1,MAX(0,X201-(V201*W201+IF(F201&gt;0,$E$44*F201,0))),0)</f>
        <v>0</v>
      </c>
      <c r="AA201" s="28" t="n">
        <f aca="false">IF(B201=1,(J201+K201)*W201,0)</f>
        <v>0</v>
      </c>
      <c r="AB201" s="28" t="n">
        <f aca="false">IF(B201=1,SUM(L201:R201)*W201,0)</f>
        <v>0</v>
      </c>
      <c r="AC201" s="28" t="n">
        <f aca="false">IF(B201=1,(S201+U201)*W201,0)</f>
        <v>0</v>
      </c>
    </row>
    <row r="202" customFormat="false" ht="15" hidden="false" customHeight="false" outlineLevel="0" collapsed="false">
      <c r="A202" s="27" t="n">
        <v>13</v>
      </c>
      <c r="B202" s="27" t="n">
        <f aca="false">IF(AND(A202&lt;=$E$52,$E$47=1),1,0)</f>
        <v>0</v>
      </c>
      <c r="C202" s="27" t="str">
        <f aca="false">IF(B202=1,$E$7+A202-1,"")</f>
        <v/>
      </c>
      <c r="D202" s="28" t="str">
        <f aca="false">(PlanStartYear+A202-1)&amp;"/"&amp;RIGHT(PlanStartYear+A202,2)</f>
        <v>2038/39</v>
      </c>
      <c r="E202" s="27" t="n">
        <f aca="false">A202-1-$E$49</f>
        <v>12</v>
      </c>
      <c r="F202" s="39" t="n">
        <f aca="false">IF(AND(B202=1,E202&gt;=0,E202&lt;$E$50),MIN(1,$E$37-E202),0)</f>
        <v>0</v>
      </c>
      <c r="G202" s="27" t="n">
        <f aca="false">(A202-1)+$E$54</f>
        <v>12</v>
      </c>
      <c r="H202" s="40" t="n">
        <f aca="false">(1+TuiInf)^G202</f>
        <v>3.138428376721</v>
      </c>
      <c r="I202" s="40" t="n">
        <f aca="false">(1+LivInf)^G202</f>
        <v>2.51817011681898</v>
      </c>
      <c r="J202" s="28" t="n">
        <f aca="false">$E$24*H202*F202</f>
        <v>0</v>
      </c>
      <c r="K202" s="28" t="n">
        <f aca="false">$E$25*H202*F202</f>
        <v>0</v>
      </c>
      <c r="L202" s="28" t="n">
        <f aca="false">$E$26*I202*F202</f>
        <v>0</v>
      </c>
      <c r="M202" s="28" t="n">
        <f aca="false">$E$27*I202*F202</f>
        <v>0</v>
      </c>
      <c r="N202" s="28" t="n">
        <f aca="false">$E$28*I202*F202</f>
        <v>0</v>
      </c>
      <c r="O202" s="28" t="n">
        <f aca="false">$E$29*I202*F202</f>
        <v>0</v>
      </c>
      <c r="P202" s="28" t="n">
        <f aca="false">$E$30*I202*F202</f>
        <v>0</v>
      </c>
      <c r="Q202" s="28" t="n">
        <f aca="false">$E$31*I202*F202</f>
        <v>0</v>
      </c>
      <c r="R202" s="28" t="n">
        <f aca="false">$E$32*I202*F202</f>
        <v>0</v>
      </c>
      <c r="S202" s="28" t="n">
        <f aca="false">IF(AND(F202&gt;0,E202=0),($E$33+$E$36)*H202+($E$34+$E$35)*I202,0)</f>
        <v>0</v>
      </c>
      <c r="T202" s="28" t="n">
        <f aca="false">SUM(J202:S202)</f>
        <v>0</v>
      </c>
      <c r="U202" s="28" t="n">
        <f aca="false">T202*Cont</f>
        <v>0</v>
      </c>
      <c r="V202" s="28" t="n">
        <f aca="false">MIN(J202,J202*$E$43)</f>
        <v>0</v>
      </c>
      <c r="W202" s="40" t="n">
        <f aca="false">$E$55*(1+FxDrift)^(A202-1)</f>
        <v>1</v>
      </c>
      <c r="X202" s="28" t="n">
        <f aca="false">(T202+U202)*W202</f>
        <v>0</v>
      </c>
      <c r="Y202" s="28" t="n">
        <f aca="false">IF(B202=1,MIN(X202,V202*W202+IF(F202&gt;0,$E$44*F202,0)),0)</f>
        <v>0</v>
      </c>
      <c r="Z202" s="41" t="n">
        <f aca="false">IF(B202=1,MAX(0,X202-(V202*W202+IF(F202&gt;0,$E$44*F202,0))),0)</f>
        <v>0</v>
      </c>
      <c r="AA202" s="28" t="n">
        <f aca="false">IF(B202=1,(J202+K202)*W202,0)</f>
        <v>0</v>
      </c>
      <c r="AB202" s="28" t="n">
        <f aca="false">IF(B202=1,SUM(L202:R202)*W202,0)</f>
        <v>0</v>
      </c>
      <c r="AC202" s="28" t="n">
        <f aca="false">IF(B202=1,(S202+U202)*W202,0)</f>
        <v>0</v>
      </c>
    </row>
    <row r="203" customFormat="false" ht="15" hidden="false" customHeight="false" outlineLevel="0" collapsed="false">
      <c r="A203" s="27" t="n">
        <v>14</v>
      </c>
      <c r="B203" s="27" t="n">
        <f aca="false">IF(AND(A203&lt;=$E$52,$E$47=1),1,0)</f>
        <v>0</v>
      </c>
      <c r="C203" s="27" t="str">
        <f aca="false">IF(B203=1,$E$7+A203-1,"")</f>
        <v/>
      </c>
      <c r="D203" s="28" t="str">
        <f aca="false">(PlanStartYear+A203-1)&amp;"/"&amp;RIGHT(PlanStartYear+A203,2)</f>
        <v>2039/40</v>
      </c>
      <c r="E203" s="27" t="n">
        <f aca="false">A203-1-$E$49</f>
        <v>13</v>
      </c>
      <c r="F203" s="39" t="n">
        <f aca="false">IF(AND(B203=1,E203&gt;=0,E203&lt;$E$50),MIN(1,$E$37-E203),0)</f>
        <v>0</v>
      </c>
      <c r="G203" s="27" t="n">
        <f aca="false">(A203-1)+$E$54</f>
        <v>13</v>
      </c>
      <c r="H203" s="40" t="n">
        <f aca="false">(1+TuiInf)^G203</f>
        <v>3.4522712143931</v>
      </c>
      <c r="I203" s="40" t="n">
        <f aca="false">(1+LivInf)^G203</f>
        <v>2.7196237261645</v>
      </c>
      <c r="J203" s="28" t="n">
        <f aca="false">$E$24*H203*F203</f>
        <v>0</v>
      </c>
      <c r="K203" s="28" t="n">
        <f aca="false">$E$25*H203*F203</f>
        <v>0</v>
      </c>
      <c r="L203" s="28" t="n">
        <f aca="false">$E$26*I203*F203</f>
        <v>0</v>
      </c>
      <c r="M203" s="28" t="n">
        <f aca="false">$E$27*I203*F203</f>
        <v>0</v>
      </c>
      <c r="N203" s="28" t="n">
        <f aca="false">$E$28*I203*F203</f>
        <v>0</v>
      </c>
      <c r="O203" s="28" t="n">
        <f aca="false">$E$29*I203*F203</f>
        <v>0</v>
      </c>
      <c r="P203" s="28" t="n">
        <f aca="false">$E$30*I203*F203</f>
        <v>0</v>
      </c>
      <c r="Q203" s="28" t="n">
        <f aca="false">$E$31*I203*F203</f>
        <v>0</v>
      </c>
      <c r="R203" s="28" t="n">
        <f aca="false">$E$32*I203*F203</f>
        <v>0</v>
      </c>
      <c r="S203" s="28" t="n">
        <f aca="false">IF(AND(F203&gt;0,E203=0),($E$33+$E$36)*H203+($E$34+$E$35)*I203,0)</f>
        <v>0</v>
      </c>
      <c r="T203" s="28" t="n">
        <f aca="false">SUM(J203:S203)</f>
        <v>0</v>
      </c>
      <c r="U203" s="28" t="n">
        <f aca="false">T203*Cont</f>
        <v>0</v>
      </c>
      <c r="V203" s="28" t="n">
        <f aca="false">MIN(J203,J203*$E$43)</f>
        <v>0</v>
      </c>
      <c r="W203" s="40" t="n">
        <f aca="false">$E$55*(1+FxDrift)^(A203-1)</f>
        <v>1</v>
      </c>
      <c r="X203" s="28" t="n">
        <f aca="false">(T203+U203)*W203</f>
        <v>0</v>
      </c>
      <c r="Y203" s="28" t="n">
        <f aca="false">IF(B203=1,MIN(X203,V203*W203+IF(F203&gt;0,$E$44*F203,0)),0)</f>
        <v>0</v>
      </c>
      <c r="Z203" s="41" t="n">
        <f aca="false">IF(B203=1,MAX(0,X203-(V203*W203+IF(F203&gt;0,$E$44*F203,0))),0)</f>
        <v>0</v>
      </c>
      <c r="AA203" s="28" t="n">
        <f aca="false">IF(B203=1,(J203+K203)*W203,0)</f>
        <v>0</v>
      </c>
      <c r="AB203" s="28" t="n">
        <f aca="false">IF(B203=1,SUM(L203:R203)*W203,0)</f>
        <v>0</v>
      </c>
      <c r="AC203" s="28" t="n">
        <f aca="false">IF(B203=1,(S203+U203)*W203,0)</f>
        <v>0</v>
      </c>
    </row>
    <row r="204" customFormat="false" ht="15" hidden="false" customHeight="false" outlineLevel="0" collapsed="false">
      <c r="A204" s="27" t="n">
        <v>15</v>
      </c>
      <c r="B204" s="27" t="n">
        <f aca="false">IF(AND(A204&lt;=$E$52,$E$47=1),1,0)</f>
        <v>0</v>
      </c>
      <c r="C204" s="27" t="str">
        <f aca="false">IF(B204=1,$E$7+A204-1,"")</f>
        <v/>
      </c>
      <c r="D204" s="28" t="str">
        <f aca="false">(PlanStartYear+A204-1)&amp;"/"&amp;RIGHT(PlanStartYear+A204,2)</f>
        <v>2040/41</v>
      </c>
      <c r="E204" s="27" t="n">
        <f aca="false">A204-1-$E$49</f>
        <v>14</v>
      </c>
      <c r="F204" s="39" t="n">
        <f aca="false">IF(AND(B204=1,E204&gt;=0,E204&lt;$E$50),MIN(1,$E$37-E204),0)</f>
        <v>0</v>
      </c>
      <c r="G204" s="27" t="n">
        <f aca="false">(A204-1)+$E$54</f>
        <v>14</v>
      </c>
      <c r="H204" s="40" t="n">
        <f aca="false">(1+TuiInf)^G204</f>
        <v>3.79749833583241</v>
      </c>
      <c r="I204" s="40" t="n">
        <f aca="false">(1+LivInf)^G204</f>
        <v>2.93719362425766</v>
      </c>
      <c r="J204" s="28" t="n">
        <f aca="false">$E$24*H204*F204</f>
        <v>0</v>
      </c>
      <c r="K204" s="28" t="n">
        <f aca="false">$E$25*H204*F204</f>
        <v>0</v>
      </c>
      <c r="L204" s="28" t="n">
        <f aca="false">$E$26*I204*F204</f>
        <v>0</v>
      </c>
      <c r="M204" s="28" t="n">
        <f aca="false">$E$27*I204*F204</f>
        <v>0</v>
      </c>
      <c r="N204" s="28" t="n">
        <f aca="false">$E$28*I204*F204</f>
        <v>0</v>
      </c>
      <c r="O204" s="28" t="n">
        <f aca="false">$E$29*I204*F204</f>
        <v>0</v>
      </c>
      <c r="P204" s="28" t="n">
        <f aca="false">$E$30*I204*F204</f>
        <v>0</v>
      </c>
      <c r="Q204" s="28" t="n">
        <f aca="false">$E$31*I204*F204</f>
        <v>0</v>
      </c>
      <c r="R204" s="28" t="n">
        <f aca="false">$E$32*I204*F204</f>
        <v>0</v>
      </c>
      <c r="S204" s="28" t="n">
        <f aca="false">IF(AND(F204&gt;0,E204=0),($E$33+$E$36)*H204+($E$34+$E$35)*I204,0)</f>
        <v>0</v>
      </c>
      <c r="T204" s="28" t="n">
        <f aca="false">SUM(J204:S204)</f>
        <v>0</v>
      </c>
      <c r="U204" s="28" t="n">
        <f aca="false">T204*Cont</f>
        <v>0</v>
      </c>
      <c r="V204" s="28" t="n">
        <f aca="false">MIN(J204,J204*$E$43)</f>
        <v>0</v>
      </c>
      <c r="W204" s="40" t="n">
        <f aca="false">$E$55*(1+FxDrift)^(A204-1)</f>
        <v>1</v>
      </c>
      <c r="X204" s="28" t="n">
        <f aca="false">(T204+U204)*W204</f>
        <v>0</v>
      </c>
      <c r="Y204" s="28" t="n">
        <f aca="false">IF(B204=1,MIN(X204,V204*W204+IF(F204&gt;0,$E$44*F204,0)),0)</f>
        <v>0</v>
      </c>
      <c r="Z204" s="41" t="n">
        <f aca="false">IF(B204=1,MAX(0,X204-(V204*W204+IF(F204&gt;0,$E$44*F204,0))),0)</f>
        <v>0</v>
      </c>
      <c r="AA204" s="28" t="n">
        <f aca="false">IF(B204=1,(J204+K204)*W204,0)</f>
        <v>0</v>
      </c>
      <c r="AB204" s="28" t="n">
        <f aca="false">IF(B204=1,SUM(L204:R204)*W204,0)</f>
        <v>0</v>
      </c>
      <c r="AC204" s="28" t="n">
        <f aca="false">IF(B204=1,(S204+U204)*W204,0)</f>
        <v>0</v>
      </c>
    </row>
    <row r="205" customFormat="false" ht="15" hidden="false" customHeight="false" outlineLevel="0" collapsed="false">
      <c r="A205" s="27" t="n">
        <v>16</v>
      </c>
      <c r="B205" s="27" t="n">
        <f aca="false">IF(AND(A205&lt;=$E$52,$E$47=1),1,0)</f>
        <v>0</v>
      </c>
      <c r="C205" s="27" t="str">
        <f aca="false">IF(B205=1,$E$7+A205-1,"")</f>
        <v/>
      </c>
      <c r="D205" s="28" t="str">
        <f aca="false">(PlanStartYear+A205-1)&amp;"/"&amp;RIGHT(PlanStartYear+A205,2)</f>
        <v>2041/42</v>
      </c>
      <c r="E205" s="27" t="n">
        <f aca="false">A205-1-$E$49</f>
        <v>15</v>
      </c>
      <c r="F205" s="39" t="n">
        <f aca="false">IF(AND(B205=1,E205&gt;=0,E205&lt;$E$50),MIN(1,$E$37-E205),0)</f>
        <v>0</v>
      </c>
      <c r="G205" s="27" t="n">
        <f aca="false">(A205-1)+$E$54</f>
        <v>15</v>
      </c>
      <c r="H205" s="40" t="n">
        <f aca="false">(1+TuiInf)^G205</f>
        <v>4.17724816941566</v>
      </c>
      <c r="I205" s="40" t="n">
        <f aca="false">(1+LivInf)^G205</f>
        <v>3.17216911419827</v>
      </c>
      <c r="J205" s="28" t="n">
        <f aca="false">$E$24*H205*F205</f>
        <v>0</v>
      </c>
      <c r="K205" s="28" t="n">
        <f aca="false">$E$25*H205*F205</f>
        <v>0</v>
      </c>
      <c r="L205" s="28" t="n">
        <f aca="false">$E$26*I205*F205</f>
        <v>0</v>
      </c>
      <c r="M205" s="28" t="n">
        <f aca="false">$E$27*I205*F205</f>
        <v>0</v>
      </c>
      <c r="N205" s="28" t="n">
        <f aca="false">$E$28*I205*F205</f>
        <v>0</v>
      </c>
      <c r="O205" s="28" t="n">
        <f aca="false">$E$29*I205*F205</f>
        <v>0</v>
      </c>
      <c r="P205" s="28" t="n">
        <f aca="false">$E$30*I205*F205</f>
        <v>0</v>
      </c>
      <c r="Q205" s="28" t="n">
        <f aca="false">$E$31*I205*F205</f>
        <v>0</v>
      </c>
      <c r="R205" s="28" t="n">
        <f aca="false">$E$32*I205*F205</f>
        <v>0</v>
      </c>
      <c r="S205" s="28" t="n">
        <f aca="false">IF(AND(F205&gt;0,E205=0),($E$33+$E$36)*H205+($E$34+$E$35)*I205,0)</f>
        <v>0</v>
      </c>
      <c r="T205" s="28" t="n">
        <f aca="false">SUM(J205:S205)</f>
        <v>0</v>
      </c>
      <c r="U205" s="28" t="n">
        <f aca="false">T205*Cont</f>
        <v>0</v>
      </c>
      <c r="V205" s="28" t="n">
        <f aca="false">MIN(J205,J205*$E$43)</f>
        <v>0</v>
      </c>
      <c r="W205" s="40" t="n">
        <f aca="false">$E$55*(1+FxDrift)^(A205-1)</f>
        <v>1</v>
      </c>
      <c r="X205" s="28" t="n">
        <f aca="false">(T205+U205)*W205</f>
        <v>0</v>
      </c>
      <c r="Y205" s="28" t="n">
        <f aca="false">IF(B205=1,MIN(X205,V205*W205+IF(F205&gt;0,$E$44*F205,0)),0)</f>
        <v>0</v>
      </c>
      <c r="Z205" s="41" t="n">
        <f aca="false">IF(B205=1,MAX(0,X205-(V205*W205+IF(F205&gt;0,$E$44*F205,0))),0)</f>
        <v>0</v>
      </c>
      <c r="AA205" s="28" t="n">
        <f aca="false">IF(B205=1,(J205+K205)*W205,0)</f>
        <v>0</v>
      </c>
      <c r="AB205" s="28" t="n">
        <f aca="false">IF(B205=1,SUM(L205:R205)*W205,0)</f>
        <v>0</v>
      </c>
      <c r="AC205" s="28" t="n">
        <f aca="false">IF(B205=1,(S205+U205)*W205,0)</f>
        <v>0</v>
      </c>
    </row>
    <row r="206" customFormat="false" ht="15" hidden="false" customHeight="false" outlineLevel="0" collapsed="false">
      <c r="A206" s="27" t="n">
        <v>17</v>
      </c>
      <c r="B206" s="27" t="n">
        <f aca="false">IF(AND(A206&lt;=$E$52,$E$47=1),1,0)</f>
        <v>0</v>
      </c>
      <c r="C206" s="27" t="str">
        <f aca="false">IF(B206=1,$E$7+A206-1,"")</f>
        <v/>
      </c>
      <c r="D206" s="28" t="str">
        <f aca="false">(PlanStartYear+A206-1)&amp;"/"&amp;RIGHT(PlanStartYear+A206,2)</f>
        <v>2042/43</v>
      </c>
      <c r="E206" s="27" t="n">
        <f aca="false">A206-1-$E$49</f>
        <v>16</v>
      </c>
      <c r="F206" s="39" t="n">
        <f aca="false">IF(AND(B206=1,E206&gt;=0,E206&lt;$E$50),MIN(1,$E$37-E206),0)</f>
        <v>0</v>
      </c>
      <c r="G206" s="27" t="n">
        <f aca="false">(A206-1)+$E$54</f>
        <v>16</v>
      </c>
      <c r="H206" s="40" t="n">
        <f aca="false">(1+TuiInf)^G206</f>
        <v>4.59497298635722</v>
      </c>
      <c r="I206" s="40" t="n">
        <f aca="false">(1+LivInf)^G206</f>
        <v>3.42594264333413</v>
      </c>
      <c r="J206" s="28" t="n">
        <f aca="false">$E$24*H206*F206</f>
        <v>0</v>
      </c>
      <c r="K206" s="28" t="n">
        <f aca="false">$E$25*H206*F206</f>
        <v>0</v>
      </c>
      <c r="L206" s="28" t="n">
        <f aca="false">$E$26*I206*F206</f>
        <v>0</v>
      </c>
      <c r="M206" s="28" t="n">
        <f aca="false">$E$27*I206*F206</f>
        <v>0</v>
      </c>
      <c r="N206" s="28" t="n">
        <f aca="false">$E$28*I206*F206</f>
        <v>0</v>
      </c>
      <c r="O206" s="28" t="n">
        <f aca="false">$E$29*I206*F206</f>
        <v>0</v>
      </c>
      <c r="P206" s="28" t="n">
        <f aca="false">$E$30*I206*F206</f>
        <v>0</v>
      </c>
      <c r="Q206" s="28" t="n">
        <f aca="false">$E$31*I206*F206</f>
        <v>0</v>
      </c>
      <c r="R206" s="28" t="n">
        <f aca="false">$E$32*I206*F206</f>
        <v>0</v>
      </c>
      <c r="S206" s="28" t="n">
        <f aca="false">IF(AND(F206&gt;0,E206=0),($E$33+$E$36)*H206+($E$34+$E$35)*I206,0)</f>
        <v>0</v>
      </c>
      <c r="T206" s="28" t="n">
        <f aca="false">SUM(J206:S206)</f>
        <v>0</v>
      </c>
      <c r="U206" s="28" t="n">
        <f aca="false">T206*Cont</f>
        <v>0</v>
      </c>
      <c r="V206" s="28" t="n">
        <f aca="false">MIN(J206,J206*$E$43)</f>
        <v>0</v>
      </c>
      <c r="W206" s="40" t="n">
        <f aca="false">$E$55*(1+FxDrift)^(A206-1)</f>
        <v>1</v>
      </c>
      <c r="X206" s="28" t="n">
        <f aca="false">(T206+U206)*W206</f>
        <v>0</v>
      </c>
      <c r="Y206" s="28" t="n">
        <f aca="false">IF(B206=1,MIN(X206,V206*W206+IF(F206&gt;0,$E$44*F206,0)),0)</f>
        <v>0</v>
      </c>
      <c r="Z206" s="41" t="n">
        <f aca="false">IF(B206=1,MAX(0,X206-(V206*W206+IF(F206&gt;0,$E$44*F206,0))),0)</f>
        <v>0</v>
      </c>
      <c r="AA206" s="28" t="n">
        <f aca="false">IF(B206=1,(J206+K206)*W206,0)</f>
        <v>0</v>
      </c>
      <c r="AB206" s="28" t="n">
        <f aca="false">IF(B206=1,SUM(L206:R206)*W206,0)</f>
        <v>0</v>
      </c>
      <c r="AC206" s="28" t="n">
        <f aca="false">IF(B206=1,(S206+U206)*W206,0)</f>
        <v>0</v>
      </c>
    </row>
    <row r="207" customFormat="false" ht="15" hidden="false" customHeight="false" outlineLevel="0" collapsed="false">
      <c r="A207" s="27" t="n">
        <v>18</v>
      </c>
      <c r="B207" s="27" t="n">
        <f aca="false">IF(AND(A207&lt;=$E$52,$E$47=1),1,0)</f>
        <v>0</v>
      </c>
      <c r="C207" s="27" t="str">
        <f aca="false">IF(B207=1,$E$7+A207-1,"")</f>
        <v/>
      </c>
      <c r="D207" s="28" t="str">
        <f aca="false">(PlanStartYear+A207-1)&amp;"/"&amp;RIGHT(PlanStartYear+A207,2)</f>
        <v>2043/44</v>
      </c>
      <c r="E207" s="27" t="n">
        <f aca="false">A207-1-$E$49</f>
        <v>17</v>
      </c>
      <c r="F207" s="39" t="n">
        <f aca="false">IF(AND(B207=1,E207&gt;=0,E207&lt;$E$50),MIN(1,$E$37-E207),0)</f>
        <v>0</v>
      </c>
      <c r="G207" s="27" t="n">
        <f aca="false">(A207-1)+$E$54</f>
        <v>17</v>
      </c>
      <c r="H207" s="40" t="n">
        <f aca="false">(1+TuiInf)^G207</f>
        <v>5.05447028499295</v>
      </c>
      <c r="I207" s="40" t="n">
        <f aca="false">(1+LivInf)^G207</f>
        <v>3.70001805480087</v>
      </c>
      <c r="J207" s="28" t="n">
        <f aca="false">$E$24*H207*F207</f>
        <v>0</v>
      </c>
      <c r="K207" s="28" t="n">
        <f aca="false">$E$25*H207*F207</f>
        <v>0</v>
      </c>
      <c r="L207" s="28" t="n">
        <f aca="false">$E$26*I207*F207</f>
        <v>0</v>
      </c>
      <c r="M207" s="28" t="n">
        <f aca="false">$E$27*I207*F207</f>
        <v>0</v>
      </c>
      <c r="N207" s="28" t="n">
        <f aca="false">$E$28*I207*F207</f>
        <v>0</v>
      </c>
      <c r="O207" s="28" t="n">
        <f aca="false">$E$29*I207*F207</f>
        <v>0</v>
      </c>
      <c r="P207" s="28" t="n">
        <f aca="false">$E$30*I207*F207</f>
        <v>0</v>
      </c>
      <c r="Q207" s="28" t="n">
        <f aca="false">$E$31*I207*F207</f>
        <v>0</v>
      </c>
      <c r="R207" s="28" t="n">
        <f aca="false">$E$32*I207*F207</f>
        <v>0</v>
      </c>
      <c r="S207" s="28" t="n">
        <f aca="false">IF(AND(F207&gt;0,E207=0),($E$33+$E$36)*H207+($E$34+$E$35)*I207,0)</f>
        <v>0</v>
      </c>
      <c r="T207" s="28" t="n">
        <f aca="false">SUM(J207:S207)</f>
        <v>0</v>
      </c>
      <c r="U207" s="28" t="n">
        <f aca="false">T207*Cont</f>
        <v>0</v>
      </c>
      <c r="V207" s="28" t="n">
        <f aca="false">MIN(J207,J207*$E$43)</f>
        <v>0</v>
      </c>
      <c r="W207" s="40" t="n">
        <f aca="false">$E$55*(1+FxDrift)^(A207-1)</f>
        <v>1</v>
      </c>
      <c r="X207" s="28" t="n">
        <f aca="false">(T207+U207)*W207</f>
        <v>0</v>
      </c>
      <c r="Y207" s="28" t="n">
        <f aca="false">IF(B207=1,MIN(X207,V207*W207+IF(F207&gt;0,$E$44*F207,0)),0)</f>
        <v>0</v>
      </c>
      <c r="Z207" s="41" t="n">
        <f aca="false">IF(B207=1,MAX(0,X207-(V207*W207+IF(F207&gt;0,$E$44*F207,0))),0)</f>
        <v>0</v>
      </c>
      <c r="AA207" s="28" t="n">
        <f aca="false">IF(B207=1,(J207+K207)*W207,0)</f>
        <v>0</v>
      </c>
      <c r="AB207" s="28" t="n">
        <f aca="false">IF(B207=1,SUM(L207:R207)*W207,0)</f>
        <v>0</v>
      </c>
      <c r="AC207" s="28" t="n">
        <f aca="false">IF(B207=1,(S207+U207)*W207,0)</f>
        <v>0</v>
      </c>
    </row>
    <row r="208" customFormat="false" ht="15" hidden="false" customHeight="false" outlineLevel="0" collapsed="false">
      <c r="A208" s="27" t="n">
        <v>19</v>
      </c>
      <c r="B208" s="27" t="n">
        <f aca="false">IF(AND(A208&lt;=$E$52,$E$47=1),1,0)</f>
        <v>0</v>
      </c>
      <c r="C208" s="27" t="str">
        <f aca="false">IF(B208=1,$E$7+A208-1,"")</f>
        <v/>
      </c>
      <c r="D208" s="28" t="str">
        <f aca="false">(PlanStartYear+A208-1)&amp;"/"&amp;RIGHT(PlanStartYear+A208,2)</f>
        <v>2044/45</v>
      </c>
      <c r="E208" s="27" t="n">
        <f aca="false">A208-1-$E$49</f>
        <v>18</v>
      </c>
      <c r="F208" s="39" t="n">
        <f aca="false">IF(AND(B208=1,E208&gt;=0,E208&lt;$E$50),MIN(1,$E$37-E208),0)</f>
        <v>0</v>
      </c>
      <c r="G208" s="27" t="n">
        <f aca="false">(A208-1)+$E$54</f>
        <v>18</v>
      </c>
      <c r="H208" s="40" t="n">
        <f aca="false">(1+TuiInf)^G208</f>
        <v>5.55991731349224</v>
      </c>
      <c r="I208" s="40" t="n">
        <f aca="false">(1+LivInf)^G208</f>
        <v>3.99601949918493</v>
      </c>
      <c r="J208" s="28" t="n">
        <f aca="false">$E$24*H208*F208</f>
        <v>0</v>
      </c>
      <c r="K208" s="28" t="n">
        <f aca="false">$E$25*H208*F208</f>
        <v>0</v>
      </c>
      <c r="L208" s="28" t="n">
        <f aca="false">$E$26*I208*F208</f>
        <v>0</v>
      </c>
      <c r="M208" s="28" t="n">
        <f aca="false">$E$27*I208*F208</f>
        <v>0</v>
      </c>
      <c r="N208" s="28" t="n">
        <f aca="false">$E$28*I208*F208</f>
        <v>0</v>
      </c>
      <c r="O208" s="28" t="n">
        <f aca="false">$E$29*I208*F208</f>
        <v>0</v>
      </c>
      <c r="P208" s="28" t="n">
        <f aca="false">$E$30*I208*F208</f>
        <v>0</v>
      </c>
      <c r="Q208" s="28" t="n">
        <f aca="false">$E$31*I208*F208</f>
        <v>0</v>
      </c>
      <c r="R208" s="28" t="n">
        <f aca="false">$E$32*I208*F208</f>
        <v>0</v>
      </c>
      <c r="S208" s="28" t="n">
        <f aca="false">IF(AND(F208&gt;0,E208=0),($E$33+$E$36)*H208+($E$34+$E$35)*I208,0)</f>
        <v>0</v>
      </c>
      <c r="T208" s="28" t="n">
        <f aca="false">SUM(J208:S208)</f>
        <v>0</v>
      </c>
      <c r="U208" s="28" t="n">
        <f aca="false">T208*Cont</f>
        <v>0</v>
      </c>
      <c r="V208" s="28" t="n">
        <f aca="false">MIN(J208,J208*$E$43)</f>
        <v>0</v>
      </c>
      <c r="W208" s="40" t="n">
        <f aca="false">$E$55*(1+FxDrift)^(A208-1)</f>
        <v>1</v>
      </c>
      <c r="X208" s="28" t="n">
        <f aca="false">(T208+U208)*W208</f>
        <v>0</v>
      </c>
      <c r="Y208" s="28" t="n">
        <f aca="false">IF(B208=1,MIN(X208,V208*W208+IF(F208&gt;0,$E$44*F208,0)),0)</f>
        <v>0</v>
      </c>
      <c r="Z208" s="41" t="n">
        <f aca="false">IF(B208=1,MAX(0,X208-(V208*W208+IF(F208&gt;0,$E$44*F208,0))),0)</f>
        <v>0</v>
      </c>
      <c r="AA208" s="28" t="n">
        <f aca="false">IF(B208=1,(J208+K208)*W208,0)</f>
        <v>0</v>
      </c>
      <c r="AB208" s="28" t="n">
        <f aca="false">IF(B208=1,SUM(L208:R208)*W208,0)</f>
        <v>0</v>
      </c>
      <c r="AC208" s="28" t="n">
        <f aca="false">IF(B208=1,(S208+U208)*W208,0)</f>
        <v>0</v>
      </c>
    </row>
    <row r="209" customFormat="false" ht="15" hidden="false" customHeight="false" outlineLevel="0" collapsed="false">
      <c r="A209" s="27" t="n">
        <v>20</v>
      </c>
      <c r="B209" s="27" t="n">
        <f aca="false">IF(AND(A209&lt;=$E$52,$E$47=1),1,0)</f>
        <v>0</v>
      </c>
      <c r="C209" s="27" t="str">
        <f aca="false">IF(B209=1,$E$7+A209-1,"")</f>
        <v/>
      </c>
      <c r="D209" s="28" t="str">
        <f aca="false">(PlanStartYear+A209-1)&amp;"/"&amp;RIGHT(PlanStartYear+A209,2)</f>
        <v>2045/46</v>
      </c>
      <c r="E209" s="27" t="n">
        <f aca="false">A209-1-$E$49</f>
        <v>19</v>
      </c>
      <c r="F209" s="39" t="n">
        <f aca="false">IF(AND(B209=1,E209&gt;=0,E209&lt;$E$50),MIN(1,$E$37-E209),0)</f>
        <v>0</v>
      </c>
      <c r="G209" s="27" t="n">
        <f aca="false">(A209-1)+$E$54</f>
        <v>19</v>
      </c>
      <c r="H209" s="40" t="n">
        <f aca="false">(1+TuiInf)^G209</f>
        <v>6.11590904484146</v>
      </c>
      <c r="I209" s="40" t="n">
        <f aca="false">(1+LivInf)^G209</f>
        <v>4.31570105911973</v>
      </c>
      <c r="J209" s="28" t="n">
        <f aca="false">$E$24*H209*F209</f>
        <v>0</v>
      </c>
      <c r="K209" s="28" t="n">
        <f aca="false">$E$25*H209*F209</f>
        <v>0</v>
      </c>
      <c r="L209" s="28" t="n">
        <f aca="false">$E$26*I209*F209</f>
        <v>0</v>
      </c>
      <c r="M209" s="28" t="n">
        <f aca="false">$E$27*I209*F209</f>
        <v>0</v>
      </c>
      <c r="N209" s="28" t="n">
        <f aca="false">$E$28*I209*F209</f>
        <v>0</v>
      </c>
      <c r="O209" s="28" t="n">
        <f aca="false">$E$29*I209*F209</f>
        <v>0</v>
      </c>
      <c r="P209" s="28" t="n">
        <f aca="false">$E$30*I209*F209</f>
        <v>0</v>
      </c>
      <c r="Q209" s="28" t="n">
        <f aca="false">$E$31*I209*F209</f>
        <v>0</v>
      </c>
      <c r="R209" s="28" t="n">
        <f aca="false">$E$32*I209*F209</f>
        <v>0</v>
      </c>
      <c r="S209" s="28" t="n">
        <f aca="false">IF(AND(F209&gt;0,E209=0),($E$33+$E$36)*H209+($E$34+$E$35)*I209,0)</f>
        <v>0</v>
      </c>
      <c r="T209" s="28" t="n">
        <f aca="false">SUM(J209:S209)</f>
        <v>0</v>
      </c>
      <c r="U209" s="28" t="n">
        <f aca="false">T209*Cont</f>
        <v>0</v>
      </c>
      <c r="V209" s="28" t="n">
        <f aca="false">MIN(J209,J209*$E$43)</f>
        <v>0</v>
      </c>
      <c r="W209" s="40" t="n">
        <f aca="false">$E$55*(1+FxDrift)^(A209-1)</f>
        <v>1</v>
      </c>
      <c r="X209" s="28" t="n">
        <f aca="false">(T209+U209)*W209</f>
        <v>0</v>
      </c>
      <c r="Y209" s="28" t="n">
        <f aca="false">IF(B209=1,MIN(X209,V209*W209+IF(F209&gt;0,$E$44*F209,0)),0)</f>
        <v>0</v>
      </c>
      <c r="Z209" s="41" t="n">
        <f aca="false">IF(B209=1,MAX(0,X209-(V209*W209+IF(F209&gt;0,$E$44*F209,0))),0)</f>
        <v>0</v>
      </c>
      <c r="AA209" s="28" t="n">
        <f aca="false">IF(B209=1,(J209+K209)*W209,0)</f>
        <v>0</v>
      </c>
      <c r="AB209" s="28" t="n">
        <f aca="false">IF(B209=1,SUM(L209:R209)*W209,0)</f>
        <v>0</v>
      </c>
      <c r="AC209" s="28" t="n">
        <f aca="false">IF(B209=1,(S209+U209)*W209,0)</f>
        <v>0</v>
      </c>
    </row>
    <row r="210" customFormat="false" ht="15" hidden="false" customHeight="false" outlineLevel="0" collapsed="false">
      <c r="A210" s="27" t="n">
        <v>21</v>
      </c>
      <c r="B210" s="27" t="n">
        <f aca="false">IF(AND(A210&lt;=$E$52,$E$47=1),1,0)</f>
        <v>0</v>
      </c>
      <c r="C210" s="27" t="str">
        <f aca="false">IF(B210=1,$E$7+A210-1,"")</f>
        <v/>
      </c>
      <c r="D210" s="28" t="str">
        <f aca="false">(PlanStartYear+A210-1)&amp;"/"&amp;RIGHT(PlanStartYear+A210,2)</f>
        <v>2046/47</v>
      </c>
      <c r="E210" s="27" t="n">
        <f aca="false">A210-1-$E$49</f>
        <v>20</v>
      </c>
      <c r="F210" s="39" t="n">
        <f aca="false">IF(AND(B210=1,E210&gt;=0,E210&lt;$E$50),MIN(1,$E$37-E210),0)</f>
        <v>0</v>
      </c>
      <c r="G210" s="27" t="n">
        <f aca="false">(A210-1)+$E$54</f>
        <v>20</v>
      </c>
      <c r="H210" s="40" t="n">
        <f aca="false">(1+TuiInf)^G210</f>
        <v>6.72749994932561</v>
      </c>
      <c r="I210" s="40" t="n">
        <f aca="false">(1+LivInf)^G210</f>
        <v>4.66095714384931</v>
      </c>
      <c r="J210" s="28" t="n">
        <f aca="false">$E$24*H210*F210</f>
        <v>0</v>
      </c>
      <c r="K210" s="28" t="n">
        <f aca="false">$E$25*H210*F210</f>
        <v>0</v>
      </c>
      <c r="L210" s="28" t="n">
        <f aca="false">$E$26*I210*F210</f>
        <v>0</v>
      </c>
      <c r="M210" s="28" t="n">
        <f aca="false">$E$27*I210*F210</f>
        <v>0</v>
      </c>
      <c r="N210" s="28" t="n">
        <f aca="false">$E$28*I210*F210</f>
        <v>0</v>
      </c>
      <c r="O210" s="28" t="n">
        <f aca="false">$E$29*I210*F210</f>
        <v>0</v>
      </c>
      <c r="P210" s="28" t="n">
        <f aca="false">$E$30*I210*F210</f>
        <v>0</v>
      </c>
      <c r="Q210" s="28" t="n">
        <f aca="false">$E$31*I210*F210</f>
        <v>0</v>
      </c>
      <c r="R210" s="28" t="n">
        <f aca="false">$E$32*I210*F210</f>
        <v>0</v>
      </c>
      <c r="S210" s="28" t="n">
        <f aca="false">IF(AND(F210&gt;0,E210=0),($E$33+$E$36)*H210+($E$34+$E$35)*I210,0)</f>
        <v>0</v>
      </c>
      <c r="T210" s="28" t="n">
        <f aca="false">SUM(J210:S210)</f>
        <v>0</v>
      </c>
      <c r="U210" s="28" t="n">
        <f aca="false">T210*Cont</f>
        <v>0</v>
      </c>
      <c r="V210" s="28" t="n">
        <f aca="false">MIN(J210,J210*$E$43)</f>
        <v>0</v>
      </c>
      <c r="W210" s="40" t="n">
        <f aca="false">$E$55*(1+FxDrift)^(A210-1)</f>
        <v>1</v>
      </c>
      <c r="X210" s="28" t="n">
        <f aca="false">(T210+U210)*W210</f>
        <v>0</v>
      </c>
      <c r="Y210" s="28" t="n">
        <f aca="false">IF(B210=1,MIN(X210,V210*W210+IF(F210&gt;0,$E$44*F210,0)),0)</f>
        <v>0</v>
      </c>
      <c r="Z210" s="41" t="n">
        <f aca="false">IF(B210=1,MAX(0,X210-(V210*W210+IF(F210&gt;0,$E$44*F210,0))),0)</f>
        <v>0</v>
      </c>
      <c r="AA210" s="28" t="n">
        <f aca="false">IF(B210=1,(J210+K210)*W210,0)</f>
        <v>0</v>
      </c>
      <c r="AB210" s="28" t="n">
        <f aca="false">IF(B210=1,SUM(L210:R210)*W210,0)</f>
        <v>0</v>
      </c>
      <c r="AC210" s="28" t="n">
        <f aca="false">IF(B210=1,(S210+U210)*W210,0)</f>
        <v>0</v>
      </c>
    </row>
    <row r="211" customFormat="false" ht="15" hidden="false" customHeight="false" outlineLevel="0" collapsed="false">
      <c r="A211" s="27" t="n">
        <v>22</v>
      </c>
      <c r="B211" s="27" t="n">
        <f aca="false">IF(AND(A211&lt;=$E$52,$E$47=1),1,0)</f>
        <v>0</v>
      </c>
      <c r="C211" s="27" t="str">
        <f aca="false">IF(B211=1,$E$7+A211-1,"")</f>
        <v/>
      </c>
      <c r="D211" s="28" t="str">
        <f aca="false">(PlanStartYear+A211-1)&amp;"/"&amp;RIGHT(PlanStartYear+A211,2)</f>
        <v>2047/48</v>
      </c>
      <c r="E211" s="27" t="n">
        <f aca="false">A211-1-$E$49</f>
        <v>21</v>
      </c>
      <c r="F211" s="39" t="n">
        <f aca="false">IF(AND(B211=1,E211&gt;=0,E211&lt;$E$50),MIN(1,$E$37-E211),0)</f>
        <v>0</v>
      </c>
      <c r="G211" s="27" t="n">
        <f aca="false">(A211-1)+$E$54</f>
        <v>21</v>
      </c>
      <c r="H211" s="40" t="n">
        <f aca="false">(1+TuiInf)^G211</f>
        <v>7.40024994425817</v>
      </c>
      <c r="I211" s="40" t="n">
        <f aca="false">(1+LivInf)^G211</f>
        <v>5.03383371535725</v>
      </c>
      <c r="J211" s="28" t="n">
        <f aca="false">$E$24*H211*F211</f>
        <v>0</v>
      </c>
      <c r="K211" s="28" t="n">
        <f aca="false">$E$25*H211*F211</f>
        <v>0</v>
      </c>
      <c r="L211" s="28" t="n">
        <f aca="false">$E$26*I211*F211</f>
        <v>0</v>
      </c>
      <c r="M211" s="28" t="n">
        <f aca="false">$E$27*I211*F211</f>
        <v>0</v>
      </c>
      <c r="N211" s="28" t="n">
        <f aca="false">$E$28*I211*F211</f>
        <v>0</v>
      </c>
      <c r="O211" s="28" t="n">
        <f aca="false">$E$29*I211*F211</f>
        <v>0</v>
      </c>
      <c r="P211" s="28" t="n">
        <f aca="false">$E$30*I211*F211</f>
        <v>0</v>
      </c>
      <c r="Q211" s="28" t="n">
        <f aca="false">$E$31*I211*F211</f>
        <v>0</v>
      </c>
      <c r="R211" s="28" t="n">
        <f aca="false">$E$32*I211*F211</f>
        <v>0</v>
      </c>
      <c r="S211" s="28" t="n">
        <f aca="false">IF(AND(F211&gt;0,E211=0),($E$33+$E$36)*H211+($E$34+$E$35)*I211,0)</f>
        <v>0</v>
      </c>
      <c r="T211" s="28" t="n">
        <f aca="false">SUM(J211:S211)</f>
        <v>0</v>
      </c>
      <c r="U211" s="28" t="n">
        <f aca="false">T211*Cont</f>
        <v>0</v>
      </c>
      <c r="V211" s="28" t="n">
        <f aca="false">MIN(J211,J211*$E$43)</f>
        <v>0</v>
      </c>
      <c r="W211" s="40" t="n">
        <f aca="false">$E$55*(1+FxDrift)^(A211-1)</f>
        <v>1</v>
      </c>
      <c r="X211" s="28" t="n">
        <f aca="false">(T211+U211)*W211</f>
        <v>0</v>
      </c>
      <c r="Y211" s="28" t="n">
        <f aca="false">IF(B211=1,MIN(X211,V211*W211+IF(F211&gt;0,$E$44*F211,0)),0)</f>
        <v>0</v>
      </c>
      <c r="Z211" s="41" t="n">
        <f aca="false">IF(B211=1,MAX(0,X211-(V211*W211+IF(F211&gt;0,$E$44*F211,0))),0)</f>
        <v>0</v>
      </c>
      <c r="AA211" s="28" t="n">
        <f aca="false">IF(B211=1,(J211+K211)*W211,0)</f>
        <v>0</v>
      </c>
      <c r="AB211" s="28" t="n">
        <f aca="false">IF(B211=1,SUM(L211:R211)*W211,0)</f>
        <v>0</v>
      </c>
      <c r="AC211" s="28" t="n">
        <f aca="false">IF(B211=1,(S211+U211)*W211,0)</f>
        <v>0</v>
      </c>
    </row>
    <row r="212" customFormat="false" ht="15" hidden="false" customHeight="false" outlineLevel="0" collapsed="false">
      <c r="A212" s="27" t="n">
        <v>23</v>
      </c>
      <c r="B212" s="27" t="n">
        <f aca="false">IF(AND(A212&lt;=$E$52,$E$47=1),1,0)</f>
        <v>0</v>
      </c>
      <c r="C212" s="27" t="str">
        <f aca="false">IF(B212=1,$E$7+A212-1,"")</f>
        <v/>
      </c>
      <c r="D212" s="28" t="str">
        <f aca="false">(PlanStartYear+A212-1)&amp;"/"&amp;RIGHT(PlanStartYear+A212,2)</f>
        <v>2048/49</v>
      </c>
      <c r="E212" s="27" t="n">
        <f aca="false">A212-1-$E$49</f>
        <v>22</v>
      </c>
      <c r="F212" s="39" t="n">
        <f aca="false">IF(AND(B212=1,E212&gt;=0,E212&lt;$E$50),MIN(1,$E$37-E212),0)</f>
        <v>0</v>
      </c>
      <c r="G212" s="27" t="n">
        <f aca="false">(A212-1)+$E$54</f>
        <v>22</v>
      </c>
      <c r="H212" s="40" t="n">
        <f aca="false">(1+TuiInf)^G212</f>
        <v>8.14027493868399</v>
      </c>
      <c r="I212" s="40" t="n">
        <f aca="false">(1+LivInf)^G212</f>
        <v>5.43654041258583</v>
      </c>
      <c r="J212" s="28" t="n">
        <f aca="false">$E$24*H212*F212</f>
        <v>0</v>
      </c>
      <c r="K212" s="28" t="n">
        <f aca="false">$E$25*H212*F212</f>
        <v>0</v>
      </c>
      <c r="L212" s="28" t="n">
        <f aca="false">$E$26*I212*F212</f>
        <v>0</v>
      </c>
      <c r="M212" s="28" t="n">
        <f aca="false">$E$27*I212*F212</f>
        <v>0</v>
      </c>
      <c r="N212" s="28" t="n">
        <f aca="false">$E$28*I212*F212</f>
        <v>0</v>
      </c>
      <c r="O212" s="28" t="n">
        <f aca="false">$E$29*I212*F212</f>
        <v>0</v>
      </c>
      <c r="P212" s="28" t="n">
        <f aca="false">$E$30*I212*F212</f>
        <v>0</v>
      </c>
      <c r="Q212" s="28" t="n">
        <f aca="false">$E$31*I212*F212</f>
        <v>0</v>
      </c>
      <c r="R212" s="28" t="n">
        <f aca="false">$E$32*I212*F212</f>
        <v>0</v>
      </c>
      <c r="S212" s="28" t="n">
        <f aca="false">IF(AND(F212&gt;0,E212=0),($E$33+$E$36)*H212+($E$34+$E$35)*I212,0)</f>
        <v>0</v>
      </c>
      <c r="T212" s="28" t="n">
        <f aca="false">SUM(J212:S212)</f>
        <v>0</v>
      </c>
      <c r="U212" s="28" t="n">
        <f aca="false">T212*Cont</f>
        <v>0</v>
      </c>
      <c r="V212" s="28" t="n">
        <f aca="false">MIN(J212,J212*$E$43)</f>
        <v>0</v>
      </c>
      <c r="W212" s="40" t="n">
        <f aca="false">$E$55*(1+FxDrift)^(A212-1)</f>
        <v>1</v>
      </c>
      <c r="X212" s="28" t="n">
        <f aca="false">(T212+U212)*W212</f>
        <v>0</v>
      </c>
      <c r="Y212" s="28" t="n">
        <f aca="false">IF(B212=1,MIN(X212,V212*W212+IF(F212&gt;0,$E$44*F212,0)),0)</f>
        <v>0</v>
      </c>
      <c r="Z212" s="41" t="n">
        <f aca="false">IF(B212=1,MAX(0,X212-(V212*W212+IF(F212&gt;0,$E$44*F212,0))),0)</f>
        <v>0</v>
      </c>
      <c r="AA212" s="28" t="n">
        <f aca="false">IF(B212=1,(J212+K212)*W212,0)</f>
        <v>0</v>
      </c>
      <c r="AB212" s="28" t="n">
        <f aca="false">IF(B212=1,SUM(L212:R212)*W212,0)</f>
        <v>0</v>
      </c>
      <c r="AC212" s="28" t="n">
        <f aca="false">IF(B212=1,(S212+U212)*W212,0)</f>
        <v>0</v>
      </c>
    </row>
    <row r="213" customFormat="false" ht="15" hidden="false" customHeight="false" outlineLevel="0" collapsed="false">
      <c r="A213" s="27" t="n">
        <v>24</v>
      </c>
      <c r="B213" s="27" t="n">
        <f aca="false">IF(AND(A213&lt;=$E$52,$E$47=1),1,0)</f>
        <v>0</v>
      </c>
      <c r="C213" s="27" t="str">
        <f aca="false">IF(B213=1,$E$7+A213-1,"")</f>
        <v/>
      </c>
      <c r="D213" s="28" t="str">
        <f aca="false">(PlanStartYear+A213-1)&amp;"/"&amp;RIGHT(PlanStartYear+A213,2)</f>
        <v>2049/50</v>
      </c>
      <c r="E213" s="27" t="n">
        <f aca="false">A213-1-$E$49</f>
        <v>23</v>
      </c>
      <c r="F213" s="39" t="n">
        <f aca="false">IF(AND(B213=1,E213&gt;=0,E213&lt;$E$50),MIN(1,$E$37-E213),0)</f>
        <v>0</v>
      </c>
      <c r="G213" s="27" t="n">
        <f aca="false">(A213-1)+$E$54</f>
        <v>23</v>
      </c>
      <c r="H213" s="40" t="n">
        <f aca="false">(1+TuiInf)^G213</f>
        <v>8.95430243255239</v>
      </c>
      <c r="I213" s="40" t="n">
        <f aca="false">(1+LivInf)^G213</f>
        <v>5.8714636455927</v>
      </c>
      <c r="J213" s="28" t="n">
        <f aca="false">$E$24*H213*F213</f>
        <v>0</v>
      </c>
      <c r="K213" s="28" t="n">
        <f aca="false">$E$25*H213*F213</f>
        <v>0</v>
      </c>
      <c r="L213" s="28" t="n">
        <f aca="false">$E$26*I213*F213</f>
        <v>0</v>
      </c>
      <c r="M213" s="28" t="n">
        <f aca="false">$E$27*I213*F213</f>
        <v>0</v>
      </c>
      <c r="N213" s="28" t="n">
        <f aca="false">$E$28*I213*F213</f>
        <v>0</v>
      </c>
      <c r="O213" s="28" t="n">
        <f aca="false">$E$29*I213*F213</f>
        <v>0</v>
      </c>
      <c r="P213" s="28" t="n">
        <f aca="false">$E$30*I213*F213</f>
        <v>0</v>
      </c>
      <c r="Q213" s="28" t="n">
        <f aca="false">$E$31*I213*F213</f>
        <v>0</v>
      </c>
      <c r="R213" s="28" t="n">
        <f aca="false">$E$32*I213*F213</f>
        <v>0</v>
      </c>
      <c r="S213" s="28" t="n">
        <f aca="false">IF(AND(F213&gt;0,E213=0),($E$33+$E$36)*H213+($E$34+$E$35)*I213,0)</f>
        <v>0</v>
      </c>
      <c r="T213" s="28" t="n">
        <f aca="false">SUM(J213:S213)</f>
        <v>0</v>
      </c>
      <c r="U213" s="28" t="n">
        <f aca="false">T213*Cont</f>
        <v>0</v>
      </c>
      <c r="V213" s="28" t="n">
        <f aca="false">MIN(J213,J213*$E$43)</f>
        <v>0</v>
      </c>
      <c r="W213" s="40" t="n">
        <f aca="false">$E$55*(1+FxDrift)^(A213-1)</f>
        <v>1</v>
      </c>
      <c r="X213" s="28" t="n">
        <f aca="false">(T213+U213)*W213</f>
        <v>0</v>
      </c>
      <c r="Y213" s="28" t="n">
        <f aca="false">IF(B213=1,MIN(X213,V213*W213+IF(F213&gt;0,$E$44*F213,0)),0)</f>
        <v>0</v>
      </c>
      <c r="Z213" s="41" t="n">
        <f aca="false">IF(B213=1,MAX(0,X213-(V213*W213+IF(F213&gt;0,$E$44*F213,0))),0)</f>
        <v>0</v>
      </c>
      <c r="AA213" s="28" t="n">
        <f aca="false">IF(B213=1,(J213+K213)*W213,0)</f>
        <v>0</v>
      </c>
      <c r="AB213" s="28" t="n">
        <f aca="false">IF(B213=1,SUM(L213:R213)*W213,0)</f>
        <v>0</v>
      </c>
      <c r="AC213" s="28" t="n">
        <f aca="false">IF(B213=1,(S213+U213)*W213,0)</f>
        <v>0</v>
      </c>
    </row>
    <row r="214" customFormat="false" ht="15" hidden="false" customHeight="false" outlineLevel="0" collapsed="false">
      <c r="A214" s="27" t="n">
        <v>25</v>
      </c>
      <c r="B214" s="27" t="n">
        <f aca="false">IF(AND(A214&lt;=$E$52,$E$47=1),1,0)</f>
        <v>0</v>
      </c>
      <c r="C214" s="27" t="str">
        <f aca="false">IF(B214=1,$E$7+A214-1,"")</f>
        <v/>
      </c>
      <c r="D214" s="28" t="str">
        <f aca="false">(PlanStartYear+A214-1)&amp;"/"&amp;RIGHT(PlanStartYear+A214,2)</f>
        <v>2050/51</v>
      </c>
      <c r="E214" s="27" t="n">
        <f aca="false">A214-1-$E$49</f>
        <v>24</v>
      </c>
      <c r="F214" s="39" t="n">
        <f aca="false">IF(AND(B214=1,E214&gt;=0,E214&lt;$E$50),MIN(1,$E$37-E214),0)</f>
        <v>0</v>
      </c>
      <c r="G214" s="27" t="n">
        <f aca="false">(A214-1)+$E$54</f>
        <v>24</v>
      </c>
      <c r="H214" s="40" t="n">
        <f aca="false">(1+TuiInf)^G214</f>
        <v>9.84973267580763</v>
      </c>
      <c r="I214" s="40" t="n">
        <f aca="false">(1+LivInf)^G214</f>
        <v>6.34118073724012</v>
      </c>
      <c r="J214" s="28" t="n">
        <f aca="false">$E$24*H214*F214</f>
        <v>0</v>
      </c>
      <c r="K214" s="28" t="n">
        <f aca="false">$E$25*H214*F214</f>
        <v>0</v>
      </c>
      <c r="L214" s="28" t="n">
        <f aca="false">$E$26*I214*F214</f>
        <v>0</v>
      </c>
      <c r="M214" s="28" t="n">
        <f aca="false">$E$27*I214*F214</f>
        <v>0</v>
      </c>
      <c r="N214" s="28" t="n">
        <f aca="false">$E$28*I214*F214</f>
        <v>0</v>
      </c>
      <c r="O214" s="28" t="n">
        <f aca="false">$E$29*I214*F214</f>
        <v>0</v>
      </c>
      <c r="P214" s="28" t="n">
        <f aca="false">$E$30*I214*F214</f>
        <v>0</v>
      </c>
      <c r="Q214" s="28" t="n">
        <f aca="false">$E$31*I214*F214</f>
        <v>0</v>
      </c>
      <c r="R214" s="28" t="n">
        <f aca="false">$E$32*I214*F214</f>
        <v>0</v>
      </c>
      <c r="S214" s="28" t="n">
        <f aca="false">IF(AND(F214&gt;0,E214=0),($E$33+$E$36)*H214+($E$34+$E$35)*I214,0)</f>
        <v>0</v>
      </c>
      <c r="T214" s="28" t="n">
        <f aca="false">SUM(J214:S214)</f>
        <v>0</v>
      </c>
      <c r="U214" s="28" t="n">
        <f aca="false">T214*Cont</f>
        <v>0</v>
      </c>
      <c r="V214" s="28" t="n">
        <f aca="false">MIN(J214,J214*$E$43)</f>
        <v>0</v>
      </c>
      <c r="W214" s="40" t="n">
        <f aca="false">$E$55*(1+FxDrift)^(A214-1)</f>
        <v>1</v>
      </c>
      <c r="X214" s="28" t="n">
        <f aca="false">(T214+U214)*W214</f>
        <v>0</v>
      </c>
      <c r="Y214" s="28" t="n">
        <f aca="false">IF(B214=1,MIN(X214,V214*W214+IF(F214&gt;0,$E$44*F214,0)),0)</f>
        <v>0</v>
      </c>
      <c r="Z214" s="41" t="n">
        <f aca="false">IF(B214=1,MAX(0,X214-(V214*W214+IF(F214&gt;0,$E$44*F214,0))),0)</f>
        <v>0</v>
      </c>
      <c r="AA214" s="28" t="n">
        <f aca="false">IF(B214=1,(J214+K214)*W214,0)</f>
        <v>0</v>
      </c>
      <c r="AB214" s="28" t="n">
        <f aca="false">IF(B214=1,SUM(L214:R214)*W214,0)</f>
        <v>0</v>
      </c>
      <c r="AC214" s="28" t="n">
        <f aca="false">IF(B214=1,(S214+U214)*W214,0)</f>
        <v>0</v>
      </c>
    </row>
    <row r="215" customFormat="false" ht="15" hidden="false" customHeight="false" outlineLevel="0" collapsed="false">
      <c r="A215" s="27" t="n">
        <v>26</v>
      </c>
      <c r="B215" s="27" t="n">
        <f aca="false">IF(AND(A215&lt;=$E$52,$E$47=1),1,0)</f>
        <v>0</v>
      </c>
      <c r="C215" s="27" t="str">
        <f aca="false">IF(B215=1,$E$7+A215-1,"")</f>
        <v/>
      </c>
      <c r="D215" s="28" t="str">
        <f aca="false">(PlanStartYear+A215-1)&amp;"/"&amp;RIGHT(PlanStartYear+A215,2)</f>
        <v>2051/52</v>
      </c>
      <c r="E215" s="27" t="n">
        <f aca="false">A215-1-$E$49</f>
        <v>25</v>
      </c>
      <c r="F215" s="39" t="n">
        <f aca="false">IF(AND(B215=1,E215&gt;=0,E215&lt;$E$50),MIN(1,$E$37-E215),0)</f>
        <v>0</v>
      </c>
      <c r="G215" s="27" t="n">
        <f aca="false">(A215-1)+$E$54</f>
        <v>25</v>
      </c>
      <c r="H215" s="40" t="n">
        <f aca="false">(1+TuiInf)^G215</f>
        <v>10.8347059433884</v>
      </c>
      <c r="I215" s="40" t="n">
        <f aca="false">(1+LivInf)^G215</f>
        <v>6.84847519621933</v>
      </c>
      <c r="J215" s="28" t="n">
        <f aca="false">$E$24*H215*F215</f>
        <v>0</v>
      </c>
      <c r="K215" s="28" t="n">
        <f aca="false">$E$25*H215*F215</f>
        <v>0</v>
      </c>
      <c r="L215" s="28" t="n">
        <f aca="false">$E$26*I215*F215</f>
        <v>0</v>
      </c>
      <c r="M215" s="28" t="n">
        <f aca="false">$E$27*I215*F215</f>
        <v>0</v>
      </c>
      <c r="N215" s="28" t="n">
        <f aca="false">$E$28*I215*F215</f>
        <v>0</v>
      </c>
      <c r="O215" s="28" t="n">
        <f aca="false">$E$29*I215*F215</f>
        <v>0</v>
      </c>
      <c r="P215" s="28" t="n">
        <f aca="false">$E$30*I215*F215</f>
        <v>0</v>
      </c>
      <c r="Q215" s="28" t="n">
        <f aca="false">$E$31*I215*F215</f>
        <v>0</v>
      </c>
      <c r="R215" s="28" t="n">
        <f aca="false">$E$32*I215*F215</f>
        <v>0</v>
      </c>
      <c r="S215" s="28" t="n">
        <f aca="false">IF(AND(F215&gt;0,E215=0),($E$33+$E$36)*H215+($E$34+$E$35)*I215,0)</f>
        <v>0</v>
      </c>
      <c r="T215" s="28" t="n">
        <f aca="false">SUM(J215:S215)</f>
        <v>0</v>
      </c>
      <c r="U215" s="28" t="n">
        <f aca="false">T215*Cont</f>
        <v>0</v>
      </c>
      <c r="V215" s="28" t="n">
        <f aca="false">MIN(J215,J215*$E$43)</f>
        <v>0</v>
      </c>
      <c r="W215" s="40" t="n">
        <f aca="false">$E$55*(1+FxDrift)^(A215-1)</f>
        <v>1</v>
      </c>
      <c r="X215" s="28" t="n">
        <f aca="false">(T215+U215)*W215</f>
        <v>0</v>
      </c>
      <c r="Y215" s="28" t="n">
        <f aca="false">IF(B215=1,MIN(X215,V215*W215+IF(F215&gt;0,$E$44*F215,0)),0)</f>
        <v>0</v>
      </c>
      <c r="Z215" s="41" t="n">
        <f aca="false">IF(B215=1,MAX(0,X215-(V215*W215+IF(F215&gt;0,$E$44*F215,0))),0)</f>
        <v>0</v>
      </c>
      <c r="AA215" s="28" t="n">
        <f aca="false">IF(B215=1,(J215+K215)*W215,0)</f>
        <v>0</v>
      </c>
      <c r="AB215" s="28" t="n">
        <f aca="false">IF(B215=1,SUM(L215:R215)*W215,0)</f>
        <v>0</v>
      </c>
      <c r="AC215" s="28" t="n">
        <f aca="false">IF(B215=1,(S215+U215)*W215,0)</f>
        <v>0</v>
      </c>
    </row>
    <row r="216" customFormat="false" ht="15" hidden="false" customHeight="false" outlineLevel="0" collapsed="false">
      <c r="A216" s="27" t="n">
        <v>27</v>
      </c>
      <c r="B216" s="27" t="n">
        <f aca="false">IF(AND(A216&lt;=$E$52,$E$47=1),1,0)</f>
        <v>0</v>
      </c>
      <c r="C216" s="27" t="str">
        <f aca="false">IF(B216=1,$E$7+A216-1,"")</f>
        <v/>
      </c>
      <c r="D216" s="28" t="str">
        <f aca="false">(PlanStartYear+A216-1)&amp;"/"&amp;RIGHT(PlanStartYear+A216,2)</f>
        <v>2052/53</v>
      </c>
      <c r="E216" s="27" t="n">
        <f aca="false">A216-1-$E$49</f>
        <v>26</v>
      </c>
      <c r="F216" s="39" t="n">
        <f aca="false">IF(AND(B216=1,E216&gt;=0,E216&lt;$E$50),MIN(1,$E$37-E216),0)</f>
        <v>0</v>
      </c>
      <c r="G216" s="27" t="n">
        <f aca="false">(A216-1)+$E$54</f>
        <v>26</v>
      </c>
      <c r="H216" s="40" t="n">
        <f aca="false">(1+TuiInf)^G216</f>
        <v>11.9181765377272</v>
      </c>
      <c r="I216" s="40" t="n">
        <f aca="false">(1+LivInf)^G216</f>
        <v>7.39635321191687</v>
      </c>
      <c r="J216" s="28" t="n">
        <f aca="false">$E$24*H216*F216</f>
        <v>0</v>
      </c>
      <c r="K216" s="28" t="n">
        <f aca="false">$E$25*H216*F216</f>
        <v>0</v>
      </c>
      <c r="L216" s="28" t="n">
        <f aca="false">$E$26*I216*F216</f>
        <v>0</v>
      </c>
      <c r="M216" s="28" t="n">
        <f aca="false">$E$27*I216*F216</f>
        <v>0</v>
      </c>
      <c r="N216" s="28" t="n">
        <f aca="false">$E$28*I216*F216</f>
        <v>0</v>
      </c>
      <c r="O216" s="28" t="n">
        <f aca="false">$E$29*I216*F216</f>
        <v>0</v>
      </c>
      <c r="P216" s="28" t="n">
        <f aca="false">$E$30*I216*F216</f>
        <v>0</v>
      </c>
      <c r="Q216" s="28" t="n">
        <f aca="false">$E$31*I216*F216</f>
        <v>0</v>
      </c>
      <c r="R216" s="28" t="n">
        <f aca="false">$E$32*I216*F216</f>
        <v>0</v>
      </c>
      <c r="S216" s="28" t="n">
        <f aca="false">IF(AND(F216&gt;0,E216=0),($E$33+$E$36)*H216+($E$34+$E$35)*I216,0)</f>
        <v>0</v>
      </c>
      <c r="T216" s="28" t="n">
        <f aca="false">SUM(J216:S216)</f>
        <v>0</v>
      </c>
      <c r="U216" s="28" t="n">
        <f aca="false">T216*Cont</f>
        <v>0</v>
      </c>
      <c r="V216" s="28" t="n">
        <f aca="false">MIN(J216,J216*$E$43)</f>
        <v>0</v>
      </c>
      <c r="W216" s="40" t="n">
        <f aca="false">$E$55*(1+FxDrift)^(A216-1)</f>
        <v>1</v>
      </c>
      <c r="X216" s="28" t="n">
        <f aca="false">(T216+U216)*W216</f>
        <v>0</v>
      </c>
      <c r="Y216" s="28" t="n">
        <f aca="false">IF(B216=1,MIN(X216,V216*W216+IF(F216&gt;0,$E$44*F216,0)),0)</f>
        <v>0</v>
      </c>
      <c r="Z216" s="41" t="n">
        <f aca="false">IF(B216=1,MAX(0,X216-(V216*W216+IF(F216&gt;0,$E$44*F216,0))),0)</f>
        <v>0</v>
      </c>
      <c r="AA216" s="28" t="n">
        <f aca="false">IF(B216=1,(J216+K216)*W216,0)</f>
        <v>0</v>
      </c>
      <c r="AB216" s="28" t="n">
        <f aca="false">IF(B216=1,SUM(L216:R216)*W216,0)</f>
        <v>0</v>
      </c>
      <c r="AC216" s="28" t="n">
        <f aca="false">IF(B216=1,(S216+U216)*W216,0)</f>
        <v>0</v>
      </c>
    </row>
    <row r="217" customFormat="false" ht="15" hidden="false" customHeight="false" outlineLevel="0" collapsed="false">
      <c r="A217" s="27" t="n">
        <v>28</v>
      </c>
      <c r="B217" s="27" t="n">
        <f aca="false">IF(AND(A217&lt;=$E$52,$E$47=1),1,0)</f>
        <v>0</v>
      </c>
      <c r="C217" s="27" t="str">
        <f aca="false">IF(B217=1,$E$7+A217-1,"")</f>
        <v/>
      </c>
      <c r="D217" s="28" t="str">
        <f aca="false">(PlanStartYear+A217-1)&amp;"/"&amp;RIGHT(PlanStartYear+A217,2)</f>
        <v>2053/54</v>
      </c>
      <c r="E217" s="27" t="n">
        <f aca="false">A217-1-$E$49</f>
        <v>27</v>
      </c>
      <c r="F217" s="39" t="n">
        <f aca="false">IF(AND(B217=1,E217&gt;=0,E217&lt;$E$50),MIN(1,$E$37-E217),0)</f>
        <v>0</v>
      </c>
      <c r="G217" s="27" t="n">
        <f aca="false">(A217-1)+$E$54</f>
        <v>27</v>
      </c>
      <c r="H217" s="40" t="n">
        <f aca="false">(1+TuiInf)^G217</f>
        <v>13.1099941915</v>
      </c>
      <c r="I217" s="40" t="n">
        <f aca="false">(1+LivInf)^G217</f>
        <v>7.98806146887022</v>
      </c>
      <c r="J217" s="28" t="n">
        <f aca="false">$E$24*H217*F217</f>
        <v>0</v>
      </c>
      <c r="K217" s="28" t="n">
        <f aca="false">$E$25*H217*F217</f>
        <v>0</v>
      </c>
      <c r="L217" s="28" t="n">
        <f aca="false">$E$26*I217*F217</f>
        <v>0</v>
      </c>
      <c r="M217" s="28" t="n">
        <f aca="false">$E$27*I217*F217</f>
        <v>0</v>
      </c>
      <c r="N217" s="28" t="n">
        <f aca="false">$E$28*I217*F217</f>
        <v>0</v>
      </c>
      <c r="O217" s="28" t="n">
        <f aca="false">$E$29*I217*F217</f>
        <v>0</v>
      </c>
      <c r="P217" s="28" t="n">
        <f aca="false">$E$30*I217*F217</f>
        <v>0</v>
      </c>
      <c r="Q217" s="28" t="n">
        <f aca="false">$E$31*I217*F217</f>
        <v>0</v>
      </c>
      <c r="R217" s="28" t="n">
        <f aca="false">$E$32*I217*F217</f>
        <v>0</v>
      </c>
      <c r="S217" s="28" t="n">
        <f aca="false">IF(AND(F217&gt;0,E217=0),($E$33+$E$36)*H217+($E$34+$E$35)*I217,0)</f>
        <v>0</v>
      </c>
      <c r="T217" s="28" t="n">
        <f aca="false">SUM(J217:S217)</f>
        <v>0</v>
      </c>
      <c r="U217" s="28" t="n">
        <f aca="false">T217*Cont</f>
        <v>0</v>
      </c>
      <c r="V217" s="28" t="n">
        <f aca="false">MIN(J217,J217*$E$43)</f>
        <v>0</v>
      </c>
      <c r="W217" s="40" t="n">
        <f aca="false">$E$55*(1+FxDrift)^(A217-1)</f>
        <v>1</v>
      </c>
      <c r="X217" s="28" t="n">
        <f aca="false">(T217+U217)*W217</f>
        <v>0</v>
      </c>
      <c r="Y217" s="28" t="n">
        <f aca="false">IF(B217=1,MIN(X217,V217*W217+IF(F217&gt;0,$E$44*F217,0)),0)</f>
        <v>0</v>
      </c>
      <c r="Z217" s="41" t="n">
        <f aca="false">IF(B217=1,MAX(0,X217-(V217*W217+IF(F217&gt;0,$E$44*F217,0))),0)</f>
        <v>0</v>
      </c>
      <c r="AA217" s="28" t="n">
        <f aca="false">IF(B217=1,(J217+K217)*W217,0)</f>
        <v>0</v>
      </c>
      <c r="AB217" s="28" t="n">
        <f aca="false">IF(B217=1,SUM(L217:R217)*W217,0)</f>
        <v>0</v>
      </c>
      <c r="AC217" s="28" t="n">
        <f aca="false">IF(B217=1,(S217+U217)*W217,0)</f>
        <v>0</v>
      </c>
    </row>
    <row r="218" customFormat="false" ht="15" hidden="false" customHeight="false" outlineLevel="0" collapsed="false">
      <c r="A218" s="27" t="n">
        <v>29</v>
      </c>
      <c r="B218" s="27" t="n">
        <f aca="false">IF(AND(A218&lt;=$E$52,$E$47=1),1,0)</f>
        <v>0</v>
      </c>
      <c r="C218" s="27" t="str">
        <f aca="false">IF(B218=1,$E$7+A218-1,"")</f>
        <v/>
      </c>
      <c r="D218" s="28" t="str">
        <f aca="false">(PlanStartYear+A218-1)&amp;"/"&amp;RIGHT(PlanStartYear+A218,2)</f>
        <v>2054/55</v>
      </c>
      <c r="E218" s="27" t="n">
        <f aca="false">A218-1-$E$49</f>
        <v>28</v>
      </c>
      <c r="F218" s="39" t="n">
        <f aca="false">IF(AND(B218=1,E218&gt;=0,E218&lt;$E$50),MIN(1,$E$37-E218),0)</f>
        <v>0</v>
      </c>
      <c r="G218" s="27" t="n">
        <f aca="false">(A218-1)+$E$54</f>
        <v>28</v>
      </c>
      <c r="H218" s="40" t="n">
        <f aca="false">(1+TuiInf)^G218</f>
        <v>14.42099361065</v>
      </c>
      <c r="I218" s="40" t="n">
        <f aca="false">(1+LivInf)^G218</f>
        <v>8.62710638637984</v>
      </c>
      <c r="J218" s="28" t="n">
        <f aca="false">$E$24*H218*F218</f>
        <v>0</v>
      </c>
      <c r="K218" s="28" t="n">
        <f aca="false">$E$25*H218*F218</f>
        <v>0</v>
      </c>
      <c r="L218" s="28" t="n">
        <f aca="false">$E$26*I218*F218</f>
        <v>0</v>
      </c>
      <c r="M218" s="28" t="n">
        <f aca="false">$E$27*I218*F218</f>
        <v>0</v>
      </c>
      <c r="N218" s="28" t="n">
        <f aca="false">$E$28*I218*F218</f>
        <v>0</v>
      </c>
      <c r="O218" s="28" t="n">
        <f aca="false">$E$29*I218*F218</f>
        <v>0</v>
      </c>
      <c r="P218" s="28" t="n">
        <f aca="false">$E$30*I218*F218</f>
        <v>0</v>
      </c>
      <c r="Q218" s="28" t="n">
        <f aca="false">$E$31*I218*F218</f>
        <v>0</v>
      </c>
      <c r="R218" s="28" t="n">
        <f aca="false">$E$32*I218*F218</f>
        <v>0</v>
      </c>
      <c r="S218" s="28" t="n">
        <f aca="false">IF(AND(F218&gt;0,E218=0),($E$33+$E$36)*H218+($E$34+$E$35)*I218,0)</f>
        <v>0</v>
      </c>
      <c r="T218" s="28" t="n">
        <f aca="false">SUM(J218:S218)</f>
        <v>0</v>
      </c>
      <c r="U218" s="28" t="n">
        <f aca="false">T218*Cont</f>
        <v>0</v>
      </c>
      <c r="V218" s="28" t="n">
        <f aca="false">MIN(J218,J218*$E$43)</f>
        <v>0</v>
      </c>
      <c r="W218" s="40" t="n">
        <f aca="false">$E$55*(1+FxDrift)^(A218-1)</f>
        <v>1</v>
      </c>
      <c r="X218" s="28" t="n">
        <f aca="false">(T218+U218)*W218</f>
        <v>0</v>
      </c>
      <c r="Y218" s="28" t="n">
        <f aca="false">IF(B218=1,MIN(X218,V218*W218+IF(F218&gt;0,$E$44*F218,0)),0)</f>
        <v>0</v>
      </c>
      <c r="Z218" s="41" t="n">
        <f aca="false">IF(B218=1,MAX(0,X218-(V218*W218+IF(F218&gt;0,$E$44*F218,0))),0)</f>
        <v>0</v>
      </c>
      <c r="AA218" s="28" t="n">
        <f aca="false">IF(B218=1,(J218+K218)*W218,0)</f>
        <v>0</v>
      </c>
      <c r="AB218" s="28" t="n">
        <f aca="false">IF(B218=1,SUM(L218:R218)*W218,0)</f>
        <v>0</v>
      </c>
      <c r="AC218" s="28" t="n">
        <f aca="false">IF(B218=1,(S218+U218)*W218,0)</f>
        <v>0</v>
      </c>
    </row>
    <row r="219" customFormat="false" ht="15" hidden="false" customHeight="false" outlineLevel="0" collapsed="false">
      <c r="A219" s="27" t="n">
        <v>30</v>
      </c>
      <c r="B219" s="27" t="n">
        <f aca="false">IF(AND(A219&lt;=$E$52,$E$47=1),1,0)</f>
        <v>0</v>
      </c>
      <c r="C219" s="27" t="str">
        <f aca="false">IF(B219=1,$E$7+A219-1,"")</f>
        <v/>
      </c>
      <c r="D219" s="28" t="str">
        <f aca="false">(PlanStartYear+A219-1)&amp;"/"&amp;RIGHT(PlanStartYear+A219,2)</f>
        <v>2055/56</v>
      </c>
      <c r="E219" s="27" t="n">
        <f aca="false">A219-1-$E$49</f>
        <v>29</v>
      </c>
      <c r="F219" s="39" t="n">
        <f aca="false">IF(AND(B219=1,E219&gt;=0,E219&lt;$E$50),MIN(1,$E$37-E219),0)</f>
        <v>0</v>
      </c>
      <c r="G219" s="27" t="n">
        <f aca="false">(A219-1)+$E$54</f>
        <v>29</v>
      </c>
      <c r="H219" s="40" t="n">
        <f aca="false">(1+TuiInf)^G219</f>
        <v>15.863092971715</v>
      </c>
      <c r="I219" s="40" t="n">
        <f aca="false">(1+LivInf)^G219</f>
        <v>9.31727489729023</v>
      </c>
      <c r="J219" s="28" t="n">
        <f aca="false">$E$24*H219*F219</f>
        <v>0</v>
      </c>
      <c r="K219" s="28" t="n">
        <f aca="false">$E$25*H219*F219</f>
        <v>0</v>
      </c>
      <c r="L219" s="28" t="n">
        <f aca="false">$E$26*I219*F219</f>
        <v>0</v>
      </c>
      <c r="M219" s="28" t="n">
        <f aca="false">$E$27*I219*F219</f>
        <v>0</v>
      </c>
      <c r="N219" s="28" t="n">
        <f aca="false">$E$28*I219*F219</f>
        <v>0</v>
      </c>
      <c r="O219" s="28" t="n">
        <f aca="false">$E$29*I219*F219</f>
        <v>0</v>
      </c>
      <c r="P219" s="28" t="n">
        <f aca="false">$E$30*I219*F219</f>
        <v>0</v>
      </c>
      <c r="Q219" s="28" t="n">
        <f aca="false">$E$31*I219*F219</f>
        <v>0</v>
      </c>
      <c r="R219" s="28" t="n">
        <f aca="false">$E$32*I219*F219</f>
        <v>0</v>
      </c>
      <c r="S219" s="28" t="n">
        <f aca="false">IF(AND(F219&gt;0,E219=0),($E$33+$E$36)*H219+($E$34+$E$35)*I219,0)</f>
        <v>0</v>
      </c>
      <c r="T219" s="28" t="n">
        <f aca="false">SUM(J219:S219)</f>
        <v>0</v>
      </c>
      <c r="U219" s="28" t="n">
        <f aca="false">T219*Cont</f>
        <v>0</v>
      </c>
      <c r="V219" s="28" t="n">
        <f aca="false">MIN(J219,J219*$E$43)</f>
        <v>0</v>
      </c>
      <c r="W219" s="40" t="n">
        <f aca="false">$E$55*(1+FxDrift)^(A219-1)</f>
        <v>1</v>
      </c>
      <c r="X219" s="28" t="n">
        <f aca="false">(T219+U219)*W219</f>
        <v>0</v>
      </c>
      <c r="Y219" s="28" t="n">
        <f aca="false">IF(B219=1,MIN(X219,V219*W219+IF(F219&gt;0,$E$44*F219,0)),0)</f>
        <v>0</v>
      </c>
      <c r="Z219" s="41" t="n">
        <f aca="false">IF(B219=1,MAX(0,X219-(V219*W219+IF(F219&gt;0,$E$44*F219,0))),0)</f>
        <v>0</v>
      </c>
      <c r="AA219" s="28" t="n">
        <f aca="false">IF(B219=1,(J219+K219)*W219,0)</f>
        <v>0</v>
      </c>
      <c r="AB219" s="28" t="n">
        <f aca="false">IF(B219=1,SUM(L219:R219)*W219,0)</f>
        <v>0</v>
      </c>
      <c r="AC219" s="28" t="n">
        <f aca="false">IF(B219=1,(S219+U219)*W219,0)</f>
        <v>0</v>
      </c>
    </row>
    <row r="220" customFormat="false" ht="15" hidden="false" customHeight="false" outlineLevel="0" collapsed="false">
      <c r="A220" s="27" t="n">
        <v>31</v>
      </c>
      <c r="B220" s="27" t="n">
        <f aca="false">IF(AND(A220&lt;=$E$52,$E$47=1),1,0)</f>
        <v>0</v>
      </c>
      <c r="C220" s="27" t="str">
        <f aca="false">IF(B220=1,$E$7+A220-1,"")</f>
        <v/>
      </c>
      <c r="D220" s="28" t="str">
        <f aca="false">(PlanStartYear+A220-1)&amp;"/"&amp;RIGHT(PlanStartYear+A220,2)</f>
        <v>2056/57</v>
      </c>
      <c r="E220" s="27" t="n">
        <f aca="false">A220-1-$E$49</f>
        <v>30</v>
      </c>
      <c r="F220" s="39" t="n">
        <f aca="false">IF(AND(B220=1,E220&gt;=0,E220&lt;$E$50),MIN(1,$E$37-E220),0)</f>
        <v>0</v>
      </c>
      <c r="G220" s="27" t="n">
        <f aca="false">(A220-1)+$E$54</f>
        <v>30</v>
      </c>
      <c r="H220" s="40" t="n">
        <f aca="false">(1+TuiInf)^G220</f>
        <v>17.4494022688865</v>
      </c>
      <c r="I220" s="40" t="n">
        <f aca="false">(1+LivInf)^G220</f>
        <v>10.0626568890735</v>
      </c>
      <c r="J220" s="28" t="n">
        <f aca="false">$E$24*H220*F220</f>
        <v>0</v>
      </c>
      <c r="K220" s="28" t="n">
        <f aca="false">$E$25*H220*F220</f>
        <v>0</v>
      </c>
      <c r="L220" s="28" t="n">
        <f aca="false">$E$26*I220*F220</f>
        <v>0</v>
      </c>
      <c r="M220" s="28" t="n">
        <f aca="false">$E$27*I220*F220</f>
        <v>0</v>
      </c>
      <c r="N220" s="28" t="n">
        <f aca="false">$E$28*I220*F220</f>
        <v>0</v>
      </c>
      <c r="O220" s="28" t="n">
        <f aca="false">$E$29*I220*F220</f>
        <v>0</v>
      </c>
      <c r="P220" s="28" t="n">
        <f aca="false">$E$30*I220*F220</f>
        <v>0</v>
      </c>
      <c r="Q220" s="28" t="n">
        <f aca="false">$E$31*I220*F220</f>
        <v>0</v>
      </c>
      <c r="R220" s="28" t="n">
        <f aca="false">$E$32*I220*F220</f>
        <v>0</v>
      </c>
      <c r="S220" s="28" t="n">
        <f aca="false">IF(AND(F220&gt;0,E220=0),($E$33+$E$36)*H220+($E$34+$E$35)*I220,0)</f>
        <v>0</v>
      </c>
      <c r="T220" s="28" t="n">
        <f aca="false">SUM(J220:S220)</f>
        <v>0</v>
      </c>
      <c r="U220" s="28" t="n">
        <f aca="false">T220*Cont</f>
        <v>0</v>
      </c>
      <c r="V220" s="28" t="n">
        <f aca="false">MIN(J220,J220*$E$43)</f>
        <v>0</v>
      </c>
      <c r="W220" s="40" t="n">
        <f aca="false">$E$55*(1+FxDrift)^(A220-1)</f>
        <v>1</v>
      </c>
      <c r="X220" s="28" t="n">
        <f aca="false">(T220+U220)*W220</f>
        <v>0</v>
      </c>
      <c r="Y220" s="28" t="n">
        <f aca="false">IF(B220=1,MIN(X220,V220*W220+IF(F220&gt;0,$E$44*F220,0)),0)</f>
        <v>0</v>
      </c>
      <c r="Z220" s="41" t="n">
        <f aca="false">IF(B220=1,MAX(0,X220-(V220*W220+IF(F220&gt;0,$E$44*F220,0))),0)</f>
        <v>0</v>
      </c>
      <c r="AA220" s="28" t="n">
        <f aca="false">IF(B220=1,(J220+K220)*W220,0)</f>
        <v>0</v>
      </c>
      <c r="AB220" s="28" t="n">
        <f aca="false">IF(B220=1,SUM(L220:R220)*W220,0)</f>
        <v>0</v>
      </c>
      <c r="AC220" s="28" t="n">
        <f aca="false">IF(B220=1,(S220+U220)*W220,0)</f>
        <v>0</v>
      </c>
    </row>
    <row r="221" customFormat="false" ht="15" hidden="false" customHeight="false" outlineLevel="0" collapsed="false">
      <c r="A221" s="27" t="n">
        <v>32</v>
      </c>
      <c r="B221" s="27" t="n">
        <f aca="false">IF(AND(A221&lt;=$E$52,$E$47=1),1,0)</f>
        <v>0</v>
      </c>
      <c r="C221" s="27" t="str">
        <f aca="false">IF(B221=1,$E$7+A221-1,"")</f>
        <v/>
      </c>
      <c r="D221" s="28" t="str">
        <f aca="false">(PlanStartYear+A221-1)&amp;"/"&amp;RIGHT(PlanStartYear+A221,2)</f>
        <v>2057/58</v>
      </c>
      <c r="E221" s="27" t="n">
        <f aca="false">A221-1-$E$49</f>
        <v>31</v>
      </c>
      <c r="F221" s="39" t="n">
        <f aca="false">IF(AND(B221=1,E221&gt;=0,E221&lt;$E$50),MIN(1,$E$37-E221),0)</f>
        <v>0</v>
      </c>
      <c r="G221" s="27" t="n">
        <f aca="false">(A221-1)+$E$54</f>
        <v>31</v>
      </c>
      <c r="H221" s="40" t="n">
        <f aca="false">(1+TuiInf)^G221</f>
        <v>19.1943424957751</v>
      </c>
      <c r="I221" s="40" t="n">
        <f aca="false">(1+LivInf)^G221</f>
        <v>10.8676694401993</v>
      </c>
      <c r="J221" s="28" t="n">
        <f aca="false">$E$24*H221*F221</f>
        <v>0</v>
      </c>
      <c r="K221" s="28" t="n">
        <f aca="false">$E$25*H221*F221</f>
        <v>0</v>
      </c>
      <c r="L221" s="28" t="n">
        <f aca="false">$E$26*I221*F221</f>
        <v>0</v>
      </c>
      <c r="M221" s="28" t="n">
        <f aca="false">$E$27*I221*F221</f>
        <v>0</v>
      </c>
      <c r="N221" s="28" t="n">
        <f aca="false">$E$28*I221*F221</f>
        <v>0</v>
      </c>
      <c r="O221" s="28" t="n">
        <f aca="false">$E$29*I221*F221</f>
        <v>0</v>
      </c>
      <c r="P221" s="28" t="n">
        <f aca="false">$E$30*I221*F221</f>
        <v>0</v>
      </c>
      <c r="Q221" s="28" t="n">
        <f aca="false">$E$31*I221*F221</f>
        <v>0</v>
      </c>
      <c r="R221" s="28" t="n">
        <f aca="false">$E$32*I221*F221</f>
        <v>0</v>
      </c>
      <c r="S221" s="28" t="n">
        <f aca="false">IF(AND(F221&gt;0,E221=0),($E$33+$E$36)*H221+($E$34+$E$35)*I221,0)</f>
        <v>0</v>
      </c>
      <c r="T221" s="28" t="n">
        <f aca="false">SUM(J221:S221)</f>
        <v>0</v>
      </c>
      <c r="U221" s="28" t="n">
        <f aca="false">T221*Cont</f>
        <v>0</v>
      </c>
      <c r="V221" s="28" t="n">
        <f aca="false">MIN(J221,J221*$E$43)</f>
        <v>0</v>
      </c>
      <c r="W221" s="40" t="n">
        <f aca="false">$E$55*(1+FxDrift)^(A221-1)</f>
        <v>1</v>
      </c>
      <c r="X221" s="28" t="n">
        <f aca="false">(T221+U221)*W221</f>
        <v>0</v>
      </c>
      <c r="Y221" s="28" t="n">
        <f aca="false">IF(B221=1,MIN(X221,V221*W221+IF(F221&gt;0,$E$44*F221,0)),0)</f>
        <v>0</v>
      </c>
      <c r="Z221" s="41" t="n">
        <f aca="false">IF(B221=1,MAX(0,X221-(V221*W221+IF(F221&gt;0,$E$44*F221,0))),0)</f>
        <v>0</v>
      </c>
      <c r="AA221" s="28" t="n">
        <f aca="false">IF(B221=1,(J221+K221)*W221,0)</f>
        <v>0</v>
      </c>
      <c r="AB221" s="28" t="n">
        <f aca="false">IF(B221=1,SUM(L221:R221)*W221,0)</f>
        <v>0</v>
      </c>
      <c r="AC221" s="28" t="n">
        <f aca="false">IF(B221=1,(S221+U221)*W221,0)</f>
        <v>0</v>
      </c>
    </row>
    <row r="222" customFormat="false" ht="15" hidden="false" customHeight="false" outlineLevel="0" collapsed="false">
      <c r="A222" s="27" t="n">
        <v>33</v>
      </c>
      <c r="B222" s="27" t="n">
        <f aca="false">IF(AND(A222&lt;=$E$52,$E$47=1),1,0)</f>
        <v>0</v>
      </c>
      <c r="C222" s="27" t="str">
        <f aca="false">IF(B222=1,$E$7+A222-1,"")</f>
        <v/>
      </c>
      <c r="D222" s="28" t="str">
        <f aca="false">(PlanStartYear+A222-1)&amp;"/"&amp;RIGHT(PlanStartYear+A222,2)</f>
        <v>2058/59</v>
      </c>
      <c r="E222" s="27" t="n">
        <f aca="false">A222-1-$E$49</f>
        <v>32</v>
      </c>
      <c r="F222" s="39" t="n">
        <f aca="false">IF(AND(B222=1,E222&gt;=0,E222&lt;$E$50),MIN(1,$E$37-E222),0)</f>
        <v>0</v>
      </c>
      <c r="G222" s="27" t="n">
        <f aca="false">(A222-1)+$E$54</f>
        <v>32</v>
      </c>
      <c r="H222" s="40" t="n">
        <f aca="false">(1+TuiInf)^G222</f>
        <v>21.1137767453526</v>
      </c>
      <c r="I222" s="40" t="n">
        <f aca="false">(1+LivInf)^G222</f>
        <v>11.7370829954153</v>
      </c>
      <c r="J222" s="28" t="n">
        <f aca="false">$E$24*H222*F222</f>
        <v>0</v>
      </c>
      <c r="K222" s="28" t="n">
        <f aca="false">$E$25*H222*F222</f>
        <v>0</v>
      </c>
      <c r="L222" s="28" t="n">
        <f aca="false">$E$26*I222*F222</f>
        <v>0</v>
      </c>
      <c r="M222" s="28" t="n">
        <f aca="false">$E$27*I222*F222</f>
        <v>0</v>
      </c>
      <c r="N222" s="28" t="n">
        <f aca="false">$E$28*I222*F222</f>
        <v>0</v>
      </c>
      <c r="O222" s="28" t="n">
        <f aca="false">$E$29*I222*F222</f>
        <v>0</v>
      </c>
      <c r="P222" s="28" t="n">
        <f aca="false">$E$30*I222*F222</f>
        <v>0</v>
      </c>
      <c r="Q222" s="28" t="n">
        <f aca="false">$E$31*I222*F222</f>
        <v>0</v>
      </c>
      <c r="R222" s="28" t="n">
        <f aca="false">$E$32*I222*F222</f>
        <v>0</v>
      </c>
      <c r="S222" s="28" t="n">
        <f aca="false">IF(AND(F222&gt;0,E222=0),($E$33+$E$36)*H222+($E$34+$E$35)*I222,0)</f>
        <v>0</v>
      </c>
      <c r="T222" s="28" t="n">
        <f aca="false">SUM(J222:S222)</f>
        <v>0</v>
      </c>
      <c r="U222" s="28" t="n">
        <f aca="false">T222*Cont</f>
        <v>0</v>
      </c>
      <c r="V222" s="28" t="n">
        <f aca="false">MIN(J222,J222*$E$43)</f>
        <v>0</v>
      </c>
      <c r="W222" s="40" t="n">
        <f aca="false">$E$55*(1+FxDrift)^(A222-1)</f>
        <v>1</v>
      </c>
      <c r="X222" s="28" t="n">
        <f aca="false">(T222+U222)*W222</f>
        <v>0</v>
      </c>
      <c r="Y222" s="28" t="n">
        <f aca="false">IF(B222=1,MIN(X222,V222*W222+IF(F222&gt;0,$E$44*F222,0)),0)</f>
        <v>0</v>
      </c>
      <c r="Z222" s="41" t="n">
        <f aca="false">IF(B222=1,MAX(0,X222-(V222*W222+IF(F222&gt;0,$E$44*F222,0))),0)</f>
        <v>0</v>
      </c>
      <c r="AA222" s="28" t="n">
        <f aca="false">IF(B222=1,(J222+K222)*W222,0)</f>
        <v>0</v>
      </c>
      <c r="AB222" s="28" t="n">
        <f aca="false">IF(B222=1,SUM(L222:R222)*W222,0)</f>
        <v>0</v>
      </c>
      <c r="AC222" s="28" t="n">
        <f aca="false">IF(B222=1,(S222+U222)*W222,0)</f>
        <v>0</v>
      </c>
    </row>
    <row r="223" customFormat="false" ht="15" hidden="false" customHeight="false" outlineLevel="0" collapsed="false">
      <c r="A223" s="27" t="n">
        <v>34</v>
      </c>
      <c r="B223" s="27" t="n">
        <f aca="false">IF(AND(A223&lt;=$E$52,$E$47=1),1,0)</f>
        <v>0</v>
      </c>
      <c r="C223" s="27" t="str">
        <f aca="false">IF(B223=1,$E$7+A223-1,"")</f>
        <v/>
      </c>
      <c r="D223" s="28" t="str">
        <f aca="false">(PlanStartYear+A223-1)&amp;"/"&amp;RIGHT(PlanStartYear+A223,2)</f>
        <v>2059/60</v>
      </c>
      <c r="E223" s="27" t="n">
        <f aca="false">A223-1-$E$49</f>
        <v>33</v>
      </c>
      <c r="F223" s="39" t="n">
        <f aca="false">IF(AND(B223=1,E223&gt;=0,E223&lt;$E$50),MIN(1,$E$37-E223),0)</f>
        <v>0</v>
      </c>
      <c r="G223" s="27" t="n">
        <f aca="false">(A223-1)+$E$54</f>
        <v>33</v>
      </c>
      <c r="H223" s="40" t="n">
        <f aca="false">(1+TuiInf)^G223</f>
        <v>23.2251544198879</v>
      </c>
      <c r="I223" s="40" t="n">
        <f aca="false">(1+LivInf)^G223</f>
        <v>12.6760496350485</v>
      </c>
      <c r="J223" s="28" t="n">
        <f aca="false">$E$24*H223*F223</f>
        <v>0</v>
      </c>
      <c r="K223" s="28" t="n">
        <f aca="false">$E$25*H223*F223</f>
        <v>0</v>
      </c>
      <c r="L223" s="28" t="n">
        <f aca="false">$E$26*I223*F223</f>
        <v>0</v>
      </c>
      <c r="M223" s="28" t="n">
        <f aca="false">$E$27*I223*F223</f>
        <v>0</v>
      </c>
      <c r="N223" s="28" t="n">
        <f aca="false">$E$28*I223*F223</f>
        <v>0</v>
      </c>
      <c r="O223" s="28" t="n">
        <f aca="false">$E$29*I223*F223</f>
        <v>0</v>
      </c>
      <c r="P223" s="28" t="n">
        <f aca="false">$E$30*I223*F223</f>
        <v>0</v>
      </c>
      <c r="Q223" s="28" t="n">
        <f aca="false">$E$31*I223*F223</f>
        <v>0</v>
      </c>
      <c r="R223" s="28" t="n">
        <f aca="false">$E$32*I223*F223</f>
        <v>0</v>
      </c>
      <c r="S223" s="28" t="n">
        <f aca="false">IF(AND(F223&gt;0,E223=0),($E$33+$E$36)*H223+($E$34+$E$35)*I223,0)</f>
        <v>0</v>
      </c>
      <c r="T223" s="28" t="n">
        <f aca="false">SUM(J223:S223)</f>
        <v>0</v>
      </c>
      <c r="U223" s="28" t="n">
        <f aca="false">T223*Cont</f>
        <v>0</v>
      </c>
      <c r="V223" s="28" t="n">
        <f aca="false">MIN(J223,J223*$E$43)</f>
        <v>0</v>
      </c>
      <c r="W223" s="40" t="n">
        <f aca="false">$E$55*(1+FxDrift)^(A223-1)</f>
        <v>1</v>
      </c>
      <c r="X223" s="28" t="n">
        <f aca="false">(T223+U223)*W223</f>
        <v>0</v>
      </c>
      <c r="Y223" s="28" t="n">
        <f aca="false">IF(B223=1,MIN(X223,V223*W223+IF(F223&gt;0,$E$44*F223,0)),0)</f>
        <v>0</v>
      </c>
      <c r="Z223" s="41" t="n">
        <f aca="false">IF(B223=1,MAX(0,X223-(V223*W223+IF(F223&gt;0,$E$44*F223,0))),0)</f>
        <v>0</v>
      </c>
      <c r="AA223" s="28" t="n">
        <f aca="false">IF(B223=1,(J223+K223)*W223,0)</f>
        <v>0</v>
      </c>
      <c r="AB223" s="28" t="n">
        <f aca="false">IF(B223=1,SUM(L223:R223)*W223,0)</f>
        <v>0</v>
      </c>
      <c r="AC223" s="28" t="n">
        <f aca="false">IF(B223=1,(S223+U223)*W223,0)</f>
        <v>0</v>
      </c>
    </row>
    <row r="224" customFormat="false" ht="15" hidden="false" customHeight="false" outlineLevel="0" collapsed="false">
      <c r="A224" s="27" t="n">
        <v>35</v>
      </c>
      <c r="B224" s="27" t="n">
        <f aca="false">IF(AND(A224&lt;=$E$52,$E$47=1),1,0)</f>
        <v>0</v>
      </c>
      <c r="C224" s="27" t="str">
        <f aca="false">IF(B224=1,$E$7+A224-1,"")</f>
        <v/>
      </c>
      <c r="D224" s="28" t="str">
        <f aca="false">(PlanStartYear+A224-1)&amp;"/"&amp;RIGHT(PlanStartYear+A224,2)</f>
        <v>2060/61</v>
      </c>
      <c r="E224" s="27" t="n">
        <f aca="false">A224-1-$E$49</f>
        <v>34</v>
      </c>
      <c r="F224" s="39" t="n">
        <f aca="false">IF(AND(B224=1,E224&gt;=0,E224&lt;$E$50),MIN(1,$E$37-E224),0)</f>
        <v>0</v>
      </c>
      <c r="G224" s="27" t="n">
        <f aca="false">(A224-1)+$E$54</f>
        <v>34</v>
      </c>
      <c r="H224" s="40" t="n">
        <f aca="false">(1+TuiInf)^G224</f>
        <v>25.5476698618767</v>
      </c>
      <c r="I224" s="40" t="n">
        <f aca="false">(1+LivInf)^G224</f>
        <v>13.6901336058524</v>
      </c>
      <c r="J224" s="28" t="n">
        <f aca="false">$E$24*H224*F224</f>
        <v>0</v>
      </c>
      <c r="K224" s="28" t="n">
        <f aca="false">$E$25*H224*F224</f>
        <v>0</v>
      </c>
      <c r="L224" s="28" t="n">
        <f aca="false">$E$26*I224*F224</f>
        <v>0</v>
      </c>
      <c r="M224" s="28" t="n">
        <f aca="false">$E$27*I224*F224</f>
        <v>0</v>
      </c>
      <c r="N224" s="28" t="n">
        <f aca="false">$E$28*I224*F224</f>
        <v>0</v>
      </c>
      <c r="O224" s="28" t="n">
        <f aca="false">$E$29*I224*F224</f>
        <v>0</v>
      </c>
      <c r="P224" s="28" t="n">
        <f aca="false">$E$30*I224*F224</f>
        <v>0</v>
      </c>
      <c r="Q224" s="28" t="n">
        <f aca="false">$E$31*I224*F224</f>
        <v>0</v>
      </c>
      <c r="R224" s="28" t="n">
        <f aca="false">$E$32*I224*F224</f>
        <v>0</v>
      </c>
      <c r="S224" s="28" t="n">
        <f aca="false">IF(AND(F224&gt;0,E224=0),($E$33+$E$36)*H224+($E$34+$E$35)*I224,0)</f>
        <v>0</v>
      </c>
      <c r="T224" s="28" t="n">
        <f aca="false">SUM(J224:S224)</f>
        <v>0</v>
      </c>
      <c r="U224" s="28" t="n">
        <f aca="false">T224*Cont</f>
        <v>0</v>
      </c>
      <c r="V224" s="28" t="n">
        <f aca="false">MIN(J224,J224*$E$43)</f>
        <v>0</v>
      </c>
      <c r="W224" s="40" t="n">
        <f aca="false">$E$55*(1+FxDrift)^(A224-1)</f>
        <v>1</v>
      </c>
      <c r="X224" s="28" t="n">
        <f aca="false">(T224+U224)*W224</f>
        <v>0</v>
      </c>
      <c r="Y224" s="28" t="n">
        <f aca="false">IF(B224=1,MIN(X224,V224*W224+IF(F224&gt;0,$E$44*F224,0)),0)</f>
        <v>0</v>
      </c>
      <c r="Z224" s="41" t="n">
        <f aca="false">IF(B224=1,MAX(0,X224-(V224*W224+IF(F224&gt;0,$E$44*F224,0))),0)</f>
        <v>0</v>
      </c>
      <c r="AA224" s="28" t="n">
        <f aca="false">IF(B224=1,(J224+K224)*W224,0)</f>
        <v>0</v>
      </c>
      <c r="AB224" s="28" t="n">
        <f aca="false">IF(B224=1,SUM(L224:R224)*W224,0)</f>
        <v>0</v>
      </c>
      <c r="AC224" s="28" t="n">
        <f aca="false">IF(B224=1,(S224+U224)*W224,0)</f>
        <v>0</v>
      </c>
    </row>
    <row r="225" customFormat="false" ht="15" hidden="false" customHeight="false" outlineLevel="0" collapsed="false">
      <c r="A225" s="27" t="n">
        <v>36</v>
      </c>
      <c r="B225" s="27" t="n">
        <f aca="false">IF(AND(A225&lt;=$E$52,$E$47=1),1,0)</f>
        <v>0</v>
      </c>
      <c r="C225" s="27" t="str">
        <f aca="false">IF(B225=1,$E$7+A225-1,"")</f>
        <v/>
      </c>
      <c r="D225" s="28" t="str">
        <f aca="false">(PlanStartYear+A225-1)&amp;"/"&amp;RIGHT(PlanStartYear+A225,2)</f>
        <v>2061/62</v>
      </c>
      <c r="E225" s="27" t="n">
        <f aca="false">A225-1-$E$49</f>
        <v>35</v>
      </c>
      <c r="F225" s="39" t="n">
        <f aca="false">IF(AND(B225=1,E225&gt;=0,E225&lt;$E$50),MIN(1,$E$37-E225),0)</f>
        <v>0</v>
      </c>
      <c r="G225" s="27" t="n">
        <f aca="false">(A225-1)+$E$54</f>
        <v>35</v>
      </c>
      <c r="H225" s="40" t="n">
        <f aca="false">(1+TuiInf)^G225</f>
        <v>28.1024368480643</v>
      </c>
      <c r="I225" s="40" t="n">
        <f aca="false">(1+LivInf)^G225</f>
        <v>14.7853442943206</v>
      </c>
      <c r="J225" s="28" t="n">
        <f aca="false">$E$24*H225*F225</f>
        <v>0</v>
      </c>
      <c r="K225" s="28" t="n">
        <f aca="false">$E$25*H225*F225</f>
        <v>0</v>
      </c>
      <c r="L225" s="28" t="n">
        <f aca="false">$E$26*I225*F225</f>
        <v>0</v>
      </c>
      <c r="M225" s="28" t="n">
        <f aca="false">$E$27*I225*F225</f>
        <v>0</v>
      </c>
      <c r="N225" s="28" t="n">
        <f aca="false">$E$28*I225*F225</f>
        <v>0</v>
      </c>
      <c r="O225" s="28" t="n">
        <f aca="false">$E$29*I225*F225</f>
        <v>0</v>
      </c>
      <c r="P225" s="28" t="n">
        <f aca="false">$E$30*I225*F225</f>
        <v>0</v>
      </c>
      <c r="Q225" s="28" t="n">
        <f aca="false">$E$31*I225*F225</f>
        <v>0</v>
      </c>
      <c r="R225" s="28" t="n">
        <f aca="false">$E$32*I225*F225</f>
        <v>0</v>
      </c>
      <c r="S225" s="28" t="n">
        <f aca="false">IF(AND(F225&gt;0,E225=0),($E$33+$E$36)*H225+($E$34+$E$35)*I225,0)</f>
        <v>0</v>
      </c>
      <c r="T225" s="28" t="n">
        <f aca="false">SUM(J225:S225)</f>
        <v>0</v>
      </c>
      <c r="U225" s="28" t="n">
        <f aca="false">T225*Cont</f>
        <v>0</v>
      </c>
      <c r="V225" s="28" t="n">
        <f aca="false">MIN(J225,J225*$E$43)</f>
        <v>0</v>
      </c>
      <c r="W225" s="40" t="n">
        <f aca="false">$E$55*(1+FxDrift)^(A225-1)</f>
        <v>1</v>
      </c>
      <c r="X225" s="28" t="n">
        <f aca="false">(T225+U225)*W225</f>
        <v>0</v>
      </c>
      <c r="Y225" s="28" t="n">
        <f aca="false">IF(B225=1,MIN(X225,V225*W225+IF(F225&gt;0,$E$44*F225,0)),0)</f>
        <v>0</v>
      </c>
      <c r="Z225" s="41" t="n">
        <f aca="false">IF(B225=1,MAX(0,X225-(V225*W225+IF(F225&gt;0,$E$44*F225,0))),0)</f>
        <v>0</v>
      </c>
      <c r="AA225" s="28" t="n">
        <f aca="false">IF(B225=1,(J225+K225)*W225,0)</f>
        <v>0</v>
      </c>
      <c r="AB225" s="28" t="n">
        <f aca="false">IF(B225=1,SUM(L225:R225)*W225,0)</f>
        <v>0</v>
      </c>
      <c r="AC225" s="28" t="n">
        <f aca="false">IF(B225=1,(S225+U225)*W225,0)</f>
        <v>0</v>
      </c>
    </row>
    <row r="226" customFormat="false" ht="15" hidden="false" customHeight="false" outlineLevel="0" collapsed="false">
      <c r="A226" s="27" t="n">
        <v>37</v>
      </c>
      <c r="B226" s="27" t="n">
        <f aca="false">IF(AND(A226&lt;=$E$52,$E$47=1),1,0)</f>
        <v>0</v>
      </c>
      <c r="C226" s="27" t="str">
        <f aca="false">IF(B226=1,$E$7+A226-1,"")</f>
        <v/>
      </c>
      <c r="D226" s="28" t="str">
        <f aca="false">(PlanStartYear+A226-1)&amp;"/"&amp;RIGHT(PlanStartYear+A226,2)</f>
        <v>2062/63</v>
      </c>
      <c r="E226" s="27" t="n">
        <f aca="false">A226-1-$E$49</f>
        <v>36</v>
      </c>
      <c r="F226" s="39" t="n">
        <f aca="false">IF(AND(B226=1,E226&gt;=0,E226&lt;$E$50),MIN(1,$E$37-E226),0)</f>
        <v>0</v>
      </c>
      <c r="G226" s="27" t="n">
        <f aca="false">(A226-1)+$E$54</f>
        <v>36</v>
      </c>
      <c r="H226" s="40" t="n">
        <f aca="false">(1+TuiInf)^G226</f>
        <v>30.9126805328708</v>
      </c>
      <c r="I226" s="40" t="n">
        <f aca="false">(1+LivInf)^G226</f>
        <v>15.9681718378662</v>
      </c>
      <c r="J226" s="28" t="n">
        <f aca="false">$E$24*H226*F226</f>
        <v>0</v>
      </c>
      <c r="K226" s="28" t="n">
        <f aca="false">$E$25*H226*F226</f>
        <v>0</v>
      </c>
      <c r="L226" s="28" t="n">
        <f aca="false">$E$26*I226*F226</f>
        <v>0</v>
      </c>
      <c r="M226" s="28" t="n">
        <f aca="false">$E$27*I226*F226</f>
        <v>0</v>
      </c>
      <c r="N226" s="28" t="n">
        <f aca="false">$E$28*I226*F226</f>
        <v>0</v>
      </c>
      <c r="O226" s="28" t="n">
        <f aca="false">$E$29*I226*F226</f>
        <v>0</v>
      </c>
      <c r="P226" s="28" t="n">
        <f aca="false">$E$30*I226*F226</f>
        <v>0</v>
      </c>
      <c r="Q226" s="28" t="n">
        <f aca="false">$E$31*I226*F226</f>
        <v>0</v>
      </c>
      <c r="R226" s="28" t="n">
        <f aca="false">$E$32*I226*F226</f>
        <v>0</v>
      </c>
      <c r="S226" s="28" t="n">
        <f aca="false">IF(AND(F226&gt;0,E226=0),($E$33+$E$36)*H226+($E$34+$E$35)*I226,0)</f>
        <v>0</v>
      </c>
      <c r="T226" s="28" t="n">
        <f aca="false">SUM(J226:S226)</f>
        <v>0</v>
      </c>
      <c r="U226" s="28" t="n">
        <f aca="false">T226*Cont</f>
        <v>0</v>
      </c>
      <c r="V226" s="28" t="n">
        <f aca="false">MIN(J226,J226*$E$43)</f>
        <v>0</v>
      </c>
      <c r="W226" s="40" t="n">
        <f aca="false">$E$55*(1+FxDrift)^(A226-1)</f>
        <v>1</v>
      </c>
      <c r="X226" s="28" t="n">
        <f aca="false">(T226+U226)*W226</f>
        <v>0</v>
      </c>
      <c r="Y226" s="28" t="n">
        <f aca="false">IF(B226=1,MIN(X226,V226*W226+IF(F226&gt;0,$E$44*F226,0)),0)</f>
        <v>0</v>
      </c>
      <c r="Z226" s="41" t="n">
        <f aca="false">IF(B226=1,MAX(0,X226-(V226*W226+IF(F226&gt;0,$E$44*F226,0))),0)</f>
        <v>0</v>
      </c>
      <c r="AA226" s="28" t="n">
        <f aca="false">IF(B226=1,(J226+K226)*W226,0)</f>
        <v>0</v>
      </c>
      <c r="AB226" s="28" t="n">
        <f aca="false">IF(B226=1,SUM(L226:R226)*W226,0)</f>
        <v>0</v>
      </c>
      <c r="AC226" s="28" t="n">
        <f aca="false">IF(B226=1,(S226+U226)*W226,0)</f>
        <v>0</v>
      </c>
    </row>
    <row r="227" customFormat="false" ht="15" hidden="false" customHeight="false" outlineLevel="0" collapsed="false">
      <c r="A227" s="27" t="n">
        <v>38</v>
      </c>
      <c r="B227" s="27" t="n">
        <f aca="false">IF(AND(A227&lt;=$E$52,$E$47=1),1,0)</f>
        <v>0</v>
      </c>
      <c r="C227" s="27" t="str">
        <f aca="false">IF(B227=1,$E$7+A227-1,"")</f>
        <v/>
      </c>
      <c r="D227" s="28" t="str">
        <f aca="false">(PlanStartYear+A227-1)&amp;"/"&amp;RIGHT(PlanStartYear+A227,2)</f>
        <v>2063/64</v>
      </c>
      <c r="E227" s="27" t="n">
        <f aca="false">A227-1-$E$49</f>
        <v>37</v>
      </c>
      <c r="F227" s="39" t="n">
        <f aca="false">IF(AND(B227=1,E227&gt;=0,E227&lt;$E$50),MIN(1,$E$37-E227),0)</f>
        <v>0</v>
      </c>
      <c r="G227" s="27" t="n">
        <f aca="false">(A227-1)+$E$54</f>
        <v>37</v>
      </c>
      <c r="H227" s="40" t="n">
        <f aca="false">(1+TuiInf)^G227</f>
        <v>34.0039485861578</v>
      </c>
      <c r="I227" s="40" t="n">
        <f aca="false">(1+LivInf)^G227</f>
        <v>17.2456255848955</v>
      </c>
      <c r="J227" s="28" t="n">
        <f aca="false">$E$24*H227*F227</f>
        <v>0</v>
      </c>
      <c r="K227" s="28" t="n">
        <f aca="false">$E$25*H227*F227</f>
        <v>0</v>
      </c>
      <c r="L227" s="28" t="n">
        <f aca="false">$E$26*I227*F227</f>
        <v>0</v>
      </c>
      <c r="M227" s="28" t="n">
        <f aca="false">$E$27*I227*F227</f>
        <v>0</v>
      </c>
      <c r="N227" s="28" t="n">
        <f aca="false">$E$28*I227*F227</f>
        <v>0</v>
      </c>
      <c r="O227" s="28" t="n">
        <f aca="false">$E$29*I227*F227</f>
        <v>0</v>
      </c>
      <c r="P227" s="28" t="n">
        <f aca="false">$E$30*I227*F227</f>
        <v>0</v>
      </c>
      <c r="Q227" s="28" t="n">
        <f aca="false">$E$31*I227*F227</f>
        <v>0</v>
      </c>
      <c r="R227" s="28" t="n">
        <f aca="false">$E$32*I227*F227</f>
        <v>0</v>
      </c>
      <c r="S227" s="28" t="n">
        <f aca="false">IF(AND(F227&gt;0,E227=0),($E$33+$E$36)*H227+($E$34+$E$35)*I227,0)</f>
        <v>0</v>
      </c>
      <c r="T227" s="28" t="n">
        <f aca="false">SUM(J227:S227)</f>
        <v>0</v>
      </c>
      <c r="U227" s="28" t="n">
        <f aca="false">T227*Cont</f>
        <v>0</v>
      </c>
      <c r="V227" s="28" t="n">
        <f aca="false">MIN(J227,J227*$E$43)</f>
        <v>0</v>
      </c>
      <c r="W227" s="40" t="n">
        <f aca="false">$E$55*(1+FxDrift)^(A227-1)</f>
        <v>1</v>
      </c>
      <c r="X227" s="28" t="n">
        <f aca="false">(T227+U227)*W227</f>
        <v>0</v>
      </c>
      <c r="Y227" s="28" t="n">
        <f aca="false">IF(B227=1,MIN(X227,V227*W227+IF(F227&gt;0,$E$44*F227,0)),0)</f>
        <v>0</v>
      </c>
      <c r="Z227" s="41" t="n">
        <f aca="false">IF(B227=1,MAX(0,X227-(V227*W227+IF(F227&gt;0,$E$44*F227,0))),0)</f>
        <v>0</v>
      </c>
      <c r="AA227" s="28" t="n">
        <f aca="false">IF(B227=1,(J227+K227)*W227,0)</f>
        <v>0</v>
      </c>
      <c r="AB227" s="28" t="n">
        <f aca="false">IF(B227=1,SUM(L227:R227)*W227,0)</f>
        <v>0</v>
      </c>
      <c r="AC227" s="28" t="n">
        <f aca="false">IF(B227=1,(S227+U227)*W227,0)</f>
        <v>0</v>
      </c>
    </row>
    <row r="228" customFormat="false" ht="15" hidden="false" customHeight="false" outlineLevel="0" collapsed="false">
      <c r="A228" s="27" t="n">
        <v>39</v>
      </c>
      <c r="B228" s="27" t="n">
        <f aca="false">IF(AND(A228&lt;=$E$52,$E$47=1),1,0)</f>
        <v>0</v>
      </c>
      <c r="C228" s="27" t="str">
        <f aca="false">IF(B228=1,$E$7+A228-1,"")</f>
        <v/>
      </c>
      <c r="D228" s="28" t="str">
        <f aca="false">(PlanStartYear+A228-1)&amp;"/"&amp;RIGHT(PlanStartYear+A228,2)</f>
        <v>2064/65</v>
      </c>
      <c r="E228" s="27" t="n">
        <f aca="false">A228-1-$E$49</f>
        <v>38</v>
      </c>
      <c r="F228" s="39" t="n">
        <f aca="false">IF(AND(B228=1,E228&gt;=0,E228&lt;$E$50),MIN(1,$E$37-E228),0)</f>
        <v>0</v>
      </c>
      <c r="G228" s="27" t="n">
        <f aca="false">(A228-1)+$E$54</f>
        <v>38</v>
      </c>
      <c r="H228" s="40" t="n">
        <f aca="false">(1+TuiInf)^G228</f>
        <v>37.4043434447736</v>
      </c>
      <c r="I228" s="40" t="n">
        <f aca="false">(1+LivInf)^G228</f>
        <v>18.6252756316872</v>
      </c>
      <c r="J228" s="28" t="n">
        <f aca="false">$E$24*H228*F228</f>
        <v>0</v>
      </c>
      <c r="K228" s="28" t="n">
        <f aca="false">$E$25*H228*F228</f>
        <v>0</v>
      </c>
      <c r="L228" s="28" t="n">
        <f aca="false">$E$26*I228*F228</f>
        <v>0</v>
      </c>
      <c r="M228" s="28" t="n">
        <f aca="false">$E$27*I228*F228</f>
        <v>0</v>
      </c>
      <c r="N228" s="28" t="n">
        <f aca="false">$E$28*I228*F228</f>
        <v>0</v>
      </c>
      <c r="O228" s="28" t="n">
        <f aca="false">$E$29*I228*F228</f>
        <v>0</v>
      </c>
      <c r="P228" s="28" t="n">
        <f aca="false">$E$30*I228*F228</f>
        <v>0</v>
      </c>
      <c r="Q228" s="28" t="n">
        <f aca="false">$E$31*I228*F228</f>
        <v>0</v>
      </c>
      <c r="R228" s="28" t="n">
        <f aca="false">$E$32*I228*F228</f>
        <v>0</v>
      </c>
      <c r="S228" s="28" t="n">
        <f aca="false">IF(AND(F228&gt;0,E228=0),($E$33+$E$36)*H228+($E$34+$E$35)*I228,0)</f>
        <v>0</v>
      </c>
      <c r="T228" s="28" t="n">
        <f aca="false">SUM(J228:S228)</f>
        <v>0</v>
      </c>
      <c r="U228" s="28" t="n">
        <f aca="false">T228*Cont</f>
        <v>0</v>
      </c>
      <c r="V228" s="28" t="n">
        <f aca="false">MIN(J228,J228*$E$43)</f>
        <v>0</v>
      </c>
      <c r="W228" s="40" t="n">
        <f aca="false">$E$55*(1+FxDrift)^(A228-1)</f>
        <v>1</v>
      </c>
      <c r="X228" s="28" t="n">
        <f aca="false">(T228+U228)*W228</f>
        <v>0</v>
      </c>
      <c r="Y228" s="28" t="n">
        <f aca="false">IF(B228=1,MIN(X228,V228*W228+IF(F228&gt;0,$E$44*F228,0)),0)</f>
        <v>0</v>
      </c>
      <c r="Z228" s="41" t="n">
        <f aca="false">IF(B228=1,MAX(0,X228-(V228*W228+IF(F228&gt;0,$E$44*F228,0))),0)</f>
        <v>0</v>
      </c>
      <c r="AA228" s="28" t="n">
        <f aca="false">IF(B228=1,(J228+K228)*W228,0)</f>
        <v>0</v>
      </c>
      <c r="AB228" s="28" t="n">
        <f aca="false">IF(B228=1,SUM(L228:R228)*W228,0)</f>
        <v>0</v>
      </c>
      <c r="AC228" s="28" t="n">
        <f aca="false">IF(B228=1,(S228+U228)*W228,0)</f>
        <v>0</v>
      </c>
    </row>
    <row r="229" customFormat="false" ht="15" hidden="false" customHeight="false" outlineLevel="0" collapsed="false">
      <c r="A229" s="27" t="n">
        <v>40</v>
      </c>
      <c r="B229" s="27" t="n">
        <f aca="false">IF(AND(A229&lt;=$E$52,$E$47=1),1,0)</f>
        <v>0</v>
      </c>
      <c r="C229" s="27" t="str">
        <f aca="false">IF(B229=1,$E$7+A229-1,"")</f>
        <v/>
      </c>
      <c r="D229" s="28" t="str">
        <f aca="false">(PlanStartYear+A229-1)&amp;"/"&amp;RIGHT(PlanStartYear+A229,2)</f>
        <v>2065/66</v>
      </c>
      <c r="E229" s="27" t="n">
        <f aca="false">A229-1-$E$49</f>
        <v>39</v>
      </c>
      <c r="F229" s="39" t="n">
        <f aca="false">IF(AND(B229=1,E229&gt;=0,E229&lt;$E$50),MIN(1,$E$37-E229),0)</f>
        <v>0</v>
      </c>
      <c r="G229" s="27" t="n">
        <f aca="false">(A229-1)+$E$54</f>
        <v>39</v>
      </c>
      <c r="H229" s="40" t="n">
        <f aca="false">(1+TuiInf)^G229</f>
        <v>41.144777789251</v>
      </c>
      <c r="I229" s="40" t="n">
        <f aca="false">(1+LivInf)^G229</f>
        <v>20.1152976822221</v>
      </c>
      <c r="J229" s="28" t="n">
        <f aca="false">$E$24*H229*F229</f>
        <v>0</v>
      </c>
      <c r="K229" s="28" t="n">
        <f aca="false">$E$25*H229*F229</f>
        <v>0</v>
      </c>
      <c r="L229" s="28" t="n">
        <f aca="false">$E$26*I229*F229</f>
        <v>0</v>
      </c>
      <c r="M229" s="28" t="n">
        <f aca="false">$E$27*I229*F229</f>
        <v>0</v>
      </c>
      <c r="N229" s="28" t="n">
        <f aca="false">$E$28*I229*F229</f>
        <v>0</v>
      </c>
      <c r="O229" s="28" t="n">
        <f aca="false">$E$29*I229*F229</f>
        <v>0</v>
      </c>
      <c r="P229" s="28" t="n">
        <f aca="false">$E$30*I229*F229</f>
        <v>0</v>
      </c>
      <c r="Q229" s="28" t="n">
        <f aca="false">$E$31*I229*F229</f>
        <v>0</v>
      </c>
      <c r="R229" s="28" t="n">
        <f aca="false">$E$32*I229*F229</f>
        <v>0</v>
      </c>
      <c r="S229" s="28" t="n">
        <f aca="false">IF(AND(F229&gt;0,E229=0),($E$33+$E$36)*H229+($E$34+$E$35)*I229,0)</f>
        <v>0</v>
      </c>
      <c r="T229" s="28" t="n">
        <f aca="false">SUM(J229:S229)</f>
        <v>0</v>
      </c>
      <c r="U229" s="28" t="n">
        <f aca="false">T229*Cont</f>
        <v>0</v>
      </c>
      <c r="V229" s="28" t="n">
        <f aca="false">MIN(J229,J229*$E$43)</f>
        <v>0</v>
      </c>
      <c r="W229" s="40" t="n">
        <f aca="false">$E$55*(1+FxDrift)^(A229-1)</f>
        <v>1</v>
      </c>
      <c r="X229" s="28" t="n">
        <f aca="false">(T229+U229)*W229</f>
        <v>0</v>
      </c>
      <c r="Y229" s="28" t="n">
        <f aca="false">IF(B229=1,MIN(X229,V229*W229+IF(F229&gt;0,$E$44*F229,0)),0)</f>
        <v>0</v>
      </c>
      <c r="Z229" s="41" t="n">
        <f aca="false">IF(B229=1,MAX(0,X229-(V229*W229+IF(F229&gt;0,$E$44*F229,0))),0)</f>
        <v>0</v>
      </c>
      <c r="AA229" s="28" t="n">
        <f aca="false">IF(B229=1,(J229+K229)*W229,0)</f>
        <v>0</v>
      </c>
      <c r="AB229" s="28" t="n">
        <f aca="false">IF(B229=1,SUM(L229:R229)*W229,0)</f>
        <v>0</v>
      </c>
      <c r="AC229" s="28" t="n">
        <f aca="false">IF(B229=1,(S229+U229)*W229,0)</f>
        <v>0</v>
      </c>
    </row>
    <row r="230" customFormat="false" ht="15" hidden="false" customHeight="false" outlineLevel="0" collapsed="false">
      <c r="A230" s="27" t="n">
        <v>41</v>
      </c>
      <c r="B230" s="27" t="n">
        <f aca="false">IF(AND(A230&lt;=$E$52,$E$47=1),1,0)</f>
        <v>0</v>
      </c>
      <c r="C230" s="27" t="str">
        <f aca="false">IF(B230=1,$E$7+A230-1,"")</f>
        <v/>
      </c>
      <c r="D230" s="28" t="str">
        <f aca="false">(PlanStartYear+A230-1)&amp;"/"&amp;RIGHT(PlanStartYear+A230,2)</f>
        <v>2066/67</v>
      </c>
      <c r="E230" s="27" t="n">
        <f aca="false">A230-1-$E$49</f>
        <v>40</v>
      </c>
      <c r="F230" s="39" t="n">
        <f aca="false">IF(AND(B230=1,E230&gt;=0,E230&lt;$E$50),MIN(1,$E$37-E230),0)</f>
        <v>0</v>
      </c>
      <c r="G230" s="27" t="n">
        <f aca="false">(A230-1)+$E$54</f>
        <v>40</v>
      </c>
      <c r="H230" s="40" t="n">
        <f aca="false">(1+TuiInf)^G230</f>
        <v>45.2592555681761</v>
      </c>
      <c r="I230" s="40" t="n">
        <f aca="false">(1+LivInf)^G230</f>
        <v>21.7245214967999</v>
      </c>
      <c r="J230" s="28" t="n">
        <f aca="false">$E$24*H230*F230</f>
        <v>0</v>
      </c>
      <c r="K230" s="28" t="n">
        <f aca="false">$E$25*H230*F230</f>
        <v>0</v>
      </c>
      <c r="L230" s="28" t="n">
        <f aca="false">$E$26*I230*F230</f>
        <v>0</v>
      </c>
      <c r="M230" s="28" t="n">
        <f aca="false">$E$27*I230*F230</f>
        <v>0</v>
      </c>
      <c r="N230" s="28" t="n">
        <f aca="false">$E$28*I230*F230</f>
        <v>0</v>
      </c>
      <c r="O230" s="28" t="n">
        <f aca="false">$E$29*I230*F230</f>
        <v>0</v>
      </c>
      <c r="P230" s="28" t="n">
        <f aca="false">$E$30*I230*F230</f>
        <v>0</v>
      </c>
      <c r="Q230" s="28" t="n">
        <f aca="false">$E$31*I230*F230</f>
        <v>0</v>
      </c>
      <c r="R230" s="28" t="n">
        <f aca="false">$E$32*I230*F230</f>
        <v>0</v>
      </c>
      <c r="S230" s="28" t="n">
        <f aca="false">IF(AND(F230&gt;0,E230=0),($E$33+$E$36)*H230+($E$34+$E$35)*I230,0)</f>
        <v>0</v>
      </c>
      <c r="T230" s="28" t="n">
        <f aca="false">SUM(J230:S230)</f>
        <v>0</v>
      </c>
      <c r="U230" s="28" t="n">
        <f aca="false">T230*Cont</f>
        <v>0</v>
      </c>
      <c r="V230" s="28" t="n">
        <f aca="false">MIN(J230,J230*$E$43)</f>
        <v>0</v>
      </c>
      <c r="W230" s="40" t="n">
        <f aca="false">$E$55*(1+FxDrift)^(A230-1)</f>
        <v>1</v>
      </c>
      <c r="X230" s="28" t="n">
        <f aca="false">(T230+U230)*W230</f>
        <v>0</v>
      </c>
      <c r="Y230" s="28" t="n">
        <f aca="false">IF(B230=1,MIN(X230,V230*W230+IF(F230&gt;0,$E$44*F230,0)),0)</f>
        <v>0</v>
      </c>
      <c r="Z230" s="41" t="n">
        <f aca="false">IF(B230=1,MAX(0,X230-(V230*W230+IF(F230&gt;0,$E$44*F230,0))),0)</f>
        <v>0</v>
      </c>
      <c r="AA230" s="28" t="n">
        <f aca="false">IF(B230=1,(J230+K230)*W230,0)</f>
        <v>0</v>
      </c>
      <c r="AB230" s="28" t="n">
        <f aca="false">IF(B230=1,SUM(L230:R230)*W230,0)</f>
        <v>0</v>
      </c>
      <c r="AC230" s="28" t="n">
        <f aca="false">IF(B230=1,(S230+U230)*W230,0)</f>
        <v>0</v>
      </c>
    </row>
    <row r="231" customFormat="false" ht="15" hidden="false" customHeight="false" outlineLevel="0" collapsed="false">
      <c r="A231" s="27" t="n">
        <v>42</v>
      </c>
      <c r="B231" s="27" t="n">
        <f aca="false">IF(AND(A231&lt;=$E$52,$E$47=1),1,0)</f>
        <v>0</v>
      </c>
      <c r="C231" s="27" t="str">
        <f aca="false">IF(B231=1,$E$7+A231-1,"")</f>
        <v/>
      </c>
      <c r="D231" s="28" t="str">
        <f aca="false">(PlanStartYear+A231-1)&amp;"/"&amp;RIGHT(PlanStartYear+A231,2)</f>
        <v>2067/68</v>
      </c>
      <c r="E231" s="27" t="n">
        <f aca="false">A231-1-$E$49</f>
        <v>41</v>
      </c>
      <c r="F231" s="39" t="n">
        <f aca="false">IF(AND(B231=1,E231&gt;=0,E231&lt;$E$50),MIN(1,$E$37-E231),0)</f>
        <v>0</v>
      </c>
      <c r="G231" s="27" t="n">
        <f aca="false">(A231-1)+$E$54</f>
        <v>41</v>
      </c>
      <c r="H231" s="40" t="n">
        <f aca="false">(1+TuiInf)^G231</f>
        <v>49.7851811249937</v>
      </c>
      <c r="I231" s="40" t="n">
        <f aca="false">(1+LivInf)^G231</f>
        <v>23.4624832165439</v>
      </c>
      <c r="J231" s="28" t="n">
        <f aca="false">$E$24*H231*F231</f>
        <v>0</v>
      </c>
      <c r="K231" s="28" t="n">
        <f aca="false">$E$25*H231*F231</f>
        <v>0</v>
      </c>
      <c r="L231" s="28" t="n">
        <f aca="false">$E$26*I231*F231</f>
        <v>0</v>
      </c>
      <c r="M231" s="28" t="n">
        <f aca="false">$E$27*I231*F231</f>
        <v>0</v>
      </c>
      <c r="N231" s="28" t="n">
        <f aca="false">$E$28*I231*F231</f>
        <v>0</v>
      </c>
      <c r="O231" s="28" t="n">
        <f aca="false">$E$29*I231*F231</f>
        <v>0</v>
      </c>
      <c r="P231" s="28" t="n">
        <f aca="false">$E$30*I231*F231</f>
        <v>0</v>
      </c>
      <c r="Q231" s="28" t="n">
        <f aca="false">$E$31*I231*F231</f>
        <v>0</v>
      </c>
      <c r="R231" s="28" t="n">
        <f aca="false">$E$32*I231*F231</f>
        <v>0</v>
      </c>
      <c r="S231" s="28" t="n">
        <f aca="false">IF(AND(F231&gt;0,E231=0),($E$33+$E$36)*H231+($E$34+$E$35)*I231,0)</f>
        <v>0</v>
      </c>
      <c r="T231" s="28" t="n">
        <f aca="false">SUM(J231:S231)</f>
        <v>0</v>
      </c>
      <c r="U231" s="28" t="n">
        <f aca="false">T231*Cont</f>
        <v>0</v>
      </c>
      <c r="V231" s="28" t="n">
        <f aca="false">MIN(J231,J231*$E$43)</f>
        <v>0</v>
      </c>
      <c r="W231" s="40" t="n">
        <f aca="false">$E$55*(1+FxDrift)^(A231-1)</f>
        <v>1</v>
      </c>
      <c r="X231" s="28" t="n">
        <f aca="false">(T231+U231)*W231</f>
        <v>0</v>
      </c>
      <c r="Y231" s="28" t="n">
        <f aca="false">IF(B231=1,MIN(X231,V231*W231+IF(F231&gt;0,$E$44*F231,0)),0)</f>
        <v>0</v>
      </c>
      <c r="Z231" s="41" t="n">
        <f aca="false">IF(B231=1,MAX(0,X231-(V231*W231+IF(F231&gt;0,$E$44*F231,0))),0)</f>
        <v>0</v>
      </c>
      <c r="AA231" s="28" t="n">
        <f aca="false">IF(B231=1,(J231+K231)*W231,0)</f>
        <v>0</v>
      </c>
      <c r="AB231" s="28" t="n">
        <f aca="false">IF(B231=1,SUM(L231:R231)*W231,0)</f>
        <v>0</v>
      </c>
      <c r="AC231" s="28" t="n">
        <f aca="false">IF(B231=1,(S231+U231)*W231,0)</f>
        <v>0</v>
      </c>
    </row>
    <row r="232" customFormat="false" ht="15" hidden="false" customHeight="false" outlineLevel="0" collapsed="false">
      <c r="A232" s="27" t="n">
        <v>43</v>
      </c>
      <c r="B232" s="27" t="n">
        <f aca="false">IF(AND(A232&lt;=$E$52,$E$47=1),1,0)</f>
        <v>0</v>
      </c>
      <c r="C232" s="27" t="str">
        <f aca="false">IF(B232=1,$E$7+A232-1,"")</f>
        <v/>
      </c>
      <c r="D232" s="28" t="str">
        <f aca="false">(PlanStartYear+A232-1)&amp;"/"&amp;RIGHT(PlanStartYear+A232,2)</f>
        <v>2068/69</v>
      </c>
      <c r="E232" s="27" t="n">
        <f aca="false">A232-1-$E$49</f>
        <v>42</v>
      </c>
      <c r="F232" s="39" t="n">
        <f aca="false">IF(AND(B232=1,E232&gt;=0,E232&lt;$E$50),MIN(1,$E$37-E232),0)</f>
        <v>0</v>
      </c>
      <c r="G232" s="27" t="n">
        <f aca="false">(A232-1)+$E$54</f>
        <v>42</v>
      </c>
      <c r="H232" s="40" t="n">
        <f aca="false">(1+TuiInf)^G232</f>
        <v>54.7636992374931</v>
      </c>
      <c r="I232" s="40" t="n">
        <f aca="false">(1+LivInf)^G232</f>
        <v>25.3394818738674</v>
      </c>
      <c r="J232" s="28" t="n">
        <f aca="false">$E$24*H232*F232</f>
        <v>0</v>
      </c>
      <c r="K232" s="28" t="n">
        <f aca="false">$E$25*H232*F232</f>
        <v>0</v>
      </c>
      <c r="L232" s="28" t="n">
        <f aca="false">$E$26*I232*F232</f>
        <v>0</v>
      </c>
      <c r="M232" s="28" t="n">
        <f aca="false">$E$27*I232*F232</f>
        <v>0</v>
      </c>
      <c r="N232" s="28" t="n">
        <f aca="false">$E$28*I232*F232</f>
        <v>0</v>
      </c>
      <c r="O232" s="28" t="n">
        <f aca="false">$E$29*I232*F232</f>
        <v>0</v>
      </c>
      <c r="P232" s="28" t="n">
        <f aca="false">$E$30*I232*F232</f>
        <v>0</v>
      </c>
      <c r="Q232" s="28" t="n">
        <f aca="false">$E$31*I232*F232</f>
        <v>0</v>
      </c>
      <c r="R232" s="28" t="n">
        <f aca="false">$E$32*I232*F232</f>
        <v>0</v>
      </c>
      <c r="S232" s="28" t="n">
        <f aca="false">IF(AND(F232&gt;0,E232=0),($E$33+$E$36)*H232+($E$34+$E$35)*I232,0)</f>
        <v>0</v>
      </c>
      <c r="T232" s="28" t="n">
        <f aca="false">SUM(J232:S232)</f>
        <v>0</v>
      </c>
      <c r="U232" s="28" t="n">
        <f aca="false">T232*Cont</f>
        <v>0</v>
      </c>
      <c r="V232" s="28" t="n">
        <f aca="false">MIN(J232,J232*$E$43)</f>
        <v>0</v>
      </c>
      <c r="W232" s="40" t="n">
        <f aca="false">$E$55*(1+FxDrift)^(A232-1)</f>
        <v>1</v>
      </c>
      <c r="X232" s="28" t="n">
        <f aca="false">(T232+U232)*W232</f>
        <v>0</v>
      </c>
      <c r="Y232" s="28" t="n">
        <f aca="false">IF(B232=1,MIN(X232,V232*W232+IF(F232&gt;0,$E$44*F232,0)),0)</f>
        <v>0</v>
      </c>
      <c r="Z232" s="41" t="n">
        <f aca="false">IF(B232=1,MAX(0,X232-(V232*W232+IF(F232&gt;0,$E$44*F232,0))),0)</f>
        <v>0</v>
      </c>
      <c r="AA232" s="28" t="n">
        <f aca="false">IF(B232=1,(J232+K232)*W232,0)</f>
        <v>0</v>
      </c>
      <c r="AB232" s="28" t="n">
        <f aca="false">IF(B232=1,SUM(L232:R232)*W232,0)</f>
        <v>0</v>
      </c>
      <c r="AC232" s="28" t="n">
        <f aca="false">IF(B232=1,(S232+U232)*W232,0)</f>
        <v>0</v>
      </c>
    </row>
    <row r="233" customFormat="false" ht="15" hidden="false" customHeight="false" outlineLevel="0" collapsed="false">
      <c r="A233" s="27" t="n">
        <v>44</v>
      </c>
      <c r="B233" s="27" t="n">
        <f aca="false">IF(AND(A233&lt;=$E$52,$E$47=1),1,0)</f>
        <v>0</v>
      </c>
      <c r="C233" s="27" t="str">
        <f aca="false">IF(B233=1,$E$7+A233-1,"")</f>
        <v/>
      </c>
      <c r="D233" s="28" t="str">
        <f aca="false">(PlanStartYear+A233-1)&amp;"/"&amp;RIGHT(PlanStartYear+A233,2)</f>
        <v>2069/70</v>
      </c>
      <c r="E233" s="27" t="n">
        <f aca="false">A233-1-$E$49</f>
        <v>43</v>
      </c>
      <c r="F233" s="39" t="n">
        <f aca="false">IF(AND(B233=1,E233&gt;=0,E233&lt;$E$50),MIN(1,$E$37-E233),0)</f>
        <v>0</v>
      </c>
      <c r="G233" s="27" t="n">
        <f aca="false">(A233-1)+$E$54</f>
        <v>43</v>
      </c>
      <c r="H233" s="40" t="n">
        <f aca="false">(1+TuiInf)^G233</f>
        <v>60.2400691612424</v>
      </c>
      <c r="I233" s="40" t="n">
        <f aca="false">(1+LivInf)^G233</f>
        <v>27.3666404237768</v>
      </c>
      <c r="J233" s="28" t="n">
        <f aca="false">$E$24*H233*F233</f>
        <v>0</v>
      </c>
      <c r="K233" s="28" t="n">
        <f aca="false">$E$25*H233*F233</f>
        <v>0</v>
      </c>
      <c r="L233" s="28" t="n">
        <f aca="false">$E$26*I233*F233</f>
        <v>0</v>
      </c>
      <c r="M233" s="28" t="n">
        <f aca="false">$E$27*I233*F233</f>
        <v>0</v>
      </c>
      <c r="N233" s="28" t="n">
        <f aca="false">$E$28*I233*F233</f>
        <v>0</v>
      </c>
      <c r="O233" s="28" t="n">
        <f aca="false">$E$29*I233*F233</f>
        <v>0</v>
      </c>
      <c r="P233" s="28" t="n">
        <f aca="false">$E$30*I233*F233</f>
        <v>0</v>
      </c>
      <c r="Q233" s="28" t="n">
        <f aca="false">$E$31*I233*F233</f>
        <v>0</v>
      </c>
      <c r="R233" s="28" t="n">
        <f aca="false">$E$32*I233*F233</f>
        <v>0</v>
      </c>
      <c r="S233" s="28" t="n">
        <f aca="false">IF(AND(F233&gt;0,E233=0),($E$33+$E$36)*H233+($E$34+$E$35)*I233,0)</f>
        <v>0</v>
      </c>
      <c r="T233" s="28" t="n">
        <f aca="false">SUM(J233:S233)</f>
        <v>0</v>
      </c>
      <c r="U233" s="28" t="n">
        <f aca="false">T233*Cont</f>
        <v>0</v>
      </c>
      <c r="V233" s="28" t="n">
        <f aca="false">MIN(J233,J233*$E$43)</f>
        <v>0</v>
      </c>
      <c r="W233" s="40" t="n">
        <f aca="false">$E$55*(1+FxDrift)^(A233-1)</f>
        <v>1</v>
      </c>
      <c r="X233" s="28" t="n">
        <f aca="false">(T233+U233)*W233</f>
        <v>0</v>
      </c>
      <c r="Y233" s="28" t="n">
        <f aca="false">IF(B233=1,MIN(X233,V233*W233+IF(F233&gt;0,$E$44*F233,0)),0)</f>
        <v>0</v>
      </c>
      <c r="Z233" s="41" t="n">
        <f aca="false">IF(B233=1,MAX(0,X233-(V233*W233+IF(F233&gt;0,$E$44*F233,0))),0)</f>
        <v>0</v>
      </c>
      <c r="AA233" s="28" t="n">
        <f aca="false">IF(B233=1,(J233+K233)*W233,0)</f>
        <v>0</v>
      </c>
      <c r="AB233" s="28" t="n">
        <f aca="false">IF(B233=1,SUM(L233:R233)*W233,0)</f>
        <v>0</v>
      </c>
      <c r="AC233" s="28" t="n">
        <f aca="false">IF(B233=1,(S233+U233)*W233,0)</f>
        <v>0</v>
      </c>
    </row>
    <row r="234" customFormat="false" ht="15" hidden="false" customHeight="false" outlineLevel="0" collapsed="false">
      <c r="A234" s="27" t="n">
        <v>45</v>
      </c>
      <c r="B234" s="27" t="n">
        <f aca="false">IF(AND(A234&lt;=$E$52,$E$47=1),1,0)</f>
        <v>0</v>
      </c>
      <c r="C234" s="27" t="str">
        <f aca="false">IF(B234=1,$E$7+A234-1,"")</f>
        <v/>
      </c>
      <c r="D234" s="28" t="str">
        <f aca="false">(PlanStartYear+A234-1)&amp;"/"&amp;RIGHT(PlanStartYear+A234,2)</f>
        <v>2070/71</v>
      </c>
      <c r="E234" s="27" t="n">
        <f aca="false">A234-1-$E$49</f>
        <v>44</v>
      </c>
      <c r="F234" s="39" t="n">
        <f aca="false">IF(AND(B234=1,E234&gt;=0,E234&lt;$E$50),MIN(1,$E$37-E234),0)</f>
        <v>0</v>
      </c>
      <c r="G234" s="27" t="n">
        <f aca="false">(A234-1)+$E$54</f>
        <v>44</v>
      </c>
      <c r="H234" s="40" t="n">
        <f aca="false">(1+TuiInf)^G234</f>
        <v>66.2640760773667</v>
      </c>
      <c r="I234" s="40" t="n">
        <f aca="false">(1+LivInf)^G234</f>
        <v>29.555971657679</v>
      </c>
      <c r="J234" s="28" t="n">
        <f aca="false">$E$24*H234*F234</f>
        <v>0</v>
      </c>
      <c r="K234" s="28" t="n">
        <f aca="false">$E$25*H234*F234</f>
        <v>0</v>
      </c>
      <c r="L234" s="28" t="n">
        <f aca="false">$E$26*I234*F234</f>
        <v>0</v>
      </c>
      <c r="M234" s="28" t="n">
        <f aca="false">$E$27*I234*F234</f>
        <v>0</v>
      </c>
      <c r="N234" s="28" t="n">
        <f aca="false">$E$28*I234*F234</f>
        <v>0</v>
      </c>
      <c r="O234" s="28" t="n">
        <f aca="false">$E$29*I234*F234</f>
        <v>0</v>
      </c>
      <c r="P234" s="28" t="n">
        <f aca="false">$E$30*I234*F234</f>
        <v>0</v>
      </c>
      <c r="Q234" s="28" t="n">
        <f aca="false">$E$31*I234*F234</f>
        <v>0</v>
      </c>
      <c r="R234" s="28" t="n">
        <f aca="false">$E$32*I234*F234</f>
        <v>0</v>
      </c>
      <c r="S234" s="28" t="n">
        <f aca="false">IF(AND(F234&gt;0,E234=0),($E$33+$E$36)*H234+($E$34+$E$35)*I234,0)</f>
        <v>0</v>
      </c>
      <c r="T234" s="28" t="n">
        <f aca="false">SUM(J234:S234)</f>
        <v>0</v>
      </c>
      <c r="U234" s="28" t="n">
        <f aca="false">T234*Cont</f>
        <v>0</v>
      </c>
      <c r="V234" s="28" t="n">
        <f aca="false">MIN(J234,J234*$E$43)</f>
        <v>0</v>
      </c>
      <c r="W234" s="40" t="n">
        <f aca="false">$E$55*(1+FxDrift)^(A234-1)</f>
        <v>1</v>
      </c>
      <c r="X234" s="28" t="n">
        <f aca="false">(T234+U234)*W234</f>
        <v>0</v>
      </c>
      <c r="Y234" s="28" t="n">
        <f aca="false">IF(B234=1,MIN(X234,V234*W234+IF(F234&gt;0,$E$44*F234,0)),0)</f>
        <v>0</v>
      </c>
      <c r="Z234" s="41" t="n">
        <f aca="false">IF(B234=1,MAX(0,X234-(V234*W234+IF(F234&gt;0,$E$44*F234,0))),0)</f>
        <v>0</v>
      </c>
      <c r="AA234" s="28" t="n">
        <f aca="false">IF(B234=1,(J234+K234)*W234,0)</f>
        <v>0</v>
      </c>
      <c r="AB234" s="28" t="n">
        <f aca="false">IF(B234=1,SUM(L234:R234)*W234,0)</f>
        <v>0</v>
      </c>
      <c r="AC234" s="28" t="n">
        <f aca="false">IF(B234=1,(S234+U234)*W234,0)</f>
        <v>0</v>
      </c>
    </row>
    <row r="235" customFormat="false" ht="15" hidden="false" customHeight="false" outlineLevel="0" collapsed="false">
      <c r="A235" s="27" t="n">
        <v>46</v>
      </c>
      <c r="B235" s="27" t="n">
        <f aca="false">IF(AND(A235&lt;=$E$52,$E$47=1),1,0)</f>
        <v>0</v>
      </c>
      <c r="C235" s="27" t="str">
        <f aca="false">IF(B235=1,$E$7+A235-1,"")</f>
        <v/>
      </c>
      <c r="D235" s="28" t="str">
        <f aca="false">(PlanStartYear+A235-1)&amp;"/"&amp;RIGHT(PlanStartYear+A235,2)</f>
        <v>2071/72</v>
      </c>
      <c r="E235" s="27" t="n">
        <f aca="false">A235-1-$E$49</f>
        <v>45</v>
      </c>
      <c r="F235" s="39" t="n">
        <f aca="false">IF(AND(B235=1,E235&gt;=0,E235&lt;$E$50),MIN(1,$E$37-E235),0)</f>
        <v>0</v>
      </c>
      <c r="G235" s="27" t="n">
        <f aca="false">(A235-1)+$E$54</f>
        <v>45</v>
      </c>
      <c r="H235" s="40" t="n">
        <f aca="false">(1+TuiInf)^G235</f>
        <v>72.8904836851033</v>
      </c>
      <c r="I235" s="40" t="n">
        <f aca="false">(1+LivInf)^G235</f>
        <v>31.9204493902933</v>
      </c>
      <c r="J235" s="28" t="n">
        <f aca="false">$E$24*H235*F235</f>
        <v>0</v>
      </c>
      <c r="K235" s="28" t="n">
        <f aca="false">$E$25*H235*F235</f>
        <v>0</v>
      </c>
      <c r="L235" s="28" t="n">
        <f aca="false">$E$26*I235*F235</f>
        <v>0</v>
      </c>
      <c r="M235" s="28" t="n">
        <f aca="false">$E$27*I235*F235</f>
        <v>0</v>
      </c>
      <c r="N235" s="28" t="n">
        <f aca="false">$E$28*I235*F235</f>
        <v>0</v>
      </c>
      <c r="O235" s="28" t="n">
        <f aca="false">$E$29*I235*F235</f>
        <v>0</v>
      </c>
      <c r="P235" s="28" t="n">
        <f aca="false">$E$30*I235*F235</f>
        <v>0</v>
      </c>
      <c r="Q235" s="28" t="n">
        <f aca="false">$E$31*I235*F235</f>
        <v>0</v>
      </c>
      <c r="R235" s="28" t="n">
        <f aca="false">$E$32*I235*F235</f>
        <v>0</v>
      </c>
      <c r="S235" s="28" t="n">
        <f aca="false">IF(AND(F235&gt;0,E235=0),($E$33+$E$36)*H235+($E$34+$E$35)*I235,0)</f>
        <v>0</v>
      </c>
      <c r="T235" s="28" t="n">
        <f aca="false">SUM(J235:S235)</f>
        <v>0</v>
      </c>
      <c r="U235" s="28" t="n">
        <f aca="false">T235*Cont</f>
        <v>0</v>
      </c>
      <c r="V235" s="28" t="n">
        <f aca="false">MIN(J235,J235*$E$43)</f>
        <v>0</v>
      </c>
      <c r="W235" s="40" t="n">
        <f aca="false">$E$55*(1+FxDrift)^(A235-1)</f>
        <v>1</v>
      </c>
      <c r="X235" s="28" t="n">
        <f aca="false">(T235+U235)*W235</f>
        <v>0</v>
      </c>
      <c r="Y235" s="28" t="n">
        <f aca="false">IF(B235=1,MIN(X235,V235*W235+IF(F235&gt;0,$E$44*F235,0)),0)</f>
        <v>0</v>
      </c>
      <c r="Z235" s="41" t="n">
        <f aca="false">IF(B235=1,MAX(0,X235-(V235*W235+IF(F235&gt;0,$E$44*F235,0))),0)</f>
        <v>0</v>
      </c>
      <c r="AA235" s="28" t="n">
        <f aca="false">IF(B235=1,(J235+K235)*W235,0)</f>
        <v>0</v>
      </c>
      <c r="AB235" s="28" t="n">
        <f aca="false">IF(B235=1,SUM(L235:R235)*W235,0)</f>
        <v>0</v>
      </c>
      <c r="AC235" s="28" t="n">
        <f aca="false">IF(B235=1,(S235+U235)*W235,0)</f>
        <v>0</v>
      </c>
    </row>
    <row r="236" customFormat="false" ht="15" hidden="false" customHeight="false" outlineLevel="0" collapsed="false">
      <c r="A236" s="27" t="n">
        <v>47</v>
      </c>
      <c r="B236" s="27" t="n">
        <f aca="false">IF(AND(A236&lt;=$E$52,$E$47=1),1,0)</f>
        <v>0</v>
      </c>
      <c r="C236" s="27" t="str">
        <f aca="false">IF(B236=1,$E$7+A236-1,"")</f>
        <v/>
      </c>
      <c r="D236" s="28" t="str">
        <f aca="false">(PlanStartYear+A236-1)&amp;"/"&amp;RIGHT(PlanStartYear+A236,2)</f>
        <v>2072/73</v>
      </c>
      <c r="E236" s="27" t="n">
        <f aca="false">A236-1-$E$49</f>
        <v>46</v>
      </c>
      <c r="F236" s="39" t="n">
        <f aca="false">IF(AND(B236=1,E236&gt;=0,E236&lt;$E$50),MIN(1,$E$37-E236),0)</f>
        <v>0</v>
      </c>
      <c r="G236" s="27" t="n">
        <f aca="false">(A236-1)+$E$54</f>
        <v>46</v>
      </c>
      <c r="H236" s="40" t="n">
        <f aca="false">(1+TuiInf)^G236</f>
        <v>80.1795320536137</v>
      </c>
      <c r="I236" s="40" t="n">
        <f aca="false">(1+LivInf)^G236</f>
        <v>34.4740853415167</v>
      </c>
      <c r="J236" s="28" t="n">
        <f aca="false">$E$24*H236*F236</f>
        <v>0</v>
      </c>
      <c r="K236" s="28" t="n">
        <f aca="false">$E$25*H236*F236</f>
        <v>0</v>
      </c>
      <c r="L236" s="28" t="n">
        <f aca="false">$E$26*I236*F236</f>
        <v>0</v>
      </c>
      <c r="M236" s="28" t="n">
        <f aca="false">$E$27*I236*F236</f>
        <v>0</v>
      </c>
      <c r="N236" s="28" t="n">
        <f aca="false">$E$28*I236*F236</f>
        <v>0</v>
      </c>
      <c r="O236" s="28" t="n">
        <f aca="false">$E$29*I236*F236</f>
        <v>0</v>
      </c>
      <c r="P236" s="28" t="n">
        <f aca="false">$E$30*I236*F236</f>
        <v>0</v>
      </c>
      <c r="Q236" s="28" t="n">
        <f aca="false">$E$31*I236*F236</f>
        <v>0</v>
      </c>
      <c r="R236" s="28" t="n">
        <f aca="false">$E$32*I236*F236</f>
        <v>0</v>
      </c>
      <c r="S236" s="28" t="n">
        <f aca="false">IF(AND(F236&gt;0,E236=0),($E$33+$E$36)*H236+($E$34+$E$35)*I236,0)</f>
        <v>0</v>
      </c>
      <c r="T236" s="28" t="n">
        <f aca="false">SUM(J236:S236)</f>
        <v>0</v>
      </c>
      <c r="U236" s="28" t="n">
        <f aca="false">T236*Cont</f>
        <v>0</v>
      </c>
      <c r="V236" s="28" t="n">
        <f aca="false">MIN(J236,J236*$E$43)</f>
        <v>0</v>
      </c>
      <c r="W236" s="40" t="n">
        <f aca="false">$E$55*(1+FxDrift)^(A236-1)</f>
        <v>1</v>
      </c>
      <c r="X236" s="28" t="n">
        <f aca="false">(T236+U236)*W236</f>
        <v>0</v>
      </c>
      <c r="Y236" s="28" t="n">
        <f aca="false">IF(B236=1,MIN(X236,V236*W236+IF(F236&gt;0,$E$44*F236,0)),0)</f>
        <v>0</v>
      </c>
      <c r="Z236" s="41" t="n">
        <f aca="false">IF(B236=1,MAX(0,X236-(V236*W236+IF(F236&gt;0,$E$44*F236,0))),0)</f>
        <v>0</v>
      </c>
      <c r="AA236" s="28" t="n">
        <f aca="false">IF(B236=1,(J236+K236)*W236,0)</f>
        <v>0</v>
      </c>
      <c r="AB236" s="28" t="n">
        <f aca="false">IF(B236=1,SUM(L236:R236)*W236,0)</f>
        <v>0</v>
      </c>
      <c r="AC236" s="28" t="n">
        <f aca="false">IF(B236=1,(S236+U236)*W236,0)</f>
        <v>0</v>
      </c>
    </row>
    <row r="237" customFormat="false" ht="15" hidden="false" customHeight="false" outlineLevel="0" collapsed="false">
      <c r="A237" s="27" t="n">
        <v>48</v>
      </c>
      <c r="B237" s="27" t="n">
        <f aca="false">IF(AND(A237&lt;=$E$52,$E$47=1),1,0)</f>
        <v>0</v>
      </c>
      <c r="C237" s="27" t="str">
        <f aca="false">IF(B237=1,$E$7+A237-1,"")</f>
        <v/>
      </c>
      <c r="D237" s="28" t="str">
        <f aca="false">(PlanStartYear+A237-1)&amp;"/"&amp;RIGHT(PlanStartYear+A237,2)</f>
        <v>2073/74</v>
      </c>
      <c r="E237" s="27" t="n">
        <f aca="false">A237-1-$E$49</f>
        <v>47</v>
      </c>
      <c r="F237" s="39" t="n">
        <f aca="false">IF(AND(B237=1,E237&gt;=0,E237&lt;$E$50),MIN(1,$E$37-E237),0)</f>
        <v>0</v>
      </c>
      <c r="G237" s="27" t="n">
        <f aca="false">(A237-1)+$E$54</f>
        <v>47</v>
      </c>
      <c r="H237" s="40" t="n">
        <f aca="false">(1+TuiInf)^G237</f>
        <v>88.197485258975</v>
      </c>
      <c r="I237" s="40" t="n">
        <f aca="false">(1+LivInf)^G237</f>
        <v>37.2320121688381</v>
      </c>
      <c r="J237" s="28" t="n">
        <f aca="false">$E$24*H237*F237</f>
        <v>0</v>
      </c>
      <c r="K237" s="28" t="n">
        <f aca="false">$E$25*H237*F237</f>
        <v>0</v>
      </c>
      <c r="L237" s="28" t="n">
        <f aca="false">$E$26*I237*F237</f>
        <v>0</v>
      </c>
      <c r="M237" s="28" t="n">
        <f aca="false">$E$27*I237*F237</f>
        <v>0</v>
      </c>
      <c r="N237" s="28" t="n">
        <f aca="false">$E$28*I237*F237</f>
        <v>0</v>
      </c>
      <c r="O237" s="28" t="n">
        <f aca="false">$E$29*I237*F237</f>
        <v>0</v>
      </c>
      <c r="P237" s="28" t="n">
        <f aca="false">$E$30*I237*F237</f>
        <v>0</v>
      </c>
      <c r="Q237" s="28" t="n">
        <f aca="false">$E$31*I237*F237</f>
        <v>0</v>
      </c>
      <c r="R237" s="28" t="n">
        <f aca="false">$E$32*I237*F237</f>
        <v>0</v>
      </c>
      <c r="S237" s="28" t="n">
        <f aca="false">IF(AND(F237&gt;0,E237=0),($E$33+$E$36)*H237+($E$34+$E$35)*I237,0)</f>
        <v>0</v>
      </c>
      <c r="T237" s="28" t="n">
        <f aca="false">SUM(J237:S237)</f>
        <v>0</v>
      </c>
      <c r="U237" s="28" t="n">
        <f aca="false">T237*Cont</f>
        <v>0</v>
      </c>
      <c r="V237" s="28" t="n">
        <f aca="false">MIN(J237,J237*$E$43)</f>
        <v>0</v>
      </c>
      <c r="W237" s="40" t="n">
        <f aca="false">$E$55*(1+FxDrift)^(A237-1)</f>
        <v>1</v>
      </c>
      <c r="X237" s="28" t="n">
        <f aca="false">(T237+U237)*W237</f>
        <v>0</v>
      </c>
      <c r="Y237" s="28" t="n">
        <f aca="false">IF(B237=1,MIN(X237,V237*W237+IF(F237&gt;0,$E$44*F237,0)),0)</f>
        <v>0</v>
      </c>
      <c r="Z237" s="41" t="n">
        <f aca="false">IF(B237=1,MAX(0,X237-(V237*W237+IF(F237&gt;0,$E$44*F237,0))),0)</f>
        <v>0</v>
      </c>
      <c r="AA237" s="28" t="n">
        <f aca="false">IF(B237=1,(J237+K237)*W237,0)</f>
        <v>0</v>
      </c>
      <c r="AB237" s="28" t="n">
        <f aca="false">IF(B237=1,SUM(L237:R237)*W237,0)</f>
        <v>0</v>
      </c>
      <c r="AC237" s="28" t="n">
        <f aca="false">IF(B237=1,(S237+U237)*W237,0)</f>
        <v>0</v>
      </c>
    </row>
    <row r="238" customFormat="false" ht="15" hidden="false" customHeight="false" outlineLevel="0" collapsed="false">
      <c r="A238" s="27" t="n">
        <v>49</v>
      </c>
      <c r="B238" s="27" t="n">
        <f aca="false">IF(AND(A238&lt;=$E$52,$E$47=1),1,0)</f>
        <v>0</v>
      </c>
      <c r="C238" s="27" t="str">
        <f aca="false">IF(B238=1,$E$7+A238-1,"")</f>
        <v/>
      </c>
      <c r="D238" s="28" t="str">
        <f aca="false">(PlanStartYear+A238-1)&amp;"/"&amp;RIGHT(PlanStartYear+A238,2)</f>
        <v>2074/75</v>
      </c>
      <c r="E238" s="27" t="n">
        <f aca="false">A238-1-$E$49</f>
        <v>48</v>
      </c>
      <c r="F238" s="39" t="n">
        <f aca="false">IF(AND(B238=1,E238&gt;=0,E238&lt;$E$50),MIN(1,$E$37-E238),0)</f>
        <v>0</v>
      </c>
      <c r="G238" s="27" t="n">
        <f aca="false">(A238-1)+$E$54</f>
        <v>48</v>
      </c>
      <c r="H238" s="40" t="n">
        <f aca="false">(1+TuiInf)^G238</f>
        <v>97.0172337848725</v>
      </c>
      <c r="I238" s="40" t="n">
        <f aca="false">(1+LivInf)^G238</f>
        <v>40.2105731423451</v>
      </c>
      <c r="J238" s="28" t="n">
        <f aca="false">$E$24*H238*F238</f>
        <v>0</v>
      </c>
      <c r="K238" s="28" t="n">
        <f aca="false">$E$25*H238*F238</f>
        <v>0</v>
      </c>
      <c r="L238" s="28" t="n">
        <f aca="false">$E$26*I238*F238</f>
        <v>0</v>
      </c>
      <c r="M238" s="28" t="n">
        <f aca="false">$E$27*I238*F238</f>
        <v>0</v>
      </c>
      <c r="N238" s="28" t="n">
        <f aca="false">$E$28*I238*F238</f>
        <v>0</v>
      </c>
      <c r="O238" s="28" t="n">
        <f aca="false">$E$29*I238*F238</f>
        <v>0</v>
      </c>
      <c r="P238" s="28" t="n">
        <f aca="false">$E$30*I238*F238</f>
        <v>0</v>
      </c>
      <c r="Q238" s="28" t="n">
        <f aca="false">$E$31*I238*F238</f>
        <v>0</v>
      </c>
      <c r="R238" s="28" t="n">
        <f aca="false">$E$32*I238*F238</f>
        <v>0</v>
      </c>
      <c r="S238" s="28" t="n">
        <f aca="false">IF(AND(F238&gt;0,E238=0),($E$33+$E$36)*H238+($E$34+$E$35)*I238,0)</f>
        <v>0</v>
      </c>
      <c r="T238" s="28" t="n">
        <f aca="false">SUM(J238:S238)</f>
        <v>0</v>
      </c>
      <c r="U238" s="28" t="n">
        <f aca="false">T238*Cont</f>
        <v>0</v>
      </c>
      <c r="V238" s="28" t="n">
        <f aca="false">MIN(J238,J238*$E$43)</f>
        <v>0</v>
      </c>
      <c r="W238" s="40" t="n">
        <f aca="false">$E$55*(1+FxDrift)^(A238-1)</f>
        <v>1</v>
      </c>
      <c r="X238" s="28" t="n">
        <f aca="false">(T238+U238)*W238</f>
        <v>0</v>
      </c>
      <c r="Y238" s="28" t="n">
        <f aca="false">IF(B238=1,MIN(X238,V238*W238+IF(F238&gt;0,$E$44*F238,0)),0)</f>
        <v>0</v>
      </c>
      <c r="Z238" s="41" t="n">
        <f aca="false">IF(B238=1,MAX(0,X238-(V238*W238+IF(F238&gt;0,$E$44*F238,0))),0)</f>
        <v>0</v>
      </c>
      <c r="AA238" s="28" t="n">
        <f aca="false">IF(B238=1,(J238+K238)*W238,0)</f>
        <v>0</v>
      </c>
      <c r="AB238" s="28" t="n">
        <f aca="false">IF(B238=1,SUM(L238:R238)*W238,0)</f>
        <v>0</v>
      </c>
      <c r="AC238" s="28" t="n">
        <f aca="false">IF(B238=1,(S238+U238)*W238,0)</f>
        <v>0</v>
      </c>
    </row>
    <row r="239" customFormat="false" ht="15" hidden="false" customHeight="false" outlineLevel="0" collapsed="false">
      <c r="A239" s="27" t="n">
        <v>50</v>
      </c>
      <c r="B239" s="27" t="n">
        <f aca="false">IF(AND(A239&lt;=$E$52,$E$47=1),1,0)</f>
        <v>0</v>
      </c>
      <c r="C239" s="27" t="str">
        <f aca="false">IF(B239=1,$E$7+A239-1,"")</f>
        <v/>
      </c>
      <c r="D239" s="28" t="str">
        <f aca="false">(PlanStartYear+A239-1)&amp;"/"&amp;RIGHT(PlanStartYear+A239,2)</f>
        <v>2075/76</v>
      </c>
      <c r="E239" s="27" t="n">
        <f aca="false">A239-1-$E$49</f>
        <v>49</v>
      </c>
      <c r="F239" s="39" t="n">
        <f aca="false">IF(AND(B239=1,E239&gt;=0,E239&lt;$E$50),MIN(1,$E$37-E239),0)</f>
        <v>0</v>
      </c>
      <c r="G239" s="27" t="n">
        <f aca="false">(A239-1)+$E$54</f>
        <v>49</v>
      </c>
      <c r="H239" s="40" t="n">
        <f aca="false">(1+TuiInf)^G239</f>
        <v>106.71895716336</v>
      </c>
      <c r="I239" s="40" t="n">
        <f aca="false">(1+LivInf)^G239</f>
        <v>43.4274189937327</v>
      </c>
      <c r="J239" s="28" t="n">
        <f aca="false">$E$24*H239*F239</f>
        <v>0</v>
      </c>
      <c r="K239" s="28" t="n">
        <f aca="false">$E$25*H239*F239</f>
        <v>0</v>
      </c>
      <c r="L239" s="28" t="n">
        <f aca="false">$E$26*I239*F239</f>
        <v>0</v>
      </c>
      <c r="M239" s="28" t="n">
        <f aca="false">$E$27*I239*F239</f>
        <v>0</v>
      </c>
      <c r="N239" s="28" t="n">
        <f aca="false">$E$28*I239*F239</f>
        <v>0</v>
      </c>
      <c r="O239" s="28" t="n">
        <f aca="false">$E$29*I239*F239</f>
        <v>0</v>
      </c>
      <c r="P239" s="28" t="n">
        <f aca="false">$E$30*I239*F239</f>
        <v>0</v>
      </c>
      <c r="Q239" s="28" t="n">
        <f aca="false">$E$31*I239*F239</f>
        <v>0</v>
      </c>
      <c r="R239" s="28" t="n">
        <f aca="false">$E$32*I239*F239</f>
        <v>0</v>
      </c>
      <c r="S239" s="28" t="n">
        <f aca="false">IF(AND(F239&gt;0,E239=0),($E$33+$E$36)*H239+($E$34+$E$35)*I239,0)</f>
        <v>0</v>
      </c>
      <c r="T239" s="28" t="n">
        <f aca="false">SUM(J239:S239)</f>
        <v>0</v>
      </c>
      <c r="U239" s="28" t="n">
        <f aca="false">T239*Cont</f>
        <v>0</v>
      </c>
      <c r="V239" s="28" t="n">
        <f aca="false">MIN(J239,J239*$E$43)</f>
        <v>0</v>
      </c>
      <c r="W239" s="40" t="n">
        <f aca="false">$E$55*(1+FxDrift)^(A239-1)</f>
        <v>1</v>
      </c>
      <c r="X239" s="28" t="n">
        <f aca="false">(T239+U239)*W239</f>
        <v>0</v>
      </c>
      <c r="Y239" s="28" t="n">
        <f aca="false">IF(B239=1,MIN(X239,V239*W239+IF(F239&gt;0,$E$44*F239,0)),0)</f>
        <v>0</v>
      </c>
      <c r="Z239" s="41" t="n">
        <f aca="false">IF(B239=1,MAX(0,X239-(V239*W239+IF(F239&gt;0,$E$44*F239,0))),0)</f>
        <v>0</v>
      </c>
      <c r="AA239" s="28" t="n">
        <f aca="false">IF(B239=1,(J239+K239)*W239,0)</f>
        <v>0</v>
      </c>
      <c r="AB239" s="28" t="n">
        <f aca="false">IF(B239=1,SUM(L239:R239)*W239,0)</f>
        <v>0</v>
      </c>
      <c r="AC239" s="28" t="n">
        <f aca="false">IF(B239=1,(S239+U239)*W239,0)</f>
        <v>0</v>
      </c>
    </row>
    <row r="240" customFormat="false" ht="15" hidden="false" customHeight="false" outlineLevel="0" collapsed="false">
      <c r="A240" s="27" t="n">
        <v>51</v>
      </c>
      <c r="B240" s="27" t="n">
        <f aca="false">IF(AND(A240&lt;=$E$52,$E$47=1),1,0)</f>
        <v>0</v>
      </c>
      <c r="C240" s="27" t="str">
        <f aca="false">IF(B240=1,$E$7+A240-1,"")</f>
        <v/>
      </c>
      <c r="D240" s="28" t="str">
        <f aca="false">(PlanStartYear+A240-1)&amp;"/"&amp;RIGHT(PlanStartYear+A240,2)</f>
        <v>2076/77</v>
      </c>
      <c r="E240" s="27" t="n">
        <f aca="false">A240-1-$E$49</f>
        <v>50</v>
      </c>
      <c r="F240" s="39" t="n">
        <f aca="false">IF(AND(B240=1,E240&gt;=0,E240&lt;$E$50),MIN(1,$E$37-E240),0)</f>
        <v>0</v>
      </c>
      <c r="G240" s="27" t="n">
        <f aca="false">(A240-1)+$E$54</f>
        <v>50</v>
      </c>
      <c r="H240" s="40" t="n">
        <f aca="false">(1+TuiInf)^G240</f>
        <v>117.390852879696</v>
      </c>
      <c r="I240" s="40" t="n">
        <f aca="false">(1+LivInf)^G240</f>
        <v>46.9016125132314</v>
      </c>
      <c r="J240" s="28" t="n">
        <f aca="false">$E$24*H240*F240</f>
        <v>0</v>
      </c>
      <c r="K240" s="28" t="n">
        <f aca="false">$E$25*H240*F240</f>
        <v>0</v>
      </c>
      <c r="L240" s="28" t="n">
        <f aca="false">$E$26*I240*F240</f>
        <v>0</v>
      </c>
      <c r="M240" s="28" t="n">
        <f aca="false">$E$27*I240*F240</f>
        <v>0</v>
      </c>
      <c r="N240" s="28" t="n">
        <f aca="false">$E$28*I240*F240</f>
        <v>0</v>
      </c>
      <c r="O240" s="28" t="n">
        <f aca="false">$E$29*I240*F240</f>
        <v>0</v>
      </c>
      <c r="P240" s="28" t="n">
        <f aca="false">$E$30*I240*F240</f>
        <v>0</v>
      </c>
      <c r="Q240" s="28" t="n">
        <f aca="false">$E$31*I240*F240</f>
        <v>0</v>
      </c>
      <c r="R240" s="28" t="n">
        <f aca="false">$E$32*I240*F240</f>
        <v>0</v>
      </c>
      <c r="S240" s="28" t="n">
        <f aca="false">IF(AND(F240&gt;0,E240=0),($E$33+$E$36)*H240+($E$34+$E$35)*I240,0)</f>
        <v>0</v>
      </c>
      <c r="T240" s="28" t="n">
        <f aca="false">SUM(J240:S240)</f>
        <v>0</v>
      </c>
      <c r="U240" s="28" t="n">
        <f aca="false">T240*Cont</f>
        <v>0</v>
      </c>
      <c r="V240" s="28" t="n">
        <f aca="false">MIN(J240,J240*$E$43)</f>
        <v>0</v>
      </c>
      <c r="W240" s="40" t="n">
        <f aca="false">$E$55*(1+FxDrift)^(A240-1)</f>
        <v>1</v>
      </c>
      <c r="X240" s="28" t="n">
        <f aca="false">(T240+U240)*W240</f>
        <v>0</v>
      </c>
      <c r="Y240" s="28" t="n">
        <f aca="false">IF(B240=1,MIN(X240,V240*W240+IF(F240&gt;0,$E$44*F240,0)),0)</f>
        <v>0</v>
      </c>
      <c r="Z240" s="41" t="n">
        <f aca="false">IF(B240=1,MAX(0,X240-(V240*W240+IF(F240&gt;0,$E$44*F240,0))),0)</f>
        <v>0</v>
      </c>
      <c r="AA240" s="28" t="n">
        <f aca="false">IF(B240=1,(J240+K240)*W240,0)</f>
        <v>0</v>
      </c>
      <c r="AB240" s="28" t="n">
        <f aca="false">IF(B240=1,SUM(L240:R240)*W240,0)</f>
        <v>0</v>
      </c>
      <c r="AC240" s="28" t="n">
        <f aca="false">IF(B240=1,(S240+U240)*W240,0)</f>
        <v>0</v>
      </c>
    </row>
    <row r="241" customFormat="false" ht="15" hidden="false" customHeight="false" outlineLevel="0" collapsed="false">
      <c r="A241" s="27" t="n">
        <v>52</v>
      </c>
      <c r="B241" s="27" t="n">
        <f aca="false">IF(AND(A241&lt;=$E$52,$E$47=1),1,0)</f>
        <v>0</v>
      </c>
      <c r="C241" s="27" t="str">
        <f aca="false">IF(B241=1,$E$7+A241-1,"")</f>
        <v/>
      </c>
      <c r="D241" s="28" t="str">
        <f aca="false">(PlanStartYear+A241-1)&amp;"/"&amp;RIGHT(PlanStartYear+A241,2)</f>
        <v>2077/78</v>
      </c>
      <c r="E241" s="27" t="n">
        <f aca="false">A241-1-$E$49</f>
        <v>51</v>
      </c>
      <c r="F241" s="39" t="n">
        <f aca="false">IF(AND(B241=1,E241&gt;=0,E241&lt;$E$50),MIN(1,$E$37-E241),0)</f>
        <v>0</v>
      </c>
      <c r="G241" s="27" t="n">
        <f aca="false">(A241-1)+$E$54</f>
        <v>51</v>
      </c>
      <c r="H241" s="40" t="n">
        <f aca="false">(1+TuiInf)^G241</f>
        <v>129.129938167665</v>
      </c>
      <c r="I241" s="40" t="n">
        <f aca="false">(1+LivInf)^G241</f>
        <v>50.6537415142899</v>
      </c>
      <c r="J241" s="28" t="n">
        <f aca="false">$E$24*H241*F241</f>
        <v>0</v>
      </c>
      <c r="K241" s="28" t="n">
        <f aca="false">$E$25*H241*F241</f>
        <v>0</v>
      </c>
      <c r="L241" s="28" t="n">
        <f aca="false">$E$26*I241*F241</f>
        <v>0</v>
      </c>
      <c r="M241" s="28" t="n">
        <f aca="false">$E$27*I241*F241</f>
        <v>0</v>
      </c>
      <c r="N241" s="28" t="n">
        <f aca="false">$E$28*I241*F241</f>
        <v>0</v>
      </c>
      <c r="O241" s="28" t="n">
        <f aca="false">$E$29*I241*F241</f>
        <v>0</v>
      </c>
      <c r="P241" s="28" t="n">
        <f aca="false">$E$30*I241*F241</f>
        <v>0</v>
      </c>
      <c r="Q241" s="28" t="n">
        <f aca="false">$E$31*I241*F241</f>
        <v>0</v>
      </c>
      <c r="R241" s="28" t="n">
        <f aca="false">$E$32*I241*F241</f>
        <v>0</v>
      </c>
      <c r="S241" s="28" t="n">
        <f aca="false">IF(AND(F241&gt;0,E241=0),($E$33+$E$36)*H241+($E$34+$E$35)*I241,0)</f>
        <v>0</v>
      </c>
      <c r="T241" s="28" t="n">
        <f aca="false">SUM(J241:S241)</f>
        <v>0</v>
      </c>
      <c r="U241" s="28" t="n">
        <f aca="false">T241*Cont</f>
        <v>0</v>
      </c>
      <c r="V241" s="28" t="n">
        <f aca="false">MIN(J241,J241*$E$43)</f>
        <v>0</v>
      </c>
      <c r="W241" s="40" t="n">
        <f aca="false">$E$55*(1+FxDrift)^(A241-1)</f>
        <v>1</v>
      </c>
      <c r="X241" s="28" t="n">
        <f aca="false">(T241+U241)*W241</f>
        <v>0</v>
      </c>
      <c r="Y241" s="28" t="n">
        <f aca="false">IF(B241=1,MIN(X241,V241*W241+IF(F241&gt;0,$E$44*F241,0)),0)</f>
        <v>0</v>
      </c>
      <c r="Z241" s="41" t="n">
        <f aca="false">IF(B241=1,MAX(0,X241-(V241*W241+IF(F241&gt;0,$E$44*F241,0))),0)</f>
        <v>0</v>
      </c>
      <c r="AA241" s="28" t="n">
        <f aca="false">IF(B241=1,(J241+K241)*W241,0)</f>
        <v>0</v>
      </c>
      <c r="AB241" s="28" t="n">
        <f aca="false">IF(B241=1,SUM(L241:R241)*W241,0)</f>
        <v>0</v>
      </c>
      <c r="AC241" s="28" t="n">
        <f aca="false">IF(B241=1,(S241+U241)*W241,0)</f>
        <v>0</v>
      </c>
    </row>
    <row r="242" customFormat="false" ht="15" hidden="false" customHeight="false" outlineLevel="0" collapsed="false">
      <c r="A242" s="27" t="n">
        <v>53</v>
      </c>
      <c r="B242" s="27" t="n">
        <f aca="false">IF(AND(A242&lt;=$E$52,$E$47=1),1,0)</f>
        <v>0</v>
      </c>
      <c r="C242" s="27" t="str">
        <f aca="false">IF(B242=1,$E$7+A242-1,"")</f>
        <v/>
      </c>
      <c r="D242" s="28" t="str">
        <f aca="false">(PlanStartYear+A242-1)&amp;"/"&amp;RIGHT(PlanStartYear+A242,2)</f>
        <v>2078/79</v>
      </c>
      <c r="E242" s="27" t="n">
        <f aca="false">A242-1-$E$49</f>
        <v>52</v>
      </c>
      <c r="F242" s="39" t="n">
        <f aca="false">IF(AND(B242=1,E242&gt;=0,E242&lt;$E$50),MIN(1,$E$37-E242),0)</f>
        <v>0</v>
      </c>
      <c r="G242" s="27" t="n">
        <f aca="false">(A242-1)+$E$54</f>
        <v>52</v>
      </c>
      <c r="H242" s="40" t="n">
        <f aca="false">(1+TuiInf)^G242</f>
        <v>142.042931984432</v>
      </c>
      <c r="I242" s="40" t="n">
        <f aca="false">(1+LivInf)^G242</f>
        <v>54.7060408354331</v>
      </c>
      <c r="J242" s="28" t="n">
        <f aca="false">$E$24*H242*F242</f>
        <v>0</v>
      </c>
      <c r="K242" s="28" t="n">
        <f aca="false">$E$25*H242*F242</f>
        <v>0</v>
      </c>
      <c r="L242" s="28" t="n">
        <f aca="false">$E$26*I242*F242</f>
        <v>0</v>
      </c>
      <c r="M242" s="28" t="n">
        <f aca="false">$E$27*I242*F242</f>
        <v>0</v>
      </c>
      <c r="N242" s="28" t="n">
        <f aca="false">$E$28*I242*F242</f>
        <v>0</v>
      </c>
      <c r="O242" s="28" t="n">
        <f aca="false">$E$29*I242*F242</f>
        <v>0</v>
      </c>
      <c r="P242" s="28" t="n">
        <f aca="false">$E$30*I242*F242</f>
        <v>0</v>
      </c>
      <c r="Q242" s="28" t="n">
        <f aca="false">$E$31*I242*F242</f>
        <v>0</v>
      </c>
      <c r="R242" s="28" t="n">
        <f aca="false">$E$32*I242*F242</f>
        <v>0</v>
      </c>
      <c r="S242" s="28" t="n">
        <f aca="false">IF(AND(F242&gt;0,E242=0),($E$33+$E$36)*H242+($E$34+$E$35)*I242,0)</f>
        <v>0</v>
      </c>
      <c r="T242" s="28" t="n">
        <f aca="false">SUM(J242:S242)</f>
        <v>0</v>
      </c>
      <c r="U242" s="28" t="n">
        <f aca="false">T242*Cont</f>
        <v>0</v>
      </c>
      <c r="V242" s="28" t="n">
        <f aca="false">MIN(J242,J242*$E$43)</f>
        <v>0</v>
      </c>
      <c r="W242" s="40" t="n">
        <f aca="false">$E$55*(1+FxDrift)^(A242-1)</f>
        <v>1</v>
      </c>
      <c r="X242" s="28" t="n">
        <f aca="false">(T242+U242)*W242</f>
        <v>0</v>
      </c>
      <c r="Y242" s="28" t="n">
        <f aca="false">IF(B242=1,MIN(X242,V242*W242+IF(F242&gt;0,$E$44*F242,0)),0)</f>
        <v>0</v>
      </c>
      <c r="Z242" s="41" t="n">
        <f aca="false">IF(B242=1,MAX(0,X242-(V242*W242+IF(F242&gt;0,$E$44*F242,0))),0)</f>
        <v>0</v>
      </c>
      <c r="AA242" s="28" t="n">
        <f aca="false">IF(B242=1,(J242+K242)*W242,0)</f>
        <v>0</v>
      </c>
      <c r="AB242" s="28" t="n">
        <f aca="false">IF(B242=1,SUM(L242:R242)*W242,0)</f>
        <v>0</v>
      </c>
      <c r="AC242" s="28" t="n">
        <f aca="false">IF(B242=1,(S242+U242)*W242,0)</f>
        <v>0</v>
      </c>
    </row>
    <row r="243" customFormat="false" ht="15" hidden="false" customHeight="false" outlineLevel="0" collapsed="false">
      <c r="A243" s="27" t="n">
        <v>54</v>
      </c>
      <c r="B243" s="27" t="n">
        <f aca="false">IF(AND(A243&lt;=$E$52,$E$47=1),1,0)</f>
        <v>0</v>
      </c>
      <c r="C243" s="27" t="str">
        <f aca="false">IF(B243=1,$E$7+A243-1,"")</f>
        <v/>
      </c>
      <c r="D243" s="28" t="str">
        <f aca="false">(PlanStartYear+A243-1)&amp;"/"&amp;RIGHT(PlanStartYear+A243,2)</f>
        <v>2079/80</v>
      </c>
      <c r="E243" s="27" t="n">
        <f aca="false">A243-1-$E$49</f>
        <v>53</v>
      </c>
      <c r="F243" s="39" t="n">
        <f aca="false">IF(AND(B243=1,E243&gt;=0,E243&lt;$E$50),MIN(1,$E$37-E243),0)</f>
        <v>0</v>
      </c>
      <c r="G243" s="27" t="n">
        <f aca="false">(A243-1)+$E$54</f>
        <v>53</v>
      </c>
      <c r="H243" s="40" t="n">
        <f aca="false">(1+TuiInf)^G243</f>
        <v>156.247225182875</v>
      </c>
      <c r="I243" s="40" t="n">
        <f aca="false">(1+LivInf)^G243</f>
        <v>59.0825241022677</v>
      </c>
      <c r="J243" s="28" t="n">
        <f aca="false">$E$24*H243*F243</f>
        <v>0</v>
      </c>
      <c r="K243" s="28" t="n">
        <f aca="false">$E$25*H243*F243</f>
        <v>0</v>
      </c>
      <c r="L243" s="28" t="n">
        <f aca="false">$E$26*I243*F243</f>
        <v>0</v>
      </c>
      <c r="M243" s="28" t="n">
        <f aca="false">$E$27*I243*F243</f>
        <v>0</v>
      </c>
      <c r="N243" s="28" t="n">
        <f aca="false">$E$28*I243*F243</f>
        <v>0</v>
      </c>
      <c r="O243" s="28" t="n">
        <f aca="false">$E$29*I243*F243</f>
        <v>0</v>
      </c>
      <c r="P243" s="28" t="n">
        <f aca="false">$E$30*I243*F243</f>
        <v>0</v>
      </c>
      <c r="Q243" s="28" t="n">
        <f aca="false">$E$31*I243*F243</f>
        <v>0</v>
      </c>
      <c r="R243" s="28" t="n">
        <f aca="false">$E$32*I243*F243</f>
        <v>0</v>
      </c>
      <c r="S243" s="28" t="n">
        <f aca="false">IF(AND(F243&gt;0,E243=0),($E$33+$E$36)*H243+($E$34+$E$35)*I243,0)</f>
        <v>0</v>
      </c>
      <c r="T243" s="28" t="n">
        <f aca="false">SUM(J243:S243)</f>
        <v>0</v>
      </c>
      <c r="U243" s="28" t="n">
        <f aca="false">T243*Cont</f>
        <v>0</v>
      </c>
      <c r="V243" s="28" t="n">
        <f aca="false">MIN(J243,J243*$E$43)</f>
        <v>0</v>
      </c>
      <c r="W243" s="40" t="n">
        <f aca="false">$E$55*(1+FxDrift)^(A243-1)</f>
        <v>1</v>
      </c>
      <c r="X243" s="28" t="n">
        <f aca="false">(T243+U243)*W243</f>
        <v>0</v>
      </c>
      <c r="Y243" s="28" t="n">
        <f aca="false">IF(B243=1,MIN(X243,V243*W243+IF(F243&gt;0,$E$44*F243,0)),0)</f>
        <v>0</v>
      </c>
      <c r="Z243" s="41" t="n">
        <f aca="false">IF(B243=1,MAX(0,X243-(V243*W243+IF(F243&gt;0,$E$44*F243,0))),0)</f>
        <v>0</v>
      </c>
      <c r="AA243" s="28" t="n">
        <f aca="false">IF(B243=1,(J243+K243)*W243,0)</f>
        <v>0</v>
      </c>
      <c r="AB243" s="28" t="n">
        <f aca="false">IF(B243=1,SUM(L243:R243)*W243,0)</f>
        <v>0</v>
      </c>
      <c r="AC243" s="28" t="n">
        <f aca="false">IF(B243=1,(S243+U243)*W243,0)</f>
        <v>0</v>
      </c>
    </row>
    <row r="244" customFormat="false" ht="15" hidden="false" customHeight="false" outlineLevel="0" collapsed="false">
      <c r="A244" s="27" t="n">
        <v>55</v>
      </c>
      <c r="B244" s="27" t="n">
        <f aca="false">IF(AND(A244&lt;=$E$52,$E$47=1),1,0)</f>
        <v>0</v>
      </c>
      <c r="C244" s="27" t="str">
        <f aca="false">IF(B244=1,$E$7+A244-1,"")</f>
        <v/>
      </c>
      <c r="D244" s="28" t="str">
        <f aca="false">(PlanStartYear+A244-1)&amp;"/"&amp;RIGHT(PlanStartYear+A244,2)</f>
        <v>2080/81</v>
      </c>
      <c r="E244" s="27" t="n">
        <f aca="false">A244-1-$E$49</f>
        <v>54</v>
      </c>
      <c r="F244" s="39" t="n">
        <f aca="false">IF(AND(B244=1,E244&gt;=0,E244&lt;$E$50),MIN(1,$E$37-E244),0)</f>
        <v>0</v>
      </c>
      <c r="G244" s="27" t="n">
        <f aca="false">(A244-1)+$E$54</f>
        <v>54</v>
      </c>
      <c r="H244" s="40" t="n">
        <f aca="false">(1+TuiInf)^G244</f>
        <v>171.871947701163</v>
      </c>
      <c r="I244" s="40" t="n">
        <f aca="false">(1+LivInf)^G244</f>
        <v>63.8091260304491</v>
      </c>
      <c r="J244" s="28" t="n">
        <f aca="false">$E$24*H244*F244</f>
        <v>0</v>
      </c>
      <c r="K244" s="28" t="n">
        <f aca="false">$E$25*H244*F244</f>
        <v>0</v>
      </c>
      <c r="L244" s="28" t="n">
        <f aca="false">$E$26*I244*F244</f>
        <v>0</v>
      </c>
      <c r="M244" s="28" t="n">
        <f aca="false">$E$27*I244*F244</f>
        <v>0</v>
      </c>
      <c r="N244" s="28" t="n">
        <f aca="false">$E$28*I244*F244</f>
        <v>0</v>
      </c>
      <c r="O244" s="28" t="n">
        <f aca="false">$E$29*I244*F244</f>
        <v>0</v>
      </c>
      <c r="P244" s="28" t="n">
        <f aca="false">$E$30*I244*F244</f>
        <v>0</v>
      </c>
      <c r="Q244" s="28" t="n">
        <f aca="false">$E$31*I244*F244</f>
        <v>0</v>
      </c>
      <c r="R244" s="28" t="n">
        <f aca="false">$E$32*I244*F244</f>
        <v>0</v>
      </c>
      <c r="S244" s="28" t="n">
        <f aca="false">IF(AND(F244&gt;0,E244=0),($E$33+$E$36)*H244+($E$34+$E$35)*I244,0)</f>
        <v>0</v>
      </c>
      <c r="T244" s="28" t="n">
        <f aca="false">SUM(J244:S244)</f>
        <v>0</v>
      </c>
      <c r="U244" s="28" t="n">
        <f aca="false">T244*Cont</f>
        <v>0</v>
      </c>
      <c r="V244" s="28" t="n">
        <f aca="false">MIN(J244,J244*$E$43)</f>
        <v>0</v>
      </c>
      <c r="W244" s="40" t="n">
        <f aca="false">$E$55*(1+FxDrift)^(A244-1)</f>
        <v>1</v>
      </c>
      <c r="X244" s="28" t="n">
        <f aca="false">(T244+U244)*W244</f>
        <v>0</v>
      </c>
      <c r="Y244" s="28" t="n">
        <f aca="false">IF(B244=1,MIN(X244,V244*W244+IF(F244&gt;0,$E$44*F244,0)),0)</f>
        <v>0</v>
      </c>
      <c r="Z244" s="41" t="n">
        <f aca="false">IF(B244=1,MAX(0,X244-(V244*W244+IF(F244&gt;0,$E$44*F244,0))),0)</f>
        <v>0</v>
      </c>
      <c r="AA244" s="28" t="n">
        <f aca="false">IF(B244=1,(J244+K244)*W244,0)</f>
        <v>0</v>
      </c>
      <c r="AB244" s="28" t="n">
        <f aca="false">IF(B244=1,SUM(L244:R244)*W244,0)</f>
        <v>0</v>
      </c>
      <c r="AC244" s="28" t="n">
        <f aca="false">IF(B244=1,(S244+U244)*W244,0)</f>
        <v>0</v>
      </c>
    </row>
    <row r="245" customFormat="false" ht="15" hidden="false" customHeight="false" outlineLevel="0" collapsed="false">
      <c r="A245" s="27" t="n">
        <v>56</v>
      </c>
      <c r="B245" s="27" t="n">
        <f aca="false">IF(AND(A245&lt;=$E$52,$E$47=1),1,0)</f>
        <v>0</v>
      </c>
      <c r="C245" s="27" t="str">
        <f aca="false">IF(B245=1,$E$7+A245-1,"")</f>
        <v/>
      </c>
      <c r="D245" s="28" t="str">
        <f aca="false">(PlanStartYear+A245-1)&amp;"/"&amp;RIGHT(PlanStartYear+A245,2)</f>
        <v>2081/82</v>
      </c>
      <c r="E245" s="27" t="n">
        <f aca="false">A245-1-$E$49</f>
        <v>55</v>
      </c>
      <c r="F245" s="39" t="n">
        <f aca="false">IF(AND(B245=1,E245&gt;=0,E245&lt;$E$50),MIN(1,$E$37-E245),0)</f>
        <v>0</v>
      </c>
      <c r="G245" s="27" t="n">
        <f aca="false">(A245-1)+$E$54</f>
        <v>55</v>
      </c>
      <c r="H245" s="40" t="n">
        <f aca="false">(1+TuiInf)^G245</f>
        <v>189.059142471279</v>
      </c>
      <c r="I245" s="40" t="n">
        <f aca="false">(1+LivInf)^G245</f>
        <v>68.9138561128851</v>
      </c>
      <c r="J245" s="28" t="n">
        <f aca="false">$E$24*H245*F245</f>
        <v>0</v>
      </c>
      <c r="K245" s="28" t="n">
        <f aca="false">$E$25*H245*F245</f>
        <v>0</v>
      </c>
      <c r="L245" s="28" t="n">
        <f aca="false">$E$26*I245*F245</f>
        <v>0</v>
      </c>
      <c r="M245" s="28" t="n">
        <f aca="false">$E$27*I245*F245</f>
        <v>0</v>
      </c>
      <c r="N245" s="28" t="n">
        <f aca="false">$E$28*I245*F245</f>
        <v>0</v>
      </c>
      <c r="O245" s="28" t="n">
        <f aca="false">$E$29*I245*F245</f>
        <v>0</v>
      </c>
      <c r="P245" s="28" t="n">
        <f aca="false">$E$30*I245*F245</f>
        <v>0</v>
      </c>
      <c r="Q245" s="28" t="n">
        <f aca="false">$E$31*I245*F245</f>
        <v>0</v>
      </c>
      <c r="R245" s="28" t="n">
        <f aca="false">$E$32*I245*F245</f>
        <v>0</v>
      </c>
      <c r="S245" s="28" t="n">
        <f aca="false">IF(AND(F245&gt;0,E245=0),($E$33+$E$36)*H245+($E$34+$E$35)*I245,0)</f>
        <v>0</v>
      </c>
      <c r="T245" s="28" t="n">
        <f aca="false">SUM(J245:S245)</f>
        <v>0</v>
      </c>
      <c r="U245" s="28" t="n">
        <f aca="false">T245*Cont</f>
        <v>0</v>
      </c>
      <c r="V245" s="28" t="n">
        <f aca="false">MIN(J245,J245*$E$43)</f>
        <v>0</v>
      </c>
      <c r="W245" s="40" t="n">
        <f aca="false">$E$55*(1+FxDrift)^(A245-1)</f>
        <v>1</v>
      </c>
      <c r="X245" s="28" t="n">
        <f aca="false">(T245+U245)*W245</f>
        <v>0</v>
      </c>
      <c r="Y245" s="28" t="n">
        <f aca="false">IF(B245=1,MIN(X245,V245*W245+IF(F245&gt;0,$E$44*F245,0)),0)</f>
        <v>0</v>
      </c>
      <c r="Z245" s="41" t="n">
        <f aca="false">IF(B245=1,MAX(0,X245-(V245*W245+IF(F245&gt;0,$E$44*F245,0))),0)</f>
        <v>0</v>
      </c>
      <c r="AA245" s="28" t="n">
        <f aca="false">IF(B245=1,(J245+K245)*W245,0)</f>
        <v>0</v>
      </c>
      <c r="AB245" s="28" t="n">
        <f aca="false">IF(B245=1,SUM(L245:R245)*W245,0)</f>
        <v>0</v>
      </c>
      <c r="AC245" s="28" t="n">
        <f aca="false">IF(B245=1,(S245+U245)*W245,0)</f>
        <v>0</v>
      </c>
    </row>
    <row r="246" customFormat="false" ht="15" hidden="false" customHeight="false" outlineLevel="0" collapsed="false">
      <c r="A246" s="27" t="n">
        <v>57</v>
      </c>
      <c r="B246" s="27" t="n">
        <f aca="false">IF(AND(A246&lt;=$E$52,$E$47=1),1,0)</f>
        <v>0</v>
      </c>
      <c r="C246" s="27" t="str">
        <f aca="false">IF(B246=1,$E$7+A246-1,"")</f>
        <v/>
      </c>
      <c r="D246" s="28" t="str">
        <f aca="false">(PlanStartYear+A246-1)&amp;"/"&amp;RIGHT(PlanStartYear+A246,2)</f>
        <v>2082/83</v>
      </c>
      <c r="E246" s="27" t="n">
        <f aca="false">A246-1-$E$49</f>
        <v>56</v>
      </c>
      <c r="F246" s="39" t="n">
        <f aca="false">IF(AND(B246=1,E246&gt;=0,E246&lt;$E$50),MIN(1,$E$37-E246),0)</f>
        <v>0</v>
      </c>
      <c r="G246" s="27" t="n">
        <f aca="false">(A246-1)+$E$54</f>
        <v>56</v>
      </c>
      <c r="H246" s="40" t="n">
        <f aca="false">(1+TuiInf)^G246</f>
        <v>207.965056718407</v>
      </c>
      <c r="I246" s="40" t="n">
        <f aca="false">(1+LivInf)^G246</f>
        <v>74.4269646019159</v>
      </c>
      <c r="J246" s="28" t="n">
        <f aca="false">$E$24*H246*F246</f>
        <v>0</v>
      </c>
      <c r="K246" s="28" t="n">
        <f aca="false">$E$25*H246*F246</f>
        <v>0</v>
      </c>
      <c r="L246" s="28" t="n">
        <f aca="false">$E$26*I246*F246</f>
        <v>0</v>
      </c>
      <c r="M246" s="28" t="n">
        <f aca="false">$E$27*I246*F246</f>
        <v>0</v>
      </c>
      <c r="N246" s="28" t="n">
        <f aca="false">$E$28*I246*F246</f>
        <v>0</v>
      </c>
      <c r="O246" s="28" t="n">
        <f aca="false">$E$29*I246*F246</f>
        <v>0</v>
      </c>
      <c r="P246" s="28" t="n">
        <f aca="false">$E$30*I246*F246</f>
        <v>0</v>
      </c>
      <c r="Q246" s="28" t="n">
        <f aca="false">$E$31*I246*F246</f>
        <v>0</v>
      </c>
      <c r="R246" s="28" t="n">
        <f aca="false">$E$32*I246*F246</f>
        <v>0</v>
      </c>
      <c r="S246" s="28" t="n">
        <f aca="false">IF(AND(F246&gt;0,E246=0),($E$33+$E$36)*H246+($E$34+$E$35)*I246,0)</f>
        <v>0</v>
      </c>
      <c r="T246" s="28" t="n">
        <f aca="false">SUM(J246:S246)</f>
        <v>0</v>
      </c>
      <c r="U246" s="28" t="n">
        <f aca="false">T246*Cont</f>
        <v>0</v>
      </c>
      <c r="V246" s="28" t="n">
        <f aca="false">MIN(J246,J246*$E$43)</f>
        <v>0</v>
      </c>
      <c r="W246" s="40" t="n">
        <f aca="false">$E$55*(1+FxDrift)^(A246-1)</f>
        <v>1</v>
      </c>
      <c r="X246" s="28" t="n">
        <f aca="false">(T246+U246)*W246</f>
        <v>0</v>
      </c>
      <c r="Y246" s="28" t="n">
        <f aca="false">IF(B246=1,MIN(X246,V246*W246+IF(F246&gt;0,$E$44*F246,0)),0)</f>
        <v>0</v>
      </c>
      <c r="Z246" s="41" t="n">
        <f aca="false">IF(B246=1,MAX(0,X246-(V246*W246+IF(F246&gt;0,$E$44*F246,0))),0)</f>
        <v>0</v>
      </c>
      <c r="AA246" s="28" t="n">
        <f aca="false">IF(B246=1,(J246+K246)*W246,0)</f>
        <v>0</v>
      </c>
      <c r="AB246" s="28" t="n">
        <f aca="false">IF(B246=1,SUM(L246:R246)*W246,0)</f>
        <v>0</v>
      </c>
      <c r="AC246" s="28" t="n">
        <f aca="false">IF(B246=1,(S246+U246)*W246,0)</f>
        <v>0</v>
      </c>
    </row>
    <row r="247" customFormat="false" ht="15" hidden="false" customHeight="false" outlineLevel="0" collapsed="false">
      <c r="A247" s="27" t="n">
        <v>58</v>
      </c>
      <c r="B247" s="27" t="n">
        <f aca="false">IF(AND(A247&lt;=$E$52,$E$47=1),1,0)</f>
        <v>0</v>
      </c>
      <c r="C247" s="27" t="str">
        <f aca="false">IF(B247=1,$E$7+A247-1,"")</f>
        <v/>
      </c>
      <c r="D247" s="28" t="str">
        <f aca="false">(PlanStartYear+A247-1)&amp;"/"&amp;RIGHT(PlanStartYear+A247,2)</f>
        <v>2083/84</v>
      </c>
      <c r="E247" s="27" t="n">
        <f aca="false">A247-1-$E$49</f>
        <v>57</v>
      </c>
      <c r="F247" s="39" t="n">
        <f aca="false">IF(AND(B247=1,E247&gt;=0,E247&lt;$E$50),MIN(1,$E$37-E247),0)</f>
        <v>0</v>
      </c>
      <c r="G247" s="27" t="n">
        <f aca="false">(A247-1)+$E$54</f>
        <v>57</v>
      </c>
      <c r="H247" s="40" t="n">
        <f aca="false">(1+TuiInf)^G247</f>
        <v>228.761562390248</v>
      </c>
      <c r="I247" s="40" t="n">
        <f aca="false">(1+LivInf)^G247</f>
        <v>80.3811217700691</v>
      </c>
      <c r="J247" s="28" t="n">
        <f aca="false">$E$24*H247*F247</f>
        <v>0</v>
      </c>
      <c r="K247" s="28" t="n">
        <f aca="false">$E$25*H247*F247</f>
        <v>0</v>
      </c>
      <c r="L247" s="28" t="n">
        <f aca="false">$E$26*I247*F247</f>
        <v>0</v>
      </c>
      <c r="M247" s="28" t="n">
        <f aca="false">$E$27*I247*F247</f>
        <v>0</v>
      </c>
      <c r="N247" s="28" t="n">
        <f aca="false">$E$28*I247*F247</f>
        <v>0</v>
      </c>
      <c r="O247" s="28" t="n">
        <f aca="false">$E$29*I247*F247</f>
        <v>0</v>
      </c>
      <c r="P247" s="28" t="n">
        <f aca="false">$E$30*I247*F247</f>
        <v>0</v>
      </c>
      <c r="Q247" s="28" t="n">
        <f aca="false">$E$31*I247*F247</f>
        <v>0</v>
      </c>
      <c r="R247" s="28" t="n">
        <f aca="false">$E$32*I247*F247</f>
        <v>0</v>
      </c>
      <c r="S247" s="28" t="n">
        <f aca="false">IF(AND(F247&gt;0,E247=0),($E$33+$E$36)*H247+($E$34+$E$35)*I247,0)</f>
        <v>0</v>
      </c>
      <c r="T247" s="28" t="n">
        <f aca="false">SUM(J247:S247)</f>
        <v>0</v>
      </c>
      <c r="U247" s="28" t="n">
        <f aca="false">T247*Cont</f>
        <v>0</v>
      </c>
      <c r="V247" s="28" t="n">
        <f aca="false">MIN(J247,J247*$E$43)</f>
        <v>0</v>
      </c>
      <c r="W247" s="40" t="n">
        <f aca="false">$E$55*(1+FxDrift)^(A247-1)</f>
        <v>1</v>
      </c>
      <c r="X247" s="28" t="n">
        <f aca="false">(T247+U247)*W247</f>
        <v>0</v>
      </c>
      <c r="Y247" s="28" t="n">
        <f aca="false">IF(B247=1,MIN(X247,V247*W247+IF(F247&gt;0,$E$44*F247,0)),0)</f>
        <v>0</v>
      </c>
      <c r="Z247" s="41" t="n">
        <f aca="false">IF(B247=1,MAX(0,X247-(V247*W247+IF(F247&gt;0,$E$44*F247,0))),0)</f>
        <v>0</v>
      </c>
      <c r="AA247" s="28" t="n">
        <f aca="false">IF(B247=1,(J247+K247)*W247,0)</f>
        <v>0</v>
      </c>
      <c r="AB247" s="28" t="n">
        <f aca="false">IF(B247=1,SUM(L247:R247)*W247,0)</f>
        <v>0</v>
      </c>
      <c r="AC247" s="28" t="n">
        <f aca="false">IF(B247=1,(S247+U247)*W247,0)</f>
        <v>0</v>
      </c>
    </row>
    <row r="248" customFormat="false" ht="15" hidden="false" customHeight="false" outlineLevel="0" collapsed="false">
      <c r="A248" s="27" t="n">
        <v>59</v>
      </c>
      <c r="B248" s="27" t="n">
        <f aca="false">IF(AND(A248&lt;=$E$52,$E$47=1),1,0)</f>
        <v>0</v>
      </c>
      <c r="C248" s="27" t="str">
        <f aca="false">IF(B248=1,$E$7+A248-1,"")</f>
        <v/>
      </c>
      <c r="D248" s="28" t="str">
        <f aca="false">(PlanStartYear+A248-1)&amp;"/"&amp;RIGHT(PlanStartYear+A248,2)</f>
        <v>2084/85</v>
      </c>
      <c r="E248" s="27" t="n">
        <f aca="false">A248-1-$E$49</f>
        <v>58</v>
      </c>
      <c r="F248" s="39" t="n">
        <f aca="false">IF(AND(B248=1,E248&gt;=0,E248&lt;$E$50),MIN(1,$E$37-E248),0)</f>
        <v>0</v>
      </c>
      <c r="G248" s="27" t="n">
        <f aca="false">(A248-1)+$E$54</f>
        <v>58</v>
      </c>
      <c r="H248" s="40" t="n">
        <f aca="false">(1+TuiInf)^G248</f>
        <v>251.637718629272</v>
      </c>
      <c r="I248" s="40" t="n">
        <f aca="false">(1+LivInf)^G248</f>
        <v>86.8116115116747</v>
      </c>
      <c r="J248" s="28" t="n">
        <f aca="false">$E$24*H248*F248</f>
        <v>0</v>
      </c>
      <c r="K248" s="28" t="n">
        <f aca="false">$E$25*H248*F248</f>
        <v>0</v>
      </c>
      <c r="L248" s="28" t="n">
        <f aca="false">$E$26*I248*F248</f>
        <v>0</v>
      </c>
      <c r="M248" s="28" t="n">
        <f aca="false">$E$27*I248*F248</f>
        <v>0</v>
      </c>
      <c r="N248" s="28" t="n">
        <f aca="false">$E$28*I248*F248</f>
        <v>0</v>
      </c>
      <c r="O248" s="28" t="n">
        <f aca="false">$E$29*I248*F248</f>
        <v>0</v>
      </c>
      <c r="P248" s="28" t="n">
        <f aca="false">$E$30*I248*F248</f>
        <v>0</v>
      </c>
      <c r="Q248" s="28" t="n">
        <f aca="false">$E$31*I248*F248</f>
        <v>0</v>
      </c>
      <c r="R248" s="28" t="n">
        <f aca="false">$E$32*I248*F248</f>
        <v>0</v>
      </c>
      <c r="S248" s="28" t="n">
        <f aca="false">IF(AND(F248&gt;0,E248=0),($E$33+$E$36)*H248+($E$34+$E$35)*I248,0)</f>
        <v>0</v>
      </c>
      <c r="T248" s="28" t="n">
        <f aca="false">SUM(J248:S248)</f>
        <v>0</v>
      </c>
      <c r="U248" s="28" t="n">
        <f aca="false">T248*Cont</f>
        <v>0</v>
      </c>
      <c r="V248" s="28" t="n">
        <f aca="false">MIN(J248,J248*$E$43)</f>
        <v>0</v>
      </c>
      <c r="W248" s="40" t="n">
        <f aca="false">$E$55*(1+FxDrift)^(A248-1)</f>
        <v>1</v>
      </c>
      <c r="X248" s="28" t="n">
        <f aca="false">(T248+U248)*W248</f>
        <v>0</v>
      </c>
      <c r="Y248" s="28" t="n">
        <f aca="false">IF(B248=1,MIN(X248,V248*W248+IF(F248&gt;0,$E$44*F248,0)),0)</f>
        <v>0</v>
      </c>
      <c r="Z248" s="41" t="n">
        <f aca="false">IF(B248=1,MAX(0,X248-(V248*W248+IF(F248&gt;0,$E$44*F248,0))),0)</f>
        <v>0</v>
      </c>
      <c r="AA248" s="28" t="n">
        <f aca="false">IF(B248=1,(J248+K248)*W248,0)</f>
        <v>0</v>
      </c>
      <c r="AB248" s="28" t="n">
        <f aca="false">IF(B248=1,SUM(L248:R248)*W248,0)</f>
        <v>0</v>
      </c>
      <c r="AC248" s="28" t="n">
        <f aca="false">IF(B248=1,(S248+U248)*W248,0)</f>
        <v>0</v>
      </c>
    </row>
    <row r="249" customFormat="false" ht="15" hidden="false" customHeight="false" outlineLevel="0" collapsed="false">
      <c r="A249" s="27" t="n">
        <v>60</v>
      </c>
      <c r="B249" s="27" t="n">
        <f aca="false">IF(AND(A249&lt;=$E$52,$E$47=1),1,0)</f>
        <v>0</v>
      </c>
      <c r="C249" s="27" t="str">
        <f aca="false">IF(B249=1,$E$7+A249-1,"")</f>
        <v/>
      </c>
      <c r="D249" s="28" t="str">
        <f aca="false">(PlanStartYear+A249-1)&amp;"/"&amp;RIGHT(PlanStartYear+A249,2)</f>
        <v>2085/86</v>
      </c>
      <c r="E249" s="27" t="n">
        <f aca="false">A249-1-$E$49</f>
        <v>59</v>
      </c>
      <c r="F249" s="39" t="n">
        <f aca="false">IF(AND(B249=1,E249&gt;=0,E249&lt;$E$50),MIN(1,$E$37-E249),0)</f>
        <v>0</v>
      </c>
      <c r="G249" s="27" t="n">
        <f aca="false">(A249-1)+$E$54</f>
        <v>59</v>
      </c>
      <c r="H249" s="40" t="n">
        <f aca="false">(1+TuiInf)^G249</f>
        <v>276.8014904922</v>
      </c>
      <c r="I249" s="40" t="n">
        <f aca="false">(1+LivInf)^G249</f>
        <v>93.7565404326087</v>
      </c>
      <c r="J249" s="28" t="n">
        <f aca="false">$E$24*H249*F249</f>
        <v>0</v>
      </c>
      <c r="K249" s="28" t="n">
        <f aca="false">$E$25*H249*F249</f>
        <v>0</v>
      </c>
      <c r="L249" s="28" t="n">
        <f aca="false">$E$26*I249*F249</f>
        <v>0</v>
      </c>
      <c r="M249" s="28" t="n">
        <f aca="false">$E$27*I249*F249</f>
        <v>0</v>
      </c>
      <c r="N249" s="28" t="n">
        <f aca="false">$E$28*I249*F249</f>
        <v>0</v>
      </c>
      <c r="O249" s="28" t="n">
        <f aca="false">$E$29*I249*F249</f>
        <v>0</v>
      </c>
      <c r="P249" s="28" t="n">
        <f aca="false">$E$30*I249*F249</f>
        <v>0</v>
      </c>
      <c r="Q249" s="28" t="n">
        <f aca="false">$E$31*I249*F249</f>
        <v>0</v>
      </c>
      <c r="R249" s="28" t="n">
        <f aca="false">$E$32*I249*F249</f>
        <v>0</v>
      </c>
      <c r="S249" s="28" t="n">
        <f aca="false">IF(AND(F249&gt;0,E249=0),($E$33+$E$36)*H249+($E$34+$E$35)*I249,0)</f>
        <v>0</v>
      </c>
      <c r="T249" s="28" t="n">
        <f aca="false">SUM(J249:S249)</f>
        <v>0</v>
      </c>
      <c r="U249" s="28" t="n">
        <f aca="false">T249*Cont</f>
        <v>0</v>
      </c>
      <c r="V249" s="28" t="n">
        <f aca="false">MIN(J249,J249*$E$43)</f>
        <v>0</v>
      </c>
      <c r="W249" s="40" t="n">
        <f aca="false">$E$55*(1+FxDrift)^(A249-1)</f>
        <v>1</v>
      </c>
      <c r="X249" s="28" t="n">
        <f aca="false">(T249+U249)*W249</f>
        <v>0</v>
      </c>
      <c r="Y249" s="28" t="n">
        <f aca="false">IF(B249=1,MIN(X249,V249*W249+IF(F249&gt;0,$E$44*F249,0)),0)</f>
        <v>0</v>
      </c>
      <c r="Z249" s="41" t="n">
        <f aca="false">IF(B249=1,MAX(0,X249-(V249*W249+IF(F249&gt;0,$E$44*F249,0))),0)</f>
        <v>0</v>
      </c>
      <c r="AA249" s="28" t="n">
        <f aca="false">IF(B249=1,(J249+K249)*W249,0)</f>
        <v>0</v>
      </c>
      <c r="AB249" s="28" t="n">
        <f aca="false">IF(B249=1,SUM(L249:R249)*W249,0)</f>
        <v>0</v>
      </c>
      <c r="AC249" s="28" t="n">
        <f aca="false">IF(B249=1,(S249+U249)*W249,0)</f>
        <v>0</v>
      </c>
    </row>
    <row r="252" customFormat="false" ht="15" hidden="false" customHeight="false" outlineLevel="0" collapsed="false">
      <c r="A252" s="6" t="str">
        <f aca="false">"Child 4: "&amp;F6&amp;" — costs by plan year (fee currency: "&amp;F17&amp;", reporting: "&amp;RepCcy&amp;")"</f>
        <v>Child 4: Child 4 — costs by plan year (fee currency: PKR, reporting: PKR)</v>
      </c>
    </row>
    <row r="253" customFormat="false" ht="54" hidden="false" customHeight="true" outlineLevel="0" collapsed="false">
      <c r="A253" s="22" t="s">
        <v>581</v>
      </c>
      <c r="B253" s="22" t="s">
        <v>582</v>
      </c>
      <c r="C253" s="22" t="s">
        <v>583</v>
      </c>
      <c r="D253" s="22" t="s">
        <v>584</v>
      </c>
      <c r="E253" s="22" t="s">
        <v>585</v>
      </c>
      <c r="F253" s="22" t="s">
        <v>586</v>
      </c>
      <c r="G253" s="22" t="s">
        <v>587</v>
      </c>
      <c r="H253" s="22" t="s">
        <v>588</v>
      </c>
      <c r="I253" s="22" t="s">
        <v>589</v>
      </c>
      <c r="J253" s="22" t="s">
        <v>590</v>
      </c>
      <c r="K253" s="22" t="s">
        <v>591</v>
      </c>
      <c r="L253" s="22" t="s">
        <v>422</v>
      </c>
      <c r="M253" s="22" t="s">
        <v>423</v>
      </c>
      <c r="N253" s="22" t="s">
        <v>424</v>
      </c>
      <c r="O253" s="22" t="s">
        <v>592</v>
      </c>
      <c r="P253" s="22" t="s">
        <v>426</v>
      </c>
      <c r="Q253" s="22" t="s">
        <v>593</v>
      </c>
      <c r="R253" s="22" t="s">
        <v>594</v>
      </c>
      <c r="S253" s="22" t="s">
        <v>595</v>
      </c>
      <c r="T253" s="22" t="s">
        <v>596</v>
      </c>
      <c r="U253" s="22" t="s">
        <v>597</v>
      </c>
      <c r="V253" s="22" t="s">
        <v>598</v>
      </c>
      <c r="W253" s="22" t="s">
        <v>599</v>
      </c>
      <c r="X253" s="22" t="s">
        <v>600</v>
      </c>
      <c r="Y253" s="22" t="s">
        <v>601</v>
      </c>
      <c r="Z253" s="22" t="s">
        <v>602</v>
      </c>
      <c r="AA253" s="22" t="s">
        <v>603</v>
      </c>
      <c r="AB253" s="22" t="s">
        <v>604</v>
      </c>
      <c r="AC253" s="22" t="s">
        <v>605</v>
      </c>
    </row>
    <row r="254" customFormat="false" ht="15" hidden="false" customHeight="false" outlineLevel="0" collapsed="false">
      <c r="A254" s="27" t="n">
        <v>1</v>
      </c>
      <c r="B254" s="27" t="n">
        <f aca="false">IF(AND(A254&lt;=$F$52,$F$47=1),1,0)</f>
        <v>0</v>
      </c>
      <c r="C254" s="27" t="str">
        <f aca="false">IF(B254=1,$F$7+A254-1,"")</f>
        <v/>
      </c>
      <c r="D254" s="28" t="str">
        <f aca="false">(PlanStartYear+A254-1)&amp;"/"&amp;RIGHT(PlanStartYear+A254,2)</f>
        <v>2026/27</v>
      </c>
      <c r="E254" s="27" t="n">
        <f aca="false">A254-1-$F$49</f>
        <v>0</v>
      </c>
      <c r="F254" s="39" t="n">
        <f aca="false">IF(AND(B254=1,E254&gt;=0,E254&lt;$F$50),MIN(1,$F$37-E254),0)</f>
        <v>0</v>
      </c>
      <c r="G254" s="27" t="n">
        <f aca="false">(A254-1)+$F$54</f>
        <v>0</v>
      </c>
      <c r="H254" s="40" t="n">
        <f aca="false">(1+TuiInf)^G254</f>
        <v>1</v>
      </c>
      <c r="I254" s="40" t="n">
        <f aca="false">(1+LivInf)^G254</f>
        <v>1</v>
      </c>
      <c r="J254" s="28" t="n">
        <f aca="false">$F$24*H254*F254</f>
        <v>0</v>
      </c>
      <c r="K254" s="28" t="n">
        <f aca="false">$F$25*H254*F254</f>
        <v>0</v>
      </c>
      <c r="L254" s="28" t="n">
        <f aca="false">$F$26*I254*F254</f>
        <v>0</v>
      </c>
      <c r="M254" s="28" t="n">
        <f aca="false">$F$27*I254*F254</f>
        <v>0</v>
      </c>
      <c r="N254" s="28" t="n">
        <f aca="false">$F$28*I254*F254</f>
        <v>0</v>
      </c>
      <c r="O254" s="28" t="n">
        <f aca="false">$F$29*I254*F254</f>
        <v>0</v>
      </c>
      <c r="P254" s="28" t="n">
        <f aca="false">$F$30*I254*F254</f>
        <v>0</v>
      </c>
      <c r="Q254" s="28" t="n">
        <f aca="false">$F$31*I254*F254</f>
        <v>0</v>
      </c>
      <c r="R254" s="28" t="n">
        <f aca="false">$F$32*I254*F254</f>
        <v>0</v>
      </c>
      <c r="S254" s="28" t="n">
        <f aca="false">IF(AND(F254&gt;0,E254=0),($F$33+$F$36)*H254+($F$34+$F$35)*I254,0)</f>
        <v>0</v>
      </c>
      <c r="T254" s="28" t="n">
        <f aca="false">SUM(J254:S254)</f>
        <v>0</v>
      </c>
      <c r="U254" s="28" t="n">
        <f aca="false">T254*Cont</f>
        <v>0</v>
      </c>
      <c r="V254" s="28" t="n">
        <f aca="false">MIN(J254,J254*$F$43)</f>
        <v>0</v>
      </c>
      <c r="W254" s="40" t="n">
        <f aca="false">$F$55*(1+FxDrift)^(A254-1)</f>
        <v>1</v>
      </c>
      <c r="X254" s="28" t="n">
        <f aca="false">(T254+U254)*W254</f>
        <v>0</v>
      </c>
      <c r="Y254" s="28" t="n">
        <f aca="false">IF(B254=1,MIN(X254,V254*W254+IF(F254&gt;0,$F$44*F254,0)),0)</f>
        <v>0</v>
      </c>
      <c r="Z254" s="41" t="n">
        <f aca="false">IF(B254=1,MAX(0,X254-(V254*W254+IF(F254&gt;0,$F$44*F254,0))),0)</f>
        <v>0</v>
      </c>
      <c r="AA254" s="28" t="n">
        <f aca="false">IF(B254=1,(J254+K254)*W254,0)</f>
        <v>0</v>
      </c>
      <c r="AB254" s="28" t="n">
        <f aca="false">IF(B254=1,SUM(L254:R254)*W254,0)</f>
        <v>0</v>
      </c>
      <c r="AC254" s="28" t="n">
        <f aca="false">IF(B254=1,(S254+U254)*W254,0)</f>
        <v>0</v>
      </c>
    </row>
    <row r="255" customFormat="false" ht="15" hidden="false" customHeight="false" outlineLevel="0" collapsed="false">
      <c r="A255" s="27" t="n">
        <v>2</v>
      </c>
      <c r="B255" s="27" t="n">
        <f aca="false">IF(AND(A255&lt;=$F$52,$F$47=1),1,0)</f>
        <v>0</v>
      </c>
      <c r="C255" s="27" t="str">
        <f aca="false">IF(B255=1,$F$7+A255-1,"")</f>
        <v/>
      </c>
      <c r="D255" s="28" t="str">
        <f aca="false">(PlanStartYear+A255-1)&amp;"/"&amp;RIGHT(PlanStartYear+A255,2)</f>
        <v>2027/28</v>
      </c>
      <c r="E255" s="27" t="n">
        <f aca="false">A255-1-$F$49</f>
        <v>1</v>
      </c>
      <c r="F255" s="39" t="n">
        <f aca="false">IF(AND(B255=1,E255&gt;=0,E255&lt;$F$50),MIN(1,$F$37-E255),0)</f>
        <v>0</v>
      </c>
      <c r="G255" s="27" t="n">
        <f aca="false">(A255-1)+$F$54</f>
        <v>1</v>
      </c>
      <c r="H255" s="40" t="n">
        <f aca="false">(1+TuiInf)^G255</f>
        <v>1.1</v>
      </c>
      <c r="I255" s="40" t="n">
        <f aca="false">(1+LivInf)^G255</f>
        <v>1.08</v>
      </c>
      <c r="J255" s="28" t="n">
        <f aca="false">$F$24*H255*F255</f>
        <v>0</v>
      </c>
      <c r="K255" s="28" t="n">
        <f aca="false">$F$25*H255*F255</f>
        <v>0</v>
      </c>
      <c r="L255" s="28" t="n">
        <f aca="false">$F$26*I255*F255</f>
        <v>0</v>
      </c>
      <c r="M255" s="28" t="n">
        <f aca="false">$F$27*I255*F255</f>
        <v>0</v>
      </c>
      <c r="N255" s="28" t="n">
        <f aca="false">$F$28*I255*F255</f>
        <v>0</v>
      </c>
      <c r="O255" s="28" t="n">
        <f aca="false">$F$29*I255*F255</f>
        <v>0</v>
      </c>
      <c r="P255" s="28" t="n">
        <f aca="false">$F$30*I255*F255</f>
        <v>0</v>
      </c>
      <c r="Q255" s="28" t="n">
        <f aca="false">$F$31*I255*F255</f>
        <v>0</v>
      </c>
      <c r="R255" s="28" t="n">
        <f aca="false">$F$32*I255*F255</f>
        <v>0</v>
      </c>
      <c r="S255" s="28" t="n">
        <f aca="false">IF(AND(F255&gt;0,E255=0),($F$33+$F$36)*H255+($F$34+$F$35)*I255,0)</f>
        <v>0</v>
      </c>
      <c r="T255" s="28" t="n">
        <f aca="false">SUM(J255:S255)</f>
        <v>0</v>
      </c>
      <c r="U255" s="28" t="n">
        <f aca="false">T255*Cont</f>
        <v>0</v>
      </c>
      <c r="V255" s="28" t="n">
        <f aca="false">MIN(J255,J255*$F$43)</f>
        <v>0</v>
      </c>
      <c r="W255" s="40" t="n">
        <f aca="false">$F$55*(1+FxDrift)^(A255-1)</f>
        <v>1</v>
      </c>
      <c r="X255" s="28" t="n">
        <f aca="false">(T255+U255)*W255</f>
        <v>0</v>
      </c>
      <c r="Y255" s="28" t="n">
        <f aca="false">IF(B255=1,MIN(X255,V255*W255+IF(F255&gt;0,$F$44*F255,0)),0)</f>
        <v>0</v>
      </c>
      <c r="Z255" s="41" t="n">
        <f aca="false">IF(B255=1,MAX(0,X255-(V255*W255+IF(F255&gt;0,$F$44*F255,0))),0)</f>
        <v>0</v>
      </c>
      <c r="AA255" s="28" t="n">
        <f aca="false">IF(B255=1,(J255+K255)*W255,0)</f>
        <v>0</v>
      </c>
      <c r="AB255" s="28" t="n">
        <f aca="false">IF(B255=1,SUM(L255:R255)*W255,0)</f>
        <v>0</v>
      </c>
      <c r="AC255" s="28" t="n">
        <f aca="false">IF(B255=1,(S255+U255)*W255,0)</f>
        <v>0</v>
      </c>
    </row>
    <row r="256" customFormat="false" ht="15" hidden="false" customHeight="false" outlineLevel="0" collapsed="false">
      <c r="A256" s="27" t="n">
        <v>3</v>
      </c>
      <c r="B256" s="27" t="n">
        <f aca="false">IF(AND(A256&lt;=$F$52,$F$47=1),1,0)</f>
        <v>0</v>
      </c>
      <c r="C256" s="27" t="str">
        <f aca="false">IF(B256=1,$F$7+A256-1,"")</f>
        <v/>
      </c>
      <c r="D256" s="28" t="str">
        <f aca="false">(PlanStartYear+A256-1)&amp;"/"&amp;RIGHT(PlanStartYear+A256,2)</f>
        <v>2028/29</v>
      </c>
      <c r="E256" s="27" t="n">
        <f aca="false">A256-1-$F$49</f>
        <v>2</v>
      </c>
      <c r="F256" s="39" t="n">
        <f aca="false">IF(AND(B256=1,E256&gt;=0,E256&lt;$F$50),MIN(1,$F$37-E256),0)</f>
        <v>0</v>
      </c>
      <c r="G256" s="27" t="n">
        <f aca="false">(A256-1)+$F$54</f>
        <v>2</v>
      </c>
      <c r="H256" s="40" t="n">
        <f aca="false">(1+TuiInf)^G256</f>
        <v>1.21</v>
      </c>
      <c r="I256" s="40" t="n">
        <f aca="false">(1+LivInf)^G256</f>
        <v>1.1664</v>
      </c>
      <c r="J256" s="28" t="n">
        <f aca="false">$F$24*H256*F256</f>
        <v>0</v>
      </c>
      <c r="K256" s="28" t="n">
        <f aca="false">$F$25*H256*F256</f>
        <v>0</v>
      </c>
      <c r="L256" s="28" t="n">
        <f aca="false">$F$26*I256*F256</f>
        <v>0</v>
      </c>
      <c r="M256" s="28" t="n">
        <f aca="false">$F$27*I256*F256</f>
        <v>0</v>
      </c>
      <c r="N256" s="28" t="n">
        <f aca="false">$F$28*I256*F256</f>
        <v>0</v>
      </c>
      <c r="O256" s="28" t="n">
        <f aca="false">$F$29*I256*F256</f>
        <v>0</v>
      </c>
      <c r="P256" s="28" t="n">
        <f aca="false">$F$30*I256*F256</f>
        <v>0</v>
      </c>
      <c r="Q256" s="28" t="n">
        <f aca="false">$F$31*I256*F256</f>
        <v>0</v>
      </c>
      <c r="R256" s="28" t="n">
        <f aca="false">$F$32*I256*F256</f>
        <v>0</v>
      </c>
      <c r="S256" s="28" t="n">
        <f aca="false">IF(AND(F256&gt;0,E256=0),($F$33+$F$36)*H256+($F$34+$F$35)*I256,0)</f>
        <v>0</v>
      </c>
      <c r="T256" s="28" t="n">
        <f aca="false">SUM(J256:S256)</f>
        <v>0</v>
      </c>
      <c r="U256" s="28" t="n">
        <f aca="false">T256*Cont</f>
        <v>0</v>
      </c>
      <c r="V256" s="28" t="n">
        <f aca="false">MIN(J256,J256*$F$43)</f>
        <v>0</v>
      </c>
      <c r="W256" s="40" t="n">
        <f aca="false">$F$55*(1+FxDrift)^(A256-1)</f>
        <v>1</v>
      </c>
      <c r="X256" s="28" t="n">
        <f aca="false">(T256+U256)*W256</f>
        <v>0</v>
      </c>
      <c r="Y256" s="28" t="n">
        <f aca="false">IF(B256=1,MIN(X256,V256*W256+IF(F256&gt;0,$F$44*F256,0)),0)</f>
        <v>0</v>
      </c>
      <c r="Z256" s="41" t="n">
        <f aca="false">IF(B256=1,MAX(0,X256-(V256*W256+IF(F256&gt;0,$F$44*F256,0))),0)</f>
        <v>0</v>
      </c>
      <c r="AA256" s="28" t="n">
        <f aca="false">IF(B256=1,(J256+K256)*W256,0)</f>
        <v>0</v>
      </c>
      <c r="AB256" s="28" t="n">
        <f aca="false">IF(B256=1,SUM(L256:R256)*W256,0)</f>
        <v>0</v>
      </c>
      <c r="AC256" s="28" t="n">
        <f aca="false">IF(B256=1,(S256+U256)*W256,0)</f>
        <v>0</v>
      </c>
    </row>
    <row r="257" customFormat="false" ht="15" hidden="false" customHeight="false" outlineLevel="0" collapsed="false">
      <c r="A257" s="27" t="n">
        <v>4</v>
      </c>
      <c r="B257" s="27" t="n">
        <f aca="false">IF(AND(A257&lt;=$F$52,$F$47=1),1,0)</f>
        <v>0</v>
      </c>
      <c r="C257" s="27" t="str">
        <f aca="false">IF(B257=1,$F$7+A257-1,"")</f>
        <v/>
      </c>
      <c r="D257" s="28" t="str">
        <f aca="false">(PlanStartYear+A257-1)&amp;"/"&amp;RIGHT(PlanStartYear+A257,2)</f>
        <v>2029/30</v>
      </c>
      <c r="E257" s="27" t="n">
        <f aca="false">A257-1-$F$49</f>
        <v>3</v>
      </c>
      <c r="F257" s="39" t="n">
        <f aca="false">IF(AND(B257=1,E257&gt;=0,E257&lt;$F$50),MIN(1,$F$37-E257),0)</f>
        <v>0</v>
      </c>
      <c r="G257" s="27" t="n">
        <f aca="false">(A257-1)+$F$54</f>
        <v>3</v>
      </c>
      <c r="H257" s="40" t="n">
        <f aca="false">(1+TuiInf)^G257</f>
        <v>1.331</v>
      </c>
      <c r="I257" s="40" t="n">
        <f aca="false">(1+LivInf)^G257</f>
        <v>1.259712</v>
      </c>
      <c r="J257" s="28" t="n">
        <f aca="false">$F$24*H257*F257</f>
        <v>0</v>
      </c>
      <c r="K257" s="28" t="n">
        <f aca="false">$F$25*H257*F257</f>
        <v>0</v>
      </c>
      <c r="L257" s="28" t="n">
        <f aca="false">$F$26*I257*F257</f>
        <v>0</v>
      </c>
      <c r="M257" s="28" t="n">
        <f aca="false">$F$27*I257*F257</f>
        <v>0</v>
      </c>
      <c r="N257" s="28" t="n">
        <f aca="false">$F$28*I257*F257</f>
        <v>0</v>
      </c>
      <c r="O257" s="28" t="n">
        <f aca="false">$F$29*I257*F257</f>
        <v>0</v>
      </c>
      <c r="P257" s="28" t="n">
        <f aca="false">$F$30*I257*F257</f>
        <v>0</v>
      </c>
      <c r="Q257" s="28" t="n">
        <f aca="false">$F$31*I257*F257</f>
        <v>0</v>
      </c>
      <c r="R257" s="28" t="n">
        <f aca="false">$F$32*I257*F257</f>
        <v>0</v>
      </c>
      <c r="S257" s="28" t="n">
        <f aca="false">IF(AND(F257&gt;0,E257=0),($F$33+$F$36)*H257+($F$34+$F$35)*I257,0)</f>
        <v>0</v>
      </c>
      <c r="T257" s="28" t="n">
        <f aca="false">SUM(J257:S257)</f>
        <v>0</v>
      </c>
      <c r="U257" s="28" t="n">
        <f aca="false">T257*Cont</f>
        <v>0</v>
      </c>
      <c r="V257" s="28" t="n">
        <f aca="false">MIN(J257,J257*$F$43)</f>
        <v>0</v>
      </c>
      <c r="W257" s="40" t="n">
        <f aca="false">$F$55*(1+FxDrift)^(A257-1)</f>
        <v>1</v>
      </c>
      <c r="X257" s="28" t="n">
        <f aca="false">(T257+U257)*W257</f>
        <v>0</v>
      </c>
      <c r="Y257" s="28" t="n">
        <f aca="false">IF(B257=1,MIN(X257,V257*W257+IF(F257&gt;0,$F$44*F257,0)),0)</f>
        <v>0</v>
      </c>
      <c r="Z257" s="41" t="n">
        <f aca="false">IF(B257=1,MAX(0,X257-(V257*W257+IF(F257&gt;0,$F$44*F257,0))),0)</f>
        <v>0</v>
      </c>
      <c r="AA257" s="28" t="n">
        <f aca="false">IF(B257=1,(J257+K257)*W257,0)</f>
        <v>0</v>
      </c>
      <c r="AB257" s="28" t="n">
        <f aca="false">IF(B257=1,SUM(L257:R257)*W257,0)</f>
        <v>0</v>
      </c>
      <c r="AC257" s="28" t="n">
        <f aca="false">IF(B257=1,(S257+U257)*W257,0)</f>
        <v>0</v>
      </c>
    </row>
    <row r="258" customFormat="false" ht="15" hidden="false" customHeight="false" outlineLevel="0" collapsed="false">
      <c r="A258" s="27" t="n">
        <v>5</v>
      </c>
      <c r="B258" s="27" t="n">
        <f aca="false">IF(AND(A258&lt;=$F$52,$F$47=1),1,0)</f>
        <v>0</v>
      </c>
      <c r="C258" s="27" t="str">
        <f aca="false">IF(B258=1,$F$7+A258-1,"")</f>
        <v/>
      </c>
      <c r="D258" s="28" t="str">
        <f aca="false">(PlanStartYear+A258-1)&amp;"/"&amp;RIGHT(PlanStartYear+A258,2)</f>
        <v>2030/31</v>
      </c>
      <c r="E258" s="27" t="n">
        <f aca="false">A258-1-$F$49</f>
        <v>4</v>
      </c>
      <c r="F258" s="39" t="n">
        <f aca="false">IF(AND(B258=1,E258&gt;=0,E258&lt;$F$50),MIN(1,$F$37-E258),0)</f>
        <v>0</v>
      </c>
      <c r="G258" s="27" t="n">
        <f aca="false">(A258-1)+$F$54</f>
        <v>4</v>
      </c>
      <c r="H258" s="40" t="n">
        <f aca="false">(1+TuiInf)^G258</f>
        <v>1.4641</v>
      </c>
      <c r="I258" s="40" t="n">
        <f aca="false">(1+LivInf)^G258</f>
        <v>1.36048896</v>
      </c>
      <c r="J258" s="28" t="n">
        <f aca="false">$F$24*H258*F258</f>
        <v>0</v>
      </c>
      <c r="K258" s="28" t="n">
        <f aca="false">$F$25*H258*F258</f>
        <v>0</v>
      </c>
      <c r="L258" s="28" t="n">
        <f aca="false">$F$26*I258*F258</f>
        <v>0</v>
      </c>
      <c r="M258" s="28" t="n">
        <f aca="false">$F$27*I258*F258</f>
        <v>0</v>
      </c>
      <c r="N258" s="28" t="n">
        <f aca="false">$F$28*I258*F258</f>
        <v>0</v>
      </c>
      <c r="O258" s="28" t="n">
        <f aca="false">$F$29*I258*F258</f>
        <v>0</v>
      </c>
      <c r="P258" s="28" t="n">
        <f aca="false">$F$30*I258*F258</f>
        <v>0</v>
      </c>
      <c r="Q258" s="28" t="n">
        <f aca="false">$F$31*I258*F258</f>
        <v>0</v>
      </c>
      <c r="R258" s="28" t="n">
        <f aca="false">$F$32*I258*F258</f>
        <v>0</v>
      </c>
      <c r="S258" s="28" t="n">
        <f aca="false">IF(AND(F258&gt;0,E258=0),($F$33+$F$36)*H258+($F$34+$F$35)*I258,0)</f>
        <v>0</v>
      </c>
      <c r="T258" s="28" t="n">
        <f aca="false">SUM(J258:S258)</f>
        <v>0</v>
      </c>
      <c r="U258" s="28" t="n">
        <f aca="false">T258*Cont</f>
        <v>0</v>
      </c>
      <c r="V258" s="28" t="n">
        <f aca="false">MIN(J258,J258*$F$43)</f>
        <v>0</v>
      </c>
      <c r="W258" s="40" t="n">
        <f aca="false">$F$55*(1+FxDrift)^(A258-1)</f>
        <v>1</v>
      </c>
      <c r="X258" s="28" t="n">
        <f aca="false">(T258+U258)*W258</f>
        <v>0</v>
      </c>
      <c r="Y258" s="28" t="n">
        <f aca="false">IF(B258=1,MIN(X258,V258*W258+IF(F258&gt;0,$F$44*F258,0)),0)</f>
        <v>0</v>
      </c>
      <c r="Z258" s="41" t="n">
        <f aca="false">IF(B258=1,MAX(0,X258-(V258*W258+IF(F258&gt;0,$F$44*F258,0))),0)</f>
        <v>0</v>
      </c>
      <c r="AA258" s="28" t="n">
        <f aca="false">IF(B258=1,(J258+K258)*W258,0)</f>
        <v>0</v>
      </c>
      <c r="AB258" s="28" t="n">
        <f aca="false">IF(B258=1,SUM(L258:R258)*W258,0)</f>
        <v>0</v>
      </c>
      <c r="AC258" s="28" t="n">
        <f aca="false">IF(B258=1,(S258+U258)*W258,0)</f>
        <v>0</v>
      </c>
    </row>
    <row r="259" customFormat="false" ht="15" hidden="false" customHeight="false" outlineLevel="0" collapsed="false">
      <c r="A259" s="27" t="n">
        <v>6</v>
      </c>
      <c r="B259" s="27" t="n">
        <f aca="false">IF(AND(A259&lt;=$F$52,$F$47=1),1,0)</f>
        <v>0</v>
      </c>
      <c r="C259" s="27" t="str">
        <f aca="false">IF(B259=1,$F$7+A259-1,"")</f>
        <v/>
      </c>
      <c r="D259" s="28" t="str">
        <f aca="false">(PlanStartYear+A259-1)&amp;"/"&amp;RIGHT(PlanStartYear+A259,2)</f>
        <v>2031/32</v>
      </c>
      <c r="E259" s="27" t="n">
        <f aca="false">A259-1-$F$49</f>
        <v>5</v>
      </c>
      <c r="F259" s="39" t="n">
        <f aca="false">IF(AND(B259=1,E259&gt;=0,E259&lt;$F$50),MIN(1,$F$37-E259),0)</f>
        <v>0</v>
      </c>
      <c r="G259" s="27" t="n">
        <f aca="false">(A259-1)+$F$54</f>
        <v>5</v>
      </c>
      <c r="H259" s="40" t="n">
        <f aca="false">(1+TuiInf)^G259</f>
        <v>1.61051</v>
      </c>
      <c r="I259" s="40" t="n">
        <f aca="false">(1+LivInf)^G259</f>
        <v>1.4693280768</v>
      </c>
      <c r="J259" s="28" t="n">
        <f aca="false">$F$24*H259*F259</f>
        <v>0</v>
      </c>
      <c r="K259" s="28" t="n">
        <f aca="false">$F$25*H259*F259</f>
        <v>0</v>
      </c>
      <c r="L259" s="28" t="n">
        <f aca="false">$F$26*I259*F259</f>
        <v>0</v>
      </c>
      <c r="M259" s="28" t="n">
        <f aca="false">$F$27*I259*F259</f>
        <v>0</v>
      </c>
      <c r="N259" s="28" t="n">
        <f aca="false">$F$28*I259*F259</f>
        <v>0</v>
      </c>
      <c r="O259" s="28" t="n">
        <f aca="false">$F$29*I259*F259</f>
        <v>0</v>
      </c>
      <c r="P259" s="28" t="n">
        <f aca="false">$F$30*I259*F259</f>
        <v>0</v>
      </c>
      <c r="Q259" s="28" t="n">
        <f aca="false">$F$31*I259*F259</f>
        <v>0</v>
      </c>
      <c r="R259" s="28" t="n">
        <f aca="false">$F$32*I259*F259</f>
        <v>0</v>
      </c>
      <c r="S259" s="28" t="n">
        <f aca="false">IF(AND(F259&gt;0,E259=0),($F$33+$F$36)*H259+($F$34+$F$35)*I259,0)</f>
        <v>0</v>
      </c>
      <c r="T259" s="28" t="n">
        <f aca="false">SUM(J259:S259)</f>
        <v>0</v>
      </c>
      <c r="U259" s="28" t="n">
        <f aca="false">T259*Cont</f>
        <v>0</v>
      </c>
      <c r="V259" s="28" t="n">
        <f aca="false">MIN(J259,J259*$F$43)</f>
        <v>0</v>
      </c>
      <c r="W259" s="40" t="n">
        <f aca="false">$F$55*(1+FxDrift)^(A259-1)</f>
        <v>1</v>
      </c>
      <c r="X259" s="28" t="n">
        <f aca="false">(T259+U259)*W259</f>
        <v>0</v>
      </c>
      <c r="Y259" s="28" t="n">
        <f aca="false">IF(B259=1,MIN(X259,V259*W259+IF(F259&gt;0,$F$44*F259,0)),0)</f>
        <v>0</v>
      </c>
      <c r="Z259" s="41" t="n">
        <f aca="false">IF(B259=1,MAX(0,X259-(V259*W259+IF(F259&gt;0,$F$44*F259,0))),0)</f>
        <v>0</v>
      </c>
      <c r="AA259" s="28" t="n">
        <f aca="false">IF(B259=1,(J259+K259)*W259,0)</f>
        <v>0</v>
      </c>
      <c r="AB259" s="28" t="n">
        <f aca="false">IF(B259=1,SUM(L259:R259)*W259,0)</f>
        <v>0</v>
      </c>
      <c r="AC259" s="28" t="n">
        <f aca="false">IF(B259=1,(S259+U259)*W259,0)</f>
        <v>0</v>
      </c>
    </row>
    <row r="260" customFormat="false" ht="15" hidden="false" customHeight="false" outlineLevel="0" collapsed="false">
      <c r="A260" s="27" t="n">
        <v>7</v>
      </c>
      <c r="B260" s="27" t="n">
        <f aca="false">IF(AND(A260&lt;=$F$52,$F$47=1),1,0)</f>
        <v>0</v>
      </c>
      <c r="C260" s="27" t="str">
        <f aca="false">IF(B260=1,$F$7+A260-1,"")</f>
        <v/>
      </c>
      <c r="D260" s="28" t="str">
        <f aca="false">(PlanStartYear+A260-1)&amp;"/"&amp;RIGHT(PlanStartYear+A260,2)</f>
        <v>2032/33</v>
      </c>
      <c r="E260" s="27" t="n">
        <f aca="false">A260-1-$F$49</f>
        <v>6</v>
      </c>
      <c r="F260" s="39" t="n">
        <f aca="false">IF(AND(B260=1,E260&gt;=0,E260&lt;$F$50),MIN(1,$F$37-E260),0)</f>
        <v>0</v>
      </c>
      <c r="G260" s="27" t="n">
        <f aca="false">(A260-1)+$F$54</f>
        <v>6</v>
      </c>
      <c r="H260" s="40" t="n">
        <f aca="false">(1+TuiInf)^G260</f>
        <v>1.771561</v>
      </c>
      <c r="I260" s="40" t="n">
        <f aca="false">(1+LivInf)^G260</f>
        <v>1.586874322944</v>
      </c>
      <c r="J260" s="28" t="n">
        <f aca="false">$F$24*H260*F260</f>
        <v>0</v>
      </c>
      <c r="K260" s="28" t="n">
        <f aca="false">$F$25*H260*F260</f>
        <v>0</v>
      </c>
      <c r="L260" s="28" t="n">
        <f aca="false">$F$26*I260*F260</f>
        <v>0</v>
      </c>
      <c r="M260" s="28" t="n">
        <f aca="false">$F$27*I260*F260</f>
        <v>0</v>
      </c>
      <c r="N260" s="28" t="n">
        <f aca="false">$F$28*I260*F260</f>
        <v>0</v>
      </c>
      <c r="O260" s="28" t="n">
        <f aca="false">$F$29*I260*F260</f>
        <v>0</v>
      </c>
      <c r="P260" s="28" t="n">
        <f aca="false">$F$30*I260*F260</f>
        <v>0</v>
      </c>
      <c r="Q260" s="28" t="n">
        <f aca="false">$F$31*I260*F260</f>
        <v>0</v>
      </c>
      <c r="R260" s="28" t="n">
        <f aca="false">$F$32*I260*F260</f>
        <v>0</v>
      </c>
      <c r="S260" s="28" t="n">
        <f aca="false">IF(AND(F260&gt;0,E260=0),($F$33+$F$36)*H260+($F$34+$F$35)*I260,0)</f>
        <v>0</v>
      </c>
      <c r="T260" s="28" t="n">
        <f aca="false">SUM(J260:S260)</f>
        <v>0</v>
      </c>
      <c r="U260" s="28" t="n">
        <f aca="false">T260*Cont</f>
        <v>0</v>
      </c>
      <c r="V260" s="28" t="n">
        <f aca="false">MIN(J260,J260*$F$43)</f>
        <v>0</v>
      </c>
      <c r="W260" s="40" t="n">
        <f aca="false">$F$55*(1+FxDrift)^(A260-1)</f>
        <v>1</v>
      </c>
      <c r="X260" s="28" t="n">
        <f aca="false">(T260+U260)*W260</f>
        <v>0</v>
      </c>
      <c r="Y260" s="28" t="n">
        <f aca="false">IF(B260=1,MIN(X260,V260*W260+IF(F260&gt;0,$F$44*F260,0)),0)</f>
        <v>0</v>
      </c>
      <c r="Z260" s="41" t="n">
        <f aca="false">IF(B260=1,MAX(0,X260-(V260*W260+IF(F260&gt;0,$F$44*F260,0))),0)</f>
        <v>0</v>
      </c>
      <c r="AA260" s="28" t="n">
        <f aca="false">IF(B260=1,(J260+K260)*W260,0)</f>
        <v>0</v>
      </c>
      <c r="AB260" s="28" t="n">
        <f aca="false">IF(B260=1,SUM(L260:R260)*W260,0)</f>
        <v>0</v>
      </c>
      <c r="AC260" s="28" t="n">
        <f aca="false">IF(B260=1,(S260+U260)*W260,0)</f>
        <v>0</v>
      </c>
    </row>
    <row r="261" customFormat="false" ht="15" hidden="false" customHeight="false" outlineLevel="0" collapsed="false">
      <c r="A261" s="27" t="n">
        <v>8</v>
      </c>
      <c r="B261" s="27" t="n">
        <f aca="false">IF(AND(A261&lt;=$F$52,$F$47=1),1,0)</f>
        <v>0</v>
      </c>
      <c r="C261" s="27" t="str">
        <f aca="false">IF(B261=1,$F$7+A261-1,"")</f>
        <v/>
      </c>
      <c r="D261" s="28" t="str">
        <f aca="false">(PlanStartYear+A261-1)&amp;"/"&amp;RIGHT(PlanStartYear+A261,2)</f>
        <v>2033/34</v>
      </c>
      <c r="E261" s="27" t="n">
        <f aca="false">A261-1-$F$49</f>
        <v>7</v>
      </c>
      <c r="F261" s="39" t="n">
        <f aca="false">IF(AND(B261=1,E261&gt;=0,E261&lt;$F$50),MIN(1,$F$37-E261),0)</f>
        <v>0</v>
      </c>
      <c r="G261" s="27" t="n">
        <f aca="false">(A261-1)+$F$54</f>
        <v>7</v>
      </c>
      <c r="H261" s="40" t="n">
        <f aca="false">(1+TuiInf)^G261</f>
        <v>1.9487171</v>
      </c>
      <c r="I261" s="40" t="n">
        <f aca="false">(1+LivInf)^G261</f>
        <v>1.71382426877952</v>
      </c>
      <c r="J261" s="28" t="n">
        <f aca="false">$F$24*H261*F261</f>
        <v>0</v>
      </c>
      <c r="K261" s="28" t="n">
        <f aca="false">$F$25*H261*F261</f>
        <v>0</v>
      </c>
      <c r="L261" s="28" t="n">
        <f aca="false">$F$26*I261*F261</f>
        <v>0</v>
      </c>
      <c r="M261" s="28" t="n">
        <f aca="false">$F$27*I261*F261</f>
        <v>0</v>
      </c>
      <c r="N261" s="28" t="n">
        <f aca="false">$F$28*I261*F261</f>
        <v>0</v>
      </c>
      <c r="O261" s="28" t="n">
        <f aca="false">$F$29*I261*F261</f>
        <v>0</v>
      </c>
      <c r="P261" s="28" t="n">
        <f aca="false">$F$30*I261*F261</f>
        <v>0</v>
      </c>
      <c r="Q261" s="28" t="n">
        <f aca="false">$F$31*I261*F261</f>
        <v>0</v>
      </c>
      <c r="R261" s="28" t="n">
        <f aca="false">$F$32*I261*F261</f>
        <v>0</v>
      </c>
      <c r="S261" s="28" t="n">
        <f aca="false">IF(AND(F261&gt;0,E261=0),($F$33+$F$36)*H261+($F$34+$F$35)*I261,0)</f>
        <v>0</v>
      </c>
      <c r="T261" s="28" t="n">
        <f aca="false">SUM(J261:S261)</f>
        <v>0</v>
      </c>
      <c r="U261" s="28" t="n">
        <f aca="false">T261*Cont</f>
        <v>0</v>
      </c>
      <c r="V261" s="28" t="n">
        <f aca="false">MIN(J261,J261*$F$43)</f>
        <v>0</v>
      </c>
      <c r="W261" s="40" t="n">
        <f aca="false">$F$55*(1+FxDrift)^(A261-1)</f>
        <v>1</v>
      </c>
      <c r="X261" s="28" t="n">
        <f aca="false">(T261+U261)*W261</f>
        <v>0</v>
      </c>
      <c r="Y261" s="28" t="n">
        <f aca="false">IF(B261=1,MIN(X261,V261*W261+IF(F261&gt;0,$F$44*F261,0)),0)</f>
        <v>0</v>
      </c>
      <c r="Z261" s="41" t="n">
        <f aca="false">IF(B261=1,MAX(0,X261-(V261*W261+IF(F261&gt;0,$F$44*F261,0))),0)</f>
        <v>0</v>
      </c>
      <c r="AA261" s="28" t="n">
        <f aca="false">IF(B261=1,(J261+K261)*W261,0)</f>
        <v>0</v>
      </c>
      <c r="AB261" s="28" t="n">
        <f aca="false">IF(B261=1,SUM(L261:R261)*W261,0)</f>
        <v>0</v>
      </c>
      <c r="AC261" s="28" t="n">
        <f aca="false">IF(B261=1,(S261+U261)*W261,0)</f>
        <v>0</v>
      </c>
    </row>
    <row r="262" customFormat="false" ht="15" hidden="false" customHeight="false" outlineLevel="0" collapsed="false">
      <c r="A262" s="27" t="n">
        <v>9</v>
      </c>
      <c r="B262" s="27" t="n">
        <f aca="false">IF(AND(A262&lt;=$F$52,$F$47=1),1,0)</f>
        <v>0</v>
      </c>
      <c r="C262" s="27" t="str">
        <f aca="false">IF(B262=1,$F$7+A262-1,"")</f>
        <v/>
      </c>
      <c r="D262" s="28" t="str">
        <f aca="false">(PlanStartYear+A262-1)&amp;"/"&amp;RIGHT(PlanStartYear+A262,2)</f>
        <v>2034/35</v>
      </c>
      <c r="E262" s="27" t="n">
        <f aca="false">A262-1-$F$49</f>
        <v>8</v>
      </c>
      <c r="F262" s="39" t="n">
        <f aca="false">IF(AND(B262=1,E262&gt;=0,E262&lt;$F$50),MIN(1,$F$37-E262),0)</f>
        <v>0</v>
      </c>
      <c r="G262" s="27" t="n">
        <f aca="false">(A262-1)+$F$54</f>
        <v>8</v>
      </c>
      <c r="H262" s="40" t="n">
        <f aca="false">(1+TuiInf)^G262</f>
        <v>2.14358881</v>
      </c>
      <c r="I262" s="40" t="n">
        <f aca="false">(1+LivInf)^G262</f>
        <v>1.85093021028188</v>
      </c>
      <c r="J262" s="28" t="n">
        <f aca="false">$F$24*H262*F262</f>
        <v>0</v>
      </c>
      <c r="K262" s="28" t="n">
        <f aca="false">$F$25*H262*F262</f>
        <v>0</v>
      </c>
      <c r="L262" s="28" t="n">
        <f aca="false">$F$26*I262*F262</f>
        <v>0</v>
      </c>
      <c r="M262" s="28" t="n">
        <f aca="false">$F$27*I262*F262</f>
        <v>0</v>
      </c>
      <c r="N262" s="28" t="n">
        <f aca="false">$F$28*I262*F262</f>
        <v>0</v>
      </c>
      <c r="O262" s="28" t="n">
        <f aca="false">$F$29*I262*F262</f>
        <v>0</v>
      </c>
      <c r="P262" s="28" t="n">
        <f aca="false">$F$30*I262*F262</f>
        <v>0</v>
      </c>
      <c r="Q262" s="28" t="n">
        <f aca="false">$F$31*I262*F262</f>
        <v>0</v>
      </c>
      <c r="R262" s="28" t="n">
        <f aca="false">$F$32*I262*F262</f>
        <v>0</v>
      </c>
      <c r="S262" s="28" t="n">
        <f aca="false">IF(AND(F262&gt;0,E262=0),($F$33+$F$36)*H262+($F$34+$F$35)*I262,0)</f>
        <v>0</v>
      </c>
      <c r="T262" s="28" t="n">
        <f aca="false">SUM(J262:S262)</f>
        <v>0</v>
      </c>
      <c r="U262" s="28" t="n">
        <f aca="false">T262*Cont</f>
        <v>0</v>
      </c>
      <c r="V262" s="28" t="n">
        <f aca="false">MIN(J262,J262*$F$43)</f>
        <v>0</v>
      </c>
      <c r="W262" s="40" t="n">
        <f aca="false">$F$55*(1+FxDrift)^(A262-1)</f>
        <v>1</v>
      </c>
      <c r="X262" s="28" t="n">
        <f aca="false">(T262+U262)*W262</f>
        <v>0</v>
      </c>
      <c r="Y262" s="28" t="n">
        <f aca="false">IF(B262=1,MIN(X262,V262*W262+IF(F262&gt;0,$F$44*F262,0)),0)</f>
        <v>0</v>
      </c>
      <c r="Z262" s="41" t="n">
        <f aca="false">IF(B262=1,MAX(0,X262-(V262*W262+IF(F262&gt;0,$F$44*F262,0))),0)</f>
        <v>0</v>
      </c>
      <c r="AA262" s="28" t="n">
        <f aca="false">IF(B262=1,(J262+K262)*W262,0)</f>
        <v>0</v>
      </c>
      <c r="AB262" s="28" t="n">
        <f aca="false">IF(B262=1,SUM(L262:R262)*W262,0)</f>
        <v>0</v>
      </c>
      <c r="AC262" s="28" t="n">
        <f aca="false">IF(B262=1,(S262+U262)*W262,0)</f>
        <v>0</v>
      </c>
    </row>
    <row r="263" customFormat="false" ht="15" hidden="false" customHeight="false" outlineLevel="0" collapsed="false">
      <c r="A263" s="27" t="n">
        <v>10</v>
      </c>
      <c r="B263" s="27" t="n">
        <f aca="false">IF(AND(A263&lt;=$F$52,$F$47=1),1,0)</f>
        <v>0</v>
      </c>
      <c r="C263" s="27" t="str">
        <f aca="false">IF(B263=1,$F$7+A263-1,"")</f>
        <v/>
      </c>
      <c r="D263" s="28" t="str">
        <f aca="false">(PlanStartYear+A263-1)&amp;"/"&amp;RIGHT(PlanStartYear+A263,2)</f>
        <v>2035/36</v>
      </c>
      <c r="E263" s="27" t="n">
        <f aca="false">A263-1-$F$49</f>
        <v>9</v>
      </c>
      <c r="F263" s="39" t="n">
        <f aca="false">IF(AND(B263=1,E263&gt;=0,E263&lt;$F$50),MIN(1,$F$37-E263),0)</f>
        <v>0</v>
      </c>
      <c r="G263" s="27" t="n">
        <f aca="false">(A263-1)+$F$54</f>
        <v>9</v>
      </c>
      <c r="H263" s="40" t="n">
        <f aca="false">(1+TuiInf)^G263</f>
        <v>2.357947691</v>
      </c>
      <c r="I263" s="40" t="n">
        <f aca="false">(1+LivInf)^G263</f>
        <v>1.99900462710443</v>
      </c>
      <c r="J263" s="28" t="n">
        <f aca="false">$F$24*H263*F263</f>
        <v>0</v>
      </c>
      <c r="K263" s="28" t="n">
        <f aca="false">$F$25*H263*F263</f>
        <v>0</v>
      </c>
      <c r="L263" s="28" t="n">
        <f aca="false">$F$26*I263*F263</f>
        <v>0</v>
      </c>
      <c r="M263" s="28" t="n">
        <f aca="false">$F$27*I263*F263</f>
        <v>0</v>
      </c>
      <c r="N263" s="28" t="n">
        <f aca="false">$F$28*I263*F263</f>
        <v>0</v>
      </c>
      <c r="O263" s="28" t="n">
        <f aca="false">$F$29*I263*F263</f>
        <v>0</v>
      </c>
      <c r="P263" s="28" t="n">
        <f aca="false">$F$30*I263*F263</f>
        <v>0</v>
      </c>
      <c r="Q263" s="28" t="n">
        <f aca="false">$F$31*I263*F263</f>
        <v>0</v>
      </c>
      <c r="R263" s="28" t="n">
        <f aca="false">$F$32*I263*F263</f>
        <v>0</v>
      </c>
      <c r="S263" s="28" t="n">
        <f aca="false">IF(AND(F263&gt;0,E263=0),($F$33+$F$36)*H263+($F$34+$F$35)*I263,0)</f>
        <v>0</v>
      </c>
      <c r="T263" s="28" t="n">
        <f aca="false">SUM(J263:S263)</f>
        <v>0</v>
      </c>
      <c r="U263" s="28" t="n">
        <f aca="false">T263*Cont</f>
        <v>0</v>
      </c>
      <c r="V263" s="28" t="n">
        <f aca="false">MIN(J263,J263*$F$43)</f>
        <v>0</v>
      </c>
      <c r="W263" s="40" t="n">
        <f aca="false">$F$55*(1+FxDrift)^(A263-1)</f>
        <v>1</v>
      </c>
      <c r="X263" s="28" t="n">
        <f aca="false">(T263+U263)*W263</f>
        <v>0</v>
      </c>
      <c r="Y263" s="28" t="n">
        <f aca="false">IF(B263=1,MIN(X263,V263*W263+IF(F263&gt;0,$F$44*F263,0)),0)</f>
        <v>0</v>
      </c>
      <c r="Z263" s="41" t="n">
        <f aca="false">IF(B263=1,MAX(0,X263-(V263*W263+IF(F263&gt;0,$F$44*F263,0))),0)</f>
        <v>0</v>
      </c>
      <c r="AA263" s="28" t="n">
        <f aca="false">IF(B263=1,(J263+K263)*W263,0)</f>
        <v>0</v>
      </c>
      <c r="AB263" s="28" t="n">
        <f aca="false">IF(B263=1,SUM(L263:R263)*W263,0)</f>
        <v>0</v>
      </c>
      <c r="AC263" s="28" t="n">
        <f aca="false">IF(B263=1,(S263+U263)*W263,0)</f>
        <v>0</v>
      </c>
    </row>
    <row r="264" customFormat="false" ht="15" hidden="false" customHeight="false" outlineLevel="0" collapsed="false">
      <c r="A264" s="27" t="n">
        <v>11</v>
      </c>
      <c r="B264" s="27" t="n">
        <f aca="false">IF(AND(A264&lt;=$F$52,$F$47=1),1,0)</f>
        <v>0</v>
      </c>
      <c r="C264" s="27" t="str">
        <f aca="false">IF(B264=1,$F$7+A264-1,"")</f>
        <v/>
      </c>
      <c r="D264" s="28" t="str">
        <f aca="false">(PlanStartYear+A264-1)&amp;"/"&amp;RIGHT(PlanStartYear+A264,2)</f>
        <v>2036/37</v>
      </c>
      <c r="E264" s="27" t="n">
        <f aca="false">A264-1-$F$49</f>
        <v>10</v>
      </c>
      <c r="F264" s="39" t="n">
        <f aca="false">IF(AND(B264=1,E264&gt;=0,E264&lt;$F$50),MIN(1,$F$37-E264),0)</f>
        <v>0</v>
      </c>
      <c r="G264" s="27" t="n">
        <f aca="false">(A264-1)+$F$54</f>
        <v>10</v>
      </c>
      <c r="H264" s="40" t="n">
        <f aca="false">(1+TuiInf)^G264</f>
        <v>2.5937424601</v>
      </c>
      <c r="I264" s="40" t="n">
        <f aca="false">(1+LivInf)^G264</f>
        <v>2.15892499727279</v>
      </c>
      <c r="J264" s="28" t="n">
        <f aca="false">$F$24*H264*F264</f>
        <v>0</v>
      </c>
      <c r="K264" s="28" t="n">
        <f aca="false">$F$25*H264*F264</f>
        <v>0</v>
      </c>
      <c r="L264" s="28" t="n">
        <f aca="false">$F$26*I264*F264</f>
        <v>0</v>
      </c>
      <c r="M264" s="28" t="n">
        <f aca="false">$F$27*I264*F264</f>
        <v>0</v>
      </c>
      <c r="N264" s="28" t="n">
        <f aca="false">$F$28*I264*F264</f>
        <v>0</v>
      </c>
      <c r="O264" s="28" t="n">
        <f aca="false">$F$29*I264*F264</f>
        <v>0</v>
      </c>
      <c r="P264" s="28" t="n">
        <f aca="false">$F$30*I264*F264</f>
        <v>0</v>
      </c>
      <c r="Q264" s="28" t="n">
        <f aca="false">$F$31*I264*F264</f>
        <v>0</v>
      </c>
      <c r="R264" s="28" t="n">
        <f aca="false">$F$32*I264*F264</f>
        <v>0</v>
      </c>
      <c r="S264" s="28" t="n">
        <f aca="false">IF(AND(F264&gt;0,E264=0),($F$33+$F$36)*H264+($F$34+$F$35)*I264,0)</f>
        <v>0</v>
      </c>
      <c r="T264" s="28" t="n">
        <f aca="false">SUM(J264:S264)</f>
        <v>0</v>
      </c>
      <c r="U264" s="28" t="n">
        <f aca="false">T264*Cont</f>
        <v>0</v>
      </c>
      <c r="V264" s="28" t="n">
        <f aca="false">MIN(J264,J264*$F$43)</f>
        <v>0</v>
      </c>
      <c r="W264" s="40" t="n">
        <f aca="false">$F$55*(1+FxDrift)^(A264-1)</f>
        <v>1</v>
      </c>
      <c r="X264" s="28" t="n">
        <f aca="false">(T264+U264)*W264</f>
        <v>0</v>
      </c>
      <c r="Y264" s="28" t="n">
        <f aca="false">IF(B264=1,MIN(X264,V264*W264+IF(F264&gt;0,$F$44*F264,0)),0)</f>
        <v>0</v>
      </c>
      <c r="Z264" s="41" t="n">
        <f aca="false">IF(B264=1,MAX(0,X264-(V264*W264+IF(F264&gt;0,$F$44*F264,0))),0)</f>
        <v>0</v>
      </c>
      <c r="AA264" s="28" t="n">
        <f aca="false">IF(B264=1,(J264+K264)*W264,0)</f>
        <v>0</v>
      </c>
      <c r="AB264" s="28" t="n">
        <f aca="false">IF(B264=1,SUM(L264:R264)*W264,0)</f>
        <v>0</v>
      </c>
      <c r="AC264" s="28" t="n">
        <f aca="false">IF(B264=1,(S264+U264)*W264,0)</f>
        <v>0</v>
      </c>
    </row>
    <row r="265" customFormat="false" ht="15" hidden="false" customHeight="false" outlineLevel="0" collapsed="false">
      <c r="A265" s="27" t="n">
        <v>12</v>
      </c>
      <c r="B265" s="27" t="n">
        <f aca="false">IF(AND(A265&lt;=$F$52,$F$47=1),1,0)</f>
        <v>0</v>
      </c>
      <c r="C265" s="27" t="str">
        <f aca="false">IF(B265=1,$F$7+A265-1,"")</f>
        <v/>
      </c>
      <c r="D265" s="28" t="str">
        <f aca="false">(PlanStartYear+A265-1)&amp;"/"&amp;RIGHT(PlanStartYear+A265,2)</f>
        <v>2037/38</v>
      </c>
      <c r="E265" s="27" t="n">
        <f aca="false">A265-1-$F$49</f>
        <v>11</v>
      </c>
      <c r="F265" s="39" t="n">
        <f aca="false">IF(AND(B265=1,E265&gt;=0,E265&lt;$F$50),MIN(1,$F$37-E265),0)</f>
        <v>0</v>
      </c>
      <c r="G265" s="27" t="n">
        <f aca="false">(A265-1)+$F$54</f>
        <v>11</v>
      </c>
      <c r="H265" s="40" t="n">
        <f aca="false">(1+TuiInf)^G265</f>
        <v>2.85311670611</v>
      </c>
      <c r="I265" s="40" t="n">
        <f aca="false">(1+LivInf)^G265</f>
        <v>2.33163899705461</v>
      </c>
      <c r="J265" s="28" t="n">
        <f aca="false">$F$24*H265*F265</f>
        <v>0</v>
      </c>
      <c r="K265" s="28" t="n">
        <f aca="false">$F$25*H265*F265</f>
        <v>0</v>
      </c>
      <c r="L265" s="28" t="n">
        <f aca="false">$F$26*I265*F265</f>
        <v>0</v>
      </c>
      <c r="M265" s="28" t="n">
        <f aca="false">$F$27*I265*F265</f>
        <v>0</v>
      </c>
      <c r="N265" s="28" t="n">
        <f aca="false">$F$28*I265*F265</f>
        <v>0</v>
      </c>
      <c r="O265" s="28" t="n">
        <f aca="false">$F$29*I265*F265</f>
        <v>0</v>
      </c>
      <c r="P265" s="28" t="n">
        <f aca="false">$F$30*I265*F265</f>
        <v>0</v>
      </c>
      <c r="Q265" s="28" t="n">
        <f aca="false">$F$31*I265*F265</f>
        <v>0</v>
      </c>
      <c r="R265" s="28" t="n">
        <f aca="false">$F$32*I265*F265</f>
        <v>0</v>
      </c>
      <c r="S265" s="28" t="n">
        <f aca="false">IF(AND(F265&gt;0,E265=0),($F$33+$F$36)*H265+($F$34+$F$35)*I265,0)</f>
        <v>0</v>
      </c>
      <c r="T265" s="28" t="n">
        <f aca="false">SUM(J265:S265)</f>
        <v>0</v>
      </c>
      <c r="U265" s="28" t="n">
        <f aca="false">T265*Cont</f>
        <v>0</v>
      </c>
      <c r="V265" s="28" t="n">
        <f aca="false">MIN(J265,J265*$F$43)</f>
        <v>0</v>
      </c>
      <c r="W265" s="40" t="n">
        <f aca="false">$F$55*(1+FxDrift)^(A265-1)</f>
        <v>1</v>
      </c>
      <c r="X265" s="28" t="n">
        <f aca="false">(T265+U265)*W265</f>
        <v>0</v>
      </c>
      <c r="Y265" s="28" t="n">
        <f aca="false">IF(B265=1,MIN(X265,V265*W265+IF(F265&gt;0,$F$44*F265,0)),0)</f>
        <v>0</v>
      </c>
      <c r="Z265" s="41" t="n">
        <f aca="false">IF(B265=1,MAX(0,X265-(V265*W265+IF(F265&gt;0,$F$44*F265,0))),0)</f>
        <v>0</v>
      </c>
      <c r="AA265" s="28" t="n">
        <f aca="false">IF(B265=1,(J265+K265)*W265,0)</f>
        <v>0</v>
      </c>
      <c r="AB265" s="28" t="n">
        <f aca="false">IF(B265=1,SUM(L265:R265)*W265,0)</f>
        <v>0</v>
      </c>
      <c r="AC265" s="28" t="n">
        <f aca="false">IF(B265=1,(S265+U265)*W265,0)</f>
        <v>0</v>
      </c>
    </row>
    <row r="266" customFormat="false" ht="15" hidden="false" customHeight="false" outlineLevel="0" collapsed="false">
      <c r="A266" s="27" t="n">
        <v>13</v>
      </c>
      <c r="B266" s="27" t="n">
        <f aca="false">IF(AND(A266&lt;=$F$52,$F$47=1),1,0)</f>
        <v>0</v>
      </c>
      <c r="C266" s="27" t="str">
        <f aca="false">IF(B266=1,$F$7+A266-1,"")</f>
        <v/>
      </c>
      <c r="D266" s="28" t="str">
        <f aca="false">(PlanStartYear+A266-1)&amp;"/"&amp;RIGHT(PlanStartYear+A266,2)</f>
        <v>2038/39</v>
      </c>
      <c r="E266" s="27" t="n">
        <f aca="false">A266-1-$F$49</f>
        <v>12</v>
      </c>
      <c r="F266" s="39" t="n">
        <f aca="false">IF(AND(B266=1,E266&gt;=0,E266&lt;$F$50),MIN(1,$F$37-E266),0)</f>
        <v>0</v>
      </c>
      <c r="G266" s="27" t="n">
        <f aca="false">(A266-1)+$F$54</f>
        <v>12</v>
      </c>
      <c r="H266" s="40" t="n">
        <f aca="false">(1+TuiInf)^G266</f>
        <v>3.138428376721</v>
      </c>
      <c r="I266" s="40" t="n">
        <f aca="false">(1+LivInf)^G266</f>
        <v>2.51817011681898</v>
      </c>
      <c r="J266" s="28" t="n">
        <f aca="false">$F$24*H266*F266</f>
        <v>0</v>
      </c>
      <c r="K266" s="28" t="n">
        <f aca="false">$F$25*H266*F266</f>
        <v>0</v>
      </c>
      <c r="L266" s="28" t="n">
        <f aca="false">$F$26*I266*F266</f>
        <v>0</v>
      </c>
      <c r="M266" s="28" t="n">
        <f aca="false">$F$27*I266*F266</f>
        <v>0</v>
      </c>
      <c r="N266" s="28" t="n">
        <f aca="false">$F$28*I266*F266</f>
        <v>0</v>
      </c>
      <c r="O266" s="28" t="n">
        <f aca="false">$F$29*I266*F266</f>
        <v>0</v>
      </c>
      <c r="P266" s="28" t="n">
        <f aca="false">$F$30*I266*F266</f>
        <v>0</v>
      </c>
      <c r="Q266" s="28" t="n">
        <f aca="false">$F$31*I266*F266</f>
        <v>0</v>
      </c>
      <c r="R266" s="28" t="n">
        <f aca="false">$F$32*I266*F266</f>
        <v>0</v>
      </c>
      <c r="S266" s="28" t="n">
        <f aca="false">IF(AND(F266&gt;0,E266=0),($F$33+$F$36)*H266+($F$34+$F$35)*I266,0)</f>
        <v>0</v>
      </c>
      <c r="T266" s="28" t="n">
        <f aca="false">SUM(J266:S266)</f>
        <v>0</v>
      </c>
      <c r="U266" s="28" t="n">
        <f aca="false">T266*Cont</f>
        <v>0</v>
      </c>
      <c r="V266" s="28" t="n">
        <f aca="false">MIN(J266,J266*$F$43)</f>
        <v>0</v>
      </c>
      <c r="W266" s="40" t="n">
        <f aca="false">$F$55*(1+FxDrift)^(A266-1)</f>
        <v>1</v>
      </c>
      <c r="X266" s="28" t="n">
        <f aca="false">(T266+U266)*W266</f>
        <v>0</v>
      </c>
      <c r="Y266" s="28" t="n">
        <f aca="false">IF(B266=1,MIN(X266,V266*W266+IF(F266&gt;0,$F$44*F266,0)),0)</f>
        <v>0</v>
      </c>
      <c r="Z266" s="41" t="n">
        <f aca="false">IF(B266=1,MAX(0,X266-(V266*W266+IF(F266&gt;0,$F$44*F266,0))),0)</f>
        <v>0</v>
      </c>
      <c r="AA266" s="28" t="n">
        <f aca="false">IF(B266=1,(J266+K266)*W266,0)</f>
        <v>0</v>
      </c>
      <c r="AB266" s="28" t="n">
        <f aca="false">IF(B266=1,SUM(L266:R266)*W266,0)</f>
        <v>0</v>
      </c>
      <c r="AC266" s="28" t="n">
        <f aca="false">IF(B266=1,(S266+U266)*W266,0)</f>
        <v>0</v>
      </c>
    </row>
    <row r="267" customFormat="false" ht="15" hidden="false" customHeight="false" outlineLevel="0" collapsed="false">
      <c r="A267" s="27" t="n">
        <v>14</v>
      </c>
      <c r="B267" s="27" t="n">
        <f aca="false">IF(AND(A267&lt;=$F$52,$F$47=1),1,0)</f>
        <v>0</v>
      </c>
      <c r="C267" s="27" t="str">
        <f aca="false">IF(B267=1,$F$7+A267-1,"")</f>
        <v/>
      </c>
      <c r="D267" s="28" t="str">
        <f aca="false">(PlanStartYear+A267-1)&amp;"/"&amp;RIGHT(PlanStartYear+A267,2)</f>
        <v>2039/40</v>
      </c>
      <c r="E267" s="27" t="n">
        <f aca="false">A267-1-$F$49</f>
        <v>13</v>
      </c>
      <c r="F267" s="39" t="n">
        <f aca="false">IF(AND(B267=1,E267&gt;=0,E267&lt;$F$50),MIN(1,$F$37-E267),0)</f>
        <v>0</v>
      </c>
      <c r="G267" s="27" t="n">
        <f aca="false">(A267-1)+$F$54</f>
        <v>13</v>
      </c>
      <c r="H267" s="40" t="n">
        <f aca="false">(1+TuiInf)^G267</f>
        <v>3.4522712143931</v>
      </c>
      <c r="I267" s="40" t="n">
        <f aca="false">(1+LivInf)^G267</f>
        <v>2.7196237261645</v>
      </c>
      <c r="J267" s="28" t="n">
        <f aca="false">$F$24*H267*F267</f>
        <v>0</v>
      </c>
      <c r="K267" s="28" t="n">
        <f aca="false">$F$25*H267*F267</f>
        <v>0</v>
      </c>
      <c r="L267" s="28" t="n">
        <f aca="false">$F$26*I267*F267</f>
        <v>0</v>
      </c>
      <c r="M267" s="28" t="n">
        <f aca="false">$F$27*I267*F267</f>
        <v>0</v>
      </c>
      <c r="N267" s="28" t="n">
        <f aca="false">$F$28*I267*F267</f>
        <v>0</v>
      </c>
      <c r="O267" s="28" t="n">
        <f aca="false">$F$29*I267*F267</f>
        <v>0</v>
      </c>
      <c r="P267" s="28" t="n">
        <f aca="false">$F$30*I267*F267</f>
        <v>0</v>
      </c>
      <c r="Q267" s="28" t="n">
        <f aca="false">$F$31*I267*F267</f>
        <v>0</v>
      </c>
      <c r="R267" s="28" t="n">
        <f aca="false">$F$32*I267*F267</f>
        <v>0</v>
      </c>
      <c r="S267" s="28" t="n">
        <f aca="false">IF(AND(F267&gt;0,E267=0),($F$33+$F$36)*H267+($F$34+$F$35)*I267,0)</f>
        <v>0</v>
      </c>
      <c r="T267" s="28" t="n">
        <f aca="false">SUM(J267:S267)</f>
        <v>0</v>
      </c>
      <c r="U267" s="28" t="n">
        <f aca="false">T267*Cont</f>
        <v>0</v>
      </c>
      <c r="V267" s="28" t="n">
        <f aca="false">MIN(J267,J267*$F$43)</f>
        <v>0</v>
      </c>
      <c r="W267" s="40" t="n">
        <f aca="false">$F$55*(1+FxDrift)^(A267-1)</f>
        <v>1</v>
      </c>
      <c r="X267" s="28" t="n">
        <f aca="false">(T267+U267)*W267</f>
        <v>0</v>
      </c>
      <c r="Y267" s="28" t="n">
        <f aca="false">IF(B267=1,MIN(X267,V267*W267+IF(F267&gt;0,$F$44*F267,0)),0)</f>
        <v>0</v>
      </c>
      <c r="Z267" s="41" t="n">
        <f aca="false">IF(B267=1,MAX(0,X267-(V267*W267+IF(F267&gt;0,$F$44*F267,0))),0)</f>
        <v>0</v>
      </c>
      <c r="AA267" s="28" t="n">
        <f aca="false">IF(B267=1,(J267+K267)*W267,0)</f>
        <v>0</v>
      </c>
      <c r="AB267" s="28" t="n">
        <f aca="false">IF(B267=1,SUM(L267:R267)*W267,0)</f>
        <v>0</v>
      </c>
      <c r="AC267" s="28" t="n">
        <f aca="false">IF(B267=1,(S267+U267)*W267,0)</f>
        <v>0</v>
      </c>
    </row>
    <row r="268" customFormat="false" ht="15" hidden="false" customHeight="false" outlineLevel="0" collapsed="false">
      <c r="A268" s="27" t="n">
        <v>15</v>
      </c>
      <c r="B268" s="27" t="n">
        <f aca="false">IF(AND(A268&lt;=$F$52,$F$47=1),1,0)</f>
        <v>0</v>
      </c>
      <c r="C268" s="27" t="str">
        <f aca="false">IF(B268=1,$F$7+A268-1,"")</f>
        <v/>
      </c>
      <c r="D268" s="28" t="str">
        <f aca="false">(PlanStartYear+A268-1)&amp;"/"&amp;RIGHT(PlanStartYear+A268,2)</f>
        <v>2040/41</v>
      </c>
      <c r="E268" s="27" t="n">
        <f aca="false">A268-1-$F$49</f>
        <v>14</v>
      </c>
      <c r="F268" s="39" t="n">
        <f aca="false">IF(AND(B268=1,E268&gt;=0,E268&lt;$F$50),MIN(1,$F$37-E268),0)</f>
        <v>0</v>
      </c>
      <c r="G268" s="27" t="n">
        <f aca="false">(A268-1)+$F$54</f>
        <v>14</v>
      </c>
      <c r="H268" s="40" t="n">
        <f aca="false">(1+TuiInf)^G268</f>
        <v>3.79749833583241</v>
      </c>
      <c r="I268" s="40" t="n">
        <f aca="false">(1+LivInf)^G268</f>
        <v>2.93719362425766</v>
      </c>
      <c r="J268" s="28" t="n">
        <f aca="false">$F$24*H268*F268</f>
        <v>0</v>
      </c>
      <c r="K268" s="28" t="n">
        <f aca="false">$F$25*H268*F268</f>
        <v>0</v>
      </c>
      <c r="L268" s="28" t="n">
        <f aca="false">$F$26*I268*F268</f>
        <v>0</v>
      </c>
      <c r="M268" s="28" t="n">
        <f aca="false">$F$27*I268*F268</f>
        <v>0</v>
      </c>
      <c r="N268" s="28" t="n">
        <f aca="false">$F$28*I268*F268</f>
        <v>0</v>
      </c>
      <c r="O268" s="28" t="n">
        <f aca="false">$F$29*I268*F268</f>
        <v>0</v>
      </c>
      <c r="P268" s="28" t="n">
        <f aca="false">$F$30*I268*F268</f>
        <v>0</v>
      </c>
      <c r="Q268" s="28" t="n">
        <f aca="false">$F$31*I268*F268</f>
        <v>0</v>
      </c>
      <c r="R268" s="28" t="n">
        <f aca="false">$F$32*I268*F268</f>
        <v>0</v>
      </c>
      <c r="S268" s="28" t="n">
        <f aca="false">IF(AND(F268&gt;0,E268=0),($F$33+$F$36)*H268+($F$34+$F$35)*I268,0)</f>
        <v>0</v>
      </c>
      <c r="T268" s="28" t="n">
        <f aca="false">SUM(J268:S268)</f>
        <v>0</v>
      </c>
      <c r="U268" s="28" t="n">
        <f aca="false">T268*Cont</f>
        <v>0</v>
      </c>
      <c r="V268" s="28" t="n">
        <f aca="false">MIN(J268,J268*$F$43)</f>
        <v>0</v>
      </c>
      <c r="W268" s="40" t="n">
        <f aca="false">$F$55*(1+FxDrift)^(A268-1)</f>
        <v>1</v>
      </c>
      <c r="X268" s="28" t="n">
        <f aca="false">(T268+U268)*W268</f>
        <v>0</v>
      </c>
      <c r="Y268" s="28" t="n">
        <f aca="false">IF(B268=1,MIN(X268,V268*W268+IF(F268&gt;0,$F$44*F268,0)),0)</f>
        <v>0</v>
      </c>
      <c r="Z268" s="41" t="n">
        <f aca="false">IF(B268=1,MAX(0,X268-(V268*W268+IF(F268&gt;0,$F$44*F268,0))),0)</f>
        <v>0</v>
      </c>
      <c r="AA268" s="28" t="n">
        <f aca="false">IF(B268=1,(J268+K268)*W268,0)</f>
        <v>0</v>
      </c>
      <c r="AB268" s="28" t="n">
        <f aca="false">IF(B268=1,SUM(L268:R268)*W268,0)</f>
        <v>0</v>
      </c>
      <c r="AC268" s="28" t="n">
        <f aca="false">IF(B268=1,(S268+U268)*W268,0)</f>
        <v>0</v>
      </c>
    </row>
    <row r="269" customFormat="false" ht="15" hidden="false" customHeight="false" outlineLevel="0" collapsed="false">
      <c r="A269" s="27" t="n">
        <v>16</v>
      </c>
      <c r="B269" s="27" t="n">
        <f aca="false">IF(AND(A269&lt;=$F$52,$F$47=1),1,0)</f>
        <v>0</v>
      </c>
      <c r="C269" s="27" t="str">
        <f aca="false">IF(B269=1,$F$7+A269-1,"")</f>
        <v/>
      </c>
      <c r="D269" s="28" t="str">
        <f aca="false">(PlanStartYear+A269-1)&amp;"/"&amp;RIGHT(PlanStartYear+A269,2)</f>
        <v>2041/42</v>
      </c>
      <c r="E269" s="27" t="n">
        <f aca="false">A269-1-$F$49</f>
        <v>15</v>
      </c>
      <c r="F269" s="39" t="n">
        <f aca="false">IF(AND(B269=1,E269&gt;=0,E269&lt;$F$50),MIN(1,$F$37-E269),0)</f>
        <v>0</v>
      </c>
      <c r="G269" s="27" t="n">
        <f aca="false">(A269-1)+$F$54</f>
        <v>15</v>
      </c>
      <c r="H269" s="40" t="n">
        <f aca="false">(1+TuiInf)^G269</f>
        <v>4.17724816941566</v>
      </c>
      <c r="I269" s="40" t="n">
        <f aca="false">(1+LivInf)^G269</f>
        <v>3.17216911419827</v>
      </c>
      <c r="J269" s="28" t="n">
        <f aca="false">$F$24*H269*F269</f>
        <v>0</v>
      </c>
      <c r="K269" s="28" t="n">
        <f aca="false">$F$25*H269*F269</f>
        <v>0</v>
      </c>
      <c r="L269" s="28" t="n">
        <f aca="false">$F$26*I269*F269</f>
        <v>0</v>
      </c>
      <c r="M269" s="28" t="n">
        <f aca="false">$F$27*I269*F269</f>
        <v>0</v>
      </c>
      <c r="N269" s="28" t="n">
        <f aca="false">$F$28*I269*F269</f>
        <v>0</v>
      </c>
      <c r="O269" s="28" t="n">
        <f aca="false">$F$29*I269*F269</f>
        <v>0</v>
      </c>
      <c r="P269" s="28" t="n">
        <f aca="false">$F$30*I269*F269</f>
        <v>0</v>
      </c>
      <c r="Q269" s="28" t="n">
        <f aca="false">$F$31*I269*F269</f>
        <v>0</v>
      </c>
      <c r="R269" s="28" t="n">
        <f aca="false">$F$32*I269*F269</f>
        <v>0</v>
      </c>
      <c r="S269" s="28" t="n">
        <f aca="false">IF(AND(F269&gt;0,E269=0),($F$33+$F$36)*H269+($F$34+$F$35)*I269,0)</f>
        <v>0</v>
      </c>
      <c r="T269" s="28" t="n">
        <f aca="false">SUM(J269:S269)</f>
        <v>0</v>
      </c>
      <c r="U269" s="28" t="n">
        <f aca="false">T269*Cont</f>
        <v>0</v>
      </c>
      <c r="V269" s="28" t="n">
        <f aca="false">MIN(J269,J269*$F$43)</f>
        <v>0</v>
      </c>
      <c r="W269" s="40" t="n">
        <f aca="false">$F$55*(1+FxDrift)^(A269-1)</f>
        <v>1</v>
      </c>
      <c r="X269" s="28" t="n">
        <f aca="false">(T269+U269)*W269</f>
        <v>0</v>
      </c>
      <c r="Y269" s="28" t="n">
        <f aca="false">IF(B269=1,MIN(X269,V269*W269+IF(F269&gt;0,$F$44*F269,0)),0)</f>
        <v>0</v>
      </c>
      <c r="Z269" s="41" t="n">
        <f aca="false">IF(B269=1,MAX(0,X269-(V269*W269+IF(F269&gt;0,$F$44*F269,0))),0)</f>
        <v>0</v>
      </c>
      <c r="AA269" s="28" t="n">
        <f aca="false">IF(B269=1,(J269+K269)*W269,0)</f>
        <v>0</v>
      </c>
      <c r="AB269" s="28" t="n">
        <f aca="false">IF(B269=1,SUM(L269:R269)*W269,0)</f>
        <v>0</v>
      </c>
      <c r="AC269" s="28" t="n">
        <f aca="false">IF(B269=1,(S269+U269)*W269,0)</f>
        <v>0</v>
      </c>
    </row>
    <row r="270" customFormat="false" ht="15" hidden="false" customHeight="false" outlineLevel="0" collapsed="false">
      <c r="A270" s="27" t="n">
        <v>17</v>
      </c>
      <c r="B270" s="27" t="n">
        <f aca="false">IF(AND(A270&lt;=$F$52,$F$47=1),1,0)</f>
        <v>0</v>
      </c>
      <c r="C270" s="27" t="str">
        <f aca="false">IF(B270=1,$F$7+A270-1,"")</f>
        <v/>
      </c>
      <c r="D270" s="28" t="str">
        <f aca="false">(PlanStartYear+A270-1)&amp;"/"&amp;RIGHT(PlanStartYear+A270,2)</f>
        <v>2042/43</v>
      </c>
      <c r="E270" s="27" t="n">
        <f aca="false">A270-1-$F$49</f>
        <v>16</v>
      </c>
      <c r="F270" s="39" t="n">
        <f aca="false">IF(AND(B270=1,E270&gt;=0,E270&lt;$F$50),MIN(1,$F$37-E270),0)</f>
        <v>0</v>
      </c>
      <c r="G270" s="27" t="n">
        <f aca="false">(A270-1)+$F$54</f>
        <v>16</v>
      </c>
      <c r="H270" s="40" t="n">
        <f aca="false">(1+TuiInf)^G270</f>
        <v>4.59497298635722</v>
      </c>
      <c r="I270" s="40" t="n">
        <f aca="false">(1+LivInf)^G270</f>
        <v>3.42594264333413</v>
      </c>
      <c r="J270" s="28" t="n">
        <f aca="false">$F$24*H270*F270</f>
        <v>0</v>
      </c>
      <c r="K270" s="28" t="n">
        <f aca="false">$F$25*H270*F270</f>
        <v>0</v>
      </c>
      <c r="L270" s="28" t="n">
        <f aca="false">$F$26*I270*F270</f>
        <v>0</v>
      </c>
      <c r="M270" s="28" t="n">
        <f aca="false">$F$27*I270*F270</f>
        <v>0</v>
      </c>
      <c r="N270" s="28" t="n">
        <f aca="false">$F$28*I270*F270</f>
        <v>0</v>
      </c>
      <c r="O270" s="28" t="n">
        <f aca="false">$F$29*I270*F270</f>
        <v>0</v>
      </c>
      <c r="P270" s="28" t="n">
        <f aca="false">$F$30*I270*F270</f>
        <v>0</v>
      </c>
      <c r="Q270" s="28" t="n">
        <f aca="false">$F$31*I270*F270</f>
        <v>0</v>
      </c>
      <c r="R270" s="28" t="n">
        <f aca="false">$F$32*I270*F270</f>
        <v>0</v>
      </c>
      <c r="S270" s="28" t="n">
        <f aca="false">IF(AND(F270&gt;0,E270=0),($F$33+$F$36)*H270+($F$34+$F$35)*I270,0)</f>
        <v>0</v>
      </c>
      <c r="T270" s="28" t="n">
        <f aca="false">SUM(J270:S270)</f>
        <v>0</v>
      </c>
      <c r="U270" s="28" t="n">
        <f aca="false">T270*Cont</f>
        <v>0</v>
      </c>
      <c r="V270" s="28" t="n">
        <f aca="false">MIN(J270,J270*$F$43)</f>
        <v>0</v>
      </c>
      <c r="W270" s="40" t="n">
        <f aca="false">$F$55*(1+FxDrift)^(A270-1)</f>
        <v>1</v>
      </c>
      <c r="X270" s="28" t="n">
        <f aca="false">(T270+U270)*W270</f>
        <v>0</v>
      </c>
      <c r="Y270" s="28" t="n">
        <f aca="false">IF(B270=1,MIN(X270,V270*W270+IF(F270&gt;0,$F$44*F270,0)),0)</f>
        <v>0</v>
      </c>
      <c r="Z270" s="41" t="n">
        <f aca="false">IF(B270=1,MAX(0,X270-(V270*W270+IF(F270&gt;0,$F$44*F270,0))),0)</f>
        <v>0</v>
      </c>
      <c r="AA270" s="28" t="n">
        <f aca="false">IF(B270=1,(J270+K270)*W270,0)</f>
        <v>0</v>
      </c>
      <c r="AB270" s="28" t="n">
        <f aca="false">IF(B270=1,SUM(L270:R270)*W270,0)</f>
        <v>0</v>
      </c>
      <c r="AC270" s="28" t="n">
        <f aca="false">IF(B270=1,(S270+U270)*W270,0)</f>
        <v>0</v>
      </c>
    </row>
    <row r="271" customFormat="false" ht="15" hidden="false" customHeight="false" outlineLevel="0" collapsed="false">
      <c r="A271" s="27" t="n">
        <v>18</v>
      </c>
      <c r="B271" s="27" t="n">
        <f aca="false">IF(AND(A271&lt;=$F$52,$F$47=1),1,0)</f>
        <v>0</v>
      </c>
      <c r="C271" s="27" t="str">
        <f aca="false">IF(B271=1,$F$7+A271-1,"")</f>
        <v/>
      </c>
      <c r="D271" s="28" t="str">
        <f aca="false">(PlanStartYear+A271-1)&amp;"/"&amp;RIGHT(PlanStartYear+A271,2)</f>
        <v>2043/44</v>
      </c>
      <c r="E271" s="27" t="n">
        <f aca="false">A271-1-$F$49</f>
        <v>17</v>
      </c>
      <c r="F271" s="39" t="n">
        <f aca="false">IF(AND(B271=1,E271&gt;=0,E271&lt;$F$50),MIN(1,$F$37-E271),0)</f>
        <v>0</v>
      </c>
      <c r="G271" s="27" t="n">
        <f aca="false">(A271-1)+$F$54</f>
        <v>17</v>
      </c>
      <c r="H271" s="40" t="n">
        <f aca="false">(1+TuiInf)^G271</f>
        <v>5.05447028499295</v>
      </c>
      <c r="I271" s="40" t="n">
        <f aca="false">(1+LivInf)^G271</f>
        <v>3.70001805480087</v>
      </c>
      <c r="J271" s="28" t="n">
        <f aca="false">$F$24*H271*F271</f>
        <v>0</v>
      </c>
      <c r="K271" s="28" t="n">
        <f aca="false">$F$25*H271*F271</f>
        <v>0</v>
      </c>
      <c r="L271" s="28" t="n">
        <f aca="false">$F$26*I271*F271</f>
        <v>0</v>
      </c>
      <c r="M271" s="28" t="n">
        <f aca="false">$F$27*I271*F271</f>
        <v>0</v>
      </c>
      <c r="N271" s="28" t="n">
        <f aca="false">$F$28*I271*F271</f>
        <v>0</v>
      </c>
      <c r="O271" s="28" t="n">
        <f aca="false">$F$29*I271*F271</f>
        <v>0</v>
      </c>
      <c r="P271" s="28" t="n">
        <f aca="false">$F$30*I271*F271</f>
        <v>0</v>
      </c>
      <c r="Q271" s="28" t="n">
        <f aca="false">$F$31*I271*F271</f>
        <v>0</v>
      </c>
      <c r="R271" s="28" t="n">
        <f aca="false">$F$32*I271*F271</f>
        <v>0</v>
      </c>
      <c r="S271" s="28" t="n">
        <f aca="false">IF(AND(F271&gt;0,E271=0),($F$33+$F$36)*H271+($F$34+$F$35)*I271,0)</f>
        <v>0</v>
      </c>
      <c r="T271" s="28" t="n">
        <f aca="false">SUM(J271:S271)</f>
        <v>0</v>
      </c>
      <c r="U271" s="28" t="n">
        <f aca="false">T271*Cont</f>
        <v>0</v>
      </c>
      <c r="V271" s="28" t="n">
        <f aca="false">MIN(J271,J271*$F$43)</f>
        <v>0</v>
      </c>
      <c r="W271" s="40" t="n">
        <f aca="false">$F$55*(1+FxDrift)^(A271-1)</f>
        <v>1</v>
      </c>
      <c r="X271" s="28" t="n">
        <f aca="false">(T271+U271)*W271</f>
        <v>0</v>
      </c>
      <c r="Y271" s="28" t="n">
        <f aca="false">IF(B271=1,MIN(X271,V271*W271+IF(F271&gt;0,$F$44*F271,0)),0)</f>
        <v>0</v>
      </c>
      <c r="Z271" s="41" t="n">
        <f aca="false">IF(B271=1,MAX(0,X271-(V271*W271+IF(F271&gt;0,$F$44*F271,0))),0)</f>
        <v>0</v>
      </c>
      <c r="AA271" s="28" t="n">
        <f aca="false">IF(B271=1,(J271+K271)*W271,0)</f>
        <v>0</v>
      </c>
      <c r="AB271" s="28" t="n">
        <f aca="false">IF(B271=1,SUM(L271:R271)*W271,0)</f>
        <v>0</v>
      </c>
      <c r="AC271" s="28" t="n">
        <f aca="false">IF(B271=1,(S271+U271)*W271,0)</f>
        <v>0</v>
      </c>
    </row>
    <row r="272" customFormat="false" ht="15" hidden="false" customHeight="false" outlineLevel="0" collapsed="false">
      <c r="A272" s="27" t="n">
        <v>19</v>
      </c>
      <c r="B272" s="27" t="n">
        <f aca="false">IF(AND(A272&lt;=$F$52,$F$47=1),1,0)</f>
        <v>0</v>
      </c>
      <c r="C272" s="27" t="str">
        <f aca="false">IF(B272=1,$F$7+A272-1,"")</f>
        <v/>
      </c>
      <c r="D272" s="28" t="str">
        <f aca="false">(PlanStartYear+A272-1)&amp;"/"&amp;RIGHT(PlanStartYear+A272,2)</f>
        <v>2044/45</v>
      </c>
      <c r="E272" s="27" t="n">
        <f aca="false">A272-1-$F$49</f>
        <v>18</v>
      </c>
      <c r="F272" s="39" t="n">
        <f aca="false">IF(AND(B272=1,E272&gt;=0,E272&lt;$F$50),MIN(1,$F$37-E272),0)</f>
        <v>0</v>
      </c>
      <c r="G272" s="27" t="n">
        <f aca="false">(A272-1)+$F$54</f>
        <v>18</v>
      </c>
      <c r="H272" s="40" t="n">
        <f aca="false">(1+TuiInf)^G272</f>
        <v>5.55991731349224</v>
      </c>
      <c r="I272" s="40" t="n">
        <f aca="false">(1+LivInf)^G272</f>
        <v>3.99601949918493</v>
      </c>
      <c r="J272" s="28" t="n">
        <f aca="false">$F$24*H272*F272</f>
        <v>0</v>
      </c>
      <c r="K272" s="28" t="n">
        <f aca="false">$F$25*H272*F272</f>
        <v>0</v>
      </c>
      <c r="L272" s="28" t="n">
        <f aca="false">$F$26*I272*F272</f>
        <v>0</v>
      </c>
      <c r="M272" s="28" t="n">
        <f aca="false">$F$27*I272*F272</f>
        <v>0</v>
      </c>
      <c r="N272" s="28" t="n">
        <f aca="false">$F$28*I272*F272</f>
        <v>0</v>
      </c>
      <c r="O272" s="28" t="n">
        <f aca="false">$F$29*I272*F272</f>
        <v>0</v>
      </c>
      <c r="P272" s="28" t="n">
        <f aca="false">$F$30*I272*F272</f>
        <v>0</v>
      </c>
      <c r="Q272" s="28" t="n">
        <f aca="false">$F$31*I272*F272</f>
        <v>0</v>
      </c>
      <c r="R272" s="28" t="n">
        <f aca="false">$F$32*I272*F272</f>
        <v>0</v>
      </c>
      <c r="S272" s="28" t="n">
        <f aca="false">IF(AND(F272&gt;0,E272=0),($F$33+$F$36)*H272+($F$34+$F$35)*I272,0)</f>
        <v>0</v>
      </c>
      <c r="T272" s="28" t="n">
        <f aca="false">SUM(J272:S272)</f>
        <v>0</v>
      </c>
      <c r="U272" s="28" t="n">
        <f aca="false">T272*Cont</f>
        <v>0</v>
      </c>
      <c r="V272" s="28" t="n">
        <f aca="false">MIN(J272,J272*$F$43)</f>
        <v>0</v>
      </c>
      <c r="W272" s="40" t="n">
        <f aca="false">$F$55*(1+FxDrift)^(A272-1)</f>
        <v>1</v>
      </c>
      <c r="X272" s="28" t="n">
        <f aca="false">(T272+U272)*W272</f>
        <v>0</v>
      </c>
      <c r="Y272" s="28" t="n">
        <f aca="false">IF(B272=1,MIN(X272,V272*W272+IF(F272&gt;0,$F$44*F272,0)),0)</f>
        <v>0</v>
      </c>
      <c r="Z272" s="41" t="n">
        <f aca="false">IF(B272=1,MAX(0,X272-(V272*W272+IF(F272&gt;0,$F$44*F272,0))),0)</f>
        <v>0</v>
      </c>
      <c r="AA272" s="28" t="n">
        <f aca="false">IF(B272=1,(J272+K272)*W272,0)</f>
        <v>0</v>
      </c>
      <c r="AB272" s="28" t="n">
        <f aca="false">IF(B272=1,SUM(L272:R272)*W272,0)</f>
        <v>0</v>
      </c>
      <c r="AC272" s="28" t="n">
        <f aca="false">IF(B272=1,(S272+U272)*W272,0)</f>
        <v>0</v>
      </c>
    </row>
    <row r="273" customFormat="false" ht="15" hidden="false" customHeight="false" outlineLevel="0" collapsed="false">
      <c r="A273" s="27" t="n">
        <v>20</v>
      </c>
      <c r="B273" s="27" t="n">
        <f aca="false">IF(AND(A273&lt;=$F$52,$F$47=1),1,0)</f>
        <v>0</v>
      </c>
      <c r="C273" s="27" t="str">
        <f aca="false">IF(B273=1,$F$7+A273-1,"")</f>
        <v/>
      </c>
      <c r="D273" s="28" t="str">
        <f aca="false">(PlanStartYear+A273-1)&amp;"/"&amp;RIGHT(PlanStartYear+A273,2)</f>
        <v>2045/46</v>
      </c>
      <c r="E273" s="27" t="n">
        <f aca="false">A273-1-$F$49</f>
        <v>19</v>
      </c>
      <c r="F273" s="39" t="n">
        <f aca="false">IF(AND(B273=1,E273&gt;=0,E273&lt;$F$50),MIN(1,$F$37-E273),0)</f>
        <v>0</v>
      </c>
      <c r="G273" s="27" t="n">
        <f aca="false">(A273-1)+$F$54</f>
        <v>19</v>
      </c>
      <c r="H273" s="40" t="n">
        <f aca="false">(1+TuiInf)^G273</f>
        <v>6.11590904484146</v>
      </c>
      <c r="I273" s="40" t="n">
        <f aca="false">(1+LivInf)^G273</f>
        <v>4.31570105911973</v>
      </c>
      <c r="J273" s="28" t="n">
        <f aca="false">$F$24*H273*F273</f>
        <v>0</v>
      </c>
      <c r="K273" s="28" t="n">
        <f aca="false">$F$25*H273*F273</f>
        <v>0</v>
      </c>
      <c r="L273" s="28" t="n">
        <f aca="false">$F$26*I273*F273</f>
        <v>0</v>
      </c>
      <c r="M273" s="28" t="n">
        <f aca="false">$F$27*I273*F273</f>
        <v>0</v>
      </c>
      <c r="N273" s="28" t="n">
        <f aca="false">$F$28*I273*F273</f>
        <v>0</v>
      </c>
      <c r="O273" s="28" t="n">
        <f aca="false">$F$29*I273*F273</f>
        <v>0</v>
      </c>
      <c r="P273" s="28" t="n">
        <f aca="false">$F$30*I273*F273</f>
        <v>0</v>
      </c>
      <c r="Q273" s="28" t="n">
        <f aca="false">$F$31*I273*F273</f>
        <v>0</v>
      </c>
      <c r="R273" s="28" t="n">
        <f aca="false">$F$32*I273*F273</f>
        <v>0</v>
      </c>
      <c r="S273" s="28" t="n">
        <f aca="false">IF(AND(F273&gt;0,E273=0),($F$33+$F$36)*H273+($F$34+$F$35)*I273,0)</f>
        <v>0</v>
      </c>
      <c r="T273" s="28" t="n">
        <f aca="false">SUM(J273:S273)</f>
        <v>0</v>
      </c>
      <c r="U273" s="28" t="n">
        <f aca="false">T273*Cont</f>
        <v>0</v>
      </c>
      <c r="V273" s="28" t="n">
        <f aca="false">MIN(J273,J273*$F$43)</f>
        <v>0</v>
      </c>
      <c r="W273" s="40" t="n">
        <f aca="false">$F$55*(1+FxDrift)^(A273-1)</f>
        <v>1</v>
      </c>
      <c r="X273" s="28" t="n">
        <f aca="false">(T273+U273)*W273</f>
        <v>0</v>
      </c>
      <c r="Y273" s="28" t="n">
        <f aca="false">IF(B273=1,MIN(X273,V273*W273+IF(F273&gt;0,$F$44*F273,0)),0)</f>
        <v>0</v>
      </c>
      <c r="Z273" s="41" t="n">
        <f aca="false">IF(B273=1,MAX(0,X273-(V273*W273+IF(F273&gt;0,$F$44*F273,0))),0)</f>
        <v>0</v>
      </c>
      <c r="AA273" s="28" t="n">
        <f aca="false">IF(B273=1,(J273+K273)*W273,0)</f>
        <v>0</v>
      </c>
      <c r="AB273" s="28" t="n">
        <f aca="false">IF(B273=1,SUM(L273:R273)*W273,0)</f>
        <v>0</v>
      </c>
      <c r="AC273" s="28" t="n">
        <f aca="false">IF(B273=1,(S273+U273)*W273,0)</f>
        <v>0</v>
      </c>
    </row>
    <row r="274" customFormat="false" ht="15" hidden="false" customHeight="false" outlineLevel="0" collapsed="false">
      <c r="A274" s="27" t="n">
        <v>21</v>
      </c>
      <c r="B274" s="27" t="n">
        <f aca="false">IF(AND(A274&lt;=$F$52,$F$47=1),1,0)</f>
        <v>0</v>
      </c>
      <c r="C274" s="27" t="str">
        <f aca="false">IF(B274=1,$F$7+A274-1,"")</f>
        <v/>
      </c>
      <c r="D274" s="28" t="str">
        <f aca="false">(PlanStartYear+A274-1)&amp;"/"&amp;RIGHT(PlanStartYear+A274,2)</f>
        <v>2046/47</v>
      </c>
      <c r="E274" s="27" t="n">
        <f aca="false">A274-1-$F$49</f>
        <v>20</v>
      </c>
      <c r="F274" s="39" t="n">
        <f aca="false">IF(AND(B274=1,E274&gt;=0,E274&lt;$F$50),MIN(1,$F$37-E274),0)</f>
        <v>0</v>
      </c>
      <c r="G274" s="27" t="n">
        <f aca="false">(A274-1)+$F$54</f>
        <v>20</v>
      </c>
      <c r="H274" s="40" t="n">
        <f aca="false">(1+TuiInf)^G274</f>
        <v>6.72749994932561</v>
      </c>
      <c r="I274" s="40" t="n">
        <f aca="false">(1+LivInf)^G274</f>
        <v>4.66095714384931</v>
      </c>
      <c r="J274" s="28" t="n">
        <f aca="false">$F$24*H274*F274</f>
        <v>0</v>
      </c>
      <c r="K274" s="28" t="n">
        <f aca="false">$F$25*H274*F274</f>
        <v>0</v>
      </c>
      <c r="L274" s="28" t="n">
        <f aca="false">$F$26*I274*F274</f>
        <v>0</v>
      </c>
      <c r="M274" s="28" t="n">
        <f aca="false">$F$27*I274*F274</f>
        <v>0</v>
      </c>
      <c r="N274" s="28" t="n">
        <f aca="false">$F$28*I274*F274</f>
        <v>0</v>
      </c>
      <c r="O274" s="28" t="n">
        <f aca="false">$F$29*I274*F274</f>
        <v>0</v>
      </c>
      <c r="P274" s="28" t="n">
        <f aca="false">$F$30*I274*F274</f>
        <v>0</v>
      </c>
      <c r="Q274" s="28" t="n">
        <f aca="false">$F$31*I274*F274</f>
        <v>0</v>
      </c>
      <c r="R274" s="28" t="n">
        <f aca="false">$F$32*I274*F274</f>
        <v>0</v>
      </c>
      <c r="S274" s="28" t="n">
        <f aca="false">IF(AND(F274&gt;0,E274=0),($F$33+$F$36)*H274+($F$34+$F$35)*I274,0)</f>
        <v>0</v>
      </c>
      <c r="T274" s="28" t="n">
        <f aca="false">SUM(J274:S274)</f>
        <v>0</v>
      </c>
      <c r="U274" s="28" t="n">
        <f aca="false">T274*Cont</f>
        <v>0</v>
      </c>
      <c r="V274" s="28" t="n">
        <f aca="false">MIN(J274,J274*$F$43)</f>
        <v>0</v>
      </c>
      <c r="W274" s="40" t="n">
        <f aca="false">$F$55*(1+FxDrift)^(A274-1)</f>
        <v>1</v>
      </c>
      <c r="X274" s="28" t="n">
        <f aca="false">(T274+U274)*W274</f>
        <v>0</v>
      </c>
      <c r="Y274" s="28" t="n">
        <f aca="false">IF(B274=1,MIN(X274,V274*W274+IF(F274&gt;0,$F$44*F274,0)),0)</f>
        <v>0</v>
      </c>
      <c r="Z274" s="41" t="n">
        <f aca="false">IF(B274=1,MAX(0,X274-(V274*W274+IF(F274&gt;0,$F$44*F274,0))),0)</f>
        <v>0</v>
      </c>
      <c r="AA274" s="28" t="n">
        <f aca="false">IF(B274=1,(J274+K274)*W274,0)</f>
        <v>0</v>
      </c>
      <c r="AB274" s="28" t="n">
        <f aca="false">IF(B274=1,SUM(L274:R274)*W274,0)</f>
        <v>0</v>
      </c>
      <c r="AC274" s="28" t="n">
        <f aca="false">IF(B274=1,(S274+U274)*W274,0)</f>
        <v>0</v>
      </c>
    </row>
    <row r="275" customFormat="false" ht="15" hidden="false" customHeight="false" outlineLevel="0" collapsed="false">
      <c r="A275" s="27" t="n">
        <v>22</v>
      </c>
      <c r="B275" s="27" t="n">
        <f aca="false">IF(AND(A275&lt;=$F$52,$F$47=1),1,0)</f>
        <v>0</v>
      </c>
      <c r="C275" s="27" t="str">
        <f aca="false">IF(B275=1,$F$7+A275-1,"")</f>
        <v/>
      </c>
      <c r="D275" s="28" t="str">
        <f aca="false">(PlanStartYear+A275-1)&amp;"/"&amp;RIGHT(PlanStartYear+A275,2)</f>
        <v>2047/48</v>
      </c>
      <c r="E275" s="27" t="n">
        <f aca="false">A275-1-$F$49</f>
        <v>21</v>
      </c>
      <c r="F275" s="39" t="n">
        <f aca="false">IF(AND(B275=1,E275&gt;=0,E275&lt;$F$50),MIN(1,$F$37-E275),0)</f>
        <v>0</v>
      </c>
      <c r="G275" s="27" t="n">
        <f aca="false">(A275-1)+$F$54</f>
        <v>21</v>
      </c>
      <c r="H275" s="40" t="n">
        <f aca="false">(1+TuiInf)^G275</f>
        <v>7.40024994425817</v>
      </c>
      <c r="I275" s="40" t="n">
        <f aca="false">(1+LivInf)^G275</f>
        <v>5.03383371535725</v>
      </c>
      <c r="J275" s="28" t="n">
        <f aca="false">$F$24*H275*F275</f>
        <v>0</v>
      </c>
      <c r="K275" s="28" t="n">
        <f aca="false">$F$25*H275*F275</f>
        <v>0</v>
      </c>
      <c r="L275" s="28" t="n">
        <f aca="false">$F$26*I275*F275</f>
        <v>0</v>
      </c>
      <c r="M275" s="28" t="n">
        <f aca="false">$F$27*I275*F275</f>
        <v>0</v>
      </c>
      <c r="N275" s="28" t="n">
        <f aca="false">$F$28*I275*F275</f>
        <v>0</v>
      </c>
      <c r="O275" s="28" t="n">
        <f aca="false">$F$29*I275*F275</f>
        <v>0</v>
      </c>
      <c r="P275" s="28" t="n">
        <f aca="false">$F$30*I275*F275</f>
        <v>0</v>
      </c>
      <c r="Q275" s="28" t="n">
        <f aca="false">$F$31*I275*F275</f>
        <v>0</v>
      </c>
      <c r="R275" s="28" t="n">
        <f aca="false">$F$32*I275*F275</f>
        <v>0</v>
      </c>
      <c r="S275" s="28" t="n">
        <f aca="false">IF(AND(F275&gt;0,E275=0),($F$33+$F$36)*H275+($F$34+$F$35)*I275,0)</f>
        <v>0</v>
      </c>
      <c r="T275" s="28" t="n">
        <f aca="false">SUM(J275:S275)</f>
        <v>0</v>
      </c>
      <c r="U275" s="28" t="n">
        <f aca="false">T275*Cont</f>
        <v>0</v>
      </c>
      <c r="V275" s="28" t="n">
        <f aca="false">MIN(J275,J275*$F$43)</f>
        <v>0</v>
      </c>
      <c r="W275" s="40" t="n">
        <f aca="false">$F$55*(1+FxDrift)^(A275-1)</f>
        <v>1</v>
      </c>
      <c r="X275" s="28" t="n">
        <f aca="false">(T275+U275)*W275</f>
        <v>0</v>
      </c>
      <c r="Y275" s="28" t="n">
        <f aca="false">IF(B275=1,MIN(X275,V275*W275+IF(F275&gt;0,$F$44*F275,0)),0)</f>
        <v>0</v>
      </c>
      <c r="Z275" s="41" t="n">
        <f aca="false">IF(B275=1,MAX(0,X275-(V275*W275+IF(F275&gt;0,$F$44*F275,0))),0)</f>
        <v>0</v>
      </c>
      <c r="AA275" s="28" t="n">
        <f aca="false">IF(B275=1,(J275+K275)*W275,0)</f>
        <v>0</v>
      </c>
      <c r="AB275" s="28" t="n">
        <f aca="false">IF(B275=1,SUM(L275:R275)*W275,0)</f>
        <v>0</v>
      </c>
      <c r="AC275" s="28" t="n">
        <f aca="false">IF(B275=1,(S275+U275)*W275,0)</f>
        <v>0</v>
      </c>
    </row>
    <row r="276" customFormat="false" ht="15" hidden="false" customHeight="false" outlineLevel="0" collapsed="false">
      <c r="A276" s="27" t="n">
        <v>23</v>
      </c>
      <c r="B276" s="27" t="n">
        <f aca="false">IF(AND(A276&lt;=$F$52,$F$47=1),1,0)</f>
        <v>0</v>
      </c>
      <c r="C276" s="27" t="str">
        <f aca="false">IF(B276=1,$F$7+A276-1,"")</f>
        <v/>
      </c>
      <c r="D276" s="28" t="str">
        <f aca="false">(PlanStartYear+A276-1)&amp;"/"&amp;RIGHT(PlanStartYear+A276,2)</f>
        <v>2048/49</v>
      </c>
      <c r="E276" s="27" t="n">
        <f aca="false">A276-1-$F$49</f>
        <v>22</v>
      </c>
      <c r="F276" s="39" t="n">
        <f aca="false">IF(AND(B276=1,E276&gt;=0,E276&lt;$F$50),MIN(1,$F$37-E276),0)</f>
        <v>0</v>
      </c>
      <c r="G276" s="27" t="n">
        <f aca="false">(A276-1)+$F$54</f>
        <v>22</v>
      </c>
      <c r="H276" s="40" t="n">
        <f aca="false">(1+TuiInf)^G276</f>
        <v>8.14027493868399</v>
      </c>
      <c r="I276" s="40" t="n">
        <f aca="false">(1+LivInf)^G276</f>
        <v>5.43654041258583</v>
      </c>
      <c r="J276" s="28" t="n">
        <f aca="false">$F$24*H276*F276</f>
        <v>0</v>
      </c>
      <c r="K276" s="28" t="n">
        <f aca="false">$F$25*H276*F276</f>
        <v>0</v>
      </c>
      <c r="L276" s="28" t="n">
        <f aca="false">$F$26*I276*F276</f>
        <v>0</v>
      </c>
      <c r="M276" s="28" t="n">
        <f aca="false">$F$27*I276*F276</f>
        <v>0</v>
      </c>
      <c r="N276" s="28" t="n">
        <f aca="false">$F$28*I276*F276</f>
        <v>0</v>
      </c>
      <c r="O276" s="28" t="n">
        <f aca="false">$F$29*I276*F276</f>
        <v>0</v>
      </c>
      <c r="P276" s="28" t="n">
        <f aca="false">$F$30*I276*F276</f>
        <v>0</v>
      </c>
      <c r="Q276" s="28" t="n">
        <f aca="false">$F$31*I276*F276</f>
        <v>0</v>
      </c>
      <c r="R276" s="28" t="n">
        <f aca="false">$F$32*I276*F276</f>
        <v>0</v>
      </c>
      <c r="S276" s="28" t="n">
        <f aca="false">IF(AND(F276&gt;0,E276=0),($F$33+$F$36)*H276+($F$34+$F$35)*I276,0)</f>
        <v>0</v>
      </c>
      <c r="T276" s="28" t="n">
        <f aca="false">SUM(J276:S276)</f>
        <v>0</v>
      </c>
      <c r="U276" s="28" t="n">
        <f aca="false">T276*Cont</f>
        <v>0</v>
      </c>
      <c r="V276" s="28" t="n">
        <f aca="false">MIN(J276,J276*$F$43)</f>
        <v>0</v>
      </c>
      <c r="W276" s="40" t="n">
        <f aca="false">$F$55*(1+FxDrift)^(A276-1)</f>
        <v>1</v>
      </c>
      <c r="X276" s="28" t="n">
        <f aca="false">(T276+U276)*W276</f>
        <v>0</v>
      </c>
      <c r="Y276" s="28" t="n">
        <f aca="false">IF(B276=1,MIN(X276,V276*W276+IF(F276&gt;0,$F$44*F276,0)),0)</f>
        <v>0</v>
      </c>
      <c r="Z276" s="41" t="n">
        <f aca="false">IF(B276=1,MAX(0,X276-(V276*W276+IF(F276&gt;0,$F$44*F276,0))),0)</f>
        <v>0</v>
      </c>
      <c r="AA276" s="28" t="n">
        <f aca="false">IF(B276=1,(J276+K276)*W276,0)</f>
        <v>0</v>
      </c>
      <c r="AB276" s="28" t="n">
        <f aca="false">IF(B276=1,SUM(L276:R276)*W276,0)</f>
        <v>0</v>
      </c>
      <c r="AC276" s="28" t="n">
        <f aca="false">IF(B276=1,(S276+U276)*W276,0)</f>
        <v>0</v>
      </c>
    </row>
    <row r="277" customFormat="false" ht="15" hidden="false" customHeight="false" outlineLevel="0" collapsed="false">
      <c r="A277" s="27" t="n">
        <v>24</v>
      </c>
      <c r="B277" s="27" t="n">
        <f aca="false">IF(AND(A277&lt;=$F$52,$F$47=1),1,0)</f>
        <v>0</v>
      </c>
      <c r="C277" s="27" t="str">
        <f aca="false">IF(B277=1,$F$7+A277-1,"")</f>
        <v/>
      </c>
      <c r="D277" s="28" t="str">
        <f aca="false">(PlanStartYear+A277-1)&amp;"/"&amp;RIGHT(PlanStartYear+A277,2)</f>
        <v>2049/50</v>
      </c>
      <c r="E277" s="27" t="n">
        <f aca="false">A277-1-$F$49</f>
        <v>23</v>
      </c>
      <c r="F277" s="39" t="n">
        <f aca="false">IF(AND(B277=1,E277&gt;=0,E277&lt;$F$50),MIN(1,$F$37-E277),0)</f>
        <v>0</v>
      </c>
      <c r="G277" s="27" t="n">
        <f aca="false">(A277-1)+$F$54</f>
        <v>23</v>
      </c>
      <c r="H277" s="40" t="n">
        <f aca="false">(1+TuiInf)^G277</f>
        <v>8.95430243255239</v>
      </c>
      <c r="I277" s="40" t="n">
        <f aca="false">(1+LivInf)^G277</f>
        <v>5.8714636455927</v>
      </c>
      <c r="J277" s="28" t="n">
        <f aca="false">$F$24*H277*F277</f>
        <v>0</v>
      </c>
      <c r="K277" s="28" t="n">
        <f aca="false">$F$25*H277*F277</f>
        <v>0</v>
      </c>
      <c r="L277" s="28" t="n">
        <f aca="false">$F$26*I277*F277</f>
        <v>0</v>
      </c>
      <c r="M277" s="28" t="n">
        <f aca="false">$F$27*I277*F277</f>
        <v>0</v>
      </c>
      <c r="N277" s="28" t="n">
        <f aca="false">$F$28*I277*F277</f>
        <v>0</v>
      </c>
      <c r="O277" s="28" t="n">
        <f aca="false">$F$29*I277*F277</f>
        <v>0</v>
      </c>
      <c r="P277" s="28" t="n">
        <f aca="false">$F$30*I277*F277</f>
        <v>0</v>
      </c>
      <c r="Q277" s="28" t="n">
        <f aca="false">$F$31*I277*F277</f>
        <v>0</v>
      </c>
      <c r="R277" s="28" t="n">
        <f aca="false">$F$32*I277*F277</f>
        <v>0</v>
      </c>
      <c r="S277" s="28" t="n">
        <f aca="false">IF(AND(F277&gt;0,E277=0),($F$33+$F$36)*H277+($F$34+$F$35)*I277,0)</f>
        <v>0</v>
      </c>
      <c r="T277" s="28" t="n">
        <f aca="false">SUM(J277:S277)</f>
        <v>0</v>
      </c>
      <c r="U277" s="28" t="n">
        <f aca="false">T277*Cont</f>
        <v>0</v>
      </c>
      <c r="V277" s="28" t="n">
        <f aca="false">MIN(J277,J277*$F$43)</f>
        <v>0</v>
      </c>
      <c r="W277" s="40" t="n">
        <f aca="false">$F$55*(1+FxDrift)^(A277-1)</f>
        <v>1</v>
      </c>
      <c r="X277" s="28" t="n">
        <f aca="false">(T277+U277)*W277</f>
        <v>0</v>
      </c>
      <c r="Y277" s="28" t="n">
        <f aca="false">IF(B277=1,MIN(X277,V277*W277+IF(F277&gt;0,$F$44*F277,0)),0)</f>
        <v>0</v>
      </c>
      <c r="Z277" s="41" t="n">
        <f aca="false">IF(B277=1,MAX(0,X277-(V277*W277+IF(F277&gt;0,$F$44*F277,0))),0)</f>
        <v>0</v>
      </c>
      <c r="AA277" s="28" t="n">
        <f aca="false">IF(B277=1,(J277+K277)*W277,0)</f>
        <v>0</v>
      </c>
      <c r="AB277" s="28" t="n">
        <f aca="false">IF(B277=1,SUM(L277:R277)*W277,0)</f>
        <v>0</v>
      </c>
      <c r="AC277" s="28" t="n">
        <f aca="false">IF(B277=1,(S277+U277)*W277,0)</f>
        <v>0</v>
      </c>
    </row>
    <row r="278" customFormat="false" ht="15" hidden="false" customHeight="false" outlineLevel="0" collapsed="false">
      <c r="A278" s="27" t="n">
        <v>25</v>
      </c>
      <c r="B278" s="27" t="n">
        <f aca="false">IF(AND(A278&lt;=$F$52,$F$47=1),1,0)</f>
        <v>0</v>
      </c>
      <c r="C278" s="27" t="str">
        <f aca="false">IF(B278=1,$F$7+A278-1,"")</f>
        <v/>
      </c>
      <c r="D278" s="28" t="str">
        <f aca="false">(PlanStartYear+A278-1)&amp;"/"&amp;RIGHT(PlanStartYear+A278,2)</f>
        <v>2050/51</v>
      </c>
      <c r="E278" s="27" t="n">
        <f aca="false">A278-1-$F$49</f>
        <v>24</v>
      </c>
      <c r="F278" s="39" t="n">
        <f aca="false">IF(AND(B278=1,E278&gt;=0,E278&lt;$F$50),MIN(1,$F$37-E278),0)</f>
        <v>0</v>
      </c>
      <c r="G278" s="27" t="n">
        <f aca="false">(A278-1)+$F$54</f>
        <v>24</v>
      </c>
      <c r="H278" s="40" t="n">
        <f aca="false">(1+TuiInf)^G278</f>
        <v>9.84973267580763</v>
      </c>
      <c r="I278" s="40" t="n">
        <f aca="false">(1+LivInf)^G278</f>
        <v>6.34118073724012</v>
      </c>
      <c r="J278" s="28" t="n">
        <f aca="false">$F$24*H278*F278</f>
        <v>0</v>
      </c>
      <c r="K278" s="28" t="n">
        <f aca="false">$F$25*H278*F278</f>
        <v>0</v>
      </c>
      <c r="L278" s="28" t="n">
        <f aca="false">$F$26*I278*F278</f>
        <v>0</v>
      </c>
      <c r="M278" s="28" t="n">
        <f aca="false">$F$27*I278*F278</f>
        <v>0</v>
      </c>
      <c r="N278" s="28" t="n">
        <f aca="false">$F$28*I278*F278</f>
        <v>0</v>
      </c>
      <c r="O278" s="28" t="n">
        <f aca="false">$F$29*I278*F278</f>
        <v>0</v>
      </c>
      <c r="P278" s="28" t="n">
        <f aca="false">$F$30*I278*F278</f>
        <v>0</v>
      </c>
      <c r="Q278" s="28" t="n">
        <f aca="false">$F$31*I278*F278</f>
        <v>0</v>
      </c>
      <c r="R278" s="28" t="n">
        <f aca="false">$F$32*I278*F278</f>
        <v>0</v>
      </c>
      <c r="S278" s="28" t="n">
        <f aca="false">IF(AND(F278&gt;0,E278=0),($F$33+$F$36)*H278+($F$34+$F$35)*I278,0)</f>
        <v>0</v>
      </c>
      <c r="T278" s="28" t="n">
        <f aca="false">SUM(J278:S278)</f>
        <v>0</v>
      </c>
      <c r="U278" s="28" t="n">
        <f aca="false">T278*Cont</f>
        <v>0</v>
      </c>
      <c r="V278" s="28" t="n">
        <f aca="false">MIN(J278,J278*$F$43)</f>
        <v>0</v>
      </c>
      <c r="W278" s="40" t="n">
        <f aca="false">$F$55*(1+FxDrift)^(A278-1)</f>
        <v>1</v>
      </c>
      <c r="X278" s="28" t="n">
        <f aca="false">(T278+U278)*W278</f>
        <v>0</v>
      </c>
      <c r="Y278" s="28" t="n">
        <f aca="false">IF(B278=1,MIN(X278,V278*W278+IF(F278&gt;0,$F$44*F278,0)),0)</f>
        <v>0</v>
      </c>
      <c r="Z278" s="41" t="n">
        <f aca="false">IF(B278=1,MAX(0,X278-(V278*W278+IF(F278&gt;0,$F$44*F278,0))),0)</f>
        <v>0</v>
      </c>
      <c r="AA278" s="28" t="n">
        <f aca="false">IF(B278=1,(J278+K278)*W278,0)</f>
        <v>0</v>
      </c>
      <c r="AB278" s="28" t="n">
        <f aca="false">IF(B278=1,SUM(L278:R278)*W278,0)</f>
        <v>0</v>
      </c>
      <c r="AC278" s="28" t="n">
        <f aca="false">IF(B278=1,(S278+U278)*W278,0)</f>
        <v>0</v>
      </c>
    </row>
    <row r="279" customFormat="false" ht="15" hidden="false" customHeight="false" outlineLevel="0" collapsed="false">
      <c r="A279" s="27" t="n">
        <v>26</v>
      </c>
      <c r="B279" s="27" t="n">
        <f aca="false">IF(AND(A279&lt;=$F$52,$F$47=1),1,0)</f>
        <v>0</v>
      </c>
      <c r="C279" s="27" t="str">
        <f aca="false">IF(B279=1,$F$7+A279-1,"")</f>
        <v/>
      </c>
      <c r="D279" s="28" t="str">
        <f aca="false">(PlanStartYear+A279-1)&amp;"/"&amp;RIGHT(PlanStartYear+A279,2)</f>
        <v>2051/52</v>
      </c>
      <c r="E279" s="27" t="n">
        <f aca="false">A279-1-$F$49</f>
        <v>25</v>
      </c>
      <c r="F279" s="39" t="n">
        <f aca="false">IF(AND(B279=1,E279&gt;=0,E279&lt;$F$50),MIN(1,$F$37-E279),0)</f>
        <v>0</v>
      </c>
      <c r="G279" s="27" t="n">
        <f aca="false">(A279-1)+$F$54</f>
        <v>25</v>
      </c>
      <c r="H279" s="40" t="n">
        <f aca="false">(1+TuiInf)^G279</f>
        <v>10.8347059433884</v>
      </c>
      <c r="I279" s="40" t="n">
        <f aca="false">(1+LivInf)^G279</f>
        <v>6.84847519621933</v>
      </c>
      <c r="J279" s="28" t="n">
        <f aca="false">$F$24*H279*F279</f>
        <v>0</v>
      </c>
      <c r="K279" s="28" t="n">
        <f aca="false">$F$25*H279*F279</f>
        <v>0</v>
      </c>
      <c r="L279" s="28" t="n">
        <f aca="false">$F$26*I279*F279</f>
        <v>0</v>
      </c>
      <c r="M279" s="28" t="n">
        <f aca="false">$F$27*I279*F279</f>
        <v>0</v>
      </c>
      <c r="N279" s="28" t="n">
        <f aca="false">$F$28*I279*F279</f>
        <v>0</v>
      </c>
      <c r="O279" s="28" t="n">
        <f aca="false">$F$29*I279*F279</f>
        <v>0</v>
      </c>
      <c r="P279" s="28" t="n">
        <f aca="false">$F$30*I279*F279</f>
        <v>0</v>
      </c>
      <c r="Q279" s="28" t="n">
        <f aca="false">$F$31*I279*F279</f>
        <v>0</v>
      </c>
      <c r="R279" s="28" t="n">
        <f aca="false">$F$32*I279*F279</f>
        <v>0</v>
      </c>
      <c r="S279" s="28" t="n">
        <f aca="false">IF(AND(F279&gt;0,E279=0),($F$33+$F$36)*H279+($F$34+$F$35)*I279,0)</f>
        <v>0</v>
      </c>
      <c r="T279" s="28" t="n">
        <f aca="false">SUM(J279:S279)</f>
        <v>0</v>
      </c>
      <c r="U279" s="28" t="n">
        <f aca="false">T279*Cont</f>
        <v>0</v>
      </c>
      <c r="V279" s="28" t="n">
        <f aca="false">MIN(J279,J279*$F$43)</f>
        <v>0</v>
      </c>
      <c r="W279" s="40" t="n">
        <f aca="false">$F$55*(1+FxDrift)^(A279-1)</f>
        <v>1</v>
      </c>
      <c r="X279" s="28" t="n">
        <f aca="false">(T279+U279)*W279</f>
        <v>0</v>
      </c>
      <c r="Y279" s="28" t="n">
        <f aca="false">IF(B279=1,MIN(X279,V279*W279+IF(F279&gt;0,$F$44*F279,0)),0)</f>
        <v>0</v>
      </c>
      <c r="Z279" s="41" t="n">
        <f aca="false">IF(B279=1,MAX(0,X279-(V279*W279+IF(F279&gt;0,$F$44*F279,0))),0)</f>
        <v>0</v>
      </c>
      <c r="AA279" s="28" t="n">
        <f aca="false">IF(B279=1,(J279+K279)*W279,0)</f>
        <v>0</v>
      </c>
      <c r="AB279" s="28" t="n">
        <f aca="false">IF(B279=1,SUM(L279:R279)*W279,0)</f>
        <v>0</v>
      </c>
      <c r="AC279" s="28" t="n">
        <f aca="false">IF(B279=1,(S279+U279)*W279,0)</f>
        <v>0</v>
      </c>
    </row>
    <row r="280" customFormat="false" ht="15" hidden="false" customHeight="false" outlineLevel="0" collapsed="false">
      <c r="A280" s="27" t="n">
        <v>27</v>
      </c>
      <c r="B280" s="27" t="n">
        <f aca="false">IF(AND(A280&lt;=$F$52,$F$47=1),1,0)</f>
        <v>0</v>
      </c>
      <c r="C280" s="27" t="str">
        <f aca="false">IF(B280=1,$F$7+A280-1,"")</f>
        <v/>
      </c>
      <c r="D280" s="28" t="str">
        <f aca="false">(PlanStartYear+A280-1)&amp;"/"&amp;RIGHT(PlanStartYear+A280,2)</f>
        <v>2052/53</v>
      </c>
      <c r="E280" s="27" t="n">
        <f aca="false">A280-1-$F$49</f>
        <v>26</v>
      </c>
      <c r="F280" s="39" t="n">
        <f aca="false">IF(AND(B280=1,E280&gt;=0,E280&lt;$F$50),MIN(1,$F$37-E280),0)</f>
        <v>0</v>
      </c>
      <c r="G280" s="27" t="n">
        <f aca="false">(A280-1)+$F$54</f>
        <v>26</v>
      </c>
      <c r="H280" s="40" t="n">
        <f aca="false">(1+TuiInf)^G280</f>
        <v>11.9181765377272</v>
      </c>
      <c r="I280" s="40" t="n">
        <f aca="false">(1+LivInf)^G280</f>
        <v>7.39635321191687</v>
      </c>
      <c r="J280" s="28" t="n">
        <f aca="false">$F$24*H280*F280</f>
        <v>0</v>
      </c>
      <c r="K280" s="28" t="n">
        <f aca="false">$F$25*H280*F280</f>
        <v>0</v>
      </c>
      <c r="L280" s="28" t="n">
        <f aca="false">$F$26*I280*F280</f>
        <v>0</v>
      </c>
      <c r="M280" s="28" t="n">
        <f aca="false">$F$27*I280*F280</f>
        <v>0</v>
      </c>
      <c r="N280" s="28" t="n">
        <f aca="false">$F$28*I280*F280</f>
        <v>0</v>
      </c>
      <c r="O280" s="28" t="n">
        <f aca="false">$F$29*I280*F280</f>
        <v>0</v>
      </c>
      <c r="P280" s="28" t="n">
        <f aca="false">$F$30*I280*F280</f>
        <v>0</v>
      </c>
      <c r="Q280" s="28" t="n">
        <f aca="false">$F$31*I280*F280</f>
        <v>0</v>
      </c>
      <c r="R280" s="28" t="n">
        <f aca="false">$F$32*I280*F280</f>
        <v>0</v>
      </c>
      <c r="S280" s="28" t="n">
        <f aca="false">IF(AND(F280&gt;0,E280=0),($F$33+$F$36)*H280+($F$34+$F$35)*I280,0)</f>
        <v>0</v>
      </c>
      <c r="T280" s="28" t="n">
        <f aca="false">SUM(J280:S280)</f>
        <v>0</v>
      </c>
      <c r="U280" s="28" t="n">
        <f aca="false">T280*Cont</f>
        <v>0</v>
      </c>
      <c r="V280" s="28" t="n">
        <f aca="false">MIN(J280,J280*$F$43)</f>
        <v>0</v>
      </c>
      <c r="W280" s="40" t="n">
        <f aca="false">$F$55*(1+FxDrift)^(A280-1)</f>
        <v>1</v>
      </c>
      <c r="X280" s="28" t="n">
        <f aca="false">(T280+U280)*W280</f>
        <v>0</v>
      </c>
      <c r="Y280" s="28" t="n">
        <f aca="false">IF(B280=1,MIN(X280,V280*W280+IF(F280&gt;0,$F$44*F280,0)),0)</f>
        <v>0</v>
      </c>
      <c r="Z280" s="41" t="n">
        <f aca="false">IF(B280=1,MAX(0,X280-(V280*W280+IF(F280&gt;0,$F$44*F280,0))),0)</f>
        <v>0</v>
      </c>
      <c r="AA280" s="28" t="n">
        <f aca="false">IF(B280=1,(J280+K280)*W280,0)</f>
        <v>0</v>
      </c>
      <c r="AB280" s="28" t="n">
        <f aca="false">IF(B280=1,SUM(L280:R280)*W280,0)</f>
        <v>0</v>
      </c>
      <c r="AC280" s="28" t="n">
        <f aca="false">IF(B280=1,(S280+U280)*W280,0)</f>
        <v>0</v>
      </c>
    </row>
    <row r="281" customFormat="false" ht="15" hidden="false" customHeight="false" outlineLevel="0" collapsed="false">
      <c r="A281" s="27" t="n">
        <v>28</v>
      </c>
      <c r="B281" s="27" t="n">
        <f aca="false">IF(AND(A281&lt;=$F$52,$F$47=1),1,0)</f>
        <v>0</v>
      </c>
      <c r="C281" s="27" t="str">
        <f aca="false">IF(B281=1,$F$7+A281-1,"")</f>
        <v/>
      </c>
      <c r="D281" s="28" t="str">
        <f aca="false">(PlanStartYear+A281-1)&amp;"/"&amp;RIGHT(PlanStartYear+A281,2)</f>
        <v>2053/54</v>
      </c>
      <c r="E281" s="27" t="n">
        <f aca="false">A281-1-$F$49</f>
        <v>27</v>
      </c>
      <c r="F281" s="39" t="n">
        <f aca="false">IF(AND(B281=1,E281&gt;=0,E281&lt;$F$50),MIN(1,$F$37-E281),0)</f>
        <v>0</v>
      </c>
      <c r="G281" s="27" t="n">
        <f aca="false">(A281-1)+$F$54</f>
        <v>27</v>
      </c>
      <c r="H281" s="40" t="n">
        <f aca="false">(1+TuiInf)^G281</f>
        <v>13.1099941915</v>
      </c>
      <c r="I281" s="40" t="n">
        <f aca="false">(1+LivInf)^G281</f>
        <v>7.98806146887022</v>
      </c>
      <c r="J281" s="28" t="n">
        <f aca="false">$F$24*H281*F281</f>
        <v>0</v>
      </c>
      <c r="K281" s="28" t="n">
        <f aca="false">$F$25*H281*F281</f>
        <v>0</v>
      </c>
      <c r="L281" s="28" t="n">
        <f aca="false">$F$26*I281*F281</f>
        <v>0</v>
      </c>
      <c r="M281" s="28" t="n">
        <f aca="false">$F$27*I281*F281</f>
        <v>0</v>
      </c>
      <c r="N281" s="28" t="n">
        <f aca="false">$F$28*I281*F281</f>
        <v>0</v>
      </c>
      <c r="O281" s="28" t="n">
        <f aca="false">$F$29*I281*F281</f>
        <v>0</v>
      </c>
      <c r="P281" s="28" t="n">
        <f aca="false">$F$30*I281*F281</f>
        <v>0</v>
      </c>
      <c r="Q281" s="28" t="n">
        <f aca="false">$F$31*I281*F281</f>
        <v>0</v>
      </c>
      <c r="R281" s="28" t="n">
        <f aca="false">$F$32*I281*F281</f>
        <v>0</v>
      </c>
      <c r="S281" s="28" t="n">
        <f aca="false">IF(AND(F281&gt;0,E281=0),($F$33+$F$36)*H281+($F$34+$F$35)*I281,0)</f>
        <v>0</v>
      </c>
      <c r="T281" s="28" t="n">
        <f aca="false">SUM(J281:S281)</f>
        <v>0</v>
      </c>
      <c r="U281" s="28" t="n">
        <f aca="false">T281*Cont</f>
        <v>0</v>
      </c>
      <c r="V281" s="28" t="n">
        <f aca="false">MIN(J281,J281*$F$43)</f>
        <v>0</v>
      </c>
      <c r="W281" s="40" t="n">
        <f aca="false">$F$55*(1+FxDrift)^(A281-1)</f>
        <v>1</v>
      </c>
      <c r="X281" s="28" t="n">
        <f aca="false">(T281+U281)*W281</f>
        <v>0</v>
      </c>
      <c r="Y281" s="28" t="n">
        <f aca="false">IF(B281=1,MIN(X281,V281*W281+IF(F281&gt;0,$F$44*F281,0)),0)</f>
        <v>0</v>
      </c>
      <c r="Z281" s="41" t="n">
        <f aca="false">IF(B281=1,MAX(0,X281-(V281*W281+IF(F281&gt;0,$F$44*F281,0))),0)</f>
        <v>0</v>
      </c>
      <c r="AA281" s="28" t="n">
        <f aca="false">IF(B281=1,(J281+K281)*W281,0)</f>
        <v>0</v>
      </c>
      <c r="AB281" s="28" t="n">
        <f aca="false">IF(B281=1,SUM(L281:R281)*W281,0)</f>
        <v>0</v>
      </c>
      <c r="AC281" s="28" t="n">
        <f aca="false">IF(B281=1,(S281+U281)*W281,0)</f>
        <v>0</v>
      </c>
    </row>
    <row r="282" customFormat="false" ht="15" hidden="false" customHeight="false" outlineLevel="0" collapsed="false">
      <c r="A282" s="27" t="n">
        <v>29</v>
      </c>
      <c r="B282" s="27" t="n">
        <f aca="false">IF(AND(A282&lt;=$F$52,$F$47=1),1,0)</f>
        <v>0</v>
      </c>
      <c r="C282" s="27" t="str">
        <f aca="false">IF(B282=1,$F$7+A282-1,"")</f>
        <v/>
      </c>
      <c r="D282" s="28" t="str">
        <f aca="false">(PlanStartYear+A282-1)&amp;"/"&amp;RIGHT(PlanStartYear+A282,2)</f>
        <v>2054/55</v>
      </c>
      <c r="E282" s="27" t="n">
        <f aca="false">A282-1-$F$49</f>
        <v>28</v>
      </c>
      <c r="F282" s="39" t="n">
        <f aca="false">IF(AND(B282=1,E282&gt;=0,E282&lt;$F$50),MIN(1,$F$37-E282),0)</f>
        <v>0</v>
      </c>
      <c r="G282" s="27" t="n">
        <f aca="false">(A282-1)+$F$54</f>
        <v>28</v>
      </c>
      <c r="H282" s="40" t="n">
        <f aca="false">(1+TuiInf)^G282</f>
        <v>14.42099361065</v>
      </c>
      <c r="I282" s="40" t="n">
        <f aca="false">(1+LivInf)^G282</f>
        <v>8.62710638637984</v>
      </c>
      <c r="J282" s="28" t="n">
        <f aca="false">$F$24*H282*F282</f>
        <v>0</v>
      </c>
      <c r="K282" s="28" t="n">
        <f aca="false">$F$25*H282*F282</f>
        <v>0</v>
      </c>
      <c r="L282" s="28" t="n">
        <f aca="false">$F$26*I282*F282</f>
        <v>0</v>
      </c>
      <c r="M282" s="28" t="n">
        <f aca="false">$F$27*I282*F282</f>
        <v>0</v>
      </c>
      <c r="N282" s="28" t="n">
        <f aca="false">$F$28*I282*F282</f>
        <v>0</v>
      </c>
      <c r="O282" s="28" t="n">
        <f aca="false">$F$29*I282*F282</f>
        <v>0</v>
      </c>
      <c r="P282" s="28" t="n">
        <f aca="false">$F$30*I282*F282</f>
        <v>0</v>
      </c>
      <c r="Q282" s="28" t="n">
        <f aca="false">$F$31*I282*F282</f>
        <v>0</v>
      </c>
      <c r="R282" s="28" t="n">
        <f aca="false">$F$32*I282*F282</f>
        <v>0</v>
      </c>
      <c r="S282" s="28" t="n">
        <f aca="false">IF(AND(F282&gt;0,E282=0),($F$33+$F$36)*H282+($F$34+$F$35)*I282,0)</f>
        <v>0</v>
      </c>
      <c r="T282" s="28" t="n">
        <f aca="false">SUM(J282:S282)</f>
        <v>0</v>
      </c>
      <c r="U282" s="28" t="n">
        <f aca="false">T282*Cont</f>
        <v>0</v>
      </c>
      <c r="V282" s="28" t="n">
        <f aca="false">MIN(J282,J282*$F$43)</f>
        <v>0</v>
      </c>
      <c r="W282" s="40" t="n">
        <f aca="false">$F$55*(1+FxDrift)^(A282-1)</f>
        <v>1</v>
      </c>
      <c r="X282" s="28" t="n">
        <f aca="false">(T282+U282)*W282</f>
        <v>0</v>
      </c>
      <c r="Y282" s="28" t="n">
        <f aca="false">IF(B282=1,MIN(X282,V282*W282+IF(F282&gt;0,$F$44*F282,0)),0)</f>
        <v>0</v>
      </c>
      <c r="Z282" s="41" t="n">
        <f aca="false">IF(B282=1,MAX(0,X282-(V282*W282+IF(F282&gt;0,$F$44*F282,0))),0)</f>
        <v>0</v>
      </c>
      <c r="AA282" s="28" t="n">
        <f aca="false">IF(B282=1,(J282+K282)*W282,0)</f>
        <v>0</v>
      </c>
      <c r="AB282" s="28" t="n">
        <f aca="false">IF(B282=1,SUM(L282:R282)*W282,0)</f>
        <v>0</v>
      </c>
      <c r="AC282" s="28" t="n">
        <f aca="false">IF(B282=1,(S282+U282)*W282,0)</f>
        <v>0</v>
      </c>
    </row>
    <row r="283" customFormat="false" ht="15" hidden="false" customHeight="false" outlineLevel="0" collapsed="false">
      <c r="A283" s="27" t="n">
        <v>30</v>
      </c>
      <c r="B283" s="27" t="n">
        <f aca="false">IF(AND(A283&lt;=$F$52,$F$47=1),1,0)</f>
        <v>0</v>
      </c>
      <c r="C283" s="27" t="str">
        <f aca="false">IF(B283=1,$F$7+A283-1,"")</f>
        <v/>
      </c>
      <c r="D283" s="28" t="str">
        <f aca="false">(PlanStartYear+A283-1)&amp;"/"&amp;RIGHT(PlanStartYear+A283,2)</f>
        <v>2055/56</v>
      </c>
      <c r="E283" s="27" t="n">
        <f aca="false">A283-1-$F$49</f>
        <v>29</v>
      </c>
      <c r="F283" s="39" t="n">
        <f aca="false">IF(AND(B283=1,E283&gt;=0,E283&lt;$F$50),MIN(1,$F$37-E283),0)</f>
        <v>0</v>
      </c>
      <c r="G283" s="27" t="n">
        <f aca="false">(A283-1)+$F$54</f>
        <v>29</v>
      </c>
      <c r="H283" s="40" t="n">
        <f aca="false">(1+TuiInf)^G283</f>
        <v>15.863092971715</v>
      </c>
      <c r="I283" s="40" t="n">
        <f aca="false">(1+LivInf)^G283</f>
        <v>9.31727489729023</v>
      </c>
      <c r="J283" s="28" t="n">
        <f aca="false">$F$24*H283*F283</f>
        <v>0</v>
      </c>
      <c r="K283" s="28" t="n">
        <f aca="false">$F$25*H283*F283</f>
        <v>0</v>
      </c>
      <c r="L283" s="28" t="n">
        <f aca="false">$F$26*I283*F283</f>
        <v>0</v>
      </c>
      <c r="M283" s="28" t="n">
        <f aca="false">$F$27*I283*F283</f>
        <v>0</v>
      </c>
      <c r="N283" s="28" t="n">
        <f aca="false">$F$28*I283*F283</f>
        <v>0</v>
      </c>
      <c r="O283" s="28" t="n">
        <f aca="false">$F$29*I283*F283</f>
        <v>0</v>
      </c>
      <c r="P283" s="28" t="n">
        <f aca="false">$F$30*I283*F283</f>
        <v>0</v>
      </c>
      <c r="Q283" s="28" t="n">
        <f aca="false">$F$31*I283*F283</f>
        <v>0</v>
      </c>
      <c r="R283" s="28" t="n">
        <f aca="false">$F$32*I283*F283</f>
        <v>0</v>
      </c>
      <c r="S283" s="28" t="n">
        <f aca="false">IF(AND(F283&gt;0,E283=0),($F$33+$F$36)*H283+($F$34+$F$35)*I283,0)</f>
        <v>0</v>
      </c>
      <c r="T283" s="28" t="n">
        <f aca="false">SUM(J283:S283)</f>
        <v>0</v>
      </c>
      <c r="U283" s="28" t="n">
        <f aca="false">T283*Cont</f>
        <v>0</v>
      </c>
      <c r="V283" s="28" t="n">
        <f aca="false">MIN(J283,J283*$F$43)</f>
        <v>0</v>
      </c>
      <c r="W283" s="40" t="n">
        <f aca="false">$F$55*(1+FxDrift)^(A283-1)</f>
        <v>1</v>
      </c>
      <c r="X283" s="28" t="n">
        <f aca="false">(T283+U283)*W283</f>
        <v>0</v>
      </c>
      <c r="Y283" s="28" t="n">
        <f aca="false">IF(B283=1,MIN(X283,V283*W283+IF(F283&gt;0,$F$44*F283,0)),0)</f>
        <v>0</v>
      </c>
      <c r="Z283" s="41" t="n">
        <f aca="false">IF(B283=1,MAX(0,X283-(V283*W283+IF(F283&gt;0,$F$44*F283,0))),0)</f>
        <v>0</v>
      </c>
      <c r="AA283" s="28" t="n">
        <f aca="false">IF(B283=1,(J283+K283)*W283,0)</f>
        <v>0</v>
      </c>
      <c r="AB283" s="28" t="n">
        <f aca="false">IF(B283=1,SUM(L283:R283)*W283,0)</f>
        <v>0</v>
      </c>
      <c r="AC283" s="28" t="n">
        <f aca="false">IF(B283=1,(S283+U283)*W283,0)</f>
        <v>0</v>
      </c>
    </row>
    <row r="284" customFormat="false" ht="15" hidden="false" customHeight="false" outlineLevel="0" collapsed="false">
      <c r="A284" s="27" t="n">
        <v>31</v>
      </c>
      <c r="B284" s="27" t="n">
        <f aca="false">IF(AND(A284&lt;=$F$52,$F$47=1),1,0)</f>
        <v>0</v>
      </c>
      <c r="C284" s="27" t="str">
        <f aca="false">IF(B284=1,$F$7+A284-1,"")</f>
        <v/>
      </c>
      <c r="D284" s="28" t="str">
        <f aca="false">(PlanStartYear+A284-1)&amp;"/"&amp;RIGHT(PlanStartYear+A284,2)</f>
        <v>2056/57</v>
      </c>
      <c r="E284" s="27" t="n">
        <f aca="false">A284-1-$F$49</f>
        <v>30</v>
      </c>
      <c r="F284" s="39" t="n">
        <f aca="false">IF(AND(B284=1,E284&gt;=0,E284&lt;$F$50),MIN(1,$F$37-E284),0)</f>
        <v>0</v>
      </c>
      <c r="G284" s="27" t="n">
        <f aca="false">(A284-1)+$F$54</f>
        <v>30</v>
      </c>
      <c r="H284" s="40" t="n">
        <f aca="false">(1+TuiInf)^G284</f>
        <v>17.4494022688865</v>
      </c>
      <c r="I284" s="40" t="n">
        <f aca="false">(1+LivInf)^G284</f>
        <v>10.0626568890735</v>
      </c>
      <c r="J284" s="28" t="n">
        <f aca="false">$F$24*H284*F284</f>
        <v>0</v>
      </c>
      <c r="K284" s="28" t="n">
        <f aca="false">$F$25*H284*F284</f>
        <v>0</v>
      </c>
      <c r="L284" s="28" t="n">
        <f aca="false">$F$26*I284*F284</f>
        <v>0</v>
      </c>
      <c r="M284" s="28" t="n">
        <f aca="false">$F$27*I284*F284</f>
        <v>0</v>
      </c>
      <c r="N284" s="28" t="n">
        <f aca="false">$F$28*I284*F284</f>
        <v>0</v>
      </c>
      <c r="O284" s="28" t="n">
        <f aca="false">$F$29*I284*F284</f>
        <v>0</v>
      </c>
      <c r="P284" s="28" t="n">
        <f aca="false">$F$30*I284*F284</f>
        <v>0</v>
      </c>
      <c r="Q284" s="28" t="n">
        <f aca="false">$F$31*I284*F284</f>
        <v>0</v>
      </c>
      <c r="R284" s="28" t="n">
        <f aca="false">$F$32*I284*F284</f>
        <v>0</v>
      </c>
      <c r="S284" s="28" t="n">
        <f aca="false">IF(AND(F284&gt;0,E284=0),($F$33+$F$36)*H284+($F$34+$F$35)*I284,0)</f>
        <v>0</v>
      </c>
      <c r="T284" s="28" t="n">
        <f aca="false">SUM(J284:S284)</f>
        <v>0</v>
      </c>
      <c r="U284" s="28" t="n">
        <f aca="false">T284*Cont</f>
        <v>0</v>
      </c>
      <c r="V284" s="28" t="n">
        <f aca="false">MIN(J284,J284*$F$43)</f>
        <v>0</v>
      </c>
      <c r="W284" s="40" t="n">
        <f aca="false">$F$55*(1+FxDrift)^(A284-1)</f>
        <v>1</v>
      </c>
      <c r="X284" s="28" t="n">
        <f aca="false">(T284+U284)*W284</f>
        <v>0</v>
      </c>
      <c r="Y284" s="28" t="n">
        <f aca="false">IF(B284=1,MIN(X284,V284*W284+IF(F284&gt;0,$F$44*F284,0)),0)</f>
        <v>0</v>
      </c>
      <c r="Z284" s="41" t="n">
        <f aca="false">IF(B284=1,MAX(0,X284-(V284*W284+IF(F284&gt;0,$F$44*F284,0))),0)</f>
        <v>0</v>
      </c>
      <c r="AA284" s="28" t="n">
        <f aca="false">IF(B284=1,(J284+K284)*W284,0)</f>
        <v>0</v>
      </c>
      <c r="AB284" s="28" t="n">
        <f aca="false">IF(B284=1,SUM(L284:R284)*W284,0)</f>
        <v>0</v>
      </c>
      <c r="AC284" s="28" t="n">
        <f aca="false">IF(B284=1,(S284+U284)*W284,0)</f>
        <v>0</v>
      </c>
    </row>
    <row r="285" customFormat="false" ht="15" hidden="false" customHeight="false" outlineLevel="0" collapsed="false">
      <c r="A285" s="27" t="n">
        <v>32</v>
      </c>
      <c r="B285" s="27" t="n">
        <f aca="false">IF(AND(A285&lt;=$F$52,$F$47=1),1,0)</f>
        <v>0</v>
      </c>
      <c r="C285" s="27" t="str">
        <f aca="false">IF(B285=1,$F$7+A285-1,"")</f>
        <v/>
      </c>
      <c r="D285" s="28" t="str">
        <f aca="false">(PlanStartYear+A285-1)&amp;"/"&amp;RIGHT(PlanStartYear+A285,2)</f>
        <v>2057/58</v>
      </c>
      <c r="E285" s="27" t="n">
        <f aca="false">A285-1-$F$49</f>
        <v>31</v>
      </c>
      <c r="F285" s="39" t="n">
        <f aca="false">IF(AND(B285=1,E285&gt;=0,E285&lt;$F$50),MIN(1,$F$37-E285),0)</f>
        <v>0</v>
      </c>
      <c r="G285" s="27" t="n">
        <f aca="false">(A285-1)+$F$54</f>
        <v>31</v>
      </c>
      <c r="H285" s="40" t="n">
        <f aca="false">(1+TuiInf)^G285</f>
        <v>19.1943424957751</v>
      </c>
      <c r="I285" s="40" t="n">
        <f aca="false">(1+LivInf)^G285</f>
        <v>10.8676694401993</v>
      </c>
      <c r="J285" s="28" t="n">
        <f aca="false">$F$24*H285*F285</f>
        <v>0</v>
      </c>
      <c r="K285" s="28" t="n">
        <f aca="false">$F$25*H285*F285</f>
        <v>0</v>
      </c>
      <c r="L285" s="28" t="n">
        <f aca="false">$F$26*I285*F285</f>
        <v>0</v>
      </c>
      <c r="M285" s="28" t="n">
        <f aca="false">$F$27*I285*F285</f>
        <v>0</v>
      </c>
      <c r="N285" s="28" t="n">
        <f aca="false">$F$28*I285*F285</f>
        <v>0</v>
      </c>
      <c r="O285" s="28" t="n">
        <f aca="false">$F$29*I285*F285</f>
        <v>0</v>
      </c>
      <c r="P285" s="28" t="n">
        <f aca="false">$F$30*I285*F285</f>
        <v>0</v>
      </c>
      <c r="Q285" s="28" t="n">
        <f aca="false">$F$31*I285*F285</f>
        <v>0</v>
      </c>
      <c r="R285" s="28" t="n">
        <f aca="false">$F$32*I285*F285</f>
        <v>0</v>
      </c>
      <c r="S285" s="28" t="n">
        <f aca="false">IF(AND(F285&gt;0,E285=0),($F$33+$F$36)*H285+($F$34+$F$35)*I285,0)</f>
        <v>0</v>
      </c>
      <c r="T285" s="28" t="n">
        <f aca="false">SUM(J285:S285)</f>
        <v>0</v>
      </c>
      <c r="U285" s="28" t="n">
        <f aca="false">T285*Cont</f>
        <v>0</v>
      </c>
      <c r="V285" s="28" t="n">
        <f aca="false">MIN(J285,J285*$F$43)</f>
        <v>0</v>
      </c>
      <c r="W285" s="40" t="n">
        <f aca="false">$F$55*(1+FxDrift)^(A285-1)</f>
        <v>1</v>
      </c>
      <c r="X285" s="28" t="n">
        <f aca="false">(T285+U285)*W285</f>
        <v>0</v>
      </c>
      <c r="Y285" s="28" t="n">
        <f aca="false">IF(B285=1,MIN(X285,V285*W285+IF(F285&gt;0,$F$44*F285,0)),0)</f>
        <v>0</v>
      </c>
      <c r="Z285" s="41" t="n">
        <f aca="false">IF(B285=1,MAX(0,X285-(V285*W285+IF(F285&gt;0,$F$44*F285,0))),0)</f>
        <v>0</v>
      </c>
      <c r="AA285" s="28" t="n">
        <f aca="false">IF(B285=1,(J285+K285)*W285,0)</f>
        <v>0</v>
      </c>
      <c r="AB285" s="28" t="n">
        <f aca="false">IF(B285=1,SUM(L285:R285)*W285,0)</f>
        <v>0</v>
      </c>
      <c r="AC285" s="28" t="n">
        <f aca="false">IF(B285=1,(S285+U285)*W285,0)</f>
        <v>0</v>
      </c>
    </row>
    <row r="286" customFormat="false" ht="15" hidden="false" customHeight="false" outlineLevel="0" collapsed="false">
      <c r="A286" s="27" t="n">
        <v>33</v>
      </c>
      <c r="B286" s="27" t="n">
        <f aca="false">IF(AND(A286&lt;=$F$52,$F$47=1),1,0)</f>
        <v>0</v>
      </c>
      <c r="C286" s="27" t="str">
        <f aca="false">IF(B286=1,$F$7+A286-1,"")</f>
        <v/>
      </c>
      <c r="D286" s="28" t="str">
        <f aca="false">(PlanStartYear+A286-1)&amp;"/"&amp;RIGHT(PlanStartYear+A286,2)</f>
        <v>2058/59</v>
      </c>
      <c r="E286" s="27" t="n">
        <f aca="false">A286-1-$F$49</f>
        <v>32</v>
      </c>
      <c r="F286" s="39" t="n">
        <f aca="false">IF(AND(B286=1,E286&gt;=0,E286&lt;$F$50),MIN(1,$F$37-E286),0)</f>
        <v>0</v>
      </c>
      <c r="G286" s="27" t="n">
        <f aca="false">(A286-1)+$F$54</f>
        <v>32</v>
      </c>
      <c r="H286" s="40" t="n">
        <f aca="false">(1+TuiInf)^G286</f>
        <v>21.1137767453526</v>
      </c>
      <c r="I286" s="40" t="n">
        <f aca="false">(1+LivInf)^G286</f>
        <v>11.7370829954153</v>
      </c>
      <c r="J286" s="28" t="n">
        <f aca="false">$F$24*H286*F286</f>
        <v>0</v>
      </c>
      <c r="K286" s="28" t="n">
        <f aca="false">$F$25*H286*F286</f>
        <v>0</v>
      </c>
      <c r="L286" s="28" t="n">
        <f aca="false">$F$26*I286*F286</f>
        <v>0</v>
      </c>
      <c r="M286" s="28" t="n">
        <f aca="false">$F$27*I286*F286</f>
        <v>0</v>
      </c>
      <c r="N286" s="28" t="n">
        <f aca="false">$F$28*I286*F286</f>
        <v>0</v>
      </c>
      <c r="O286" s="28" t="n">
        <f aca="false">$F$29*I286*F286</f>
        <v>0</v>
      </c>
      <c r="P286" s="28" t="n">
        <f aca="false">$F$30*I286*F286</f>
        <v>0</v>
      </c>
      <c r="Q286" s="28" t="n">
        <f aca="false">$F$31*I286*F286</f>
        <v>0</v>
      </c>
      <c r="R286" s="28" t="n">
        <f aca="false">$F$32*I286*F286</f>
        <v>0</v>
      </c>
      <c r="S286" s="28" t="n">
        <f aca="false">IF(AND(F286&gt;0,E286=0),($F$33+$F$36)*H286+($F$34+$F$35)*I286,0)</f>
        <v>0</v>
      </c>
      <c r="T286" s="28" t="n">
        <f aca="false">SUM(J286:S286)</f>
        <v>0</v>
      </c>
      <c r="U286" s="28" t="n">
        <f aca="false">T286*Cont</f>
        <v>0</v>
      </c>
      <c r="V286" s="28" t="n">
        <f aca="false">MIN(J286,J286*$F$43)</f>
        <v>0</v>
      </c>
      <c r="W286" s="40" t="n">
        <f aca="false">$F$55*(1+FxDrift)^(A286-1)</f>
        <v>1</v>
      </c>
      <c r="X286" s="28" t="n">
        <f aca="false">(T286+U286)*W286</f>
        <v>0</v>
      </c>
      <c r="Y286" s="28" t="n">
        <f aca="false">IF(B286=1,MIN(X286,V286*W286+IF(F286&gt;0,$F$44*F286,0)),0)</f>
        <v>0</v>
      </c>
      <c r="Z286" s="41" t="n">
        <f aca="false">IF(B286=1,MAX(0,X286-(V286*W286+IF(F286&gt;0,$F$44*F286,0))),0)</f>
        <v>0</v>
      </c>
      <c r="AA286" s="28" t="n">
        <f aca="false">IF(B286=1,(J286+K286)*W286,0)</f>
        <v>0</v>
      </c>
      <c r="AB286" s="28" t="n">
        <f aca="false">IF(B286=1,SUM(L286:R286)*W286,0)</f>
        <v>0</v>
      </c>
      <c r="AC286" s="28" t="n">
        <f aca="false">IF(B286=1,(S286+U286)*W286,0)</f>
        <v>0</v>
      </c>
    </row>
    <row r="287" customFormat="false" ht="15" hidden="false" customHeight="false" outlineLevel="0" collapsed="false">
      <c r="A287" s="27" t="n">
        <v>34</v>
      </c>
      <c r="B287" s="27" t="n">
        <f aca="false">IF(AND(A287&lt;=$F$52,$F$47=1),1,0)</f>
        <v>0</v>
      </c>
      <c r="C287" s="27" t="str">
        <f aca="false">IF(B287=1,$F$7+A287-1,"")</f>
        <v/>
      </c>
      <c r="D287" s="28" t="str">
        <f aca="false">(PlanStartYear+A287-1)&amp;"/"&amp;RIGHT(PlanStartYear+A287,2)</f>
        <v>2059/60</v>
      </c>
      <c r="E287" s="27" t="n">
        <f aca="false">A287-1-$F$49</f>
        <v>33</v>
      </c>
      <c r="F287" s="39" t="n">
        <f aca="false">IF(AND(B287=1,E287&gt;=0,E287&lt;$F$50),MIN(1,$F$37-E287),0)</f>
        <v>0</v>
      </c>
      <c r="G287" s="27" t="n">
        <f aca="false">(A287-1)+$F$54</f>
        <v>33</v>
      </c>
      <c r="H287" s="40" t="n">
        <f aca="false">(1+TuiInf)^G287</f>
        <v>23.2251544198879</v>
      </c>
      <c r="I287" s="40" t="n">
        <f aca="false">(1+LivInf)^G287</f>
        <v>12.6760496350485</v>
      </c>
      <c r="J287" s="28" t="n">
        <f aca="false">$F$24*H287*F287</f>
        <v>0</v>
      </c>
      <c r="K287" s="28" t="n">
        <f aca="false">$F$25*H287*F287</f>
        <v>0</v>
      </c>
      <c r="L287" s="28" t="n">
        <f aca="false">$F$26*I287*F287</f>
        <v>0</v>
      </c>
      <c r="M287" s="28" t="n">
        <f aca="false">$F$27*I287*F287</f>
        <v>0</v>
      </c>
      <c r="N287" s="28" t="n">
        <f aca="false">$F$28*I287*F287</f>
        <v>0</v>
      </c>
      <c r="O287" s="28" t="n">
        <f aca="false">$F$29*I287*F287</f>
        <v>0</v>
      </c>
      <c r="P287" s="28" t="n">
        <f aca="false">$F$30*I287*F287</f>
        <v>0</v>
      </c>
      <c r="Q287" s="28" t="n">
        <f aca="false">$F$31*I287*F287</f>
        <v>0</v>
      </c>
      <c r="R287" s="28" t="n">
        <f aca="false">$F$32*I287*F287</f>
        <v>0</v>
      </c>
      <c r="S287" s="28" t="n">
        <f aca="false">IF(AND(F287&gt;0,E287=0),($F$33+$F$36)*H287+($F$34+$F$35)*I287,0)</f>
        <v>0</v>
      </c>
      <c r="T287" s="28" t="n">
        <f aca="false">SUM(J287:S287)</f>
        <v>0</v>
      </c>
      <c r="U287" s="28" t="n">
        <f aca="false">T287*Cont</f>
        <v>0</v>
      </c>
      <c r="V287" s="28" t="n">
        <f aca="false">MIN(J287,J287*$F$43)</f>
        <v>0</v>
      </c>
      <c r="W287" s="40" t="n">
        <f aca="false">$F$55*(1+FxDrift)^(A287-1)</f>
        <v>1</v>
      </c>
      <c r="X287" s="28" t="n">
        <f aca="false">(T287+U287)*W287</f>
        <v>0</v>
      </c>
      <c r="Y287" s="28" t="n">
        <f aca="false">IF(B287=1,MIN(X287,V287*W287+IF(F287&gt;0,$F$44*F287,0)),0)</f>
        <v>0</v>
      </c>
      <c r="Z287" s="41" t="n">
        <f aca="false">IF(B287=1,MAX(0,X287-(V287*W287+IF(F287&gt;0,$F$44*F287,0))),0)</f>
        <v>0</v>
      </c>
      <c r="AA287" s="28" t="n">
        <f aca="false">IF(B287=1,(J287+K287)*W287,0)</f>
        <v>0</v>
      </c>
      <c r="AB287" s="28" t="n">
        <f aca="false">IF(B287=1,SUM(L287:R287)*W287,0)</f>
        <v>0</v>
      </c>
      <c r="AC287" s="28" t="n">
        <f aca="false">IF(B287=1,(S287+U287)*W287,0)</f>
        <v>0</v>
      </c>
    </row>
    <row r="288" customFormat="false" ht="15" hidden="false" customHeight="false" outlineLevel="0" collapsed="false">
      <c r="A288" s="27" t="n">
        <v>35</v>
      </c>
      <c r="B288" s="27" t="n">
        <f aca="false">IF(AND(A288&lt;=$F$52,$F$47=1),1,0)</f>
        <v>0</v>
      </c>
      <c r="C288" s="27" t="str">
        <f aca="false">IF(B288=1,$F$7+A288-1,"")</f>
        <v/>
      </c>
      <c r="D288" s="28" t="str">
        <f aca="false">(PlanStartYear+A288-1)&amp;"/"&amp;RIGHT(PlanStartYear+A288,2)</f>
        <v>2060/61</v>
      </c>
      <c r="E288" s="27" t="n">
        <f aca="false">A288-1-$F$49</f>
        <v>34</v>
      </c>
      <c r="F288" s="39" t="n">
        <f aca="false">IF(AND(B288=1,E288&gt;=0,E288&lt;$F$50),MIN(1,$F$37-E288),0)</f>
        <v>0</v>
      </c>
      <c r="G288" s="27" t="n">
        <f aca="false">(A288-1)+$F$54</f>
        <v>34</v>
      </c>
      <c r="H288" s="40" t="n">
        <f aca="false">(1+TuiInf)^G288</f>
        <v>25.5476698618767</v>
      </c>
      <c r="I288" s="40" t="n">
        <f aca="false">(1+LivInf)^G288</f>
        <v>13.6901336058524</v>
      </c>
      <c r="J288" s="28" t="n">
        <f aca="false">$F$24*H288*F288</f>
        <v>0</v>
      </c>
      <c r="K288" s="28" t="n">
        <f aca="false">$F$25*H288*F288</f>
        <v>0</v>
      </c>
      <c r="L288" s="28" t="n">
        <f aca="false">$F$26*I288*F288</f>
        <v>0</v>
      </c>
      <c r="M288" s="28" t="n">
        <f aca="false">$F$27*I288*F288</f>
        <v>0</v>
      </c>
      <c r="N288" s="28" t="n">
        <f aca="false">$F$28*I288*F288</f>
        <v>0</v>
      </c>
      <c r="O288" s="28" t="n">
        <f aca="false">$F$29*I288*F288</f>
        <v>0</v>
      </c>
      <c r="P288" s="28" t="n">
        <f aca="false">$F$30*I288*F288</f>
        <v>0</v>
      </c>
      <c r="Q288" s="28" t="n">
        <f aca="false">$F$31*I288*F288</f>
        <v>0</v>
      </c>
      <c r="R288" s="28" t="n">
        <f aca="false">$F$32*I288*F288</f>
        <v>0</v>
      </c>
      <c r="S288" s="28" t="n">
        <f aca="false">IF(AND(F288&gt;0,E288=0),($F$33+$F$36)*H288+($F$34+$F$35)*I288,0)</f>
        <v>0</v>
      </c>
      <c r="T288" s="28" t="n">
        <f aca="false">SUM(J288:S288)</f>
        <v>0</v>
      </c>
      <c r="U288" s="28" t="n">
        <f aca="false">T288*Cont</f>
        <v>0</v>
      </c>
      <c r="V288" s="28" t="n">
        <f aca="false">MIN(J288,J288*$F$43)</f>
        <v>0</v>
      </c>
      <c r="W288" s="40" t="n">
        <f aca="false">$F$55*(1+FxDrift)^(A288-1)</f>
        <v>1</v>
      </c>
      <c r="X288" s="28" t="n">
        <f aca="false">(T288+U288)*W288</f>
        <v>0</v>
      </c>
      <c r="Y288" s="28" t="n">
        <f aca="false">IF(B288=1,MIN(X288,V288*W288+IF(F288&gt;0,$F$44*F288,0)),0)</f>
        <v>0</v>
      </c>
      <c r="Z288" s="41" t="n">
        <f aca="false">IF(B288=1,MAX(0,X288-(V288*W288+IF(F288&gt;0,$F$44*F288,0))),0)</f>
        <v>0</v>
      </c>
      <c r="AA288" s="28" t="n">
        <f aca="false">IF(B288=1,(J288+K288)*W288,0)</f>
        <v>0</v>
      </c>
      <c r="AB288" s="28" t="n">
        <f aca="false">IF(B288=1,SUM(L288:R288)*W288,0)</f>
        <v>0</v>
      </c>
      <c r="AC288" s="28" t="n">
        <f aca="false">IF(B288=1,(S288+U288)*W288,0)</f>
        <v>0</v>
      </c>
    </row>
    <row r="289" customFormat="false" ht="15" hidden="false" customHeight="false" outlineLevel="0" collapsed="false">
      <c r="A289" s="27" t="n">
        <v>36</v>
      </c>
      <c r="B289" s="27" t="n">
        <f aca="false">IF(AND(A289&lt;=$F$52,$F$47=1),1,0)</f>
        <v>0</v>
      </c>
      <c r="C289" s="27" t="str">
        <f aca="false">IF(B289=1,$F$7+A289-1,"")</f>
        <v/>
      </c>
      <c r="D289" s="28" t="str">
        <f aca="false">(PlanStartYear+A289-1)&amp;"/"&amp;RIGHT(PlanStartYear+A289,2)</f>
        <v>2061/62</v>
      </c>
      <c r="E289" s="27" t="n">
        <f aca="false">A289-1-$F$49</f>
        <v>35</v>
      </c>
      <c r="F289" s="39" t="n">
        <f aca="false">IF(AND(B289=1,E289&gt;=0,E289&lt;$F$50),MIN(1,$F$37-E289),0)</f>
        <v>0</v>
      </c>
      <c r="G289" s="27" t="n">
        <f aca="false">(A289-1)+$F$54</f>
        <v>35</v>
      </c>
      <c r="H289" s="40" t="n">
        <f aca="false">(1+TuiInf)^G289</f>
        <v>28.1024368480643</v>
      </c>
      <c r="I289" s="40" t="n">
        <f aca="false">(1+LivInf)^G289</f>
        <v>14.7853442943206</v>
      </c>
      <c r="J289" s="28" t="n">
        <f aca="false">$F$24*H289*F289</f>
        <v>0</v>
      </c>
      <c r="K289" s="28" t="n">
        <f aca="false">$F$25*H289*F289</f>
        <v>0</v>
      </c>
      <c r="L289" s="28" t="n">
        <f aca="false">$F$26*I289*F289</f>
        <v>0</v>
      </c>
      <c r="M289" s="28" t="n">
        <f aca="false">$F$27*I289*F289</f>
        <v>0</v>
      </c>
      <c r="N289" s="28" t="n">
        <f aca="false">$F$28*I289*F289</f>
        <v>0</v>
      </c>
      <c r="O289" s="28" t="n">
        <f aca="false">$F$29*I289*F289</f>
        <v>0</v>
      </c>
      <c r="P289" s="28" t="n">
        <f aca="false">$F$30*I289*F289</f>
        <v>0</v>
      </c>
      <c r="Q289" s="28" t="n">
        <f aca="false">$F$31*I289*F289</f>
        <v>0</v>
      </c>
      <c r="R289" s="28" t="n">
        <f aca="false">$F$32*I289*F289</f>
        <v>0</v>
      </c>
      <c r="S289" s="28" t="n">
        <f aca="false">IF(AND(F289&gt;0,E289=0),($F$33+$F$36)*H289+($F$34+$F$35)*I289,0)</f>
        <v>0</v>
      </c>
      <c r="T289" s="28" t="n">
        <f aca="false">SUM(J289:S289)</f>
        <v>0</v>
      </c>
      <c r="U289" s="28" t="n">
        <f aca="false">T289*Cont</f>
        <v>0</v>
      </c>
      <c r="V289" s="28" t="n">
        <f aca="false">MIN(J289,J289*$F$43)</f>
        <v>0</v>
      </c>
      <c r="W289" s="40" t="n">
        <f aca="false">$F$55*(1+FxDrift)^(A289-1)</f>
        <v>1</v>
      </c>
      <c r="X289" s="28" t="n">
        <f aca="false">(T289+U289)*W289</f>
        <v>0</v>
      </c>
      <c r="Y289" s="28" t="n">
        <f aca="false">IF(B289=1,MIN(X289,V289*W289+IF(F289&gt;0,$F$44*F289,0)),0)</f>
        <v>0</v>
      </c>
      <c r="Z289" s="41" t="n">
        <f aca="false">IF(B289=1,MAX(0,X289-(V289*W289+IF(F289&gt;0,$F$44*F289,0))),0)</f>
        <v>0</v>
      </c>
      <c r="AA289" s="28" t="n">
        <f aca="false">IF(B289=1,(J289+K289)*W289,0)</f>
        <v>0</v>
      </c>
      <c r="AB289" s="28" t="n">
        <f aca="false">IF(B289=1,SUM(L289:R289)*W289,0)</f>
        <v>0</v>
      </c>
      <c r="AC289" s="28" t="n">
        <f aca="false">IF(B289=1,(S289+U289)*W289,0)</f>
        <v>0</v>
      </c>
    </row>
    <row r="290" customFormat="false" ht="15" hidden="false" customHeight="false" outlineLevel="0" collapsed="false">
      <c r="A290" s="27" t="n">
        <v>37</v>
      </c>
      <c r="B290" s="27" t="n">
        <f aca="false">IF(AND(A290&lt;=$F$52,$F$47=1),1,0)</f>
        <v>0</v>
      </c>
      <c r="C290" s="27" t="str">
        <f aca="false">IF(B290=1,$F$7+A290-1,"")</f>
        <v/>
      </c>
      <c r="D290" s="28" t="str">
        <f aca="false">(PlanStartYear+A290-1)&amp;"/"&amp;RIGHT(PlanStartYear+A290,2)</f>
        <v>2062/63</v>
      </c>
      <c r="E290" s="27" t="n">
        <f aca="false">A290-1-$F$49</f>
        <v>36</v>
      </c>
      <c r="F290" s="39" t="n">
        <f aca="false">IF(AND(B290=1,E290&gt;=0,E290&lt;$F$50),MIN(1,$F$37-E290),0)</f>
        <v>0</v>
      </c>
      <c r="G290" s="27" t="n">
        <f aca="false">(A290-1)+$F$54</f>
        <v>36</v>
      </c>
      <c r="H290" s="40" t="n">
        <f aca="false">(1+TuiInf)^G290</f>
        <v>30.9126805328708</v>
      </c>
      <c r="I290" s="40" t="n">
        <f aca="false">(1+LivInf)^G290</f>
        <v>15.9681718378662</v>
      </c>
      <c r="J290" s="28" t="n">
        <f aca="false">$F$24*H290*F290</f>
        <v>0</v>
      </c>
      <c r="K290" s="28" t="n">
        <f aca="false">$F$25*H290*F290</f>
        <v>0</v>
      </c>
      <c r="L290" s="28" t="n">
        <f aca="false">$F$26*I290*F290</f>
        <v>0</v>
      </c>
      <c r="M290" s="28" t="n">
        <f aca="false">$F$27*I290*F290</f>
        <v>0</v>
      </c>
      <c r="N290" s="28" t="n">
        <f aca="false">$F$28*I290*F290</f>
        <v>0</v>
      </c>
      <c r="O290" s="28" t="n">
        <f aca="false">$F$29*I290*F290</f>
        <v>0</v>
      </c>
      <c r="P290" s="28" t="n">
        <f aca="false">$F$30*I290*F290</f>
        <v>0</v>
      </c>
      <c r="Q290" s="28" t="n">
        <f aca="false">$F$31*I290*F290</f>
        <v>0</v>
      </c>
      <c r="R290" s="28" t="n">
        <f aca="false">$F$32*I290*F290</f>
        <v>0</v>
      </c>
      <c r="S290" s="28" t="n">
        <f aca="false">IF(AND(F290&gt;0,E290=0),($F$33+$F$36)*H290+($F$34+$F$35)*I290,0)</f>
        <v>0</v>
      </c>
      <c r="T290" s="28" t="n">
        <f aca="false">SUM(J290:S290)</f>
        <v>0</v>
      </c>
      <c r="U290" s="28" t="n">
        <f aca="false">T290*Cont</f>
        <v>0</v>
      </c>
      <c r="V290" s="28" t="n">
        <f aca="false">MIN(J290,J290*$F$43)</f>
        <v>0</v>
      </c>
      <c r="W290" s="40" t="n">
        <f aca="false">$F$55*(1+FxDrift)^(A290-1)</f>
        <v>1</v>
      </c>
      <c r="X290" s="28" t="n">
        <f aca="false">(T290+U290)*W290</f>
        <v>0</v>
      </c>
      <c r="Y290" s="28" t="n">
        <f aca="false">IF(B290=1,MIN(X290,V290*W290+IF(F290&gt;0,$F$44*F290,0)),0)</f>
        <v>0</v>
      </c>
      <c r="Z290" s="41" t="n">
        <f aca="false">IF(B290=1,MAX(0,X290-(V290*W290+IF(F290&gt;0,$F$44*F290,0))),0)</f>
        <v>0</v>
      </c>
      <c r="AA290" s="28" t="n">
        <f aca="false">IF(B290=1,(J290+K290)*W290,0)</f>
        <v>0</v>
      </c>
      <c r="AB290" s="28" t="n">
        <f aca="false">IF(B290=1,SUM(L290:R290)*W290,0)</f>
        <v>0</v>
      </c>
      <c r="AC290" s="28" t="n">
        <f aca="false">IF(B290=1,(S290+U290)*W290,0)</f>
        <v>0</v>
      </c>
    </row>
    <row r="291" customFormat="false" ht="15" hidden="false" customHeight="false" outlineLevel="0" collapsed="false">
      <c r="A291" s="27" t="n">
        <v>38</v>
      </c>
      <c r="B291" s="27" t="n">
        <f aca="false">IF(AND(A291&lt;=$F$52,$F$47=1),1,0)</f>
        <v>0</v>
      </c>
      <c r="C291" s="27" t="str">
        <f aca="false">IF(B291=1,$F$7+A291-1,"")</f>
        <v/>
      </c>
      <c r="D291" s="28" t="str">
        <f aca="false">(PlanStartYear+A291-1)&amp;"/"&amp;RIGHT(PlanStartYear+A291,2)</f>
        <v>2063/64</v>
      </c>
      <c r="E291" s="27" t="n">
        <f aca="false">A291-1-$F$49</f>
        <v>37</v>
      </c>
      <c r="F291" s="39" t="n">
        <f aca="false">IF(AND(B291=1,E291&gt;=0,E291&lt;$F$50),MIN(1,$F$37-E291),0)</f>
        <v>0</v>
      </c>
      <c r="G291" s="27" t="n">
        <f aca="false">(A291-1)+$F$54</f>
        <v>37</v>
      </c>
      <c r="H291" s="40" t="n">
        <f aca="false">(1+TuiInf)^G291</f>
        <v>34.0039485861578</v>
      </c>
      <c r="I291" s="40" t="n">
        <f aca="false">(1+LivInf)^G291</f>
        <v>17.2456255848955</v>
      </c>
      <c r="J291" s="28" t="n">
        <f aca="false">$F$24*H291*F291</f>
        <v>0</v>
      </c>
      <c r="K291" s="28" t="n">
        <f aca="false">$F$25*H291*F291</f>
        <v>0</v>
      </c>
      <c r="L291" s="28" t="n">
        <f aca="false">$F$26*I291*F291</f>
        <v>0</v>
      </c>
      <c r="M291" s="28" t="n">
        <f aca="false">$F$27*I291*F291</f>
        <v>0</v>
      </c>
      <c r="N291" s="28" t="n">
        <f aca="false">$F$28*I291*F291</f>
        <v>0</v>
      </c>
      <c r="O291" s="28" t="n">
        <f aca="false">$F$29*I291*F291</f>
        <v>0</v>
      </c>
      <c r="P291" s="28" t="n">
        <f aca="false">$F$30*I291*F291</f>
        <v>0</v>
      </c>
      <c r="Q291" s="28" t="n">
        <f aca="false">$F$31*I291*F291</f>
        <v>0</v>
      </c>
      <c r="R291" s="28" t="n">
        <f aca="false">$F$32*I291*F291</f>
        <v>0</v>
      </c>
      <c r="S291" s="28" t="n">
        <f aca="false">IF(AND(F291&gt;0,E291=0),($F$33+$F$36)*H291+($F$34+$F$35)*I291,0)</f>
        <v>0</v>
      </c>
      <c r="T291" s="28" t="n">
        <f aca="false">SUM(J291:S291)</f>
        <v>0</v>
      </c>
      <c r="U291" s="28" t="n">
        <f aca="false">T291*Cont</f>
        <v>0</v>
      </c>
      <c r="V291" s="28" t="n">
        <f aca="false">MIN(J291,J291*$F$43)</f>
        <v>0</v>
      </c>
      <c r="W291" s="40" t="n">
        <f aca="false">$F$55*(1+FxDrift)^(A291-1)</f>
        <v>1</v>
      </c>
      <c r="X291" s="28" t="n">
        <f aca="false">(T291+U291)*W291</f>
        <v>0</v>
      </c>
      <c r="Y291" s="28" t="n">
        <f aca="false">IF(B291=1,MIN(X291,V291*W291+IF(F291&gt;0,$F$44*F291,0)),0)</f>
        <v>0</v>
      </c>
      <c r="Z291" s="41" t="n">
        <f aca="false">IF(B291=1,MAX(0,X291-(V291*W291+IF(F291&gt;0,$F$44*F291,0))),0)</f>
        <v>0</v>
      </c>
      <c r="AA291" s="28" t="n">
        <f aca="false">IF(B291=1,(J291+K291)*W291,0)</f>
        <v>0</v>
      </c>
      <c r="AB291" s="28" t="n">
        <f aca="false">IF(B291=1,SUM(L291:R291)*W291,0)</f>
        <v>0</v>
      </c>
      <c r="AC291" s="28" t="n">
        <f aca="false">IF(B291=1,(S291+U291)*W291,0)</f>
        <v>0</v>
      </c>
    </row>
    <row r="292" customFormat="false" ht="15" hidden="false" customHeight="false" outlineLevel="0" collapsed="false">
      <c r="A292" s="27" t="n">
        <v>39</v>
      </c>
      <c r="B292" s="27" t="n">
        <f aca="false">IF(AND(A292&lt;=$F$52,$F$47=1),1,0)</f>
        <v>0</v>
      </c>
      <c r="C292" s="27" t="str">
        <f aca="false">IF(B292=1,$F$7+A292-1,"")</f>
        <v/>
      </c>
      <c r="D292" s="28" t="str">
        <f aca="false">(PlanStartYear+A292-1)&amp;"/"&amp;RIGHT(PlanStartYear+A292,2)</f>
        <v>2064/65</v>
      </c>
      <c r="E292" s="27" t="n">
        <f aca="false">A292-1-$F$49</f>
        <v>38</v>
      </c>
      <c r="F292" s="39" t="n">
        <f aca="false">IF(AND(B292=1,E292&gt;=0,E292&lt;$F$50),MIN(1,$F$37-E292),0)</f>
        <v>0</v>
      </c>
      <c r="G292" s="27" t="n">
        <f aca="false">(A292-1)+$F$54</f>
        <v>38</v>
      </c>
      <c r="H292" s="40" t="n">
        <f aca="false">(1+TuiInf)^G292</f>
        <v>37.4043434447736</v>
      </c>
      <c r="I292" s="40" t="n">
        <f aca="false">(1+LivInf)^G292</f>
        <v>18.6252756316872</v>
      </c>
      <c r="J292" s="28" t="n">
        <f aca="false">$F$24*H292*F292</f>
        <v>0</v>
      </c>
      <c r="K292" s="28" t="n">
        <f aca="false">$F$25*H292*F292</f>
        <v>0</v>
      </c>
      <c r="L292" s="28" t="n">
        <f aca="false">$F$26*I292*F292</f>
        <v>0</v>
      </c>
      <c r="M292" s="28" t="n">
        <f aca="false">$F$27*I292*F292</f>
        <v>0</v>
      </c>
      <c r="N292" s="28" t="n">
        <f aca="false">$F$28*I292*F292</f>
        <v>0</v>
      </c>
      <c r="O292" s="28" t="n">
        <f aca="false">$F$29*I292*F292</f>
        <v>0</v>
      </c>
      <c r="P292" s="28" t="n">
        <f aca="false">$F$30*I292*F292</f>
        <v>0</v>
      </c>
      <c r="Q292" s="28" t="n">
        <f aca="false">$F$31*I292*F292</f>
        <v>0</v>
      </c>
      <c r="R292" s="28" t="n">
        <f aca="false">$F$32*I292*F292</f>
        <v>0</v>
      </c>
      <c r="S292" s="28" t="n">
        <f aca="false">IF(AND(F292&gt;0,E292=0),($F$33+$F$36)*H292+($F$34+$F$35)*I292,0)</f>
        <v>0</v>
      </c>
      <c r="T292" s="28" t="n">
        <f aca="false">SUM(J292:S292)</f>
        <v>0</v>
      </c>
      <c r="U292" s="28" t="n">
        <f aca="false">T292*Cont</f>
        <v>0</v>
      </c>
      <c r="V292" s="28" t="n">
        <f aca="false">MIN(J292,J292*$F$43)</f>
        <v>0</v>
      </c>
      <c r="W292" s="40" t="n">
        <f aca="false">$F$55*(1+FxDrift)^(A292-1)</f>
        <v>1</v>
      </c>
      <c r="X292" s="28" t="n">
        <f aca="false">(T292+U292)*W292</f>
        <v>0</v>
      </c>
      <c r="Y292" s="28" t="n">
        <f aca="false">IF(B292=1,MIN(X292,V292*W292+IF(F292&gt;0,$F$44*F292,0)),0)</f>
        <v>0</v>
      </c>
      <c r="Z292" s="41" t="n">
        <f aca="false">IF(B292=1,MAX(0,X292-(V292*W292+IF(F292&gt;0,$F$44*F292,0))),0)</f>
        <v>0</v>
      </c>
      <c r="AA292" s="28" t="n">
        <f aca="false">IF(B292=1,(J292+K292)*W292,0)</f>
        <v>0</v>
      </c>
      <c r="AB292" s="28" t="n">
        <f aca="false">IF(B292=1,SUM(L292:R292)*W292,0)</f>
        <v>0</v>
      </c>
      <c r="AC292" s="28" t="n">
        <f aca="false">IF(B292=1,(S292+U292)*W292,0)</f>
        <v>0</v>
      </c>
    </row>
    <row r="293" customFormat="false" ht="15" hidden="false" customHeight="false" outlineLevel="0" collapsed="false">
      <c r="A293" s="27" t="n">
        <v>40</v>
      </c>
      <c r="B293" s="27" t="n">
        <f aca="false">IF(AND(A293&lt;=$F$52,$F$47=1),1,0)</f>
        <v>0</v>
      </c>
      <c r="C293" s="27" t="str">
        <f aca="false">IF(B293=1,$F$7+A293-1,"")</f>
        <v/>
      </c>
      <c r="D293" s="28" t="str">
        <f aca="false">(PlanStartYear+A293-1)&amp;"/"&amp;RIGHT(PlanStartYear+A293,2)</f>
        <v>2065/66</v>
      </c>
      <c r="E293" s="27" t="n">
        <f aca="false">A293-1-$F$49</f>
        <v>39</v>
      </c>
      <c r="F293" s="39" t="n">
        <f aca="false">IF(AND(B293=1,E293&gt;=0,E293&lt;$F$50),MIN(1,$F$37-E293),0)</f>
        <v>0</v>
      </c>
      <c r="G293" s="27" t="n">
        <f aca="false">(A293-1)+$F$54</f>
        <v>39</v>
      </c>
      <c r="H293" s="40" t="n">
        <f aca="false">(1+TuiInf)^G293</f>
        <v>41.144777789251</v>
      </c>
      <c r="I293" s="40" t="n">
        <f aca="false">(1+LivInf)^G293</f>
        <v>20.1152976822221</v>
      </c>
      <c r="J293" s="28" t="n">
        <f aca="false">$F$24*H293*F293</f>
        <v>0</v>
      </c>
      <c r="K293" s="28" t="n">
        <f aca="false">$F$25*H293*F293</f>
        <v>0</v>
      </c>
      <c r="L293" s="28" t="n">
        <f aca="false">$F$26*I293*F293</f>
        <v>0</v>
      </c>
      <c r="M293" s="28" t="n">
        <f aca="false">$F$27*I293*F293</f>
        <v>0</v>
      </c>
      <c r="N293" s="28" t="n">
        <f aca="false">$F$28*I293*F293</f>
        <v>0</v>
      </c>
      <c r="O293" s="28" t="n">
        <f aca="false">$F$29*I293*F293</f>
        <v>0</v>
      </c>
      <c r="P293" s="28" t="n">
        <f aca="false">$F$30*I293*F293</f>
        <v>0</v>
      </c>
      <c r="Q293" s="28" t="n">
        <f aca="false">$F$31*I293*F293</f>
        <v>0</v>
      </c>
      <c r="R293" s="28" t="n">
        <f aca="false">$F$32*I293*F293</f>
        <v>0</v>
      </c>
      <c r="S293" s="28" t="n">
        <f aca="false">IF(AND(F293&gt;0,E293=0),($F$33+$F$36)*H293+($F$34+$F$35)*I293,0)</f>
        <v>0</v>
      </c>
      <c r="T293" s="28" t="n">
        <f aca="false">SUM(J293:S293)</f>
        <v>0</v>
      </c>
      <c r="U293" s="28" t="n">
        <f aca="false">T293*Cont</f>
        <v>0</v>
      </c>
      <c r="V293" s="28" t="n">
        <f aca="false">MIN(J293,J293*$F$43)</f>
        <v>0</v>
      </c>
      <c r="W293" s="40" t="n">
        <f aca="false">$F$55*(1+FxDrift)^(A293-1)</f>
        <v>1</v>
      </c>
      <c r="X293" s="28" t="n">
        <f aca="false">(T293+U293)*W293</f>
        <v>0</v>
      </c>
      <c r="Y293" s="28" t="n">
        <f aca="false">IF(B293=1,MIN(X293,V293*W293+IF(F293&gt;0,$F$44*F293,0)),0)</f>
        <v>0</v>
      </c>
      <c r="Z293" s="41" t="n">
        <f aca="false">IF(B293=1,MAX(0,X293-(V293*W293+IF(F293&gt;0,$F$44*F293,0))),0)</f>
        <v>0</v>
      </c>
      <c r="AA293" s="28" t="n">
        <f aca="false">IF(B293=1,(J293+K293)*W293,0)</f>
        <v>0</v>
      </c>
      <c r="AB293" s="28" t="n">
        <f aca="false">IF(B293=1,SUM(L293:R293)*W293,0)</f>
        <v>0</v>
      </c>
      <c r="AC293" s="28" t="n">
        <f aca="false">IF(B293=1,(S293+U293)*W293,0)</f>
        <v>0</v>
      </c>
    </row>
    <row r="294" customFormat="false" ht="15" hidden="false" customHeight="false" outlineLevel="0" collapsed="false">
      <c r="A294" s="27" t="n">
        <v>41</v>
      </c>
      <c r="B294" s="27" t="n">
        <f aca="false">IF(AND(A294&lt;=$F$52,$F$47=1),1,0)</f>
        <v>0</v>
      </c>
      <c r="C294" s="27" t="str">
        <f aca="false">IF(B294=1,$F$7+A294-1,"")</f>
        <v/>
      </c>
      <c r="D294" s="28" t="str">
        <f aca="false">(PlanStartYear+A294-1)&amp;"/"&amp;RIGHT(PlanStartYear+A294,2)</f>
        <v>2066/67</v>
      </c>
      <c r="E294" s="27" t="n">
        <f aca="false">A294-1-$F$49</f>
        <v>40</v>
      </c>
      <c r="F294" s="39" t="n">
        <f aca="false">IF(AND(B294=1,E294&gt;=0,E294&lt;$F$50),MIN(1,$F$37-E294),0)</f>
        <v>0</v>
      </c>
      <c r="G294" s="27" t="n">
        <f aca="false">(A294-1)+$F$54</f>
        <v>40</v>
      </c>
      <c r="H294" s="40" t="n">
        <f aca="false">(1+TuiInf)^G294</f>
        <v>45.2592555681761</v>
      </c>
      <c r="I294" s="40" t="n">
        <f aca="false">(1+LivInf)^G294</f>
        <v>21.7245214967999</v>
      </c>
      <c r="J294" s="28" t="n">
        <f aca="false">$F$24*H294*F294</f>
        <v>0</v>
      </c>
      <c r="K294" s="28" t="n">
        <f aca="false">$F$25*H294*F294</f>
        <v>0</v>
      </c>
      <c r="L294" s="28" t="n">
        <f aca="false">$F$26*I294*F294</f>
        <v>0</v>
      </c>
      <c r="M294" s="28" t="n">
        <f aca="false">$F$27*I294*F294</f>
        <v>0</v>
      </c>
      <c r="N294" s="28" t="n">
        <f aca="false">$F$28*I294*F294</f>
        <v>0</v>
      </c>
      <c r="O294" s="28" t="n">
        <f aca="false">$F$29*I294*F294</f>
        <v>0</v>
      </c>
      <c r="P294" s="28" t="n">
        <f aca="false">$F$30*I294*F294</f>
        <v>0</v>
      </c>
      <c r="Q294" s="28" t="n">
        <f aca="false">$F$31*I294*F294</f>
        <v>0</v>
      </c>
      <c r="R294" s="28" t="n">
        <f aca="false">$F$32*I294*F294</f>
        <v>0</v>
      </c>
      <c r="S294" s="28" t="n">
        <f aca="false">IF(AND(F294&gt;0,E294=0),($F$33+$F$36)*H294+($F$34+$F$35)*I294,0)</f>
        <v>0</v>
      </c>
      <c r="T294" s="28" t="n">
        <f aca="false">SUM(J294:S294)</f>
        <v>0</v>
      </c>
      <c r="U294" s="28" t="n">
        <f aca="false">T294*Cont</f>
        <v>0</v>
      </c>
      <c r="V294" s="28" t="n">
        <f aca="false">MIN(J294,J294*$F$43)</f>
        <v>0</v>
      </c>
      <c r="W294" s="40" t="n">
        <f aca="false">$F$55*(1+FxDrift)^(A294-1)</f>
        <v>1</v>
      </c>
      <c r="X294" s="28" t="n">
        <f aca="false">(T294+U294)*W294</f>
        <v>0</v>
      </c>
      <c r="Y294" s="28" t="n">
        <f aca="false">IF(B294=1,MIN(X294,V294*W294+IF(F294&gt;0,$F$44*F294,0)),0)</f>
        <v>0</v>
      </c>
      <c r="Z294" s="41" t="n">
        <f aca="false">IF(B294=1,MAX(0,X294-(V294*W294+IF(F294&gt;0,$F$44*F294,0))),0)</f>
        <v>0</v>
      </c>
      <c r="AA294" s="28" t="n">
        <f aca="false">IF(B294=1,(J294+K294)*W294,0)</f>
        <v>0</v>
      </c>
      <c r="AB294" s="28" t="n">
        <f aca="false">IF(B294=1,SUM(L294:R294)*W294,0)</f>
        <v>0</v>
      </c>
      <c r="AC294" s="28" t="n">
        <f aca="false">IF(B294=1,(S294+U294)*W294,0)</f>
        <v>0</v>
      </c>
    </row>
    <row r="295" customFormat="false" ht="15" hidden="false" customHeight="false" outlineLevel="0" collapsed="false">
      <c r="A295" s="27" t="n">
        <v>42</v>
      </c>
      <c r="B295" s="27" t="n">
        <f aca="false">IF(AND(A295&lt;=$F$52,$F$47=1),1,0)</f>
        <v>0</v>
      </c>
      <c r="C295" s="27" t="str">
        <f aca="false">IF(B295=1,$F$7+A295-1,"")</f>
        <v/>
      </c>
      <c r="D295" s="28" t="str">
        <f aca="false">(PlanStartYear+A295-1)&amp;"/"&amp;RIGHT(PlanStartYear+A295,2)</f>
        <v>2067/68</v>
      </c>
      <c r="E295" s="27" t="n">
        <f aca="false">A295-1-$F$49</f>
        <v>41</v>
      </c>
      <c r="F295" s="39" t="n">
        <f aca="false">IF(AND(B295=1,E295&gt;=0,E295&lt;$F$50),MIN(1,$F$37-E295),0)</f>
        <v>0</v>
      </c>
      <c r="G295" s="27" t="n">
        <f aca="false">(A295-1)+$F$54</f>
        <v>41</v>
      </c>
      <c r="H295" s="40" t="n">
        <f aca="false">(1+TuiInf)^G295</f>
        <v>49.7851811249937</v>
      </c>
      <c r="I295" s="40" t="n">
        <f aca="false">(1+LivInf)^G295</f>
        <v>23.4624832165439</v>
      </c>
      <c r="J295" s="28" t="n">
        <f aca="false">$F$24*H295*F295</f>
        <v>0</v>
      </c>
      <c r="K295" s="28" t="n">
        <f aca="false">$F$25*H295*F295</f>
        <v>0</v>
      </c>
      <c r="L295" s="28" t="n">
        <f aca="false">$F$26*I295*F295</f>
        <v>0</v>
      </c>
      <c r="M295" s="28" t="n">
        <f aca="false">$F$27*I295*F295</f>
        <v>0</v>
      </c>
      <c r="N295" s="28" t="n">
        <f aca="false">$F$28*I295*F295</f>
        <v>0</v>
      </c>
      <c r="O295" s="28" t="n">
        <f aca="false">$F$29*I295*F295</f>
        <v>0</v>
      </c>
      <c r="P295" s="28" t="n">
        <f aca="false">$F$30*I295*F295</f>
        <v>0</v>
      </c>
      <c r="Q295" s="28" t="n">
        <f aca="false">$F$31*I295*F295</f>
        <v>0</v>
      </c>
      <c r="R295" s="28" t="n">
        <f aca="false">$F$32*I295*F295</f>
        <v>0</v>
      </c>
      <c r="S295" s="28" t="n">
        <f aca="false">IF(AND(F295&gt;0,E295=0),($F$33+$F$36)*H295+($F$34+$F$35)*I295,0)</f>
        <v>0</v>
      </c>
      <c r="T295" s="28" t="n">
        <f aca="false">SUM(J295:S295)</f>
        <v>0</v>
      </c>
      <c r="U295" s="28" t="n">
        <f aca="false">T295*Cont</f>
        <v>0</v>
      </c>
      <c r="V295" s="28" t="n">
        <f aca="false">MIN(J295,J295*$F$43)</f>
        <v>0</v>
      </c>
      <c r="W295" s="40" t="n">
        <f aca="false">$F$55*(1+FxDrift)^(A295-1)</f>
        <v>1</v>
      </c>
      <c r="X295" s="28" t="n">
        <f aca="false">(T295+U295)*W295</f>
        <v>0</v>
      </c>
      <c r="Y295" s="28" t="n">
        <f aca="false">IF(B295=1,MIN(X295,V295*W295+IF(F295&gt;0,$F$44*F295,0)),0)</f>
        <v>0</v>
      </c>
      <c r="Z295" s="41" t="n">
        <f aca="false">IF(B295=1,MAX(0,X295-(V295*W295+IF(F295&gt;0,$F$44*F295,0))),0)</f>
        <v>0</v>
      </c>
      <c r="AA295" s="28" t="n">
        <f aca="false">IF(B295=1,(J295+K295)*W295,0)</f>
        <v>0</v>
      </c>
      <c r="AB295" s="28" t="n">
        <f aca="false">IF(B295=1,SUM(L295:R295)*W295,0)</f>
        <v>0</v>
      </c>
      <c r="AC295" s="28" t="n">
        <f aca="false">IF(B295=1,(S295+U295)*W295,0)</f>
        <v>0</v>
      </c>
    </row>
    <row r="296" customFormat="false" ht="15" hidden="false" customHeight="false" outlineLevel="0" collapsed="false">
      <c r="A296" s="27" t="n">
        <v>43</v>
      </c>
      <c r="B296" s="27" t="n">
        <f aca="false">IF(AND(A296&lt;=$F$52,$F$47=1),1,0)</f>
        <v>0</v>
      </c>
      <c r="C296" s="27" t="str">
        <f aca="false">IF(B296=1,$F$7+A296-1,"")</f>
        <v/>
      </c>
      <c r="D296" s="28" t="str">
        <f aca="false">(PlanStartYear+A296-1)&amp;"/"&amp;RIGHT(PlanStartYear+A296,2)</f>
        <v>2068/69</v>
      </c>
      <c r="E296" s="27" t="n">
        <f aca="false">A296-1-$F$49</f>
        <v>42</v>
      </c>
      <c r="F296" s="39" t="n">
        <f aca="false">IF(AND(B296=1,E296&gt;=0,E296&lt;$F$50),MIN(1,$F$37-E296),0)</f>
        <v>0</v>
      </c>
      <c r="G296" s="27" t="n">
        <f aca="false">(A296-1)+$F$54</f>
        <v>42</v>
      </c>
      <c r="H296" s="40" t="n">
        <f aca="false">(1+TuiInf)^G296</f>
        <v>54.7636992374931</v>
      </c>
      <c r="I296" s="40" t="n">
        <f aca="false">(1+LivInf)^G296</f>
        <v>25.3394818738674</v>
      </c>
      <c r="J296" s="28" t="n">
        <f aca="false">$F$24*H296*F296</f>
        <v>0</v>
      </c>
      <c r="K296" s="28" t="n">
        <f aca="false">$F$25*H296*F296</f>
        <v>0</v>
      </c>
      <c r="L296" s="28" t="n">
        <f aca="false">$F$26*I296*F296</f>
        <v>0</v>
      </c>
      <c r="M296" s="28" t="n">
        <f aca="false">$F$27*I296*F296</f>
        <v>0</v>
      </c>
      <c r="N296" s="28" t="n">
        <f aca="false">$F$28*I296*F296</f>
        <v>0</v>
      </c>
      <c r="O296" s="28" t="n">
        <f aca="false">$F$29*I296*F296</f>
        <v>0</v>
      </c>
      <c r="P296" s="28" t="n">
        <f aca="false">$F$30*I296*F296</f>
        <v>0</v>
      </c>
      <c r="Q296" s="28" t="n">
        <f aca="false">$F$31*I296*F296</f>
        <v>0</v>
      </c>
      <c r="R296" s="28" t="n">
        <f aca="false">$F$32*I296*F296</f>
        <v>0</v>
      </c>
      <c r="S296" s="28" t="n">
        <f aca="false">IF(AND(F296&gt;0,E296=0),($F$33+$F$36)*H296+($F$34+$F$35)*I296,0)</f>
        <v>0</v>
      </c>
      <c r="T296" s="28" t="n">
        <f aca="false">SUM(J296:S296)</f>
        <v>0</v>
      </c>
      <c r="U296" s="28" t="n">
        <f aca="false">T296*Cont</f>
        <v>0</v>
      </c>
      <c r="V296" s="28" t="n">
        <f aca="false">MIN(J296,J296*$F$43)</f>
        <v>0</v>
      </c>
      <c r="W296" s="40" t="n">
        <f aca="false">$F$55*(1+FxDrift)^(A296-1)</f>
        <v>1</v>
      </c>
      <c r="X296" s="28" t="n">
        <f aca="false">(T296+U296)*W296</f>
        <v>0</v>
      </c>
      <c r="Y296" s="28" t="n">
        <f aca="false">IF(B296=1,MIN(X296,V296*W296+IF(F296&gt;0,$F$44*F296,0)),0)</f>
        <v>0</v>
      </c>
      <c r="Z296" s="41" t="n">
        <f aca="false">IF(B296=1,MAX(0,X296-(V296*W296+IF(F296&gt;0,$F$44*F296,0))),0)</f>
        <v>0</v>
      </c>
      <c r="AA296" s="28" t="n">
        <f aca="false">IF(B296=1,(J296+K296)*W296,0)</f>
        <v>0</v>
      </c>
      <c r="AB296" s="28" t="n">
        <f aca="false">IF(B296=1,SUM(L296:R296)*W296,0)</f>
        <v>0</v>
      </c>
      <c r="AC296" s="28" t="n">
        <f aca="false">IF(B296=1,(S296+U296)*W296,0)</f>
        <v>0</v>
      </c>
    </row>
    <row r="297" customFormat="false" ht="15" hidden="false" customHeight="false" outlineLevel="0" collapsed="false">
      <c r="A297" s="27" t="n">
        <v>44</v>
      </c>
      <c r="B297" s="27" t="n">
        <f aca="false">IF(AND(A297&lt;=$F$52,$F$47=1),1,0)</f>
        <v>0</v>
      </c>
      <c r="C297" s="27" t="str">
        <f aca="false">IF(B297=1,$F$7+A297-1,"")</f>
        <v/>
      </c>
      <c r="D297" s="28" t="str">
        <f aca="false">(PlanStartYear+A297-1)&amp;"/"&amp;RIGHT(PlanStartYear+A297,2)</f>
        <v>2069/70</v>
      </c>
      <c r="E297" s="27" t="n">
        <f aca="false">A297-1-$F$49</f>
        <v>43</v>
      </c>
      <c r="F297" s="39" t="n">
        <f aca="false">IF(AND(B297=1,E297&gt;=0,E297&lt;$F$50),MIN(1,$F$37-E297),0)</f>
        <v>0</v>
      </c>
      <c r="G297" s="27" t="n">
        <f aca="false">(A297-1)+$F$54</f>
        <v>43</v>
      </c>
      <c r="H297" s="40" t="n">
        <f aca="false">(1+TuiInf)^G297</f>
        <v>60.2400691612424</v>
      </c>
      <c r="I297" s="40" t="n">
        <f aca="false">(1+LivInf)^G297</f>
        <v>27.3666404237768</v>
      </c>
      <c r="J297" s="28" t="n">
        <f aca="false">$F$24*H297*F297</f>
        <v>0</v>
      </c>
      <c r="K297" s="28" t="n">
        <f aca="false">$F$25*H297*F297</f>
        <v>0</v>
      </c>
      <c r="L297" s="28" t="n">
        <f aca="false">$F$26*I297*F297</f>
        <v>0</v>
      </c>
      <c r="M297" s="28" t="n">
        <f aca="false">$F$27*I297*F297</f>
        <v>0</v>
      </c>
      <c r="N297" s="28" t="n">
        <f aca="false">$F$28*I297*F297</f>
        <v>0</v>
      </c>
      <c r="O297" s="28" t="n">
        <f aca="false">$F$29*I297*F297</f>
        <v>0</v>
      </c>
      <c r="P297" s="28" t="n">
        <f aca="false">$F$30*I297*F297</f>
        <v>0</v>
      </c>
      <c r="Q297" s="28" t="n">
        <f aca="false">$F$31*I297*F297</f>
        <v>0</v>
      </c>
      <c r="R297" s="28" t="n">
        <f aca="false">$F$32*I297*F297</f>
        <v>0</v>
      </c>
      <c r="S297" s="28" t="n">
        <f aca="false">IF(AND(F297&gt;0,E297=0),($F$33+$F$36)*H297+($F$34+$F$35)*I297,0)</f>
        <v>0</v>
      </c>
      <c r="T297" s="28" t="n">
        <f aca="false">SUM(J297:S297)</f>
        <v>0</v>
      </c>
      <c r="U297" s="28" t="n">
        <f aca="false">T297*Cont</f>
        <v>0</v>
      </c>
      <c r="V297" s="28" t="n">
        <f aca="false">MIN(J297,J297*$F$43)</f>
        <v>0</v>
      </c>
      <c r="W297" s="40" t="n">
        <f aca="false">$F$55*(1+FxDrift)^(A297-1)</f>
        <v>1</v>
      </c>
      <c r="X297" s="28" t="n">
        <f aca="false">(T297+U297)*W297</f>
        <v>0</v>
      </c>
      <c r="Y297" s="28" t="n">
        <f aca="false">IF(B297=1,MIN(X297,V297*W297+IF(F297&gt;0,$F$44*F297,0)),0)</f>
        <v>0</v>
      </c>
      <c r="Z297" s="41" t="n">
        <f aca="false">IF(B297=1,MAX(0,X297-(V297*W297+IF(F297&gt;0,$F$44*F297,0))),0)</f>
        <v>0</v>
      </c>
      <c r="AA297" s="28" t="n">
        <f aca="false">IF(B297=1,(J297+K297)*W297,0)</f>
        <v>0</v>
      </c>
      <c r="AB297" s="28" t="n">
        <f aca="false">IF(B297=1,SUM(L297:R297)*W297,0)</f>
        <v>0</v>
      </c>
      <c r="AC297" s="28" t="n">
        <f aca="false">IF(B297=1,(S297+U297)*W297,0)</f>
        <v>0</v>
      </c>
    </row>
    <row r="298" customFormat="false" ht="15" hidden="false" customHeight="false" outlineLevel="0" collapsed="false">
      <c r="A298" s="27" t="n">
        <v>45</v>
      </c>
      <c r="B298" s="27" t="n">
        <f aca="false">IF(AND(A298&lt;=$F$52,$F$47=1),1,0)</f>
        <v>0</v>
      </c>
      <c r="C298" s="27" t="str">
        <f aca="false">IF(B298=1,$F$7+A298-1,"")</f>
        <v/>
      </c>
      <c r="D298" s="28" t="str">
        <f aca="false">(PlanStartYear+A298-1)&amp;"/"&amp;RIGHT(PlanStartYear+A298,2)</f>
        <v>2070/71</v>
      </c>
      <c r="E298" s="27" t="n">
        <f aca="false">A298-1-$F$49</f>
        <v>44</v>
      </c>
      <c r="F298" s="39" t="n">
        <f aca="false">IF(AND(B298=1,E298&gt;=0,E298&lt;$F$50),MIN(1,$F$37-E298),0)</f>
        <v>0</v>
      </c>
      <c r="G298" s="27" t="n">
        <f aca="false">(A298-1)+$F$54</f>
        <v>44</v>
      </c>
      <c r="H298" s="40" t="n">
        <f aca="false">(1+TuiInf)^G298</f>
        <v>66.2640760773667</v>
      </c>
      <c r="I298" s="40" t="n">
        <f aca="false">(1+LivInf)^G298</f>
        <v>29.555971657679</v>
      </c>
      <c r="J298" s="28" t="n">
        <f aca="false">$F$24*H298*F298</f>
        <v>0</v>
      </c>
      <c r="K298" s="28" t="n">
        <f aca="false">$F$25*H298*F298</f>
        <v>0</v>
      </c>
      <c r="L298" s="28" t="n">
        <f aca="false">$F$26*I298*F298</f>
        <v>0</v>
      </c>
      <c r="M298" s="28" t="n">
        <f aca="false">$F$27*I298*F298</f>
        <v>0</v>
      </c>
      <c r="N298" s="28" t="n">
        <f aca="false">$F$28*I298*F298</f>
        <v>0</v>
      </c>
      <c r="O298" s="28" t="n">
        <f aca="false">$F$29*I298*F298</f>
        <v>0</v>
      </c>
      <c r="P298" s="28" t="n">
        <f aca="false">$F$30*I298*F298</f>
        <v>0</v>
      </c>
      <c r="Q298" s="28" t="n">
        <f aca="false">$F$31*I298*F298</f>
        <v>0</v>
      </c>
      <c r="R298" s="28" t="n">
        <f aca="false">$F$32*I298*F298</f>
        <v>0</v>
      </c>
      <c r="S298" s="28" t="n">
        <f aca="false">IF(AND(F298&gt;0,E298=0),($F$33+$F$36)*H298+($F$34+$F$35)*I298,0)</f>
        <v>0</v>
      </c>
      <c r="T298" s="28" t="n">
        <f aca="false">SUM(J298:S298)</f>
        <v>0</v>
      </c>
      <c r="U298" s="28" t="n">
        <f aca="false">T298*Cont</f>
        <v>0</v>
      </c>
      <c r="V298" s="28" t="n">
        <f aca="false">MIN(J298,J298*$F$43)</f>
        <v>0</v>
      </c>
      <c r="W298" s="40" t="n">
        <f aca="false">$F$55*(1+FxDrift)^(A298-1)</f>
        <v>1</v>
      </c>
      <c r="X298" s="28" t="n">
        <f aca="false">(T298+U298)*W298</f>
        <v>0</v>
      </c>
      <c r="Y298" s="28" t="n">
        <f aca="false">IF(B298=1,MIN(X298,V298*W298+IF(F298&gt;0,$F$44*F298,0)),0)</f>
        <v>0</v>
      </c>
      <c r="Z298" s="41" t="n">
        <f aca="false">IF(B298=1,MAX(0,X298-(V298*W298+IF(F298&gt;0,$F$44*F298,0))),0)</f>
        <v>0</v>
      </c>
      <c r="AA298" s="28" t="n">
        <f aca="false">IF(B298=1,(J298+K298)*W298,0)</f>
        <v>0</v>
      </c>
      <c r="AB298" s="28" t="n">
        <f aca="false">IF(B298=1,SUM(L298:R298)*W298,0)</f>
        <v>0</v>
      </c>
      <c r="AC298" s="28" t="n">
        <f aca="false">IF(B298=1,(S298+U298)*W298,0)</f>
        <v>0</v>
      </c>
    </row>
    <row r="299" customFormat="false" ht="15" hidden="false" customHeight="false" outlineLevel="0" collapsed="false">
      <c r="A299" s="27" t="n">
        <v>46</v>
      </c>
      <c r="B299" s="27" t="n">
        <f aca="false">IF(AND(A299&lt;=$F$52,$F$47=1),1,0)</f>
        <v>0</v>
      </c>
      <c r="C299" s="27" t="str">
        <f aca="false">IF(B299=1,$F$7+A299-1,"")</f>
        <v/>
      </c>
      <c r="D299" s="28" t="str">
        <f aca="false">(PlanStartYear+A299-1)&amp;"/"&amp;RIGHT(PlanStartYear+A299,2)</f>
        <v>2071/72</v>
      </c>
      <c r="E299" s="27" t="n">
        <f aca="false">A299-1-$F$49</f>
        <v>45</v>
      </c>
      <c r="F299" s="39" t="n">
        <f aca="false">IF(AND(B299=1,E299&gt;=0,E299&lt;$F$50),MIN(1,$F$37-E299),0)</f>
        <v>0</v>
      </c>
      <c r="G299" s="27" t="n">
        <f aca="false">(A299-1)+$F$54</f>
        <v>45</v>
      </c>
      <c r="H299" s="40" t="n">
        <f aca="false">(1+TuiInf)^G299</f>
        <v>72.8904836851033</v>
      </c>
      <c r="I299" s="40" t="n">
        <f aca="false">(1+LivInf)^G299</f>
        <v>31.9204493902933</v>
      </c>
      <c r="J299" s="28" t="n">
        <f aca="false">$F$24*H299*F299</f>
        <v>0</v>
      </c>
      <c r="K299" s="28" t="n">
        <f aca="false">$F$25*H299*F299</f>
        <v>0</v>
      </c>
      <c r="L299" s="28" t="n">
        <f aca="false">$F$26*I299*F299</f>
        <v>0</v>
      </c>
      <c r="M299" s="28" t="n">
        <f aca="false">$F$27*I299*F299</f>
        <v>0</v>
      </c>
      <c r="N299" s="28" t="n">
        <f aca="false">$F$28*I299*F299</f>
        <v>0</v>
      </c>
      <c r="O299" s="28" t="n">
        <f aca="false">$F$29*I299*F299</f>
        <v>0</v>
      </c>
      <c r="P299" s="28" t="n">
        <f aca="false">$F$30*I299*F299</f>
        <v>0</v>
      </c>
      <c r="Q299" s="28" t="n">
        <f aca="false">$F$31*I299*F299</f>
        <v>0</v>
      </c>
      <c r="R299" s="28" t="n">
        <f aca="false">$F$32*I299*F299</f>
        <v>0</v>
      </c>
      <c r="S299" s="28" t="n">
        <f aca="false">IF(AND(F299&gt;0,E299=0),($F$33+$F$36)*H299+($F$34+$F$35)*I299,0)</f>
        <v>0</v>
      </c>
      <c r="T299" s="28" t="n">
        <f aca="false">SUM(J299:S299)</f>
        <v>0</v>
      </c>
      <c r="U299" s="28" t="n">
        <f aca="false">T299*Cont</f>
        <v>0</v>
      </c>
      <c r="V299" s="28" t="n">
        <f aca="false">MIN(J299,J299*$F$43)</f>
        <v>0</v>
      </c>
      <c r="W299" s="40" t="n">
        <f aca="false">$F$55*(1+FxDrift)^(A299-1)</f>
        <v>1</v>
      </c>
      <c r="X299" s="28" t="n">
        <f aca="false">(T299+U299)*W299</f>
        <v>0</v>
      </c>
      <c r="Y299" s="28" t="n">
        <f aca="false">IF(B299=1,MIN(X299,V299*W299+IF(F299&gt;0,$F$44*F299,0)),0)</f>
        <v>0</v>
      </c>
      <c r="Z299" s="41" t="n">
        <f aca="false">IF(B299=1,MAX(0,X299-(V299*W299+IF(F299&gt;0,$F$44*F299,0))),0)</f>
        <v>0</v>
      </c>
      <c r="AA299" s="28" t="n">
        <f aca="false">IF(B299=1,(J299+K299)*W299,0)</f>
        <v>0</v>
      </c>
      <c r="AB299" s="28" t="n">
        <f aca="false">IF(B299=1,SUM(L299:R299)*W299,0)</f>
        <v>0</v>
      </c>
      <c r="AC299" s="28" t="n">
        <f aca="false">IF(B299=1,(S299+U299)*W299,0)</f>
        <v>0</v>
      </c>
    </row>
    <row r="300" customFormat="false" ht="15" hidden="false" customHeight="false" outlineLevel="0" collapsed="false">
      <c r="A300" s="27" t="n">
        <v>47</v>
      </c>
      <c r="B300" s="27" t="n">
        <f aca="false">IF(AND(A300&lt;=$F$52,$F$47=1),1,0)</f>
        <v>0</v>
      </c>
      <c r="C300" s="27" t="str">
        <f aca="false">IF(B300=1,$F$7+A300-1,"")</f>
        <v/>
      </c>
      <c r="D300" s="28" t="str">
        <f aca="false">(PlanStartYear+A300-1)&amp;"/"&amp;RIGHT(PlanStartYear+A300,2)</f>
        <v>2072/73</v>
      </c>
      <c r="E300" s="27" t="n">
        <f aca="false">A300-1-$F$49</f>
        <v>46</v>
      </c>
      <c r="F300" s="39" t="n">
        <f aca="false">IF(AND(B300=1,E300&gt;=0,E300&lt;$F$50),MIN(1,$F$37-E300),0)</f>
        <v>0</v>
      </c>
      <c r="G300" s="27" t="n">
        <f aca="false">(A300-1)+$F$54</f>
        <v>46</v>
      </c>
      <c r="H300" s="40" t="n">
        <f aca="false">(1+TuiInf)^G300</f>
        <v>80.1795320536137</v>
      </c>
      <c r="I300" s="40" t="n">
        <f aca="false">(1+LivInf)^G300</f>
        <v>34.4740853415167</v>
      </c>
      <c r="J300" s="28" t="n">
        <f aca="false">$F$24*H300*F300</f>
        <v>0</v>
      </c>
      <c r="K300" s="28" t="n">
        <f aca="false">$F$25*H300*F300</f>
        <v>0</v>
      </c>
      <c r="L300" s="28" t="n">
        <f aca="false">$F$26*I300*F300</f>
        <v>0</v>
      </c>
      <c r="M300" s="28" t="n">
        <f aca="false">$F$27*I300*F300</f>
        <v>0</v>
      </c>
      <c r="N300" s="28" t="n">
        <f aca="false">$F$28*I300*F300</f>
        <v>0</v>
      </c>
      <c r="O300" s="28" t="n">
        <f aca="false">$F$29*I300*F300</f>
        <v>0</v>
      </c>
      <c r="P300" s="28" t="n">
        <f aca="false">$F$30*I300*F300</f>
        <v>0</v>
      </c>
      <c r="Q300" s="28" t="n">
        <f aca="false">$F$31*I300*F300</f>
        <v>0</v>
      </c>
      <c r="R300" s="28" t="n">
        <f aca="false">$F$32*I300*F300</f>
        <v>0</v>
      </c>
      <c r="S300" s="28" t="n">
        <f aca="false">IF(AND(F300&gt;0,E300=0),($F$33+$F$36)*H300+($F$34+$F$35)*I300,0)</f>
        <v>0</v>
      </c>
      <c r="T300" s="28" t="n">
        <f aca="false">SUM(J300:S300)</f>
        <v>0</v>
      </c>
      <c r="U300" s="28" t="n">
        <f aca="false">T300*Cont</f>
        <v>0</v>
      </c>
      <c r="V300" s="28" t="n">
        <f aca="false">MIN(J300,J300*$F$43)</f>
        <v>0</v>
      </c>
      <c r="W300" s="40" t="n">
        <f aca="false">$F$55*(1+FxDrift)^(A300-1)</f>
        <v>1</v>
      </c>
      <c r="X300" s="28" t="n">
        <f aca="false">(T300+U300)*W300</f>
        <v>0</v>
      </c>
      <c r="Y300" s="28" t="n">
        <f aca="false">IF(B300=1,MIN(X300,V300*W300+IF(F300&gt;0,$F$44*F300,0)),0)</f>
        <v>0</v>
      </c>
      <c r="Z300" s="41" t="n">
        <f aca="false">IF(B300=1,MAX(0,X300-(V300*W300+IF(F300&gt;0,$F$44*F300,0))),0)</f>
        <v>0</v>
      </c>
      <c r="AA300" s="28" t="n">
        <f aca="false">IF(B300=1,(J300+K300)*W300,0)</f>
        <v>0</v>
      </c>
      <c r="AB300" s="28" t="n">
        <f aca="false">IF(B300=1,SUM(L300:R300)*W300,0)</f>
        <v>0</v>
      </c>
      <c r="AC300" s="28" t="n">
        <f aca="false">IF(B300=1,(S300+U300)*W300,0)</f>
        <v>0</v>
      </c>
    </row>
    <row r="301" customFormat="false" ht="15" hidden="false" customHeight="false" outlineLevel="0" collapsed="false">
      <c r="A301" s="27" t="n">
        <v>48</v>
      </c>
      <c r="B301" s="27" t="n">
        <f aca="false">IF(AND(A301&lt;=$F$52,$F$47=1),1,0)</f>
        <v>0</v>
      </c>
      <c r="C301" s="27" t="str">
        <f aca="false">IF(B301=1,$F$7+A301-1,"")</f>
        <v/>
      </c>
      <c r="D301" s="28" t="str">
        <f aca="false">(PlanStartYear+A301-1)&amp;"/"&amp;RIGHT(PlanStartYear+A301,2)</f>
        <v>2073/74</v>
      </c>
      <c r="E301" s="27" t="n">
        <f aca="false">A301-1-$F$49</f>
        <v>47</v>
      </c>
      <c r="F301" s="39" t="n">
        <f aca="false">IF(AND(B301=1,E301&gt;=0,E301&lt;$F$50),MIN(1,$F$37-E301),0)</f>
        <v>0</v>
      </c>
      <c r="G301" s="27" t="n">
        <f aca="false">(A301-1)+$F$54</f>
        <v>47</v>
      </c>
      <c r="H301" s="40" t="n">
        <f aca="false">(1+TuiInf)^G301</f>
        <v>88.197485258975</v>
      </c>
      <c r="I301" s="40" t="n">
        <f aca="false">(1+LivInf)^G301</f>
        <v>37.2320121688381</v>
      </c>
      <c r="J301" s="28" t="n">
        <f aca="false">$F$24*H301*F301</f>
        <v>0</v>
      </c>
      <c r="K301" s="28" t="n">
        <f aca="false">$F$25*H301*F301</f>
        <v>0</v>
      </c>
      <c r="L301" s="28" t="n">
        <f aca="false">$F$26*I301*F301</f>
        <v>0</v>
      </c>
      <c r="M301" s="28" t="n">
        <f aca="false">$F$27*I301*F301</f>
        <v>0</v>
      </c>
      <c r="N301" s="28" t="n">
        <f aca="false">$F$28*I301*F301</f>
        <v>0</v>
      </c>
      <c r="O301" s="28" t="n">
        <f aca="false">$F$29*I301*F301</f>
        <v>0</v>
      </c>
      <c r="P301" s="28" t="n">
        <f aca="false">$F$30*I301*F301</f>
        <v>0</v>
      </c>
      <c r="Q301" s="28" t="n">
        <f aca="false">$F$31*I301*F301</f>
        <v>0</v>
      </c>
      <c r="R301" s="28" t="n">
        <f aca="false">$F$32*I301*F301</f>
        <v>0</v>
      </c>
      <c r="S301" s="28" t="n">
        <f aca="false">IF(AND(F301&gt;0,E301=0),($F$33+$F$36)*H301+($F$34+$F$35)*I301,0)</f>
        <v>0</v>
      </c>
      <c r="T301" s="28" t="n">
        <f aca="false">SUM(J301:S301)</f>
        <v>0</v>
      </c>
      <c r="U301" s="28" t="n">
        <f aca="false">T301*Cont</f>
        <v>0</v>
      </c>
      <c r="V301" s="28" t="n">
        <f aca="false">MIN(J301,J301*$F$43)</f>
        <v>0</v>
      </c>
      <c r="W301" s="40" t="n">
        <f aca="false">$F$55*(1+FxDrift)^(A301-1)</f>
        <v>1</v>
      </c>
      <c r="X301" s="28" t="n">
        <f aca="false">(T301+U301)*W301</f>
        <v>0</v>
      </c>
      <c r="Y301" s="28" t="n">
        <f aca="false">IF(B301=1,MIN(X301,V301*W301+IF(F301&gt;0,$F$44*F301,0)),0)</f>
        <v>0</v>
      </c>
      <c r="Z301" s="41" t="n">
        <f aca="false">IF(B301=1,MAX(0,X301-(V301*W301+IF(F301&gt;0,$F$44*F301,0))),0)</f>
        <v>0</v>
      </c>
      <c r="AA301" s="28" t="n">
        <f aca="false">IF(B301=1,(J301+K301)*W301,0)</f>
        <v>0</v>
      </c>
      <c r="AB301" s="28" t="n">
        <f aca="false">IF(B301=1,SUM(L301:R301)*W301,0)</f>
        <v>0</v>
      </c>
      <c r="AC301" s="28" t="n">
        <f aca="false">IF(B301=1,(S301+U301)*W301,0)</f>
        <v>0</v>
      </c>
    </row>
    <row r="302" customFormat="false" ht="15" hidden="false" customHeight="false" outlineLevel="0" collapsed="false">
      <c r="A302" s="27" t="n">
        <v>49</v>
      </c>
      <c r="B302" s="27" t="n">
        <f aca="false">IF(AND(A302&lt;=$F$52,$F$47=1),1,0)</f>
        <v>0</v>
      </c>
      <c r="C302" s="27" t="str">
        <f aca="false">IF(B302=1,$F$7+A302-1,"")</f>
        <v/>
      </c>
      <c r="D302" s="28" t="str">
        <f aca="false">(PlanStartYear+A302-1)&amp;"/"&amp;RIGHT(PlanStartYear+A302,2)</f>
        <v>2074/75</v>
      </c>
      <c r="E302" s="27" t="n">
        <f aca="false">A302-1-$F$49</f>
        <v>48</v>
      </c>
      <c r="F302" s="39" t="n">
        <f aca="false">IF(AND(B302=1,E302&gt;=0,E302&lt;$F$50),MIN(1,$F$37-E302),0)</f>
        <v>0</v>
      </c>
      <c r="G302" s="27" t="n">
        <f aca="false">(A302-1)+$F$54</f>
        <v>48</v>
      </c>
      <c r="H302" s="40" t="n">
        <f aca="false">(1+TuiInf)^G302</f>
        <v>97.0172337848725</v>
      </c>
      <c r="I302" s="40" t="n">
        <f aca="false">(1+LivInf)^G302</f>
        <v>40.2105731423451</v>
      </c>
      <c r="J302" s="28" t="n">
        <f aca="false">$F$24*H302*F302</f>
        <v>0</v>
      </c>
      <c r="K302" s="28" t="n">
        <f aca="false">$F$25*H302*F302</f>
        <v>0</v>
      </c>
      <c r="L302" s="28" t="n">
        <f aca="false">$F$26*I302*F302</f>
        <v>0</v>
      </c>
      <c r="M302" s="28" t="n">
        <f aca="false">$F$27*I302*F302</f>
        <v>0</v>
      </c>
      <c r="N302" s="28" t="n">
        <f aca="false">$F$28*I302*F302</f>
        <v>0</v>
      </c>
      <c r="O302" s="28" t="n">
        <f aca="false">$F$29*I302*F302</f>
        <v>0</v>
      </c>
      <c r="P302" s="28" t="n">
        <f aca="false">$F$30*I302*F302</f>
        <v>0</v>
      </c>
      <c r="Q302" s="28" t="n">
        <f aca="false">$F$31*I302*F302</f>
        <v>0</v>
      </c>
      <c r="R302" s="28" t="n">
        <f aca="false">$F$32*I302*F302</f>
        <v>0</v>
      </c>
      <c r="S302" s="28" t="n">
        <f aca="false">IF(AND(F302&gt;0,E302=0),($F$33+$F$36)*H302+($F$34+$F$35)*I302,0)</f>
        <v>0</v>
      </c>
      <c r="T302" s="28" t="n">
        <f aca="false">SUM(J302:S302)</f>
        <v>0</v>
      </c>
      <c r="U302" s="28" t="n">
        <f aca="false">T302*Cont</f>
        <v>0</v>
      </c>
      <c r="V302" s="28" t="n">
        <f aca="false">MIN(J302,J302*$F$43)</f>
        <v>0</v>
      </c>
      <c r="W302" s="40" t="n">
        <f aca="false">$F$55*(1+FxDrift)^(A302-1)</f>
        <v>1</v>
      </c>
      <c r="X302" s="28" t="n">
        <f aca="false">(T302+U302)*W302</f>
        <v>0</v>
      </c>
      <c r="Y302" s="28" t="n">
        <f aca="false">IF(B302=1,MIN(X302,V302*W302+IF(F302&gt;0,$F$44*F302,0)),0)</f>
        <v>0</v>
      </c>
      <c r="Z302" s="41" t="n">
        <f aca="false">IF(B302=1,MAX(0,X302-(V302*W302+IF(F302&gt;0,$F$44*F302,0))),0)</f>
        <v>0</v>
      </c>
      <c r="AA302" s="28" t="n">
        <f aca="false">IF(B302=1,(J302+K302)*W302,0)</f>
        <v>0</v>
      </c>
      <c r="AB302" s="28" t="n">
        <f aca="false">IF(B302=1,SUM(L302:R302)*W302,0)</f>
        <v>0</v>
      </c>
      <c r="AC302" s="28" t="n">
        <f aca="false">IF(B302=1,(S302+U302)*W302,0)</f>
        <v>0</v>
      </c>
    </row>
    <row r="303" customFormat="false" ht="15" hidden="false" customHeight="false" outlineLevel="0" collapsed="false">
      <c r="A303" s="27" t="n">
        <v>50</v>
      </c>
      <c r="B303" s="27" t="n">
        <f aca="false">IF(AND(A303&lt;=$F$52,$F$47=1),1,0)</f>
        <v>0</v>
      </c>
      <c r="C303" s="27" t="str">
        <f aca="false">IF(B303=1,$F$7+A303-1,"")</f>
        <v/>
      </c>
      <c r="D303" s="28" t="str">
        <f aca="false">(PlanStartYear+A303-1)&amp;"/"&amp;RIGHT(PlanStartYear+A303,2)</f>
        <v>2075/76</v>
      </c>
      <c r="E303" s="27" t="n">
        <f aca="false">A303-1-$F$49</f>
        <v>49</v>
      </c>
      <c r="F303" s="39" t="n">
        <f aca="false">IF(AND(B303=1,E303&gt;=0,E303&lt;$F$50),MIN(1,$F$37-E303),0)</f>
        <v>0</v>
      </c>
      <c r="G303" s="27" t="n">
        <f aca="false">(A303-1)+$F$54</f>
        <v>49</v>
      </c>
      <c r="H303" s="40" t="n">
        <f aca="false">(1+TuiInf)^G303</f>
        <v>106.71895716336</v>
      </c>
      <c r="I303" s="40" t="n">
        <f aca="false">(1+LivInf)^G303</f>
        <v>43.4274189937327</v>
      </c>
      <c r="J303" s="28" t="n">
        <f aca="false">$F$24*H303*F303</f>
        <v>0</v>
      </c>
      <c r="K303" s="28" t="n">
        <f aca="false">$F$25*H303*F303</f>
        <v>0</v>
      </c>
      <c r="L303" s="28" t="n">
        <f aca="false">$F$26*I303*F303</f>
        <v>0</v>
      </c>
      <c r="M303" s="28" t="n">
        <f aca="false">$F$27*I303*F303</f>
        <v>0</v>
      </c>
      <c r="N303" s="28" t="n">
        <f aca="false">$F$28*I303*F303</f>
        <v>0</v>
      </c>
      <c r="O303" s="28" t="n">
        <f aca="false">$F$29*I303*F303</f>
        <v>0</v>
      </c>
      <c r="P303" s="28" t="n">
        <f aca="false">$F$30*I303*F303</f>
        <v>0</v>
      </c>
      <c r="Q303" s="28" t="n">
        <f aca="false">$F$31*I303*F303</f>
        <v>0</v>
      </c>
      <c r="R303" s="28" t="n">
        <f aca="false">$F$32*I303*F303</f>
        <v>0</v>
      </c>
      <c r="S303" s="28" t="n">
        <f aca="false">IF(AND(F303&gt;0,E303=0),($F$33+$F$36)*H303+($F$34+$F$35)*I303,0)</f>
        <v>0</v>
      </c>
      <c r="T303" s="28" t="n">
        <f aca="false">SUM(J303:S303)</f>
        <v>0</v>
      </c>
      <c r="U303" s="28" t="n">
        <f aca="false">T303*Cont</f>
        <v>0</v>
      </c>
      <c r="V303" s="28" t="n">
        <f aca="false">MIN(J303,J303*$F$43)</f>
        <v>0</v>
      </c>
      <c r="W303" s="40" t="n">
        <f aca="false">$F$55*(1+FxDrift)^(A303-1)</f>
        <v>1</v>
      </c>
      <c r="X303" s="28" t="n">
        <f aca="false">(T303+U303)*W303</f>
        <v>0</v>
      </c>
      <c r="Y303" s="28" t="n">
        <f aca="false">IF(B303=1,MIN(X303,V303*W303+IF(F303&gt;0,$F$44*F303,0)),0)</f>
        <v>0</v>
      </c>
      <c r="Z303" s="41" t="n">
        <f aca="false">IF(B303=1,MAX(0,X303-(V303*W303+IF(F303&gt;0,$F$44*F303,0))),0)</f>
        <v>0</v>
      </c>
      <c r="AA303" s="28" t="n">
        <f aca="false">IF(B303=1,(J303+K303)*W303,0)</f>
        <v>0</v>
      </c>
      <c r="AB303" s="28" t="n">
        <f aca="false">IF(B303=1,SUM(L303:R303)*W303,0)</f>
        <v>0</v>
      </c>
      <c r="AC303" s="28" t="n">
        <f aca="false">IF(B303=1,(S303+U303)*W303,0)</f>
        <v>0</v>
      </c>
    </row>
    <row r="304" customFormat="false" ht="15" hidden="false" customHeight="false" outlineLevel="0" collapsed="false">
      <c r="A304" s="27" t="n">
        <v>51</v>
      </c>
      <c r="B304" s="27" t="n">
        <f aca="false">IF(AND(A304&lt;=$F$52,$F$47=1),1,0)</f>
        <v>0</v>
      </c>
      <c r="C304" s="27" t="str">
        <f aca="false">IF(B304=1,$F$7+A304-1,"")</f>
        <v/>
      </c>
      <c r="D304" s="28" t="str">
        <f aca="false">(PlanStartYear+A304-1)&amp;"/"&amp;RIGHT(PlanStartYear+A304,2)</f>
        <v>2076/77</v>
      </c>
      <c r="E304" s="27" t="n">
        <f aca="false">A304-1-$F$49</f>
        <v>50</v>
      </c>
      <c r="F304" s="39" t="n">
        <f aca="false">IF(AND(B304=1,E304&gt;=0,E304&lt;$F$50),MIN(1,$F$37-E304),0)</f>
        <v>0</v>
      </c>
      <c r="G304" s="27" t="n">
        <f aca="false">(A304-1)+$F$54</f>
        <v>50</v>
      </c>
      <c r="H304" s="40" t="n">
        <f aca="false">(1+TuiInf)^G304</f>
        <v>117.390852879696</v>
      </c>
      <c r="I304" s="40" t="n">
        <f aca="false">(1+LivInf)^G304</f>
        <v>46.9016125132314</v>
      </c>
      <c r="J304" s="28" t="n">
        <f aca="false">$F$24*H304*F304</f>
        <v>0</v>
      </c>
      <c r="K304" s="28" t="n">
        <f aca="false">$F$25*H304*F304</f>
        <v>0</v>
      </c>
      <c r="L304" s="28" t="n">
        <f aca="false">$F$26*I304*F304</f>
        <v>0</v>
      </c>
      <c r="M304" s="28" t="n">
        <f aca="false">$F$27*I304*F304</f>
        <v>0</v>
      </c>
      <c r="N304" s="28" t="n">
        <f aca="false">$F$28*I304*F304</f>
        <v>0</v>
      </c>
      <c r="O304" s="28" t="n">
        <f aca="false">$F$29*I304*F304</f>
        <v>0</v>
      </c>
      <c r="P304" s="28" t="n">
        <f aca="false">$F$30*I304*F304</f>
        <v>0</v>
      </c>
      <c r="Q304" s="28" t="n">
        <f aca="false">$F$31*I304*F304</f>
        <v>0</v>
      </c>
      <c r="R304" s="28" t="n">
        <f aca="false">$F$32*I304*F304</f>
        <v>0</v>
      </c>
      <c r="S304" s="28" t="n">
        <f aca="false">IF(AND(F304&gt;0,E304=0),($F$33+$F$36)*H304+($F$34+$F$35)*I304,0)</f>
        <v>0</v>
      </c>
      <c r="T304" s="28" t="n">
        <f aca="false">SUM(J304:S304)</f>
        <v>0</v>
      </c>
      <c r="U304" s="28" t="n">
        <f aca="false">T304*Cont</f>
        <v>0</v>
      </c>
      <c r="V304" s="28" t="n">
        <f aca="false">MIN(J304,J304*$F$43)</f>
        <v>0</v>
      </c>
      <c r="W304" s="40" t="n">
        <f aca="false">$F$55*(1+FxDrift)^(A304-1)</f>
        <v>1</v>
      </c>
      <c r="X304" s="28" t="n">
        <f aca="false">(T304+U304)*W304</f>
        <v>0</v>
      </c>
      <c r="Y304" s="28" t="n">
        <f aca="false">IF(B304=1,MIN(X304,V304*W304+IF(F304&gt;0,$F$44*F304,0)),0)</f>
        <v>0</v>
      </c>
      <c r="Z304" s="41" t="n">
        <f aca="false">IF(B304=1,MAX(0,X304-(V304*W304+IF(F304&gt;0,$F$44*F304,0))),0)</f>
        <v>0</v>
      </c>
      <c r="AA304" s="28" t="n">
        <f aca="false">IF(B304=1,(J304+K304)*W304,0)</f>
        <v>0</v>
      </c>
      <c r="AB304" s="28" t="n">
        <f aca="false">IF(B304=1,SUM(L304:R304)*W304,0)</f>
        <v>0</v>
      </c>
      <c r="AC304" s="28" t="n">
        <f aca="false">IF(B304=1,(S304+U304)*W304,0)</f>
        <v>0</v>
      </c>
    </row>
    <row r="305" customFormat="false" ht="15" hidden="false" customHeight="false" outlineLevel="0" collapsed="false">
      <c r="A305" s="27" t="n">
        <v>52</v>
      </c>
      <c r="B305" s="27" t="n">
        <f aca="false">IF(AND(A305&lt;=$F$52,$F$47=1),1,0)</f>
        <v>0</v>
      </c>
      <c r="C305" s="27" t="str">
        <f aca="false">IF(B305=1,$F$7+A305-1,"")</f>
        <v/>
      </c>
      <c r="D305" s="28" t="str">
        <f aca="false">(PlanStartYear+A305-1)&amp;"/"&amp;RIGHT(PlanStartYear+A305,2)</f>
        <v>2077/78</v>
      </c>
      <c r="E305" s="27" t="n">
        <f aca="false">A305-1-$F$49</f>
        <v>51</v>
      </c>
      <c r="F305" s="39" t="n">
        <f aca="false">IF(AND(B305=1,E305&gt;=0,E305&lt;$F$50),MIN(1,$F$37-E305),0)</f>
        <v>0</v>
      </c>
      <c r="G305" s="27" t="n">
        <f aca="false">(A305-1)+$F$54</f>
        <v>51</v>
      </c>
      <c r="H305" s="40" t="n">
        <f aca="false">(1+TuiInf)^G305</f>
        <v>129.129938167665</v>
      </c>
      <c r="I305" s="40" t="n">
        <f aca="false">(1+LivInf)^G305</f>
        <v>50.6537415142899</v>
      </c>
      <c r="J305" s="28" t="n">
        <f aca="false">$F$24*H305*F305</f>
        <v>0</v>
      </c>
      <c r="K305" s="28" t="n">
        <f aca="false">$F$25*H305*F305</f>
        <v>0</v>
      </c>
      <c r="L305" s="28" t="n">
        <f aca="false">$F$26*I305*F305</f>
        <v>0</v>
      </c>
      <c r="M305" s="28" t="n">
        <f aca="false">$F$27*I305*F305</f>
        <v>0</v>
      </c>
      <c r="N305" s="28" t="n">
        <f aca="false">$F$28*I305*F305</f>
        <v>0</v>
      </c>
      <c r="O305" s="28" t="n">
        <f aca="false">$F$29*I305*F305</f>
        <v>0</v>
      </c>
      <c r="P305" s="28" t="n">
        <f aca="false">$F$30*I305*F305</f>
        <v>0</v>
      </c>
      <c r="Q305" s="28" t="n">
        <f aca="false">$F$31*I305*F305</f>
        <v>0</v>
      </c>
      <c r="R305" s="28" t="n">
        <f aca="false">$F$32*I305*F305</f>
        <v>0</v>
      </c>
      <c r="S305" s="28" t="n">
        <f aca="false">IF(AND(F305&gt;0,E305=0),($F$33+$F$36)*H305+($F$34+$F$35)*I305,0)</f>
        <v>0</v>
      </c>
      <c r="T305" s="28" t="n">
        <f aca="false">SUM(J305:S305)</f>
        <v>0</v>
      </c>
      <c r="U305" s="28" t="n">
        <f aca="false">T305*Cont</f>
        <v>0</v>
      </c>
      <c r="V305" s="28" t="n">
        <f aca="false">MIN(J305,J305*$F$43)</f>
        <v>0</v>
      </c>
      <c r="W305" s="40" t="n">
        <f aca="false">$F$55*(1+FxDrift)^(A305-1)</f>
        <v>1</v>
      </c>
      <c r="X305" s="28" t="n">
        <f aca="false">(T305+U305)*W305</f>
        <v>0</v>
      </c>
      <c r="Y305" s="28" t="n">
        <f aca="false">IF(B305=1,MIN(X305,V305*W305+IF(F305&gt;0,$F$44*F305,0)),0)</f>
        <v>0</v>
      </c>
      <c r="Z305" s="41" t="n">
        <f aca="false">IF(B305=1,MAX(0,X305-(V305*W305+IF(F305&gt;0,$F$44*F305,0))),0)</f>
        <v>0</v>
      </c>
      <c r="AA305" s="28" t="n">
        <f aca="false">IF(B305=1,(J305+K305)*W305,0)</f>
        <v>0</v>
      </c>
      <c r="AB305" s="28" t="n">
        <f aca="false">IF(B305=1,SUM(L305:R305)*W305,0)</f>
        <v>0</v>
      </c>
      <c r="AC305" s="28" t="n">
        <f aca="false">IF(B305=1,(S305+U305)*W305,0)</f>
        <v>0</v>
      </c>
    </row>
    <row r="306" customFormat="false" ht="15" hidden="false" customHeight="false" outlineLevel="0" collapsed="false">
      <c r="A306" s="27" t="n">
        <v>53</v>
      </c>
      <c r="B306" s="27" t="n">
        <f aca="false">IF(AND(A306&lt;=$F$52,$F$47=1),1,0)</f>
        <v>0</v>
      </c>
      <c r="C306" s="27" t="str">
        <f aca="false">IF(B306=1,$F$7+A306-1,"")</f>
        <v/>
      </c>
      <c r="D306" s="28" t="str">
        <f aca="false">(PlanStartYear+A306-1)&amp;"/"&amp;RIGHT(PlanStartYear+A306,2)</f>
        <v>2078/79</v>
      </c>
      <c r="E306" s="27" t="n">
        <f aca="false">A306-1-$F$49</f>
        <v>52</v>
      </c>
      <c r="F306" s="39" t="n">
        <f aca="false">IF(AND(B306=1,E306&gt;=0,E306&lt;$F$50),MIN(1,$F$37-E306),0)</f>
        <v>0</v>
      </c>
      <c r="G306" s="27" t="n">
        <f aca="false">(A306-1)+$F$54</f>
        <v>52</v>
      </c>
      <c r="H306" s="40" t="n">
        <f aca="false">(1+TuiInf)^G306</f>
        <v>142.042931984432</v>
      </c>
      <c r="I306" s="40" t="n">
        <f aca="false">(1+LivInf)^G306</f>
        <v>54.7060408354331</v>
      </c>
      <c r="J306" s="28" t="n">
        <f aca="false">$F$24*H306*F306</f>
        <v>0</v>
      </c>
      <c r="K306" s="28" t="n">
        <f aca="false">$F$25*H306*F306</f>
        <v>0</v>
      </c>
      <c r="L306" s="28" t="n">
        <f aca="false">$F$26*I306*F306</f>
        <v>0</v>
      </c>
      <c r="M306" s="28" t="n">
        <f aca="false">$F$27*I306*F306</f>
        <v>0</v>
      </c>
      <c r="N306" s="28" t="n">
        <f aca="false">$F$28*I306*F306</f>
        <v>0</v>
      </c>
      <c r="O306" s="28" t="n">
        <f aca="false">$F$29*I306*F306</f>
        <v>0</v>
      </c>
      <c r="P306" s="28" t="n">
        <f aca="false">$F$30*I306*F306</f>
        <v>0</v>
      </c>
      <c r="Q306" s="28" t="n">
        <f aca="false">$F$31*I306*F306</f>
        <v>0</v>
      </c>
      <c r="R306" s="28" t="n">
        <f aca="false">$F$32*I306*F306</f>
        <v>0</v>
      </c>
      <c r="S306" s="28" t="n">
        <f aca="false">IF(AND(F306&gt;0,E306=0),($F$33+$F$36)*H306+($F$34+$F$35)*I306,0)</f>
        <v>0</v>
      </c>
      <c r="T306" s="28" t="n">
        <f aca="false">SUM(J306:S306)</f>
        <v>0</v>
      </c>
      <c r="U306" s="28" t="n">
        <f aca="false">T306*Cont</f>
        <v>0</v>
      </c>
      <c r="V306" s="28" t="n">
        <f aca="false">MIN(J306,J306*$F$43)</f>
        <v>0</v>
      </c>
      <c r="W306" s="40" t="n">
        <f aca="false">$F$55*(1+FxDrift)^(A306-1)</f>
        <v>1</v>
      </c>
      <c r="X306" s="28" t="n">
        <f aca="false">(T306+U306)*W306</f>
        <v>0</v>
      </c>
      <c r="Y306" s="28" t="n">
        <f aca="false">IF(B306=1,MIN(X306,V306*W306+IF(F306&gt;0,$F$44*F306,0)),0)</f>
        <v>0</v>
      </c>
      <c r="Z306" s="41" t="n">
        <f aca="false">IF(B306=1,MAX(0,X306-(V306*W306+IF(F306&gt;0,$F$44*F306,0))),0)</f>
        <v>0</v>
      </c>
      <c r="AA306" s="28" t="n">
        <f aca="false">IF(B306=1,(J306+K306)*W306,0)</f>
        <v>0</v>
      </c>
      <c r="AB306" s="28" t="n">
        <f aca="false">IF(B306=1,SUM(L306:R306)*W306,0)</f>
        <v>0</v>
      </c>
      <c r="AC306" s="28" t="n">
        <f aca="false">IF(B306=1,(S306+U306)*W306,0)</f>
        <v>0</v>
      </c>
    </row>
    <row r="307" customFormat="false" ht="15" hidden="false" customHeight="false" outlineLevel="0" collapsed="false">
      <c r="A307" s="27" t="n">
        <v>54</v>
      </c>
      <c r="B307" s="27" t="n">
        <f aca="false">IF(AND(A307&lt;=$F$52,$F$47=1),1,0)</f>
        <v>0</v>
      </c>
      <c r="C307" s="27" t="str">
        <f aca="false">IF(B307=1,$F$7+A307-1,"")</f>
        <v/>
      </c>
      <c r="D307" s="28" t="str">
        <f aca="false">(PlanStartYear+A307-1)&amp;"/"&amp;RIGHT(PlanStartYear+A307,2)</f>
        <v>2079/80</v>
      </c>
      <c r="E307" s="27" t="n">
        <f aca="false">A307-1-$F$49</f>
        <v>53</v>
      </c>
      <c r="F307" s="39" t="n">
        <f aca="false">IF(AND(B307=1,E307&gt;=0,E307&lt;$F$50),MIN(1,$F$37-E307),0)</f>
        <v>0</v>
      </c>
      <c r="G307" s="27" t="n">
        <f aca="false">(A307-1)+$F$54</f>
        <v>53</v>
      </c>
      <c r="H307" s="40" t="n">
        <f aca="false">(1+TuiInf)^G307</f>
        <v>156.247225182875</v>
      </c>
      <c r="I307" s="40" t="n">
        <f aca="false">(1+LivInf)^G307</f>
        <v>59.0825241022677</v>
      </c>
      <c r="J307" s="28" t="n">
        <f aca="false">$F$24*H307*F307</f>
        <v>0</v>
      </c>
      <c r="K307" s="28" t="n">
        <f aca="false">$F$25*H307*F307</f>
        <v>0</v>
      </c>
      <c r="L307" s="28" t="n">
        <f aca="false">$F$26*I307*F307</f>
        <v>0</v>
      </c>
      <c r="M307" s="28" t="n">
        <f aca="false">$F$27*I307*F307</f>
        <v>0</v>
      </c>
      <c r="N307" s="28" t="n">
        <f aca="false">$F$28*I307*F307</f>
        <v>0</v>
      </c>
      <c r="O307" s="28" t="n">
        <f aca="false">$F$29*I307*F307</f>
        <v>0</v>
      </c>
      <c r="P307" s="28" t="n">
        <f aca="false">$F$30*I307*F307</f>
        <v>0</v>
      </c>
      <c r="Q307" s="28" t="n">
        <f aca="false">$F$31*I307*F307</f>
        <v>0</v>
      </c>
      <c r="R307" s="28" t="n">
        <f aca="false">$F$32*I307*F307</f>
        <v>0</v>
      </c>
      <c r="S307" s="28" t="n">
        <f aca="false">IF(AND(F307&gt;0,E307=0),($F$33+$F$36)*H307+($F$34+$F$35)*I307,0)</f>
        <v>0</v>
      </c>
      <c r="T307" s="28" t="n">
        <f aca="false">SUM(J307:S307)</f>
        <v>0</v>
      </c>
      <c r="U307" s="28" t="n">
        <f aca="false">T307*Cont</f>
        <v>0</v>
      </c>
      <c r="V307" s="28" t="n">
        <f aca="false">MIN(J307,J307*$F$43)</f>
        <v>0</v>
      </c>
      <c r="W307" s="40" t="n">
        <f aca="false">$F$55*(1+FxDrift)^(A307-1)</f>
        <v>1</v>
      </c>
      <c r="X307" s="28" t="n">
        <f aca="false">(T307+U307)*W307</f>
        <v>0</v>
      </c>
      <c r="Y307" s="28" t="n">
        <f aca="false">IF(B307=1,MIN(X307,V307*W307+IF(F307&gt;0,$F$44*F307,0)),0)</f>
        <v>0</v>
      </c>
      <c r="Z307" s="41" t="n">
        <f aca="false">IF(B307=1,MAX(0,X307-(V307*W307+IF(F307&gt;0,$F$44*F307,0))),0)</f>
        <v>0</v>
      </c>
      <c r="AA307" s="28" t="n">
        <f aca="false">IF(B307=1,(J307+K307)*W307,0)</f>
        <v>0</v>
      </c>
      <c r="AB307" s="28" t="n">
        <f aca="false">IF(B307=1,SUM(L307:R307)*W307,0)</f>
        <v>0</v>
      </c>
      <c r="AC307" s="28" t="n">
        <f aca="false">IF(B307=1,(S307+U307)*W307,0)</f>
        <v>0</v>
      </c>
    </row>
    <row r="308" customFormat="false" ht="15" hidden="false" customHeight="false" outlineLevel="0" collapsed="false">
      <c r="A308" s="27" t="n">
        <v>55</v>
      </c>
      <c r="B308" s="27" t="n">
        <f aca="false">IF(AND(A308&lt;=$F$52,$F$47=1),1,0)</f>
        <v>0</v>
      </c>
      <c r="C308" s="27" t="str">
        <f aca="false">IF(B308=1,$F$7+A308-1,"")</f>
        <v/>
      </c>
      <c r="D308" s="28" t="str">
        <f aca="false">(PlanStartYear+A308-1)&amp;"/"&amp;RIGHT(PlanStartYear+A308,2)</f>
        <v>2080/81</v>
      </c>
      <c r="E308" s="27" t="n">
        <f aca="false">A308-1-$F$49</f>
        <v>54</v>
      </c>
      <c r="F308" s="39" t="n">
        <f aca="false">IF(AND(B308=1,E308&gt;=0,E308&lt;$F$50),MIN(1,$F$37-E308),0)</f>
        <v>0</v>
      </c>
      <c r="G308" s="27" t="n">
        <f aca="false">(A308-1)+$F$54</f>
        <v>54</v>
      </c>
      <c r="H308" s="40" t="n">
        <f aca="false">(1+TuiInf)^G308</f>
        <v>171.871947701163</v>
      </c>
      <c r="I308" s="40" t="n">
        <f aca="false">(1+LivInf)^G308</f>
        <v>63.8091260304491</v>
      </c>
      <c r="J308" s="28" t="n">
        <f aca="false">$F$24*H308*F308</f>
        <v>0</v>
      </c>
      <c r="K308" s="28" t="n">
        <f aca="false">$F$25*H308*F308</f>
        <v>0</v>
      </c>
      <c r="L308" s="28" t="n">
        <f aca="false">$F$26*I308*F308</f>
        <v>0</v>
      </c>
      <c r="M308" s="28" t="n">
        <f aca="false">$F$27*I308*F308</f>
        <v>0</v>
      </c>
      <c r="N308" s="28" t="n">
        <f aca="false">$F$28*I308*F308</f>
        <v>0</v>
      </c>
      <c r="O308" s="28" t="n">
        <f aca="false">$F$29*I308*F308</f>
        <v>0</v>
      </c>
      <c r="P308" s="28" t="n">
        <f aca="false">$F$30*I308*F308</f>
        <v>0</v>
      </c>
      <c r="Q308" s="28" t="n">
        <f aca="false">$F$31*I308*F308</f>
        <v>0</v>
      </c>
      <c r="R308" s="28" t="n">
        <f aca="false">$F$32*I308*F308</f>
        <v>0</v>
      </c>
      <c r="S308" s="28" t="n">
        <f aca="false">IF(AND(F308&gt;0,E308=0),($F$33+$F$36)*H308+($F$34+$F$35)*I308,0)</f>
        <v>0</v>
      </c>
      <c r="T308" s="28" t="n">
        <f aca="false">SUM(J308:S308)</f>
        <v>0</v>
      </c>
      <c r="U308" s="28" t="n">
        <f aca="false">T308*Cont</f>
        <v>0</v>
      </c>
      <c r="V308" s="28" t="n">
        <f aca="false">MIN(J308,J308*$F$43)</f>
        <v>0</v>
      </c>
      <c r="W308" s="40" t="n">
        <f aca="false">$F$55*(1+FxDrift)^(A308-1)</f>
        <v>1</v>
      </c>
      <c r="X308" s="28" t="n">
        <f aca="false">(T308+U308)*W308</f>
        <v>0</v>
      </c>
      <c r="Y308" s="28" t="n">
        <f aca="false">IF(B308=1,MIN(X308,V308*W308+IF(F308&gt;0,$F$44*F308,0)),0)</f>
        <v>0</v>
      </c>
      <c r="Z308" s="41" t="n">
        <f aca="false">IF(B308=1,MAX(0,X308-(V308*W308+IF(F308&gt;0,$F$44*F308,0))),0)</f>
        <v>0</v>
      </c>
      <c r="AA308" s="28" t="n">
        <f aca="false">IF(B308=1,(J308+K308)*W308,0)</f>
        <v>0</v>
      </c>
      <c r="AB308" s="28" t="n">
        <f aca="false">IF(B308=1,SUM(L308:R308)*W308,0)</f>
        <v>0</v>
      </c>
      <c r="AC308" s="28" t="n">
        <f aca="false">IF(B308=1,(S308+U308)*W308,0)</f>
        <v>0</v>
      </c>
    </row>
    <row r="309" customFormat="false" ht="15" hidden="false" customHeight="false" outlineLevel="0" collapsed="false">
      <c r="A309" s="27" t="n">
        <v>56</v>
      </c>
      <c r="B309" s="27" t="n">
        <f aca="false">IF(AND(A309&lt;=$F$52,$F$47=1),1,0)</f>
        <v>0</v>
      </c>
      <c r="C309" s="27" t="str">
        <f aca="false">IF(B309=1,$F$7+A309-1,"")</f>
        <v/>
      </c>
      <c r="D309" s="28" t="str">
        <f aca="false">(PlanStartYear+A309-1)&amp;"/"&amp;RIGHT(PlanStartYear+A309,2)</f>
        <v>2081/82</v>
      </c>
      <c r="E309" s="27" t="n">
        <f aca="false">A309-1-$F$49</f>
        <v>55</v>
      </c>
      <c r="F309" s="39" t="n">
        <f aca="false">IF(AND(B309=1,E309&gt;=0,E309&lt;$F$50),MIN(1,$F$37-E309),0)</f>
        <v>0</v>
      </c>
      <c r="G309" s="27" t="n">
        <f aca="false">(A309-1)+$F$54</f>
        <v>55</v>
      </c>
      <c r="H309" s="40" t="n">
        <f aca="false">(1+TuiInf)^G309</f>
        <v>189.059142471279</v>
      </c>
      <c r="I309" s="40" t="n">
        <f aca="false">(1+LivInf)^G309</f>
        <v>68.9138561128851</v>
      </c>
      <c r="J309" s="28" t="n">
        <f aca="false">$F$24*H309*F309</f>
        <v>0</v>
      </c>
      <c r="K309" s="28" t="n">
        <f aca="false">$F$25*H309*F309</f>
        <v>0</v>
      </c>
      <c r="L309" s="28" t="n">
        <f aca="false">$F$26*I309*F309</f>
        <v>0</v>
      </c>
      <c r="M309" s="28" t="n">
        <f aca="false">$F$27*I309*F309</f>
        <v>0</v>
      </c>
      <c r="N309" s="28" t="n">
        <f aca="false">$F$28*I309*F309</f>
        <v>0</v>
      </c>
      <c r="O309" s="28" t="n">
        <f aca="false">$F$29*I309*F309</f>
        <v>0</v>
      </c>
      <c r="P309" s="28" t="n">
        <f aca="false">$F$30*I309*F309</f>
        <v>0</v>
      </c>
      <c r="Q309" s="28" t="n">
        <f aca="false">$F$31*I309*F309</f>
        <v>0</v>
      </c>
      <c r="R309" s="28" t="n">
        <f aca="false">$F$32*I309*F309</f>
        <v>0</v>
      </c>
      <c r="S309" s="28" t="n">
        <f aca="false">IF(AND(F309&gt;0,E309=0),($F$33+$F$36)*H309+($F$34+$F$35)*I309,0)</f>
        <v>0</v>
      </c>
      <c r="T309" s="28" t="n">
        <f aca="false">SUM(J309:S309)</f>
        <v>0</v>
      </c>
      <c r="U309" s="28" t="n">
        <f aca="false">T309*Cont</f>
        <v>0</v>
      </c>
      <c r="V309" s="28" t="n">
        <f aca="false">MIN(J309,J309*$F$43)</f>
        <v>0</v>
      </c>
      <c r="W309" s="40" t="n">
        <f aca="false">$F$55*(1+FxDrift)^(A309-1)</f>
        <v>1</v>
      </c>
      <c r="X309" s="28" t="n">
        <f aca="false">(T309+U309)*W309</f>
        <v>0</v>
      </c>
      <c r="Y309" s="28" t="n">
        <f aca="false">IF(B309=1,MIN(X309,V309*W309+IF(F309&gt;0,$F$44*F309,0)),0)</f>
        <v>0</v>
      </c>
      <c r="Z309" s="41" t="n">
        <f aca="false">IF(B309=1,MAX(0,X309-(V309*W309+IF(F309&gt;0,$F$44*F309,0))),0)</f>
        <v>0</v>
      </c>
      <c r="AA309" s="28" t="n">
        <f aca="false">IF(B309=1,(J309+K309)*W309,0)</f>
        <v>0</v>
      </c>
      <c r="AB309" s="28" t="n">
        <f aca="false">IF(B309=1,SUM(L309:R309)*W309,0)</f>
        <v>0</v>
      </c>
      <c r="AC309" s="28" t="n">
        <f aca="false">IF(B309=1,(S309+U309)*W309,0)</f>
        <v>0</v>
      </c>
    </row>
    <row r="310" customFormat="false" ht="15" hidden="false" customHeight="false" outlineLevel="0" collapsed="false">
      <c r="A310" s="27" t="n">
        <v>57</v>
      </c>
      <c r="B310" s="27" t="n">
        <f aca="false">IF(AND(A310&lt;=$F$52,$F$47=1),1,0)</f>
        <v>0</v>
      </c>
      <c r="C310" s="27" t="str">
        <f aca="false">IF(B310=1,$F$7+A310-1,"")</f>
        <v/>
      </c>
      <c r="D310" s="28" t="str">
        <f aca="false">(PlanStartYear+A310-1)&amp;"/"&amp;RIGHT(PlanStartYear+A310,2)</f>
        <v>2082/83</v>
      </c>
      <c r="E310" s="27" t="n">
        <f aca="false">A310-1-$F$49</f>
        <v>56</v>
      </c>
      <c r="F310" s="39" t="n">
        <f aca="false">IF(AND(B310=1,E310&gt;=0,E310&lt;$F$50),MIN(1,$F$37-E310),0)</f>
        <v>0</v>
      </c>
      <c r="G310" s="27" t="n">
        <f aca="false">(A310-1)+$F$54</f>
        <v>56</v>
      </c>
      <c r="H310" s="40" t="n">
        <f aca="false">(1+TuiInf)^G310</f>
        <v>207.965056718407</v>
      </c>
      <c r="I310" s="40" t="n">
        <f aca="false">(1+LivInf)^G310</f>
        <v>74.4269646019159</v>
      </c>
      <c r="J310" s="28" t="n">
        <f aca="false">$F$24*H310*F310</f>
        <v>0</v>
      </c>
      <c r="K310" s="28" t="n">
        <f aca="false">$F$25*H310*F310</f>
        <v>0</v>
      </c>
      <c r="L310" s="28" t="n">
        <f aca="false">$F$26*I310*F310</f>
        <v>0</v>
      </c>
      <c r="M310" s="28" t="n">
        <f aca="false">$F$27*I310*F310</f>
        <v>0</v>
      </c>
      <c r="N310" s="28" t="n">
        <f aca="false">$F$28*I310*F310</f>
        <v>0</v>
      </c>
      <c r="O310" s="28" t="n">
        <f aca="false">$F$29*I310*F310</f>
        <v>0</v>
      </c>
      <c r="P310" s="28" t="n">
        <f aca="false">$F$30*I310*F310</f>
        <v>0</v>
      </c>
      <c r="Q310" s="28" t="n">
        <f aca="false">$F$31*I310*F310</f>
        <v>0</v>
      </c>
      <c r="R310" s="28" t="n">
        <f aca="false">$F$32*I310*F310</f>
        <v>0</v>
      </c>
      <c r="S310" s="28" t="n">
        <f aca="false">IF(AND(F310&gt;0,E310=0),($F$33+$F$36)*H310+($F$34+$F$35)*I310,0)</f>
        <v>0</v>
      </c>
      <c r="T310" s="28" t="n">
        <f aca="false">SUM(J310:S310)</f>
        <v>0</v>
      </c>
      <c r="U310" s="28" t="n">
        <f aca="false">T310*Cont</f>
        <v>0</v>
      </c>
      <c r="V310" s="28" t="n">
        <f aca="false">MIN(J310,J310*$F$43)</f>
        <v>0</v>
      </c>
      <c r="W310" s="40" t="n">
        <f aca="false">$F$55*(1+FxDrift)^(A310-1)</f>
        <v>1</v>
      </c>
      <c r="X310" s="28" t="n">
        <f aca="false">(T310+U310)*W310</f>
        <v>0</v>
      </c>
      <c r="Y310" s="28" t="n">
        <f aca="false">IF(B310=1,MIN(X310,V310*W310+IF(F310&gt;0,$F$44*F310,0)),0)</f>
        <v>0</v>
      </c>
      <c r="Z310" s="41" t="n">
        <f aca="false">IF(B310=1,MAX(0,X310-(V310*W310+IF(F310&gt;0,$F$44*F310,0))),0)</f>
        <v>0</v>
      </c>
      <c r="AA310" s="28" t="n">
        <f aca="false">IF(B310=1,(J310+K310)*W310,0)</f>
        <v>0</v>
      </c>
      <c r="AB310" s="28" t="n">
        <f aca="false">IF(B310=1,SUM(L310:R310)*W310,0)</f>
        <v>0</v>
      </c>
      <c r="AC310" s="28" t="n">
        <f aca="false">IF(B310=1,(S310+U310)*W310,0)</f>
        <v>0</v>
      </c>
    </row>
    <row r="311" customFormat="false" ht="15" hidden="false" customHeight="false" outlineLevel="0" collapsed="false">
      <c r="A311" s="27" t="n">
        <v>58</v>
      </c>
      <c r="B311" s="27" t="n">
        <f aca="false">IF(AND(A311&lt;=$F$52,$F$47=1),1,0)</f>
        <v>0</v>
      </c>
      <c r="C311" s="27" t="str">
        <f aca="false">IF(B311=1,$F$7+A311-1,"")</f>
        <v/>
      </c>
      <c r="D311" s="28" t="str">
        <f aca="false">(PlanStartYear+A311-1)&amp;"/"&amp;RIGHT(PlanStartYear+A311,2)</f>
        <v>2083/84</v>
      </c>
      <c r="E311" s="27" t="n">
        <f aca="false">A311-1-$F$49</f>
        <v>57</v>
      </c>
      <c r="F311" s="39" t="n">
        <f aca="false">IF(AND(B311=1,E311&gt;=0,E311&lt;$F$50),MIN(1,$F$37-E311),0)</f>
        <v>0</v>
      </c>
      <c r="G311" s="27" t="n">
        <f aca="false">(A311-1)+$F$54</f>
        <v>57</v>
      </c>
      <c r="H311" s="40" t="n">
        <f aca="false">(1+TuiInf)^G311</f>
        <v>228.761562390248</v>
      </c>
      <c r="I311" s="40" t="n">
        <f aca="false">(1+LivInf)^G311</f>
        <v>80.3811217700691</v>
      </c>
      <c r="J311" s="28" t="n">
        <f aca="false">$F$24*H311*F311</f>
        <v>0</v>
      </c>
      <c r="K311" s="28" t="n">
        <f aca="false">$F$25*H311*F311</f>
        <v>0</v>
      </c>
      <c r="L311" s="28" t="n">
        <f aca="false">$F$26*I311*F311</f>
        <v>0</v>
      </c>
      <c r="M311" s="28" t="n">
        <f aca="false">$F$27*I311*F311</f>
        <v>0</v>
      </c>
      <c r="N311" s="28" t="n">
        <f aca="false">$F$28*I311*F311</f>
        <v>0</v>
      </c>
      <c r="O311" s="28" t="n">
        <f aca="false">$F$29*I311*F311</f>
        <v>0</v>
      </c>
      <c r="P311" s="28" t="n">
        <f aca="false">$F$30*I311*F311</f>
        <v>0</v>
      </c>
      <c r="Q311" s="28" t="n">
        <f aca="false">$F$31*I311*F311</f>
        <v>0</v>
      </c>
      <c r="R311" s="28" t="n">
        <f aca="false">$F$32*I311*F311</f>
        <v>0</v>
      </c>
      <c r="S311" s="28" t="n">
        <f aca="false">IF(AND(F311&gt;0,E311=0),($F$33+$F$36)*H311+($F$34+$F$35)*I311,0)</f>
        <v>0</v>
      </c>
      <c r="T311" s="28" t="n">
        <f aca="false">SUM(J311:S311)</f>
        <v>0</v>
      </c>
      <c r="U311" s="28" t="n">
        <f aca="false">T311*Cont</f>
        <v>0</v>
      </c>
      <c r="V311" s="28" t="n">
        <f aca="false">MIN(J311,J311*$F$43)</f>
        <v>0</v>
      </c>
      <c r="W311" s="40" t="n">
        <f aca="false">$F$55*(1+FxDrift)^(A311-1)</f>
        <v>1</v>
      </c>
      <c r="X311" s="28" t="n">
        <f aca="false">(T311+U311)*W311</f>
        <v>0</v>
      </c>
      <c r="Y311" s="28" t="n">
        <f aca="false">IF(B311=1,MIN(X311,V311*W311+IF(F311&gt;0,$F$44*F311,0)),0)</f>
        <v>0</v>
      </c>
      <c r="Z311" s="41" t="n">
        <f aca="false">IF(B311=1,MAX(0,X311-(V311*W311+IF(F311&gt;0,$F$44*F311,0))),0)</f>
        <v>0</v>
      </c>
      <c r="AA311" s="28" t="n">
        <f aca="false">IF(B311=1,(J311+K311)*W311,0)</f>
        <v>0</v>
      </c>
      <c r="AB311" s="28" t="n">
        <f aca="false">IF(B311=1,SUM(L311:R311)*W311,0)</f>
        <v>0</v>
      </c>
      <c r="AC311" s="28" t="n">
        <f aca="false">IF(B311=1,(S311+U311)*W311,0)</f>
        <v>0</v>
      </c>
    </row>
    <row r="312" customFormat="false" ht="15" hidden="false" customHeight="false" outlineLevel="0" collapsed="false">
      <c r="A312" s="27" t="n">
        <v>59</v>
      </c>
      <c r="B312" s="27" t="n">
        <f aca="false">IF(AND(A312&lt;=$F$52,$F$47=1),1,0)</f>
        <v>0</v>
      </c>
      <c r="C312" s="27" t="str">
        <f aca="false">IF(B312=1,$F$7+A312-1,"")</f>
        <v/>
      </c>
      <c r="D312" s="28" t="str">
        <f aca="false">(PlanStartYear+A312-1)&amp;"/"&amp;RIGHT(PlanStartYear+A312,2)</f>
        <v>2084/85</v>
      </c>
      <c r="E312" s="27" t="n">
        <f aca="false">A312-1-$F$49</f>
        <v>58</v>
      </c>
      <c r="F312" s="39" t="n">
        <f aca="false">IF(AND(B312=1,E312&gt;=0,E312&lt;$F$50),MIN(1,$F$37-E312),0)</f>
        <v>0</v>
      </c>
      <c r="G312" s="27" t="n">
        <f aca="false">(A312-1)+$F$54</f>
        <v>58</v>
      </c>
      <c r="H312" s="40" t="n">
        <f aca="false">(1+TuiInf)^G312</f>
        <v>251.637718629272</v>
      </c>
      <c r="I312" s="40" t="n">
        <f aca="false">(1+LivInf)^G312</f>
        <v>86.8116115116747</v>
      </c>
      <c r="J312" s="28" t="n">
        <f aca="false">$F$24*H312*F312</f>
        <v>0</v>
      </c>
      <c r="K312" s="28" t="n">
        <f aca="false">$F$25*H312*F312</f>
        <v>0</v>
      </c>
      <c r="L312" s="28" t="n">
        <f aca="false">$F$26*I312*F312</f>
        <v>0</v>
      </c>
      <c r="M312" s="28" t="n">
        <f aca="false">$F$27*I312*F312</f>
        <v>0</v>
      </c>
      <c r="N312" s="28" t="n">
        <f aca="false">$F$28*I312*F312</f>
        <v>0</v>
      </c>
      <c r="O312" s="28" t="n">
        <f aca="false">$F$29*I312*F312</f>
        <v>0</v>
      </c>
      <c r="P312" s="28" t="n">
        <f aca="false">$F$30*I312*F312</f>
        <v>0</v>
      </c>
      <c r="Q312" s="28" t="n">
        <f aca="false">$F$31*I312*F312</f>
        <v>0</v>
      </c>
      <c r="R312" s="28" t="n">
        <f aca="false">$F$32*I312*F312</f>
        <v>0</v>
      </c>
      <c r="S312" s="28" t="n">
        <f aca="false">IF(AND(F312&gt;0,E312=0),($F$33+$F$36)*H312+($F$34+$F$35)*I312,0)</f>
        <v>0</v>
      </c>
      <c r="T312" s="28" t="n">
        <f aca="false">SUM(J312:S312)</f>
        <v>0</v>
      </c>
      <c r="U312" s="28" t="n">
        <f aca="false">T312*Cont</f>
        <v>0</v>
      </c>
      <c r="V312" s="28" t="n">
        <f aca="false">MIN(J312,J312*$F$43)</f>
        <v>0</v>
      </c>
      <c r="W312" s="40" t="n">
        <f aca="false">$F$55*(1+FxDrift)^(A312-1)</f>
        <v>1</v>
      </c>
      <c r="X312" s="28" t="n">
        <f aca="false">(T312+U312)*W312</f>
        <v>0</v>
      </c>
      <c r="Y312" s="28" t="n">
        <f aca="false">IF(B312=1,MIN(X312,V312*W312+IF(F312&gt;0,$F$44*F312,0)),0)</f>
        <v>0</v>
      </c>
      <c r="Z312" s="41" t="n">
        <f aca="false">IF(B312=1,MAX(0,X312-(V312*W312+IF(F312&gt;0,$F$44*F312,0))),0)</f>
        <v>0</v>
      </c>
      <c r="AA312" s="28" t="n">
        <f aca="false">IF(B312=1,(J312+K312)*W312,0)</f>
        <v>0</v>
      </c>
      <c r="AB312" s="28" t="n">
        <f aca="false">IF(B312=1,SUM(L312:R312)*W312,0)</f>
        <v>0</v>
      </c>
      <c r="AC312" s="28" t="n">
        <f aca="false">IF(B312=1,(S312+U312)*W312,0)</f>
        <v>0</v>
      </c>
    </row>
    <row r="313" customFormat="false" ht="15" hidden="false" customHeight="false" outlineLevel="0" collapsed="false">
      <c r="A313" s="27" t="n">
        <v>60</v>
      </c>
      <c r="B313" s="27" t="n">
        <f aca="false">IF(AND(A313&lt;=$F$52,$F$47=1),1,0)</f>
        <v>0</v>
      </c>
      <c r="C313" s="27" t="str">
        <f aca="false">IF(B313=1,$F$7+A313-1,"")</f>
        <v/>
      </c>
      <c r="D313" s="28" t="str">
        <f aca="false">(PlanStartYear+A313-1)&amp;"/"&amp;RIGHT(PlanStartYear+A313,2)</f>
        <v>2085/86</v>
      </c>
      <c r="E313" s="27" t="n">
        <f aca="false">A313-1-$F$49</f>
        <v>59</v>
      </c>
      <c r="F313" s="39" t="n">
        <f aca="false">IF(AND(B313=1,E313&gt;=0,E313&lt;$F$50),MIN(1,$F$37-E313),0)</f>
        <v>0</v>
      </c>
      <c r="G313" s="27" t="n">
        <f aca="false">(A313-1)+$F$54</f>
        <v>59</v>
      </c>
      <c r="H313" s="40" t="n">
        <f aca="false">(1+TuiInf)^G313</f>
        <v>276.8014904922</v>
      </c>
      <c r="I313" s="40" t="n">
        <f aca="false">(1+LivInf)^G313</f>
        <v>93.7565404326087</v>
      </c>
      <c r="J313" s="28" t="n">
        <f aca="false">$F$24*H313*F313</f>
        <v>0</v>
      </c>
      <c r="K313" s="28" t="n">
        <f aca="false">$F$25*H313*F313</f>
        <v>0</v>
      </c>
      <c r="L313" s="28" t="n">
        <f aca="false">$F$26*I313*F313</f>
        <v>0</v>
      </c>
      <c r="M313" s="28" t="n">
        <f aca="false">$F$27*I313*F313</f>
        <v>0</v>
      </c>
      <c r="N313" s="28" t="n">
        <f aca="false">$F$28*I313*F313</f>
        <v>0</v>
      </c>
      <c r="O313" s="28" t="n">
        <f aca="false">$F$29*I313*F313</f>
        <v>0</v>
      </c>
      <c r="P313" s="28" t="n">
        <f aca="false">$F$30*I313*F313</f>
        <v>0</v>
      </c>
      <c r="Q313" s="28" t="n">
        <f aca="false">$F$31*I313*F313</f>
        <v>0</v>
      </c>
      <c r="R313" s="28" t="n">
        <f aca="false">$F$32*I313*F313</f>
        <v>0</v>
      </c>
      <c r="S313" s="28" t="n">
        <f aca="false">IF(AND(F313&gt;0,E313=0),($F$33+$F$36)*H313+($F$34+$F$35)*I313,0)</f>
        <v>0</v>
      </c>
      <c r="T313" s="28" t="n">
        <f aca="false">SUM(J313:S313)</f>
        <v>0</v>
      </c>
      <c r="U313" s="28" t="n">
        <f aca="false">T313*Cont</f>
        <v>0</v>
      </c>
      <c r="V313" s="28" t="n">
        <f aca="false">MIN(J313,J313*$F$43)</f>
        <v>0</v>
      </c>
      <c r="W313" s="40" t="n">
        <f aca="false">$F$55*(1+FxDrift)^(A313-1)</f>
        <v>1</v>
      </c>
      <c r="X313" s="28" t="n">
        <f aca="false">(T313+U313)*W313</f>
        <v>0</v>
      </c>
      <c r="Y313" s="28" t="n">
        <f aca="false">IF(B313=1,MIN(X313,V313*W313+IF(F313&gt;0,$F$44*F313,0)),0)</f>
        <v>0</v>
      </c>
      <c r="Z313" s="41" t="n">
        <f aca="false">IF(B313=1,MAX(0,X313-(V313*W313+IF(F313&gt;0,$F$44*F313,0))),0)</f>
        <v>0</v>
      </c>
      <c r="AA313" s="28" t="n">
        <f aca="false">IF(B313=1,(J313+K313)*W313,0)</f>
        <v>0</v>
      </c>
      <c r="AB313" s="28" t="n">
        <f aca="false">IF(B313=1,SUM(L313:R313)*W313,0)</f>
        <v>0</v>
      </c>
      <c r="AC313" s="28" t="n">
        <f aca="false">IF(B313=1,(S313+U313)*W313,0)</f>
        <v>0</v>
      </c>
    </row>
  </sheetData>
  <sheetProtection sheet="true" formatColumns="false" formatRows="false"/>
  <conditionalFormatting sqref="C5:F56">
    <cfRule type="expression" priority="2" aboveAverage="0" equalAverage="0" bottom="0" percent="0" rank="0" text="" dxfId="0">
      <formula>C$5=0</formula>
    </cfRule>
  </conditionalFormatting>
  <conditionalFormatting sqref="A62:AC121">
    <cfRule type="expression" priority="3" aboveAverage="0" equalAverage="0" bottom="0" percent="0" rank="0" text="" dxfId="9">
      <formula>$B62=0</formula>
    </cfRule>
  </conditionalFormatting>
  <conditionalFormatting sqref="A126:AC185">
    <cfRule type="expression" priority="4" aboveAverage="0" equalAverage="0" bottom="0" percent="0" rank="0" text="" dxfId="9">
      <formula>$B126=0</formula>
    </cfRule>
  </conditionalFormatting>
  <conditionalFormatting sqref="A190:AC249">
    <cfRule type="expression" priority="5" aboveAverage="0" equalAverage="0" bottom="0" percent="0" rank="0" text="" dxfId="9">
      <formula>$B190=0</formula>
    </cfRule>
  </conditionalFormatting>
  <conditionalFormatting sqref="A254:AC313">
    <cfRule type="expression" priority="6" aboveAverage="0" equalAverage="0" bottom="0" percent="0" rank="0" text="" dxfId="9">
      <formula>$B254=0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7" min="3" style="0" width="20"/>
    <col collapsed="false" customWidth="true" hidden="false" outlineLevel="0" max="24" min="8" style="0" width="15"/>
    <col collapsed="false" customWidth="true" hidden="false" outlineLevel="0" max="35" min="27" style="0" width="15"/>
  </cols>
  <sheetData>
    <row r="1" customFormat="false" ht="19.7" hidden="false" customHeight="false" outlineLevel="0" collapsed="false">
      <c r="A1" s="1" t="s">
        <v>606</v>
      </c>
    </row>
    <row r="2" customFormat="false" ht="54" hidden="false" customHeight="true" outlineLevel="0" collapsed="false">
      <c r="A2" s="2" t="s">
        <v>607</v>
      </c>
      <c r="B2" s="2"/>
      <c r="C2" s="2"/>
      <c r="D2" s="2"/>
      <c r="E2" s="2"/>
      <c r="F2" s="2"/>
      <c r="G2" s="2"/>
      <c r="H2" s="2"/>
    </row>
    <row r="3" customFormat="false" ht="15" hidden="false" customHeight="false" outlineLevel="0" collapsed="false">
      <c r="AA3" s="6" t="str">
        <f aca="false">"Family cash flow by plan year ("&amp;RepCcy&amp;")"</f>
        <v>Family cash flow by plan year (PKR)</v>
      </c>
    </row>
    <row r="4" customFormat="false" ht="54" hidden="false" customHeight="true" outlineLevel="0" collapsed="false">
      <c r="A4" s="6" t="str">
        <f aca="false">"Summary — amounts in "&amp;RepCcy</f>
        <v>Summary — amounts in PKR</v>
      </c>
      <c r="C4" s="17" t="str">
        <f aca="false">'Education Cost Forecast'!C6</f>
        <v>Child 1</v>
      </c>
      <c r="D4" s="17" t="str">
        <f aca="false">'Education Cost Forecast'!D6</f>
        <v>Child 2</v>
      </c>
      <c r="E4" s="17" t="str">
        <f aca="false">'Education Cost Forecast'!E6</f>
        <v>Child 3</v>
      </c>
      <c r="F4" s="17" t="str">
        <f aca="false">'Education Cost Forecast'!F6</f>
        <v>Child 4</v>
      </c>
      <c r="G4" s="17" t="s">
        <v>608</v>
      </c>
      <c r="AA4" s="22" t="s">
        <v>581</v>
      </c>
      <c r="AB4" s="22" t="s">
        <v>584</v>
      </c>
      <c r="AC4" s="22" t="s">
        <v>609</v>
      </c>
      <c r="AD4" s="22" t="s">
        <v>610</v>
      </c>
      <c r="AE4" s="22" t="s">
        <v>611</v>
      </c>
      <c r="AF4" s="22" t="s">
        <v>612</v>
      </c>
      <c r="AG4" s="22" t="s">
        <v>613</v>
      </c>
      <c r="AH4" s="22" t="s">
        <v>614</v>
      </c>
      <c r="AI4" s="22" t="s">
        <v>615</v>
      </c>
    </row>
    <row r="5" customFormat="false" ht="15" hidden="false" customHeight="false" outlineLevel="0" collapsed="false">
      <c r="A5" s="13" t="s">
        <v>616</v>
      </c>
      <c r="C5" s="9" t="n">
        <f aca="false">'Education Cost Forecast'!C49</f>
        <v>8</v>
      </c>
      <c r="D5" s="9" t="n">
        <f aca="false">'Education Cost Forecast'!D49</f>
        <v>12</v>
      </c>
      <c r="E5" s="9" t="n">
        <f aca="false">'Education Cost Forecast'!E49</f>
        <v>0</v>
      </c>
      <c r="F5" s="9" t="n">
        <f aca="false">'Education Cost Forecast'!F49</f>
        <v>0</v>
      </c>
      <c r="G5" s="5"/>
      <c r="AA5" s="27" t="n">
        <v>1</v>
      </c>
      <c r="AB5" s="28" t="str">
        <f aca="false">(PlanStartYear+AA5-1)&amp;"/"&amp;RIGHT(PlanStartYear+AA5,2)</f>
        <v>2026/27</v>
      </c>
      <c r="AC5" s="28" t="n">
        <f aca="false">C42+C106+C170+C234</f>
        <v>0</v>
      </c>
      <c r="AD5" s="28" t="n">
        <f aca="false">G42+G106+G170+G234</f>
        <v>189697.468625296</v>
      </c>
      <c r="AE5" s="28" t="n">
        <f aca="false">Q42+Q106+Q170+Q234</f>
        <v>1926909.09935134</v>
      </c>
      <c r="AF5" s="28" t="n">
        <f aca="false">AD5+AE5</f>
        <v>2116606.56797664</v>
      </c>
      <c r="AG5" s="28" t="n">
        <f aca="false">R42+R106+R170+R234</f>
        <v>2788606.56797664</v>
      </c>
      <c r="AH5" s="28" t="n">
        <f aca="false">V42+V106+V170+V234</f>
        <v>861697.468625296</v>
      </c>
      <c r="AI5" s="28" t="n">
        <f aca="false">U42+U106+U170+U234</f>
        <v>0</v>
      </c>
    </row>
    <row r="6" customFormat="false" ht="15" hidden="false" customHeight="false" outlineLevel="0" collapsed="false">
      <c r="A6" s="13" t="s">
        <v>617</v>
      </c>
      <c r="C6" s="37" t="n">
        <f aca="false">IF('Education Cost Forecast'!C47=1,INDEX(C42:C101,'Education Cost Forecast'!C49+1),0)</f>
        <v>3226151.09554399</v>
      </c>
      <c r="D6" s="37" t="n">
        <f aca="false">IF('Education Cost Forecast'!D47=1,INDEX(C106:C165,'Education Cost Forecast'!D49+1),0)</f>
        <v>12173272.9157122</v>
      </c>
      <c r="E6" s="37" t="n">
        <f aca="false">IF('Education Cost Forecast'!E47=1,INDEX(C170:C229,'Education Cost Forecast'!E49+1),0)</f>
        <v>0</v>
      </c>
      <c r="F6" s="37" t="n">
        <f aca="false">IF('Education Cost Forecast'!F47=1,INDEX(C234:C293,'Education Cost Forecast'!F49+1),0)</f>
        <v>0</v>
      </c>
      <c r="G6" s="42" t="n">
        <f aca="false">SUM(C6:F6)</f>
        <v>15399424.0112562</v>
      </c>
      <c r="AA6" s="27" t="n">
        <v>2</v>
      </c>
      <c r="AB6" s="28" t="str">
        <f aca="false">(PlanStartYear+AA6-1)&amp;"/"&amp;RIGHT(PlanStartYear+AA6,2)</f>
        <v>2027/28</v>
      </c>
      <c r="AC6" s="28" t="n">
        <f aca="false">C43+C107+C171+C235</f>
        <v>0</v>
      </c>
      <c r="AD6" s="28" t="n">
        <f aca="false">G43+G107+G171+G235</f>
        <v>199182.342056561</v>
      </c>
      <c r="AE6" s="28" t="n">
        <f aca="false">Q43+Q107+Q171+Q235</f>
        <v>2023254.55431891</v>
      </c>
      <c r="AF6" s="28" t="n">
        <f aca="false">AD6+AE6</f>
        <v>2222436.89637547</v>
      </c>
      <c r="AG6" s="28" t="n">
        <f aca="false">R43+R107+R171+R235</f>
        <v>5345676.2525093</v>
      </c>
      <c r="AH6" s="28" t="n">
        <f aca="false">V43+V107+V171+V235</f>
        <v>1164283.50691689</v>
      </c>
      <c r="AI6" s="28" t="n">
        <f aca="false">U43+U107+U171+U235</f>
        <v>0</v>
      </c>
    </row>
    <row r="7" customFormat="false" ht="15" hidden="false" customHeight="false" outlineLevel="0" collapsed="false">
      <c r="A7" s="13" t="s">
        <v>618</v>
      </c>
      <c r="C7" s="37" t="n">
        <f aca="false">SUM(C42:C101)</f>
        <v>13919331.2930391</v>
      </c>
      <c r="D7" s="37" t="n">
        <f aca="false">SUM(C106:C165)</f>
        <v>69783785.5466936</v>
      </c>
      <c r="E7" s="37" t="n">
        <f aca="false">SUM(C170:C229)</f>
        <v>0</v>
      </c>
      <c r="F7" s="37" t="n">
        <f aca="false">SUM(C234:C293)</f>
        <v>0</v>
      </c>
      <c r="G7" s="42" t="n">
        <f aca="false">SUM(C7:F7)</f>
        <v>83703116.8397327</v>
      </c>
      <c r="AA7" s="27" t="n">
        <v>3</v>
      </c>
      <c r="AB7" s="28" t="str">
        <f aca="false">(PlanStartYear+AA7-1)&amp;"/"&amp;RIGHT(PlanStartYear+AA7,2)</f>
        <v>2028/29</v>
      </c>
      <c r="AC7" s="28" t="n">
        <f aca="false">C44+C108+C172+C236</f>
        <v>0</v>
      </c>
      <c r="AD7" s="28" t="n">
        <f aca="false">G44+G108+G172+G236</f>
        <v>209141.459159389</v>
      </c>
      <c r="AE7" s="28" t="n">
        <f aca="false">Q44+Q108+Q172+Q236</f>
        <v>2124417.28203485</v>
      </c>
      <c r="AF7" s="28" t="n">
        <f aca="false">AD7+AE7</f>
        <v>2333558.74119424</v>
      </c>
      <c r="AG7" s="28" t="n">
        <f aca="false">R44+R108+R172+R236</f>
        <v>8320716.14400465</v>
      </c>
      <c r="AH7" s="28" t="n">
        <f aca="false">V44+V108+V172+V236</f>
        <v>1513138.98690631</v>
      </c>
      <c r="AI7" s="28" t="n">
        <f aca="false">U44+U108+U172+U236</f>
        <v>0</v>
      </c>
    </row>
    <row r="8" customFormat="false" ht="15" hidden="false" customHeight="false" outlineLevel="0" collapsed="false">
      <c r="A8" s="13" t="s">
        <v>619</v>
      </c>
      <c r="C8" s="37" t="n">
        <f aca="false">SUM('Education Cost Forecast'!AA62:AA121)</f>
        <v>11346476.8716419</v>
      </c>
      <c r="D8" s="37" t="n">
        <f aca="false">SUM('Education Cost Forecast'!AA126:AA185)</f>
        <v>62933267.405332</v>
      </c>
      <c r="E8" s="37" t="n">
        <f aca="false">SUM('Education Cost Forecast'!AA190:AA249)</f>
        <v>0</v>
      </c>
      <c r="F8" s="37" t="n">
        <f aca="false">SUM('Education Cost Forecast'!AA254:AA313)</f>
        <v>0</v>
      </c>
      <c r="G8" s="42" t="n">
        <f aca="false">SUM(C8:F8)</f>
        <v>74279744.2769739</v>
      </c>
      <c r="AA8" s="27" t="n">
        <v>4</v>
      </c>
      <c r="AB8" s="28" t="str">
        <f aca="false">(PlanStartYear+AA8-1)&amp;"/"&amp;RIGHT(PlanStartYear+AA8,2)</f>
        <v>2029/30</v>
      </c>
      <c r="AC8" s="28" t="n">
        <f aca="false">C45+C109+C173+C237</f>
        <v>0</v>
      </c>
      <c r="AD8" s="28" t="n">
        <f aca="false">G45+G109+G173+G237</f>
        <v>219598.532117359</v>
      </c>
      <c r="AE8" s="28" t="n">
        <f aca="false">Q45+Q109+Q173+Q237</f>
        <v>2230638.14613659</v>
      </c>
      <c r="AF8" s="28" t="n">
        <f aca="false">AD8+AE8</f>
        <v>2450236.67825395</v>
      </c>
      <c r="AG8" s="28" t="n">
        <f aca="false">R45+R109+R173+R237</f>
        <v>11769438.7595392</v>
      </c>
      <c r="AH8" s="28" t="n">
        <f aca="false">V45+V109+V173+V237</f>
        <v>1914314.19745243</v>
      </c>
      <c r="AI8" s="28" t="n">
        <f aca="false">U45+U109+U173+U237</f>
        <v>0</v>
      </c>
    </row>
    <row r="9" customFormat="false" ht="15" hidden="false" customHeight="false" outlineLevel="0" collapsed="false">
      <c r="A9" s="13" t="s">
        <v>620</v>
      </c>
      <c r="C9" s="37" t="n">
        <f aca="false">SUM('Education Cost Forecast'!AB62:AB121)</f>
        <v>1648082.56914663</v>
      </c>
      <c r="D9" s="37" t="n">
        <f aca="false">SUM('Education Cost Forecast'!AB126:AB185)</f>
        <v>2702930.00631042</v>
      </c>
      <c r="E9" s="37" t="n">
        <f aca="false">SUM('Education Cost Forecast'!AB190:AB249)</f>
        <v>0</v>
      </c>
      <c r="F9" s="37" t="n">
        <f aca="false">SUM('Education Cost Forecast'!AB254:AB313)</f>
        <v>0</v>
      </c>
      <c r="G9" s="42" t="n">
        <f aca="false">SUM(C9:F9)</f>
        <v>4351012.57545705</v>
      </c>
      <c r="AA9" s="27" t="n">
        <v>5</v>
      </c>
      <c r="AB9" s="28" t="str">
        <f aca="false">(PlanStartYear+AA9-1)&amp;"/"&amp;RIGHT(PlanStartYear+AA9,2)</f>
        <v>2030/31</v>
      </c>
      <c r="AC9" s="28" t="n">
        <f aca="false">C46+C110+C174+C238</f>
        <v>0</v>
      </c>
      <c r="AD9" s="28" t="n">
        <f aca="false">G46+G110+G174+G238</f>
        <v>230578.458723227</v>
      </c>
      <c r="AE9" s="28" t="n">
        <f aca="false">Q46+Q110+Q174+Q238</f>
        <v>2342170.05344342</v>
      </c>
      <c r="AF9" s="28" t="n">
        <f aca="false">AD9+AE9</f>
        <v>2572748.51216665</v>
      </c>
      <c r="AG9" s="28" t="n">
        <f aca="false">R46+R110+R174+R238</f>
        <v>15754519.9228505</v>
      </c>
      <c r="AH9" s="28" t="n">
        <f aca="false">V46+V110+V174+V238</f>
        <v>2374610.35986994</v>
      </c>
      <c r="AI9" s="28" t="n">
        <f aca="false">U46+U110+U174+U238</f>
        <v>0</v>
      </c>
    </row>
    <row r="10" customFormat="false" ht="15" hidden="false" customHeight="false" outlineLevel="0" collapsed="false">
      <c r="A10" s="13" t="s">
        <v>621</v>
      </c>
      <c r="C10" s="37" t="n">
        <f aca="false">SUM('Education Cost Forecast'!AC62:AC121)</f>
        <v>924771.852250528</v>
      </c>
      <c r="D10" s="37" t="n">
        <f aca="false">SUM('Education Cost Forecast'!AC126:AC185)</f>
        <v>4147588.1350512</v>
      </c>
      <c r="E10" s="37" t="n">
        <f aca="false">SUM('Education Cost Forecast'!AC190:AC249)</f>
        <v>0</v>
      </c>
      <c r="F10" s="37" t="n">
        <f aca="false">SUM('Education Cost Forecast'!AC254:AC313)</f>
        <v>0</v>
      </c>
      <c r="G10" s="42" t="n">
        <f aca="false">SUM(C10:F10)</f>
        <v>5072359.98730173</v>
      </c>
      <c r="AA10" s="27" t="n">
        <v>6</v>
      </c>
      <c r="AB10" s="28" t="str">
        <f aca="false">(PlanStartYear+AA10-1)&amp;"/"&amp;RIGHT(PlanStartYear+AA10,2)</f>
        <v>2031/32</v>
      </c>
      <c r="AC10" s="28" t="n">
        <f aca="false">C47+C111+C175+C239</f>
        <v>0</v>
      </c>
      <c r="AD10" s="28" t="n">
        <f aca="false">G47+G111+G175+G239</f>
        <v>242107.381659388</v>
      </c>
      <c r="AE10" s="28" t="n">
        <f aca="false">Q47+Q111+Q175+Q239</f>
        <v>2459278.55611559</v>
      </c>
      <c r="AF10" s="28" t="n">
        <f aca="false">AD10+AE10</f>
        <v>2701385.93777498</v>
      </c>
      <c r="AG10" s="28" t="n">
        <f aca="false">R47+R111+R175+R239</f>
        <v>20346448.2513676</v>
      </c>
      <c r="AH10" s="28" t="n">
        <f aca="false">V47+V111+V175+V239</f>
        <v>2901670.98471372</v>
      </c>
      <c r="AI10" s="28" t="n">
        <f aca="false">U47+U111+U175+U239</f>
        <v>0</v>
      </c>
    </row>
    <row r="11" customFormat="false" ht="15" hidden="false" customHeight="false" outlineLevel="0" collapsed="false">
      <c r="A11" s="13" t="s">
        <v>622</v>
      </c>
      <c r="C11" s="37" t="n">
        <f aca="false">SUM('Education Cost Forecast'!Y62:Y121)</f>
        <v>0</v>
      </c>
      <c r="D11" s="37" t="n">
        <f aca="false">SUM('Education Cost Forecast'!Y126:Y185)</f>
        <v>0</v>
      </c>
      <c r="E11" s="37" t="n">
        <f aca="false">SUM('Education Cost Forecast'!Y190:Y249)</f>
        <v>0</v>
      </c>
      <c r="F11" s="37" t="n">
        <f aca="false">SUM('Education Cost Forecast'!Y254:Y313)</f>
        <v>0</v>
      </c>
      <c r="G11" s="42" t="n">
        <f aca="false">SUM(C11:F11)</f>
        <v>0</v>
      </c>
      <c r="AA11" s="27" t="n">
        <v>7</v>
      </c>
      <c r="AB11" s="28" t="str">
        <f aca="false">(PlanStartYear+AA11-1)&amp;"/"&amp;RIGHT(PlanStartYear+AA11,2)</f>
        <v>2032/33</v>
      </c>
      <c r="AC11" s="28" t="n">
        <f aca="false">C48+C112+C176+C240</f>
        <v>0</v>
      </c>
      <c r="AD11" s="28" t="n">
        <f aca="false">G48+G112+G176+G240</f>
        <v>254212.750742357</v>
      </c>
      <c r="AE11" s="28" t="n">
        <f aca="false">Q48+Q112+Q176+Q240</f>
        <v>2582242.48392137</v>
      </c>
      <c r="AF11" s="28" t="n">
        <f aca="false">AD11+AE11</f>
        <v>2836455.23466373</v>
      </c>
      <c r="AG11" s="28" t="n">
        <f aca="false">R48+R112+R176+R240</f>
        <v>25624477.2761954</v>
      </c>
      <c r="AH11" s="28" t="n">
        <f aca="false">V48+V112+V176+V240</f>
        <v>3504084.25362173</v>
      </c>
      <c r="AI11" s="28" t="n">
        <f aca="false">U48+U112+U176+U240</f>
        <v>0</v>
      </c>
    </row>
    <row r="12" customFormat="false" ht="15" hidden="false" customHeight="false" outlineLevel="0" collapsed="false">
      <c r="A12" s="13" t="s">
        <v>623</v>
      </c>
      <c r="C12" s="37" t="n">
        <f aca="false">'Education Cost Forecast'!C40*(1+RetRate)^'Education Cost Forecast'!C49*'Education Cost Forecast'!C47</f>
        <v>1237981.58814741</v>
      </c>
      <c r="D12" s="37" t="n">
        <f aca="false">'Education Cost Forecast'!D40*(1+RetRate)^'Education Cost Forecast'!D49*'Education Cost Forecast'!D47</f>
        <v>389597.599254698</v>
      </c>
      <c r="E12" s="37" t="n">
        <f aca="false">'Education Cost Forecast'!E40*(1+RetRate)^'Education Cost Forecast'!E49*'Education Cost Forecast'!E47</f>
        <v>0</v>
      </c>
      <c r="F12" s="37" t="n">
        <f aca="false">'Education Cost Forecast'!F40*(1+RetRate)^'Education Cost Forecast'!F49*'Education Cost Forecast'!F47</f>
        <v>0</v>
      </c>
      <c r="G12" s="42" t="n">
        <f aca="false">SUM(C12:F12)</f>
        <v>1627579.1874021</v>
      </c>
      <c r="AA12" s="27" t="n">
        <v>8</v>
      </c>
      <c r="AB12" s="28" t="str">
        <f aca="false">(PlanStartYear+AA12-1)&amp;"/"&amp;RIGHT(PlanStartYear+AA12,2)</f>
        <v>2033/34</v>
      </c>
      <c r="AC12" s="28" t="n">
        <f aca="false">C49+C113+C177+C241</f>
        <v>0</v>
      </c>
      <c r="AD12" s="28" t="n">
        <f aca="false">G49+G113+G177+G241</f>
        <v>266923.388279475</v>
      </c>
      <c r="AE12" s="28" t="n">
        <f aca="false">Q49+Q113+Q177+Q241</f>
        <v>2711354.60811744</v>
      </c>
      <c r="AF12" s="28" t="n">
        <f aca="false">AD12+AE12</f>
        <v>2978277.99639692</v>
      </c>
      <c r="AG12" s="28" t="n">
        <f aca="false">R49+R113+R177+R241</f>
        <v>31677692.5457358</v>
      </c>
      <c r="AH12" s="28" t="n">
        <f aca="false">V49+V113+V177+V241</f>
        <v>4191497.75233581</v>
      </c>
      <c r="AI12" s="28" t="n">
        <f aca="false">U49+U113+U177+U241</f>
        <v>0</v>
      </c>
    </row>
    <row r="13" customFormat="false" ht="15" hidden="false" customHeight="false" outlineLevel="0" collapsed="false">
      <c r="A13" s="13" t="s">
        <v>624</v>
      </c>
      <c r="C13" s="37" t="n">
        <f aca="false">SUM(W42:W101)</f>
        <v>1803946.56437262</v>
      </c>
      <c r="D13" s="37" t="n">
        <f aca="false">SUM(W106:W165)</f>
        <v>1897082.78357126</v>
      </c>
      <c r="E13" s="37" t="n">
        <f aca="false">SUM(W170:W229)</f>
        <v>0</v>
      </c>
      <c r="F13" s="37" t="n">
        <f aca="false">SUM(W234:W293)</f>
        <v>0</v>
      </c>
      <c r="G13" s="42" t="n">
        <f aca="false">SUM(C13:F13)</f>
        <v>3701029.34794388</v>
      </c>
      <c r="AA13" s="27" t="n">
        <v>9</v>
      </c>
      <c r="AB13" s="28" t="str">
        <f aca="false">(PlanStartYear+AA13-1)&amp;"/"&amp;RIGHT(PlanStartYear+AA13,2)</f>
        <v>2034/35</v>
      </c>
      <c r="AC13" s="28" t="n">
        <f aca="false">C50+C114+C178+C242</f>
        <v>3226151.09554399</v>
      </c>
      <c r="AD13" s="28" t="n">
        <f aca="false">G50+G114+G178+G242</f>
        <v>280269.557693449</v>
      </c>
      <c r="AE13" s="28" t="n">
        <f aca="false">Q50+Q114+Q178+Q242</f>
        <v>2846922.33852332</v>
      </c>
      <c r="AF13" s="28" t="n">
        <f aca="false">AD13+AE13</f>
        <v>3127191.89621676</v>
      </c>
      <c r="AG13" s="28" t="n">
        <f aca="false">R50+R114+R178+R242</f>
        <v>34992918.3204316</v>
      </c>
      <c r="AH13" s="28" t="n">
        <f aca="false">V50+V114+V178+V242</f>
        <v>1567787.50948713</v>
      </c>
      <c r="AI13" s="28" t="n">
        <f aca="false">U50+U114+U178+U242</f>
        <v>184222.943023965</v>
      </c>
    </row>
    <row r="14" customFormat="false" ht="15" hidden="false" customHeight="false" outlineLevel="0" collapsed="false">
      <c r="A14" s="13" t="s">
        <v>625</v>
      </c>
      <c r="C14" s="37" t="n">
        <f aca="false">MAX(0,MAX(N42:N101))</f>
        <v>0</v>
      </c>
      <c r="D14" s="37" t="n">
        <f aca="false">MAX(0,MAX(N106:N165))</f>
        <v>0</v>
      </c>
      <c r="E14" s="37" t="n">
        <f aca="false">MAX(0,MAX(N170:N229))</f>
        <v>0</v>
      </c>
      <c r="F14" s="37" t="n">
        <f aca="false">MAX(0,MAX(N234:N293))</f>
        <v>0</v>
      </c>
      <c r="G14" s="42" t="n">
        <f aca="false">SUM(C14:F14)</f>
        <v>0</v>
      </c>
      <c r="AA14" s="27" t="n">
        <v>10</v>
      </c>
      <c r="AB14" s="28" t="str">
        <f aca="false">(PlanStartYear+AA14-1)&amp;"/"&amp;RIGHT(PlanStartYear+AA14,2)</f>
        <v>2035/36</v>
      </c>
      <c r="AC14" s="28" t="n">
        <f aca="false">C51+C115+C179+C243</f>
        <v>3238537.31686559</v>
      </c>
      <c r="AD14" s="28" t="n">
        <f aca="false">G51+G115+G179+G243</f>
        <v>294283.035578121</v>
      </c>
      <c r="AE14" s="28" t="n">
        <f aca="false">Q51+Q115+Q179+Q243</f>
        <v>2989268.45544948</v>
      </c>
      <c r="AF14" s="28" t="n">
        <f aca="false">AD14+AE14</f>
        <v>3283551.4910276</v>
      </c>
      <c r="AG14" s="28" t="n">
        <f aca="false">R51+R115+R179+R243</f>
        <v>38848458.2150215</v>
      </c>
      <c r="AH14" s="28" t="n">
        <f aca="false">V51+V115+V179+V243</f>
        <v>1840937.1097926</v>
      </c>
      <c r="AI14" s="28" t="n">
        <f aca="false">U51+U115+U179+U243</f>
        <v>3051690.94506996</v>
      </c>
    </row>
    <row r="15" customFormat="false" ht="15" hidden="false" customHeight="false" outlineLevel="0" collapsed="false">
      <c r="A15" s="3" t="s">
        <v>626</v>
      </c>
      <c r="C15" s="43" t="n">
        <f aca="false">IF(MAX(O42:O101)&lt;0.000000001,0,MAX(O42:O101))</f>
        <v>433576.855247883</v>
      </c>
      <c r="D15" s="43" t="n">
        <f aca="false">IF(MAX(O106:O165)&lt;0.000000001,0,MAX(O106:O165))</f>
        <v>1394827.28950299</v>
      </c>
      <c r="E15" s="43" t="n">
        <f aca="false">IF(MAX(O170:O229)&lt;0.000000001,0,MAX(O170:O229))</f>
        <v>0</v>
      </c>
      <c r="F15" s="43" t="n">
        <f aca="false">IF(MAX(O234:O293)&lt;0.000000001,0,MAX(O234:O293))</f>
        <v>0</v>
      </c>
      <c r="G15" s="42" t="n">
        <f aca="false">SUM(C15:F15)</f>
        <v>1828404.14475088</v>
      </c>
      <c r="AA15" s="27" t="n">
        <v>11</v>
      </c>
      <c r="AB15" s="28" t="str">
        <f aca="false">(PlanStartYear+AA15-1)&amp;"/"&amp;RIGHT(PlanStartYear+AA15,2)</f>
        <v>2036/37</v>
      </c>
      <c r="AC15" s="28" t="n">
        <f aca="false">C52+C116+C180+C244</f>
        <v>3554095.97895152</v>
      </c>
      <c r="AD15" s="28" t="n">
        <f aca="false">G52+G116+G180+G244</f>
        <v>308997.187357027</v>
      </c>
      <c r="AE15" s="28" t="n">
        <f aca="false">Q52+Q116+Q180+Q244</f>
        <v>3138731.87822196</v>
      </c>
      <c r="AF15" s="28" t="n">
        <f aca="false">AD15+AE15</f>
        <v>3447729.06557898</v>
      </c>
      <c r="AG15" s="28" t="n">
        <f aca="false">R52+R116+R180+R244</f>
        <v>42977414.7699774</v>
      </c>
      <c r="AH15" s="28" t="n">
        <f aca="false">V52+V116+V180+V244</f>
        <v>2151115.41709308</v>
      </c>
      <c r="AI15" s="28" t="n">
        <f aca="false">U52+U116+U180+U244</f>
        <v>3357907.2885661</v>
      </c>
    </row>
    <row r="16" customFormat="false" ht="15" hidden="false" customHeight="false" outlineLevel="0" collapsed="false">
      <c r="A16" s="3" t="s">
        <v>627</v>
      </c>
      <c r="C16" s="43" t="n">
        <f aca="false">IF(ContribMode="Annual","n/a (annual mode)",C15/12)</f>
        <v>36131.4046039903</v>
      </c>
      <c r="D16" s="43" t="n">
        <f aca="false">IF(ContribMode="Annual","n/a (annual mode)",D15/12)</f>
        <v>116235.607458583</v>
      </c>
      <c r="E16" s="43" t="n">
        <f aca="false">IF(ContribMode="Annual","n/a (annual mode)",E15/12)</f>
        <v>0</v>
      </c>
      <c r="F16" s="43" t="n">
        <f aca="false">IF(ContribMode="Annual","n/a (annual mode)",F15/12)</f>
        <v>0</v>
      </c>
      <c r="G16" s="44" t="n">
        <f aca="false">IF(ContribMode="Annual","n/a (annual mode)",G15/12)</f>
        <v>152367.012062573</v>
      </c>
      <c r="AA16" s="27" t="n">
        <v>12</v>
      </c>
      <c r="AB16" s="28" t="str">
        <f aca="false">(PlanStartYear+AA16-1)&amp;"/"&amp;RIGHT(PlanStartYear+AA16,2)</f>
        <v>2037/38</v>
      </c>
      <c r="AC16" s="28" t="n">
        <f aca="false">C53+C117+C181+C245</f>
        <v>3900546.90167799</v>
      </c>
      <c r="AD16" s="28" t="n">
        <f aca="false">G53+G117+G181+G245</f>
        <v>108149.01557496</v>
      </c>
      <c r="AE16" s="28" t="n">
        <f aca="false">Q53+Q117+Q181+Q245</f>
        <v>2514153.30428063</v>
      </c>
      <c r="AF16" s="28" t="n">
        <f aca="false">AD16+AE16</f>
        <v>2622302.31985559</v>
      </c>
      <c r="AG16" s="28" t="n">
        <f aca="false">R53+R117+R181+R245</f>
        <v>46388394.3323509</v>
      </c>
      <c r="AH16" s="28" t="n">
        <f aca="false">V53+V117+V181+V245</f>
        <v>2286680.38282596</v>
      </c>
      <c r="AI16" s="28" t="n">
        <f aca="false">U53+U117+U181+U245</f>
        <v>3694548.7767733</v>
      </c>
    </row>
    <row r="17" customFormat="false" ht="15" hidden="false" customHeight="false" outlineLevel="0" collapsed="false">
      <c r="A17" s="13" t="s">
        <v>628</v>
      </c>
      <c r="C17" s="37" t="n">
        <f aca="false">IF(ContribMode="Annual","n/a (annual mode)",('Education Cost Forecast'!C41+'Education Cost Forecast'!C42/12)*'Education Cost Forecast'!C47+C15/12)</f>
        <v>46131.4046039903</v>
      </c>
      <c r="D17" s="37" t="n">
        <f aca="false">IF(ContribMode="Annual","n/a (annual mode)",('Education Cost Forecast'!D41+'Education Cost Forecast'!D42/12)*'Education Cost Forecast'!D47+D15/12)</f>
        <v>121235.607458583</v>
      </c>
      <c r="E17" s="37" t="n">
        <f aca="false">IF(ContribMode="Annual","n/a (annual mode)",('Education Cost Forecast'!E41+'Education Cost Forecast'!E42/12)*'Education Cost Forecast'!E47+E15/12)</f>
        <v>0</v>
      </c>
      <c r="F17" s="37" t="n">
        <f aca="false">IF(ContribMode="Annual","n/a (annual mode)",('Education Cost Forecast'!F41+'Education Cost Forecast'!F42/12)*'Education Cost Forecast'!F47+F15/12)</f>
        <v>0</v>
      </c>
      <c r="G17" s="42" t="n">
        <f aca="false">IF(ContribMode="Annual","n/a (annual mode)",SUM(C17:F17))</f>
        <v>167367.012062573</v>
      </c>
      <c r="AA17" s="27" t="n">
        <v>13</v>
      </c>
      <c r="AB17" s="28" t="str">
        <f aca="false">(PlanStartYear+AA17-1)&amp;"/"&amp;RIGHT(PlanStartYear+AA17,2)</f>
        <v>2038/39</v>
      </c>
      <c r="AC17" s="28" t="n">
        <f aca="false">C54+C118+C182+C246</f>
        <v>12173272.9157122</v>
      </c>
      <c r="AD17" s="28" t="n">
        <f aca="false">G54+G118+G182+G246</f>
        <v>113556.466353708</v>
      </c>
      <c r="AE17" s="28" t="n">
        <f aca="false">Q54+Q118+Q182+Q246</f>
        <v>2639860.96949466</v>
      </c>
      <c r="AF17" s="28" t="n">
        <f aca="false">AD17+AE17</f>
        <v>2753417.43584837</v>
      </c>
      <c r="AG17" s="28" t="n">
        <f aca="false">R54+R118+R182+R246</f>
        <v>41074353.4224838</v>
      </c>
      <c r="AH17" s="28" t="n">
        <f aca="false">V54+V118+V182+V246</f>
        <v>113556.466353708</v>
      </c>
      <c r="AI17" s="28" t="n">
        <f aca="false">U54+U118+U182+U246</f>
        <v>9886592.53288622</v>
      </c>
    </row>
    <row r="18" customFormat="false" ht="15" hidden="false" customHeight="false" outlineLevel="0" collapsed="false">
      <c r="A18" s="13" t="s">
        <v>629</v>
      </c>
      <c r="C18" s="37" t="n">
        <f aca="false">SUM(U42:U101)</f>
        <v>10288369.9534333</v>
      </c>
      <c r="D18" s="37" t="n">
        <f aca="false">SUM(U106:U165)</f>
        <v>67007662.5993249</v>
      </c>
      <c r="E18" s="37" t="n">
        <f aca="false">SUM(U170:U229)</f>
        <v>0</v>
      </c>
      <c r="F18" s="37" t="n">
        <f aca="false">SUM(U234:U293)</f>
        <v>0</v>
      </c>
      <c r="G18" s="42" t="n">
        <f aca="false">SUM(C18:F18)</f>
        <v>77296032.5527582</v>
      </c>
      <c r="AA18" s="27" t="n">
        <v>14</v>
      </c>
      <c r="AB18" s="28" t="str">
        <f aca="false">(PlanStartYear+AA18-1)&amp;"/"&amp;RIGHT(PlanStartYear+AA18,2)</f>
        <v>2039/40</v>
      </c>
      <c r="AC18" s="28" t="n">
        <f aca="false">C55+C119+C183+C247</f>
        <v>12428568.7471852</v>
      </c>
      <c r="AD18" s="28" t="n">
        <f aca="false">G55+G119+G183+G247</f>
        <v>119234.289671393</v>
      </c>
      <c r="AE18" s="28" t="n">
        <f aca="false">Q55+Q119+Q183+Q247</f>
        <v>2771854.0179694</v>
      </c>
      <c r="AF18" s="28" t="n">
        <f aca="false">AD18+AE18</f>
        <v>2891088.30764079</v>
      </c>
      <c r="AG18" s="28" t="n">
        <f aca="false">R55+R119+R183+R247</f>
        <v>34974367.1439751</v>
      </c>
      <c r="AH18" s="28" t="n">
        <f aca="false">V55+V119+V183+V247</f>
        <v>119234.289671393</v>
      </c>
      <c r="AI18" s="28" t="n">
        <f aca="false">U55+U119+U183+U247</f>
        <v>12315012.2808315</v>
      </c>
    </row>
    <row r="19" customFormat="false" ht="15" hidden="false" customHeight="false" outlineLevel="0" collapsed="false">
      <c r="A19" s="13" t="s">
        <v>630</v>
      </c>
      <c r="C19" s="12" t="n">
        <f aca="false">IF(C7&gt;0,MAX(0,1-C18/C7),1)</f>
        <v>0.26085745523002</v>
      </c>
      <c r="D19" s="12" t="n">
        <f aca="false">IF(D7&gt;0,MAX(0,1-D18/D7),1)</f>
        <v>0.0397817763198183</v>
      </c>
      <c r="E19" s="12" t="n">
        <f aca="false">IF(E7&gt;0,MAX(0,1-E18/E7),1)</f>
        <v>1</v>
      </c>
      <c r="F19" s="12" t="n">
        <f aca="false">IF(F7&gt;0,MAX(0,1-F18/F7),1)</f>
        <v>1</v>
      </c>
      <c r="G19" s="45" t="n">
        <f aca="false">IF(G7&gt;0,MAX(0,1-G18/G7),1)</f>
        <v>0.0765453489532798</v>
      </c>
      <c r="AA19" s="27" t="n">
        <v>15</v>
      </c>
      <c r="AB19" s="28" t="str">
        <f aca="false">(PlanStartYear+AA19-1)&amp;"/"&amp;RIGHT(PlanStartYear+AA19,2)</f>
        <v>2040/41</v>
      </c>
      <c r="AC19" s="28" t="n">
        <f aca="false">C56+C120+C184+C248</f>
        <v>13660976.223187</v>
      </c>
      <c r="AD19" s="28" t="n">
        <f aca="false">G56+G120+G184+G248</f>
        <v>125196.004154963</v>
      </c>
      <c r="AE19" s="28" t="n">
        <f aca="false">Q56+Q120+Q184+Q248</f>
        <v>2910446.71886787</v>
      </c>
      <c r="AF19" s="28" t="n">
        <f aca="false">AD19+AE19</f>
        <v>3035642.72302283</v>
      </c>
      <c r="AG19" s="28" t="n">
        <f aca="false">R56+R120+R184+R248</f>
        <v>26906640.5543055</v>
      </c>
      <c r="AH19" s="28" t="n">
        <f aca="false">V56+V120+V184+V248</f>
        <v>125196.004154963</v>
      </c>
      <c r="AI19" s="28" t="n">
        <f aca="false">U56+U120+U184+U248</f>
        <v>13541741.9335156</v>
      </c>
    </row>
    <row r="20" customFormat="false" ht="15" hidden="false" customHeight="false" outlineLevel="0" collapsed="false">
      <c r="A20" s="3" t="s">
        <v>631</v>
      </c>
      <c r="C20" s="37" t="n">
        <f aca="false">IF(C18&gt;0,-C18,INDEX(V42:V101,'Education Cost Forecast'!C52))*'Education Cost Forecast'!C47</f>
        <v>-10288369.9534333</v>
      </c>
      <c r="D20" s="37" t="n">
        <f aca="false">IF(D18&gt;0,-D18,INDEX(V106:V165,'Education Cost Forecast'!D52))*'Education Cost Forecast'!D47</f>
        <v>-67007662.5993249</v>
      </c>
      <c r="E20" s="37" t="n">
        <f aca="false">IF(E18&gt;0,-E18,INDEX(V170:V229,'Education Cost Forecast'!E52))*'Education Cost Forecast'!E47</f>
        <v>0</v>
      </c>
      <c r="F20" s="37" t="n">
        <f aca="false">IF(F18&gt;0,-F18,INDEX(V234:V293,'Education Cost Forecast'!F52))*'Education Cost Forecast'!F47</f>
        <v>0</v>
      </c>
      <c r="G20" s="42" t="n">
        <f aca="false">IF(G18&gt;0,-G18,SUM(C20:F20))</f>
        <v>-77296032.5527582</v>
      </c>
      <c r="AA20" s="27" t="n">
        <v>16</v>
      </c>
      <c r="AB20" s="28" t="str">
        <f aca="false">(PlanStartYear+AA20-1)&amp;"/"&amp;RIGHT(PlanStartYear+AA20,2)</f>
        <v>2041/42</v>
      </c>
      <c r="AC20" s="28" t="n">
        <f aca="false">C57+C121+C185+C249</f>
        <v>15015788.4948916</v>
      </c>
      <c r="AD20" s="28" t="n">
        <f aca="false">G57+G121+G185+G249</f>
        <v>131455.804362711</v>
      </c>
      <c r="AE20" s="28" t="n">
        <f aca="false">Q57+Q121+Q185+Q249</f>
        <v>3055969.05481126</v>
      </c>
      <c r="AF20" s="28" t="n">
        <f aca="false">AD20+AE20</f>
        <v>3187424.85917397</v>
      </c>
      <c r="AG20" s="28" t="n">
        <f aca="false">R57+R121+R185+R249</f>
        <v>16505179.1657176</v>
      </c>
      <c r="AH20" s="28" t="n">
        <f aca="false">V57+V121+V185+V249</f>
        <v>131455.804362711</v>
      </c>
      <c r="AI20" s="28" t="n">
        <f aca="false">U57+U121+U185+U249</f>
        <v>14890592.4907367</v>
      </c>
    </row>
    <row r="21" customFormat="false" ht="15" hidden="false" customHeight="false" outlineLevel="0" collapsed="false">
      <c r="A21" s="13" t="s">
        <v>632</v>
      </c>
      <c r="C21" s="5" t="str">
        <f aca="false">IF('Education Cost Forecast'!C47=0,'Education Cost Forecast'!C48,IF(C18&gt;0.5,"Funding gap with current savings plan","Current plan covers the estimated costs"))</f>
        <v>Funding gap with current savings plan</v>
      </c>
      <c r="D21" s="5" t="str">
        <f aca="false">IF('Education Cost Forecast'!D47=0,'Education Cost Forecast'!D48,IF(D18&gt;0.5,"Funding gap with current savings plan","Current plan covers the estimated costs"))</f>
        <v>Funding gap with current savings plan</v>
      </c>
      <c r="E21" s="5" t="str">
        <f aca="false">IF('Education Cost Forecast'!E47=0,'Education Cost Forecast'!E48,IF(E18&gt;0.5,"Funding gap with current savings plan","Current plan covers the estimated costs"))</f>
        <v>Not used</v>
      </c>
      <c r="F21" s="5" t="str">
        <f aca="false">IF('Education Cost Forecast'!F47=0,'Education Cost Forecast'!F48,IF(F18&gt;0.5,"Funding gap with current savings plan","Current plan covers the estimated costs"))</f>
        <v>Not used</v>
      </c>
      <c r="G21" s="46" t="str">
        <f aca="false">IF(G18&gt;0.5,"Family funding gap","Family plan covers estimated costs")</f>
        <v>Family funding gap</v>
      </c>
      <c r="AA21" s="27" t="n">
        <v>17</v>
      </c>
      <c r="AB21" s="28" t="str">
        <f aca="false">(PlanStartYear+AA21-1)&amp;"/"&amp;RIGHT(PlanStartYear+AA21,2)</f>
        <v>2042/43</v>
      </c>
      <c r="AC21" s="28" t="n">
        <f aca="false">C58+C122+C186+C250</f>
        <v>16505179.1657176</v>
      </c>
      <c r="AD21" s="28" t="n">
        <f aca="false">G58+G122+G186+G250</f>
        <v>0</v>
      </c>
      <c r="AE21" s="28" t="n">
        <f aca="false">Q58+Q122+Q186+Q250</f>
        <v>0</v>
      </c>
      <c r="AF21" s="28" t="n">
        <f aca="false">AD21+AE21</f>
        <v>0</v>
      </c>
      <c r="AG21" s="28" t="n">
        <f aca="false">R58+R122+R186+R250</f>
        <v>0</v>
      </c>
      <c r="AH21" s="28" t="n">
        <f aca="false">V58+V122+V186+V250</f>
        <v>0</v>
      </c>
      <c r="AI21" s="28" t="n">
        <f aca="false">U58+U122+U186+U250</f>
        <v>16373723.3613549</v>
      </c>
    </row>
    <row r="22" customFormat="false" ht="15" hidden="false" customHeight="false" outlineLevel="0" collapsed="false">
      <c r="AA22" s="27" t="n">
        <v>18</v>
      </c>
      <c r="AB22" s="28" t="str">
        <f aca="false">(PlanStartYear+AA22-1)&amp;"/"&amp;RIGHT(PlanStartYear+AA22,2)</f>
        <v>2043/44</v>
      </c>
      <c r="AC22" s="28" t="n">
        <f aca="false">C59+C123+C187+C251</f>
        <v>0</v>
      </c>
      <c r="AD22" s="28" t="n">
        <f aca="false">G59+G123+G187+G251</f>
        <v>0</v>
      </c>
      <c r="AE22" s="28" t="n">
        <f aca="false">Q59+Q123+Q187+Q251</f>
        <v>0</v>
      </c>
      <c r="AF22" s="28" t="n">
        <f aca="false">AD22+AE22</f>
        <v>0</v>
      </c>
      <c r="AG22" s="28" t="n">
        <f aca="false">R59+R123+R187+R251</f>
        <v>0</v>
      </c>
      <c r="AH22" s="28" t="n">
        <f aca="false">V59+V123+V187+V251</f>
        <v>0</v>
      </c>
      <c r="AI22" s="28" t="n">
        <f aca="false">U59+U123+U187+U251</f>
        <v>0</v>
      </c>
    </row>
    <row r="23" customFormat="false" ht="30" hidden="false" customHeight="true" outlineLevel="0" collapsed="false">
      <c r="A23" s="2" t="s">
        <v>633</v>
      </c>
      <c r="B23" s="2"/>
      <c r="C23" s="2"/>
      <c r="D23" s="2"/>
      <c r="E23" s="2"/>
      <c r="F23" s="2"/>
      <c r="G23" s="2"/>
      <c r="AA23" s="27" t="n">
        <v>19</v>
      </c>
      <c r="AB23" s="28" t="str">
        <f aca="false">(PlanStartYear+AA23-1)&amp;"/"&amp;RIGHT(PlanStartYear+AA23,2)</f>
        <v>2044/45</v>
      </c>
      <c r="AC23" s="28" t="n">
        <f aca="false">C60+C124+C188+C252</f>
        <v>0</v>
      </c>
      <c r="AD23" s="28" t="n">
        <f aca="false">G60+G124+G188+G252</f>
        <v>0</v>
      </c>
      <c r="AE23" s="28" t="n">
        <f aca="false">Q60+Q124+Q188+Q252</f>
        <v>0</v>
      </c>
      <c r="AF23" s="28" t="n">
        <f aca="false">AD23+AE23</f>
        <v>0</v>
      </c>
      <c r="AG23" s="28" t="n">
        <f aca="false">R60+R124+R188+R252</f>
        <v>0</v>
      </c>
      <c r="AH23" s="28" t="n">
        <f aca="false">V60+V124+V188+V252</f>
        <v>0</v>
      </c>
      <c r="AI23" s="28" t="n">
        <f aca="false">U60+U124+U188+U252</f>
        <v>0</v>
      </c>
    </row>
    <row r="24" customFormat="false" ht="15" hidden="false" customHeight="false" outlineLevel="0" collapsed="false">
      <c r="AA24" s="27" t="n">
        <v>20</v>
      </c>
      <c r="AB24" s="28" t="str">
        <f aca="false">(PlanStartYear+AA24-1)&amp;"/"&amp;RIGHT(PlanStartYear+AA24,2)</f>
        <v>2045/46</v>
      </c>
      <c r="AC24" s="28" t="n">
        <f aca="false">C61+C125+C189+C253</f>
        <v>0</v>
      </c>
      <c r="AD24" s="28" t="n">
        <f aca="false">G61+G125+G189+G253</f>
        <v>0</v>
      </c>
      <c r="AE24" s="28" t="n">
        <f aca="false">Q61+Q125+Q189+Q253</f>
        <v>0</v>
      </c>
      <c r="AF24" s="28" t="n">
        <f aca="false">AD24+AE24</f>
        <v>0</v>
      </c>
      <c r="AG24" s="28" t="n">
        <f aca="false">R61+R125+R189+R253</f>
        <v>0</v>
      </c>
      <c r="AH24" s="28" t="n">
        <f aca="false">V61+V125+V189+V253</f>
        <v>0</v>
      </c>
      <c r="AI24" s="28" t="n">
        <f aca="false">U61+U125+U189+U253</f>
        <v>0</v>
      </c>
    </row>
    <row r="25" customFormat="false" ht="15" hidden="false" customHeight="false" outlineLevel="0" collapsed="false">
      <c r="AA25" s="27" t="n">
        <v>21</v>
      </c>
      <c r="AB25" s="28" t="str">
        <f aca="false">(PlanStartYear+AA25-1)&amp;"/"&amp;RIGHT(PlanStartYear+AA25,2)</f>
        <v>2046/47</v>
      </c>
      <c r="AC25" s="28" t="n">
        <f aca="false">C62+C126+C190+C254</f>
        <v>0</v>
      </c>
      <c r="AD25" s="28" t="n">
        <f aca="false">G62+G126+G190+G254</f>
        <v>0</v>
      </c>
      <c r="AE25" s="28" t="n">
        <f aca="false">Q62+Q126+Q190+Q254</f>
        <v>0</v>
      </c>
      <c r="AF25" s="28" t="n">
        <f aca="false">AD25+AE25</f>
        <v>0</v>
      </c>
      <c r="AG25" s="28" t="n">
        <f aca="false">R62+R126+R190+R254</f>
        <v>0</v>
      </c>
      <c r="AH25" s="28" t="n">
        <f aca="false">V62+V126+V190+V254</f>
        <v>0</v>
      </c>
      <c r="AI25" s="28" t="n">
        <f aca="false">U62+U126+U190+U254</f>
        <v>0</v>
      </c>
    </row>
    <row r="26" customFormat="false" ht="15" hidden="false" customHeight="false" outlineLevel="0" collapsed="false">
      <c r="AA26" s="27" t="n">
        <v>22</v>
      </c>
      <c r="AB26" s="28" t="str">
        <f aca="false">(PlanStartYear+AA26-1)&amp;"/"&amp;RIGHT(PlanStartYear+AA26,2)</f>
        <v>2047/48</v>
      </c>
      <c r="AC26" s="28" t="n">
        <f aca="false">C63+C127+C191+C255</f>
        <v>0</v>
      </c>
      <c r="AD26" s="28" t="n">
        <f aca="false">G63+G127+G191+G255</f>
        <v>0</v>
      </c>
      <c r="AE26" s="28" t="n">
        <f aca="false">Q63+Q127+Q191+Q255</f>
        <v>0</v>
      </c>
      <c r="AF26" s="28" t="n">
        <f aca="false">AD26+AE26</f>
        <v>0</v>
      </c>
      <c r="AG26" s="28" t="n">
        <f aca="false">R63+R127+R191+R255</f>
        <v>0</v>
      </c>
      <c r="AH26" s="28" t="n">
        <f aca="false">V63+V127+V191+V255</f>
        <v>0</v>
      </c>
      <c r="AI26" s="28" t="n">
        <f aca="false">U63+U127+U191+U255</f>
        <v>0</v>
      </c>
    </row>
    <row r="27" customFormat="false" ht="15" hidden="false" customHeight="false" outlineLevel="0" collapsed="false">
      <c r="AA27" s="27" t="n">
        <v>23</v>
      </c>
      <c r="AB27" s="28" t="str">
        <f aca="false">(PlanStartYear+AA27-1)&amp;"/"&amp;RIGHT(PlanStartYear+AA27,2)</f>
        <v>2048/49</v>
      </c>
      <c r="AC27" s="28" t="n">
        <f aca="false">C64+C128+C192+C256</f>
        <v>0</v>
      </c>
      <c r="AD27" s="28" t="n">
        <f aca="false">G64+G128+G192+G256</f>
        <v>0</v>
      </c>
      <c r="AE27" s="28" t="n">
        <f aca="false">Q64+Q128+Q192+Q256</f>
        <v>0</v>
      </c>
      <c r="AF27" s="28" t="n">
        <f aca="false">AD27+AE27</f>
        <v>0</v>
      </c>
      <c r="AG27" s="28" t="n">
        <f aca="false">R64+R128+R192+R256</f>
        <v>0</v>
      </c>
      <c r="AH27" s="28" t="n">
        <f aca="false">V64+V128+V192+V256</f>
        <v>0</v>
      </c>
      <c r="AI27" s="28" t="n">
        <f aca="false">U64+U128+U192+U256</f>
        <v>0</v>
      </c>
    </row>
    <row r="28" customFormat="false" ht="15" hidden="false" customHeight="false" outlineLevel="0" collapsed="false">
      <c r="AA28" s="27" t="n">
        <v>24</v>
      </c>
      <c r="AB28" s="28" t="str">
        <f aca="false">(PlanStartYear+AA28-1)&amp;"/"&amp;RIGHT(PlanStartYear+AA28,2)</f>
        <v>2049/50</v>
      </c>
      <c r="AC28" s="28" t="n">
        <f aca="false">C65+C129+C193+C257</f>
        <v>0</v>
      </c>
      <c r="AD28" s="28" t="n">
        <f aca="false">G65+G129+G193+G257</f>
        <v>0</v>
      </c>
      <c r="AE28" s="28" t="n">
        <f aca="false">Q65+Q129+Q193+Q257</f>
        <v>0</v>
      </c>
      <c r="AF28" s="28" t="n">
        <f aca="false">AD28+AE28</f>
        <v>0</v>
      </c>
      <c r="AG28" s="28" t="n">
        <f aca="false">R65+R129+R193+R257</f>
        <v>0</v>
      </c>
      <c r="AH28" s="28" t="n">
        <f aca="false">V65+V129+V193+V257</f>
        <v>0</v>
      </c>
      <c r="AI28" s="28" t="n">
        <f aca="false">U65+U129+U193+U257</f>
        <v>0</v>
      </c>
    </row>
    <row r="29" customFormat="false" ht="15" hidden="false" customHeight="false" outlineLevel="0" collapsed="false">
      <c r="AA29" s="27" t="n">
        <v>25</v>
      </c>
      <c r="AB29" s="28" t="str">
        <f aca="false">(PlanStartYear+AA29-1)&amp;"/"&amp;RIGHT(PlanStartYear+AA29,2)</f>
        <v>2050/51</v>
      </c>
      <c r="AC29" s="28" t="n">
        <f aca="false">C66+C130+C194+C258</f>
        <v>0</v>
      </c>
      <c r="AD29" s="28" t="n">
        <f aca="false">G66+G130+G194+G258</f>
        <v>0</v>
      </c>
      <c r="AE29" s="28" t="n">
        <f aca="false">Q66+Q130+Q194+Q258</f>
        <v>0</v>
      </c>
      <c r="AF29" s="28" t="n">
        <f aca="false">AD29+AE29</f>
        <v>0</v>
      </c>
      <c r="AG29" s="28" t="n">
        <f aca="false">R66+R130+R194+R258</f>
        <v>0</v>
      </c>
      <c r="AH29" s="28" t="n">
        <f aca="false">V66+V130+V194+V258</f>
        <v>0</v>
      </c>
      <c r="AI29" s="28" t="n">
        <f aca="false">U66+U130+U194+U258</f>
        <v>0</v>
      </c>
    </row>
    <row r="30" customFormat="false" ht="15" hidden="false" customHeight="false" outlineLevel="0" collapsed="false">
      <c r="AA30" s="27" t="n">
        <v>26</v>
      </c>
      <c r="AB30" s="28" t="str">
        <f aca="false">(PlanStartYear+AA30-1)&amp;"/"&amp;RIGHT(PlanStartYear+AA30,2)</f>
        <v>2051/52</v>
      </c>
      <c r="AC30" s="28" t="n">
        <f aca="false">C67+C131+C195+C259</f>
        <v>0</v>
      </c>
      <c r="AD30" s="28" t="n">
        <f aca="false">G67+G131+G195+G259</f>
        <v>0</v>
      </c>
      <c r="AE30" s="28" t="n">
        <f aca="false">Q67+Q131+Q195+Q259</f>
        <v>0</v>
      </c>
      <c r="AF30" s="28" t="n">
        <f aca="false">AD30+AE30</f>
        <v>0</v>
      </c>
      <c r="AG30" s="28" t="n">
        <f aca="false">R67+R131+R195+R259</f>
        <v>0</v>
      </c>
      <c r="AH30" s="28" t="n">
        <f aca="false">V67+V131+V195+V259</f>
        <v>0</v>
      </c>
      <c r="AI30" s="28" t="n">
        <f aca="false">U67+U131+U195+U259</f>
        <v>0</v>
      </c>
    </row>
    <row r="31" customFormat="false" ht="15" hidden="false" customHeight="false" outlineLevel="0" collapsed="false">
      <c r="AA31" s="27" t="n">
        <v>27</v>
      </c>
      <c r="AB31" s="28" t="str">
        <f aca="false">(PlanStartYear+AA31-1)&amp;"/"&amp;RIGHT(PlanStartYear+AA31,2)</f>
        <v>2052/53</v>
      </c>
      <c r="AC31" s="28" t="n">
        <f aca="false">C68+C132+C196+C260</f>
        <v>0</v>
      </c>
      <c r="AD31" s="28" t="n">
        <f aca="false">G68+G132+G196+G260</f>
        <v>0</v>
      </c>
      <c r="AE31" s="28" t="n">
        <f aca="false">Q68+Q132+Q196+Q260</f>
        <v>0</v>
      </c>
      <c r="AF31" s="28" t="n">
        <f aca="false">AD31+AE31</f>
        <v>0</v>
      </c>
      <c r="AG31" s="28" t="n">
        <f aca="false">R68+R132+R196+R260</f>
        <v>0</v>
      </c>
      <c r="AH31" s="28" t="n">
        <f aca="false">V68+V132+V196+V260</f>
        <v>0</v>
      </c>
      <c r="AI31" s="28" t="n">
        <f aca="false">U68+U132+U196+U260</f>
        <v>0</v>
      </c>
    </row>
    <row r="32" customFormat="false" ht="15" hidden="false" customHeight="false" outlineLevel="0" collapsed="false">
      <c r="AA32" s="27" t="n">
        <v>28</v>
      </c>
      <c r="AB32" s="28" t="str">
        <f aca="false">(PlanStartYear+AA32-1)&amp;"/"&amp;RIGHT(PlanStartYear+AA32,2)</f>
        <v>2053/54</v>
      </c>
      <c r="AC32" s="28" t="n">
        <f aca="false">C69+C133+C197+C261</f>
        <v>0</v>
      </c>
      <c r="AD32" s="28" t="n">
        <f aca="false">G69+G133+G197+G261</f>
        <v>0</v>
      </c>
      <c r="AE32" s="28" t="n">
        <f aca="false">Q69+Q133+Q197+Q261</f>
        <v>0</v>
      </c>
      <c r="AF32" s="28" t="n">
        <f aca="false">AD32+AE32</f>
        <v>0</v>
      </c>
      <c r="AG32" s="28" t="n">
        <f aca="false">R69+R133+R197+R261</f>
        <v>0</v>
      </c>
      <c r="AH32" s="28" t="n">
        <f aca="false">V69+V133+V197+V261</f>
        <v>0</v>
      </c>
      <c r="AI32" s="28" t="n">
        <f aca="false">U69+U133+U197+U261</f>
        <v>0</v>
      </c>
    </row>
    <row r="33" customFormat="false" ht="15" hidden="false" customHeight="false" outlineLevel="0" collapsed="false">
      <c r="AA33" s="27" t="n">
        <v>29</v>
      </c>
      <c r="AB33" s="28" t="str">
        <f aca="false">(PlanStartYear+AA33-1)&amp;"/"&amp;RIGHT(PlanStartYear+AA33,2)</f>
        <v>2054/55</v>
      </c>
      <c r="AC33" s="28" t="n">
        <f aca="false">C70+C134+C198+C262</f>
        <v>0</v>
      </c>
      <c r="AD33" s="28" t="n">
        <f aca="false">G70+G134+G198+G262</f>
        <v>0</v>
      </c>
      <c r="AE33" s="28" t="n">
        <f aca="false">Q70+Q134+Q198+Q262</f>
        <v>0</v>
      </c>
      <c r="AF33" s="28" t="n">
        <f aca="false">AD33+AE33</f>
        <v>0</v>
      </c>
      <c r="AG33" s="28" t="n">
        <f aca="false">R70+R134+R198+R262</f>
        <v>0</v>
      </c>
      <c r="AH33" s="28" t="n">
        <f aca="false">V70+V134+V198+V262</f>
        <v>0</v>
      </c>
      <c r="AI33" s="28" t="n">
        <f aca="false">U70+U134+U198+U262</f>
        <v>0</v>
      </c>
    </row>
    <row r="34" customFormat="false" ht="15" hidden="false" customHeight="false" outlineLevel="0" collapsed="false">
      <c r="AA34" s="27" t="n">
        <v>30</v>
      </c>
      <c r="AB34" s="28" t="str">
        <f aca="false">(PlanStartYear+AA34-1)&amp;"/"&amp;RIGHT(PlanStartYear+AA34,2)</f>
        <v>2055/56</v>
      </c>
      <c r="AC34" s="28" t="n">
        <f aca="false">C71+C135+C199+C263</f>
        <v>0</v>
      </c>
      <c r="AD34" s="28" t="n">
        <f aca="false">G71+G135+G199+G263</f>
        <v>0</v>
      </c>
      <c r="AE34" s="28" t="n">
        <f aca="false">Q71+Q135+Q199+Q263</f>
        <v>0</v>
      </c>
      <c r="AF34" s="28" t="n">
        <f aca="false">AD34+AE34</f>
        <v>0</v>
      </c>
      <c r="AG34" s="28" t="n">
        <f aca="false">R71+R135+R199+R263</f>
        <v>0</v>
      </c>
      <c r="AH34" s="28" t="n">
        <f aca="false">V71+V135+V199+V263</f>
        <v>0</v>
      </c>
      <c r="AI34" s="28" t="n">
        <f aca="false">U71+U135+U199+U263</f>
        <v>0</v>
      </c>
    </row>
    <row r="35" customFormat="false" ht="15" hidden="false" customHeight="false" outlineLevel="0" collapsed="false">
      <c r="AA35" s="27" t="n">
        <v>31</v>
      </c>
      <c r="AB35" s="28" t="str">
        <f aca="false">(PlanStartYear+AA35-1)&amp;"/"&amp;RIGHT(PlanStartYear+AA35,2)</f>
        <v>2056/57</v>
      </c>
      <c r="AC35" s="28" t="n">
        <f aca="false">C72+C136+C200+C264</f>
        <v>0</v>
      </c>
      <c r="AD35" s="28" t="n">
        <f aca="false">G72+G136+G200+G264</f>
        <v>0</v>
      </c>
      <c r="AE35" s="28" t="n">
        <f aca="false">Q72+Q136+Q200+Q264</f>
        <v>0</v>
      </c>
      <c r="AF35" s="28" t="n">
        <f aca="false">AD35+AE35</f>
        <v>0</v>
      </c>
      <c r="AG35" s="28" t="n">
        <f aca="false">R72+R136+R200+R264</f>
        <v>0</v>
      </c>
      <c r="AH35" s="28" t="n">
        <f aca="false">V72+V136+V200+V264</f>
        <v>0</v>
      </c>
      <c r="AI35" s="28" t="n">
        <f aca="false">U72+U136+U200+U264</f>
        <v>0</v>
      </c>
    </row>
    <row r="36" customFormat="false" ht="15" hidden="false" customHeight="false" outlineLevel="0" collapsed="false">
      <c r="AA36" s="27" t="n">
        <v>32</v>
      </c>
      <c r="AB36" s="28" t="str">
        <f aca="false">(PlanStartYear+AA36-1)&amp;"/"&amp;RIGHT(PlanStartYear+AA36,2)</f>
        <v>2057/58</v>
      </c>
      <c r="AC36" s="28" t="n">
        <f aca="false">C73+C137+C201+C265</f>
        <v>0</v>
      </c>
      <c r="AD36" s="28" t="n">
        <f aca="false">G73+G137+G201+G265</f>
        <v>0</v>
      </c>
      <c r="AE36" s="28" t="n">
        <f aca="false">Q73+Q137+Q201+Q265</f>
        <v>0</v>
      </c>
      <c r="AF36" s="28" t="n">
        <f aca="false">AD36+AE36</f>
        <v>0</v>
      </c>
      <c r="AG36" s="28" t="n">
        <f aca="false">R73+R137+R201+R265</f>
        <v>0</v>
      </c>
      <c r="AH36" s="28" t="n">
        <f aca="false">V73+V137+V201+V265</f>
        <v>0</v>
      </c>
      <c r="AI36" s="28" t="n">
        <f aca="false">U73+U137+U201+U265</f>
        <v>0</v>
      </c>
    </row>
    <row r="37" customFormat="false" ht="15" hidden="false" customHeight="false" outlineLevel="0" collapsed="false">
      <c r="AA37" s="27" t="n">
        <v>33</v>
      </c>
      <c r="AB37" s="28" t="str">
        <f aca="false">(PlanStartYear+AA37-1)&amp;"/"&amp;RIGHT(PlanStartYear+AA37,2)</f>
        <v>2058/59</v>
      </c>
      <c r="AC37" s="28" t="n">
        <f aca="false">C74+C138+C202+C266</f>
        <v>0</v>
      </c>
      <c r="AD37" s="28" t="n">
        <f aca="false">G74+G138+G202+G266</f>
        <v>0</v>
      </c>
      <c r="AE37" s="28" t="n">
        <f aca="false">Q74+Q138+Q202+Q266</f>
        <v>0</v>
      </c>
      <c r="AF37" s="28" t="n">
        <f aca="false">AD37+AE37</f>
        <v>0</v>
      </c>
      <c r="AG37" s="28" t="n">
        <f aca="false">R74+R138+R202+R266</f>
        <v>0</v>
      </c>
      <c r="AH37" s="28" t="n">
        <f aca="false">V74+V138+V202+V266</f>
        <v>0</v>
      </c>
      <c r="AI37" s="28" t="n">
        <f aca="false">U74+U138+U202+U266</f>
        <v>0</v>
      </c>
    </row>
    <row r="38" customFormat="false" ht="15" hidden="false" customHeight="false" outlineLevel="0" collapsed="false">
      <c r="AA38" s="27" t="n">
        <v>34</v>
      </c>
      <c r="AB38" s="28" t="str">
        <f aca="false">(PlanStartYear+AA38-1)&amp;"/"&amp;RIGHT(PlanStartYear+AA38,2)</f>
        <v>2059/60</v>
      </c>
      <c r="AC38" s="28" t="n">
        <f aca="false">C75+C139+C203+C267</f>
        <v>0</v>
      </c>
      <c r="AD38" s="28" t="n">
        <f aca="false">G75+G139+G203+G267</f>
        <v>0</v>
      </c>
      <c r="AE38" s="28" t="n">
        <f aca="false">Q75+Q139+Q203+Q267</f>
        <v>0</v>
      </c>
      <c r="AF38" s="28" t="n">
        <f aca="false">AD38+AE38</f>
        <v>0</v>
      </c>
      <c r="AG38" s="28" t="n">
        <f aca="false">R75+R139+R203+R267</f>
        <v>0</v>
      </c>
      <c r="AH38" s="28" t="n">
        <f aca="false">V75+V139+V203+V267</f>
        <v>0</v>
      </c>
      <c r="AI38" s="28" t="n">
        <f aca="false">U75+U139+U203+U267</f>
        <v>0</v>
      </c>
    </row>
    <row r="39" customFormat="false" ht="15" hidden="false" customHeight="false" outlineLevel="0" collapsed="false">
      <c r="AA39" s="27" t="n">
        <v>35</v>
      </c>
      <c r="AB39" s="28" t="str">
        <f aca="false">(PlanStartYear+AA39-1)&amp;"/"&amp;RIGHT(PlanStartYear+AA39,2)</f>
        <v>2060/61</v>
      </c>
      <c r="AC39" s="28" t="n">
        <f aca="false">C76+C140+C204+C268</f>
        <v>0</v>
      </c>
      <c r="AD39" s="28" t="n">
        <f aca="false">G76+G140+G204+G268</f>
        <v>0</v>
      </c>
      <c r="AE39" s="28" t="n">
        <f aca="false">Q76+Q140+Q204+Q268</f>
        <v>0</v>
      </c>
      <c r="AF39" s="28" t="n">
        <f aca="false">AD39+AE39</f>
        <v>0</v>
      </c>
      <c r="AG39" s="28" t="n">
        <f aca="false">R76+R140+R204+R268</f>
        <v>0</v>
      </c>
      <c r="AH39" s="28" t="n">
        <f aca="false">V76+V140+V204+V268</f>
        <v>0</v>
      </c>
      <c r="AI39" s="28" t="n">
        <f aca="false">U76+U140+U204+U268</f>
        <v>0</v>
      </c>
    </row>
    <row r="40" customFormat="false" ht="15" hidden="false" customHeight="false" outlineLevel="0" collapsed="false">
      <c r="A40" s="6" t="str">
        <f aca="false">"Child 1: "&amp;'Education Cost Forecast'!$C$6&amp;" — annual cash flow ("&amp;RepCcy&amp;")"</f>
        <v>Child 1: Child 1 — annual cash flow (PKR)</v>
      </c>
      <c r="AA40" s="27" t="n">
        <v>36</v>
      </c>
      <c r="AB40" s="28" t="str">
        <f aca="false">(PlanStartYear+AA40-1)&amp;"/"&amp;RIGHT(PlanStartYear+AA40,2)</f>
        <v>2061/62</v>
      </c>
      <c r="AC40" s="28" t="n">
        <f aca="false">C77+C141+C205+C269</f>
        <v>0</v>
      </c>
      <c r="AD40" s="28" t="n">
        <f aca="false">G77+G141+G205+G269</f>
        <v>0</v>
      </c>
      <c r="AE40" s="28" t="n">
        <f aca="false">Q77+Q141+Q205+Q269</f>
        <v>0</v>
      </c>
      <c r="AF40" s="28" t="n">
        <f aca="false">AD40+AE40</f>
        <v>0</v>
      </c>
      <c r="AG40" s="28" t="n">
        <f aca="false">R77+R141+R205+R269</f>
        <v>0</v>
      </c>
      <c r="AH40" s="28" t="n">
        <f aca="false">V77+V141+V205+V269</f>
        <v>0</v>
      </c>
      <c r="AI40" s="28" t="n">
        <f aca="false">U77+U141+U205+U269</f>
        <v>0</v>
      </c>
    </row>
    <row r="41" customFormat="false" ht="66" hidden="false" customHeight="true" outlineLevel="0" collapsed="false">
      <c r="A41" s="22" t="s">
        <v>581</v>
      </c>
      <c r="B41" s="22" t="s">
        <v>582</v>
      </c>
      <c r="C41" s="22" t="s">
        <v>634</v>
      </c>
      <c r="D41" s="22" t="s">
        <v>635</v>
      </c>
      <c r="E41" s="22" t="s">
        <v>636</v>
      </c>
      <c r="F41" s="22" t="s">
        <v>637</v>
      </c>
      <c r="G41" s="22" t="s">
        <v>638</v>
      </c>
      <c r="H41" s="22" t="s">
        <v>639</v>
      </c>
      <c r="I41" s="22" t="s">
        <v>640</v>
      </c>
      <c r="J41" s="22" t="s">
        <v>641</v>
      </c>
      <c r="K41" s="22" t="s">
        <v>642</v>
      </c>
      <c r="L41" s="22" t="s">
        <v>643</v>
      </c>
      <c r="M41" s="22" t="s">
        <v>644</v>
      </c>
      <c r="N41" s="22" t="s">
        <v>645</v>
      </c>
      <c r="O41" s="22" t="s">
        <v>646</v>
      </c>
      <c r="P41" s="22" t="s">
        <v>647</v>
      </c>
      <c r="Q41" s="22" t="s">
        <v>648</v>
      </c>
      <c r="R41" s="22" t="s">
        <v>649</v>
      </c>
      <c r="S41" s="22" t="s">
        <v>650</v>
      </c>
      <c r="T41" s="22" t="s">
        <v>651</v>
      </c>
      <c r="U41" s="22" t="s">
        <v>652</v>
      </c>
      <c r="V41" s="22" t="s">
        <v>653</v>
      </c>
      <c r="W41" s="22" t="s">
        <v>654</v>
      </c>
      <c r="X41" s="22" t="s">
        <v>655</v>
      </c>
      <c r="AA41" s="27" t="n">
        <v>37</v>
      </c>
      <c r="AB41" s="28" t="str">
        <f aca="false">(PlanStartYear+AA41-1)&amp;"/"&amp;RIGHT(PlanStartYear+AA41,2)</f>
        <v>2062/63</v>
      </c>
      <c r="AC41" s="28" t="n">
        <f aca="false">C78+C142+C206+C270</f>
        <v>0</v>
      </c>
      <c r="AD41" s="28" t="n">
        <f aca="false">G78+G142+G206+G270</f>
        <v>0</v>
      </c>
      <c r="AE41" s="28" t="n">
        <f aca="false">Q78+Q142+Q206+Q270</f>
        <v>0</v>
      </c>
      <c r="AF41" s="28" t="n">
        <f aca="false">AD41+AE41</f>
        <v>0</v>
      </c>
      <c r="AG41" s="28" t="n">
        <f aca="false">R78+R142+R206+R270</f>
        <v>0</v>
      </c>
      <c r="AH41" s="28" t="n">
        <f aca="false">V78+V142+V206+V270</f>
        <v>0</v>
      </c>
      <c r="AI41" s="28" t="n">
        <f aca="false">U78+U142+U206+U270</f>
        <v>0</v>
      </c>
    </row>
    <row r="42" customFormat="false" ht="15" hidden="false" customHeight="false" outlineLevel="0" collapsed="false">
      <c r="A42" s="27" t="n">
        <v>1</v>
      </c>
      <c r="B42" s="27" t="n">
        <f aca="false">'Education Cost Forecast'!B62</f>
        <v>1</v>
      </c>
      <c r="C42" s="28" t="n">
        <f aca="false">'Education Cost Forecast'!Z62</f>
        <v>0</v>
      </c>
      <c r="D42" s="28" t="n">
        <f aca="false">IF(AND(B42=1,'Education Cost Forecast'!F62&gt;0,'Education Cost Forecast'!E62=0),'Education Cost Forecast'!$C$45,0)</f>
        <v>0</v>
      </c>
      <c r="E42" s="27" t="n">
        <f aca="false">IF(AND(B42=1,A42&lt;='Education Cost Forecast'!$C$53),1,0)</f>
        <v>1</v>
      </c>
      <c r="F42" s="40" t="n">
        <f aca="false">(1+Esc)^(A42-1)</f>
        <v>1</v>
      </c>
      <c r="G42" s="28" t="n">
        <f aca="false">E42*('Education Cost Forecast'!$C$41*12*MonthlyFactor+'Education Cost Forecast'!$C$42)*F42</f>
        <v>126464.979083531</v>
      </c>
      <c r="H42" s="28" t="n">
        <f aca="false">E42*UnitFactor*F42</f>
        <v>1.05387482569609</v>
      </c>
      <c r="I42" s="28" t="n">
        <f aca="false">'Education Cost Forecast'!$C$40*'Education Cost Forecast'!$C$47+D42-C42</f>
        <v>500000</v>
      </c>
      <c r="J42" s="28" t="n">
        <f aca="false">IF(B42=1,I42*(1+RetRate)+G42,'Education Cost Forecast'!$C$40*'Education Cost Forecast'!$C$47)</f>
        <v>686464.979083531</v>
      </c>
      <c r="K42" s="28" t="n">
        <f aca="false">0</f>
        <v>0</v>
      </c>
      <c r="L42" s="28" t="n">
        <f aca="false">IF(B42=1,K42*(1+RetRate)+H42,0)</f>
        <v>1.05387482569609</v>
      </c>
      <c r="M42" s="40" t="n">
        <f aca="false">(1+RetRate)^(A42-1)</f>
        <v>1</v>
      </c>
      <c r="N42" s="28" t="n">
        <f aca="false">IF(AND(B42=1,C42&gt;0,K42&lt;=0.000000000001,I42&lt;0),-I42/M42,0)</f>
        <v>0</v>
      </c>
      <c r="O42" s="28" t="n">
        <f aca="false">IF(AND(B42=1,C42&gt;0,K42&gt;0.000000000001),-(I42+$C$14*M42)/K42,0)</f>
        <v>0</v>
      </c>
      <c r="P42" s="28" t="n">
        <f aca="false">'Education Cost Forecast'!$C$40*'Education Cost Forecast'!$C$47+$C$14</f>
        <v>500000</v>
      </c>
      <c r="Q42" s="28" t="n">
        <f aca="false">H42*$C$15</f>
        <v>456935.732750222</v>
      </c>
      <c r="R42" s="28" t="n">
        <f aca="false">IF(B42=1,(P42+D42-C42)*(1+RetRate)+G42+Q42,P42)</f>
        <v>1143400.71183375</v>
      </c>
      <c r="S42" s="28" t="n">
        <f aca="false">'Education Cost Forecast'!$C$40*'Education Cost Forecast'!$C$47</f>
        <v>500000</v>
      </c>
      <c r="T42" s="28" t="n">
        <f aca="false">S42+D42-C42</f>
        <v>500000</v>
      </c>
      <c r="U42" s="28" t="n">
        <f aca="false">IF(B42=1,MAX(0,-T42),0)</f>
        <v>0</v>
      </c>
      <c r="V42" s="28" t="n">
        <f aca="false">IF(B42=1,MAX(0,T42)*(1+RetRate)+G42,S42)</f>
        <v>686464.979083531</v>
      </c>
      <c r="W42" s="28" t="n">
        <f aca="false">IF(A42&lt;=MIN('Education Cost Forecast'!$C$49,'Education Cost Forecast'!$C$53),G42*(1+RetRate)^('Education Cost Forecast'!$C$49-A42),0)</f>
        <v>279573.777947961</v>
      </c>
      <c r="X42" s="28" t="n">
        <f aca="false">IF(B42=1,P42+D42-C42,0)</f>
        <v>500000</v>
      </c>
      <c r="AA42" s="27" t="n">
        <v>38</v>
      </c>
      <c r="AB42" s="28" t="str">
        <f aca="false">(PlanStartYear+AA42-1)&amp;"/"&amp;RIGHT(PlanStartYear+AA42,2)</f>
        <v>2063/64</v>
      </c>
      <c r="AC42" s="28" t="n">
        <f aca="false">C79+C143+C207+C271</f>
        <v>0</v>
      </c>
      <c r="AD42" s="28" t="n">
        <f aca="false">G79+G143+G207+G271</f>
        <v>0</v>
      </c>
      <c r="AE42" s="28" t="n">
        <f aca="false">Q79+Q143+Q207+Q271</f>
        <v>0</v>
      </c>
      <c r="AF42" s="28" t="n">
        <f aca="false">AD42+AE42</f>
        <v>0</v>
      </c>
      <c r="AG42" s="28" t="n">
        <f aca="false">R79+R143+R207+R271</f>
        <v>0</v>
      </c>
      <c r="AH42" s="28" t="n">
        <f aca="false">V79+V143+V207+V271</f>
        <v>0</v>
      </c>
      <c r="AI42" s="28" t="n">
        <f aca="false">U79+U143+U207+U271</f>
        <v>0</v>
      </c>
    </row>
    <row r="43" customFormat="false" ht="15" hidden="false" customHeight="false" outlineLevel="0" collapsed="false">
      <c r="A43" s="27" t="n">
        <v>2</v>
      </c>
      <c r="B43" s="27" t="n">
        <f aca="false">'Education Cost Forecast'!B63</f>
        <v>1</v>
      </c>
      <c r="C43" s="28" t="n">
        <f aca="false">'Education Cost Forecast'!Z63</f>
        <v>0</v>
      </c>
      <c r="D43" s="28" t="n">
        <f aca="false">IF(AND(B43=1,'Education Cost Forecast'!F63&gt;0,'Education Cost Forecast'!E63=0),'Education Cost Forecast'!$C$45,0)</f>
        <v>0</v>
      </c>
      <c r="E43" s="27" t="n">
        <f aca="false">IF(AND(B43=1,A43&lt;='Education Cost Forecast'!$C$53),1,0)</f>
        <v>1</v>
      </c>
      <c r="F43" s="40" t="n">
        <f aca="false">(1+Esc)^(A43-1)</f>
        <v>1.05</v>
      </c>
      <c r="G43" s="28" t="n">
        <f aca="false">E43*('Education Cost Forecast'!$C$41*12*MonthlyFactor+'Education Cost Forecast'!$C$42)*F43</f>
        <v>132788.228037707</v>
      </c>
      <c r="H43" s="28" t="n">
        <f aca="false">E43*UnitFactor*F43</f>
        <v>1.10656856698089</v>
      </c>
      <c r="I43" s="28" t="n">
        <f aca="false">J42+D43-C43</f>
        <v>686464.979083531</v>
      </c>
      <c r="J43" s="28" t="n">
        <f aca="false">IF(B43=1,I43*(1+RetRate)+G43,J42)</f>
        <v>901629.004611262</v>
      </c>
      <c r="K43" s="28" t="n">
        <f aca="false">L42</f>
        <v>1.05387482569609</v>
      </c>
      <c r="L43" s="28" t="n">
        <f aca="false">IF(B43=1,K43*(1+RetRate)+H43,L42)</f>
        <v>2.28690837176052</v>
      </c>
      <c r="M43" s="40" t="n">
        <f aca="false">(1+RetRate)^(A43-1)</f>
        <v>1.12</v>
      </c>
      <c r="N43" s="28" t="n">
        <f aca="false">IF(AND(B43=1,C43&gt;0,K43&lt;=0.000000000001,I43&lt;0),-I43/M43,0)</f>
        <v>0</v>
      </c>
      <c r="O43" s="28" t="n">
        <f aca="false">IF(AND(B43=1,C43&gt;0,K43&gt;0.000000000001),-(I43+$C$14*M43)/K43,0)</f>
        <v>0</v>
      </c>
      <c r="P43" s="28" t="n">
        <f aca="false">R42</f>
        <v>1143400.71183375</v>
      </c>
      <c r="Q43" s="28" t="n">
        <f aca="false">H43*$C$15</f>
        <v>479782.519387733</v>
      </c>
      <c r="R43" s="28" t="n">
        <f aca="false">IF(B43=1,(P43+D43-C43)*(1+RetRate)+G43+Q43,P43)</f>
        <v>1893179.54467924</v>
      </c>
      <c r="S43" s="28" t="n">
        <f aca="false">V42</f>
        <v>686464.979083531</v>
      </c>
      <c r="T43" s="28" t="n">
        <f aca="false">S43+D43-C43</f>
        <v>686464.979083531</v>
      </c>
      <c r="U43" s="28" t="n">
        <f aca="false">IF(B43=1,MAX(0,-T43),0)</f>
        <v>0</v>
      </c>
      <c r="V43" s="28" t="n">
        <f aca="false">IF(B43=1,MAX(0,T43)*(1+RetRate)+G43,S43)</f>
        <v>901629.004611262</v>
      </c>
      <c r="W43" s="28" t="n">
        <f aca="false">IF(A43&lt;=MIN('Education Cost Forecast'!$C$49,'Education Cost Forecast'!$C$53),G43*(1+RetRate)^('Education Cost Forecast'!$C$49-A43),0)</f>
        <v>262100.416826213</v>
      </c>
      <c r="X43" s="28" t="n">
        <f aca="false">IF(B43=1,P43+D43-C43,0)</f>
        <v>1143400.71183375</v>
      </c>
      <c r="AA43" s="27" t="n">
        <v>39</v>
      </c>
      <c r="AB43" s="28" t="str">
        <f aca="false">(PlanStartYear+AA43-1)&amp;"/"&amp;RIGHT(PlanStartYear+AA43,2)</f>
        <v>2064/65</v>
      </c>
      <c r="AC43" s="28" t="n">
        <f aca="false">C80+C144+C208+C272</f>
        <v>0</v>
      </c>
      <c r="AD43" s="28" t="n">
        <f aca="false">G80+G144+G208+G272</f>
        <v>0</v>
      </c>
      <c r="AE43" s="28" t="n">
        <f aca="false">Q80+Q144+Q208+Q272</f>
        <v>0</v>
      </c>
      <c r="AF43" s="28" t="n">
        <f aca="false">AD43+AE43</f>
        <v>0</v>
      </c>
      <c r="AG43" s="28" t="n">
        <f aca="false">R80+R144+R208+R272</f>
        <v>0</v>
      </c>
      <c r="AH43" s="28" t="n">
        <f aca="false">V80+V144+V208+V272</f>
        <v>0</v>
      </c>
      <c r="AI43" s="28" t="n">
        <f aca="false">U80+U144+U208+U272</f>
        <v>0</v>
      </c>
    </row>
    <row r="44" customFormat="false" ht="15" hidden="false" customHeight="false" outlineLevel="0" collapsed="false">
      <c r="A44" s="27" t="n">
        <v>3</v>
      </c>
      <c r="B44" s="27" t="n">
        <f aca="false">'Education Cost Forecast'!B64</f>
        <v>1</v>
      </c>
      <c r="C44" s="28" t="n">
        <f aca="false">'Education Cost Forecast'!Z64</f>
        <v>0</v>
      </c>
      <c r="D44" s="28" t="n">
        <f aca="false">IF(AND(B44=1,'Education Cost Forecast'!F64&gt;0,'Education Cost Forecast'!E64=0),'Education Cost Forecast'!$C$45,0)</f>
        <v>0</v>
      </c>
      <c r="E44" s="27" t="n">
        <f aca="false">IF(AND(B44=1,A44&lt;='Education Cost Forecast'!$C$53),1,0)</f>
        <v>1</v>
      </c>
      <c r="F44" s="40" t="n">
        <f aca="false">(1+Esc)^(A44-1)</f>
        <v>1.1025</v>
      </c>
      <c r="G44" s="28" t="n">
        <f aca="false">E44*('Education Cost Forecast'!$C$41*12*MonthlyFactor+'Education Cost Forecast'!$C$42)*F44</f>
        <v>139427.639439593</v>
      </c>
      <c r="H44" s="28" t="n">
        <f aca="false">E44*UnitFactor*F44</f>
        <v>1.16189699532994</v>
      </c>
      <c r="I44" s="28" t="n">
        <f aca="false">J43+D44-C44</f>
        <v>901629.004611262</v>
      </c>
      <c r="J44" s="28" t="n">
        <f aca="false">IF(B44=1,I44*(1+RetRate)+G44,J43)</f>
        <v>1149252.12460421</v>
      </c>
      <c r="K44" s="28" t="n">
        <f aca="false">L43</f>
        <v>2.28690837176052</v>
      </c>
      <c r="L44" s="28" t="n">
        <f aca="false">IF(B44=1,K44*(1+RetRate)+H44,L43)</f>
        <v>3.72323437170172</v>
      </c>
      <c r="M44" s="40" t="n">
        <f aca="false">(1+RetRate)^(A44-1)</f>
        <v>1.2544</v>
      </c>
      <c r="N44" s="28" t="n">
        <f aca="false">IF(AND(B44=1,C44&gt;0,K44&lt;=0.000000000001,I44&lt;0),-I44/M44,0)</f>
        <v>0</v>
      </c>
      <c r="O44" s="28" t="n">
        <f aca="false">IF(AND(B44=1,C44&gt;0,K44&gt;0.000000000001),-(I44+$C$14*M44)/K44,0)</f>
        <v>0</v>
      </c>
      <c r="P44" s="28" t="n">
        <f aca="false">R43</f>
        <v>1893179.54467924</v>
      </c>
      <c r="Q44" s="28" t="n">
        <f aca="false">H44*$C$15</f>
        <v>503771.645357119</v>
      </c>
      <c r="R44" s="28" t="n">
        <f aca="false">IF(B44=1,(P44+D44-C44)*(1+RetRate)+G44+Q44,P44)</f>
        <v>2763560.37483746</v>
      </c>
      <c r="S44" s="28" t="n">
        <f aca="false">V43</f>
        <v>901629.004611262</v>
      </c>
      <c r="T44" s="28" t="n">
        <f aca="false">S44+D44-C44</f>
        <v>901629.004611262</v>
      </c>
      <c r="U44" s="28" t="n">
        <f aca="false">IF(B44=1,MAX(0,-T44),0)</f>
        <v>0</v>
      </c>
      <c r="V44" s="28" t="n">
        <f aca="false">IF(B44=1,MAX(0,T44)*(1+RetRate)+G44,S44)</f>
        <v>1149252.12460421</v>
      </c>
      <c r="W44" s="28" t="n">
        <f aca="false">IF(A44&lt;=MIN('Education Cost Forecast'!$C$49,'Education Cost Forecast'!$C$53),G44*(1+RetRate)^('Education Cost Forecast'!$C$49-A44),0)</f>
        <v>245719.140774575</v>
      </c>
      <c r="X44" s="28" t="n">
        <f aca="false">IF(B44=1,P44+D44-C44,0)</f>
        <v>1893179.54467924</v>
      </c>
      <c r="AA44" s="27" t="n">
        <v>40</v>
      </c>
      <c r="AB44" s="28" t="str">
        <f aca="false">(PlanStartYear+AA44-1)&amp;"/"&amp;RIGHT(PlanStartYear+AA44,2)</f>
        <v>2065/66</v>
      </c>
      <c r="AC44" s="28" t="n">
        <f aca="false">C81+C145+C209+C273</f>
        <v>0</v>
      </c>
      <c r="AD44" s="28" t="n">
        <f aca="false">G81+G145+G209+G273</f>
        <v>0</v>
      </c>
      <c r="AE44" s="28" t="n">
        <f aca="false">Q81+Q145+Q209+Q273</f>
        <v>0</v>
      </c>
      <c r="AF44" s="28" t="n">
        <f aca="false">AD44+AE44</f>
        <v>0</v>
      </c>
      <c r="AG44" s="28" t="n">
        <f aca="false">R81+R145+R209+R273</f>
        <v>0</v>
      </c>
      <c r="AH44" s="28" t="n">
        <f aca="false">V81+V145+V209+V273</f>
        <v>0</v>
      </c>
      <c r="AI44" s="28" t="n">
        <f aca="false">U81+U145+U209+U273</f>
        <v>0</v>
      </c>
    </row>
    <row r="45" customFormat="false" ht="15" hidden="false" customHeight="false" outlineLevel="0" collapsed="false">
      <c r="A45" s="27" t="n">
        <v>4</v>
      </c>
      <c r="B45" s="27" t="n">
        <f aca="false">'Education Cost Forecast'!B65</f>
        <v>1</v>
      </c>
      <c r="C45" s="28" t="n">
        <f aca="false">'Education Cost Forecast'!Z65</f>
        <v>0</v>
      </c>
      <c r="D45" s="28" t="n">
        <f aca="false">IF(AND(B45=1,'Education Cost Forecast'!F65&gt;0,'Education Cost Forecast'!E65=0),'Education Cost Forecast'!$C$45,0)</f>
        <v>0</v>
      </c>
      <c r="E45" s="27" t="n">
        <f aca="false">IF(AND(B45=1,A45&lt;='Education Cost Forecast'!$C$53),1,0)</f>
        <v>1</v>
      </c>
      <c r="F45" s="40" t="n">
        <f aca="false">(1+Esc)^(A45-1)</f>
        <v>1.157625</v>
      </c>
      <c r="G45" s="28" t="n">
        <f aca="false">E45*('Education Cost Forecast'!$C$41*12*MonthlyFactor+'Education Cost Forecast'!$C$42)*F45</f>
        <v>146399.021411572</v>
      </c>
      <c r="H45" s="28" t="n">
        <f aca="false">E45*UnitFactor*F45</f>
        <v>1.21999184509644</v>
      </c>
      <c r="I45" s="28" t="n">
        <f aca="false">J44+D45-C45</f>
        <v>1149252.12460421</v>
      </c>
      <c r="J45" s="28" t="n">
        <f aca="false">IF(B45=1,I45*(1+RetRate)+G45,J44)</f>
        <v>1433561.40096828</v>
      </c>
      <c r="K45" s="28" t="n">
        <f aca="false">L44</f>
        <v>3.72323437170172</v>
      </c>
      <c r="L45" s="28" t="n">
        <f aca="false">IF(B45=1,K45*(1+RetRate)+H45,L44)</f>
        <v>5.39001434140236</v>
      </c>
      <c r="M45" s="40" t="n">
        <f aca="false">(1+RetRate)^(A45-1)</f>
        <v>1.404928</v>
      </c>
      <c r="N45" s="28" t="n">
        <f aca="false">IF(AND(B45=1,C45&gt;0,K45&lt;=0.000000000001,I45&lt;0),-I45/M45,0)</f>
        <v>0</v>
      </c>
      <c r="O45" s="28" t="n">
        <f aca="false">IF(AND(B45=1,C45&gt;0,K45&gt;0.000000000001),-(I45+$C$14*M45)/K45,0)</f>
        <v>0</v>
      </c>
      <c r="P45" s="28" t="n">
        <f aca="false">R44</f>
        <v>2763560.37483746</v>
      </c>
      <c r="Q45" s="28" t="n">
        <f aca="false">H45*$C$15</f>
        <v>528960.227624976</v>
      </c>
      <c r="R45" s="28" t="n">
        <f aca="false">IF(B45=1,(P45+D45-C45)*(1+RetRate)+G45+Q45,P45)</f>
        <v>3770546.86885451</v>
      </c>
      <c r="S45" s="28" t="n">
        <f aca="false">V44</f>
        <v>1149252.12460421</v>
      </c>
      <c r="T45" s="28" t="n">
        <f aca="false">S45+D45-C45</f>
        <v>1149252.12460421</v>
      </c>
      <c r="U45" s="28" t="n">
        <f aca="false">IF(B45=1,MAX(0,-T45),0)</f>
        <v>0</v>
      </c>
      <c r="V45" s="28" t="n">
        <f aca="false">IF(B45=1,MAX(0,T45)*(1+RetRate)+G45,S45)</f>
        <v>1433561.40096828</v>
      </c>
      <c r="W45" s="28" t="n">
        <f aca="false">IF(A45&lt;=MIN('Education Cost Forecast'!$C$49,'Education Cost Forecast'!$C$53),G45*(1+RetRate)^('Education Cost Forecast'!$C$49-A45),0)</f>
        <v>230361.694476164</v>
      </c>
      <c r="X45" s="28" t="n">
        <f aca="false">IF(B45=1,P45+D45-C45,0)</f>
        <v>2763560.37483746</v>
      </c>
      <c r="AA45" s="27" t="n">
        <v>41</v>
      </c>
      <c r="AB45" s="28" t="str">
        <f aca="false">(PlanStartYear+AA45-1)&amp;"/"&amp;RIGHT(PlanStartYear+AA45,2)</f>
        <v>2066/67</v>
      </c>
      <c r="AC45" s="28" t="n">
        <f aca="false">C82+C146+C210+C274</f>
        <v>0</v>
      </c>
      <c r="AD45" s="28" t="n">
        <f aca="false">G82+G146+G210+G274</f>
        <v>0</v>
      </c>
      <c r="AE45" s="28" t="n">
        <f aca="false">Q82+Q146+Q210+Q274</f>
        <v>0</v>
      </c>
      <c r="AF45" s="28" t="n">
        <f aca="false">AD45+AE45</f>
        <v>0</v>
      </c>
      <c r="AG45" s="28" t="n">
        <f aca="false">R82+R146+R210+R274</f>
        <v>0</v>
      </c>
      <c r="AH45" s="28" t="n">
        <f aca="false">V82+V146+V210+V274</f>
        <v>0</v>
      </c>
      <c r="AI45" s="28" t="n">
        <f aca="false">U82+U146+U210+U274</f>
        <v>0</v>
      </c>
    </row>
    <row r="46" customFormat="false" ht="15" hidden="false" customHeight="false" outlineLevel="0" collapsed="false">
      <c r="A46" s="27" t="n">
        <v>5</v>
      </c>
      <c r="B46" s="27" t="n">
        <f aca="false">'Education Cost Forecast'!B66</f>
        <v>1</v>
      </c>
      <c r="C46" s="28" t="n">
        <f aca="false">'Education Cost Forecast'!Z66</f>
        <v>0</v>
      </c>
      <c r="D46" s="28" t="n">
        <f aca="false">IF(AND(B46=1,'Education Cost Forecast'!F66&gt;0,'Education Cost Forecast'!E66=0),'Education Cost Forecast'!$C$45,0)</f>
        <v>0</v>
      </c>
      <c r="E46" s="27" t="n">
        <f aca="false">IF(AND(B46=1,A46&lt;='Education Cost Forecast'!$C$53),1,0)</f>
        <v>1</v>
      </c>
      <c r="F46" s="40" t="n">
        <f aca="false">(1+Esc)^(A46-1)</f>
        <v>1.21550625</v>
      </c>
      <c r="G46" s="28" t="n">
        <f aca="false">E46*('Education Cost Forecast'!$C$41*12*MonthlyFactor+'Education Cost Forecast'!$C$42)*F46</f>
        <v>153718.972482151</v>
      </c>
      <c r="H46" s="28" t="n">
        <f aca="false">E46*UnitFactor*F46</f>
        <v>1.28099143735126</v>
      </c>
      <c r="I46" s="28" t="n">
        <f aca="false">J45+D46-C46</f>
        <v>1433561.40096828</v>
      </c>
      <c r="J46" s="28" t="n">
        <f aca="false">IF(B46=1,I46*(1+RetRate)+G46,J45)</f>
        <v>1759307.74156663</v>
      </c>
      <c r="K46" s="28" t="n">
        <f aca="false">L45</f>
        <v>5.39001434140236</v>
      </c>
      <c r="L46" s="28" t="n">
        <f aca="false">IF(B46=1,K46*(1+RetRate)+H46,L45)</f>
        <v>7.3178074997219</v>
      </c>
      <c r="M46" s="40" t="n">
        <f aca="false">(1+RetRate)^(A46-1)</f>
        <v>1.57351936</v>
      </c>
      <c r="N46" s="28" t="n">
        <f aca="false">IF(AND(B46=1,C46&gt;0,K46&lt;=0.000000000001,I46&lt;0),-I46/M46,0)</f>
        <v>0</v>
      </c>
      <c r="O46" s="28" t="n">
        <f aca="false">IF(AND(B46=1,C46&gt;0,K46&gt;0.000000000001),-(I46+$C$14*M46)/K46,0)</f>
        <v>0</v>
      </c>
      <c r="P46" s="28" t="n">
        <f aca="false">R45</f>
        <v>3770546.86885451</v>
      </c>
      <c r="Q46" s="28" t="n">
        <f aca="false">H46*$C$15</f>
        <v>555408.239006224</v>
      </c>
      <c r="R46" s="28" t="n">
        <f aca="false">IF(B46=1,(P46+D46-C46)*(1+RetRate)+G46+Q46,P46)</f>
        <v>4932139.70460543</v>
      </c>
      <c r="S46" s="28" t="n">
        <f aca="false">V45</f>
        <v>1433561.40096828</v>
      </c>
      <c r="T46" s="28" t="n">
        <f aca="false">S46+D46-C46</f>
        <v>1433561.40096828</v>
      </c>
      <c r="U46" s="28" t="n">
        <f aca="false">IF(B46=1,MAX(0,-T46),0)</f>
        <v>0</v>
      </c>
      <c r="V46" s="28" t="n">
        <f aca="false">IF(B46=1,MAX(0,T46)*(1+RetRate)+G46,S46)</f>
        <v>1759307.74156663</v>
      </c>
      <c r="W46" s="28" t="n">
        <f aca="false">IF(A46&lt;=MIN('Education Cost Forecast'!$C$49,'Education Cost Forecast'!$C$53),G46*(1+RetRate)^('Education Cost Forecast'!$C$49-A46),0)</f>
        <v>215964.088571404</v>
      </c>
      <c r="X46" s="28" t="n">
        <f aca="false">IF(B46=1,P46+D46-C46,0)</f>
        <v>3770546.86885451</v>
      </c>
      <c r="AA46" s="27" t="n">
        <v>42</v>
      </c>
      <c r="AB46" s="28" t="str">
        <f aca="false">(PlanStartYear+AA46-1)&amp;"/"&amp;RIGHT(PlanStartYear+AA46,2)</f>
        <v>2067/68</v>
      </c>
      <c r="AC46" s="28" t="n">
        <f aca="false">C83+C147+C211+C275</f>
        <v>0</v>
      </c>
      <c r="AD46" s="28" t="n">
        <f aca="false">G83+G147+G211+G275</f>
        <v>0</v>
      </c>
      <c r="AE46" s="28" t="n">
        <f aca="false">Q83+Q147+Q211+Q275</f>
        <v>0</v>
      </c>
      <c r="AF46" s="28" t="n">
        <f aca="false">AD46+AE46</f>
        <v>0</v>
      </c>
      <c r="AG46" s="28" t="n">
        <f aca="false">R83+R147+R211+R275</f>
        <v>0</v>
      </c>
      <c r="AH46" s="28" t="n">
        <f aca="false">V83+V147+V211+V275</f>
        <v>0</v>
      </c>
      <c r="AI46" s="28" t="n">
        <f aca="false">U83+U147+U211+U275</f>
        <v>0</v>
      </c>
    </row>
    <row r="47" customFormat="false" ht="15" hidden="false" customHeight="false" outlineLevel="0" collapsed="false">
      <c r="A47" s="27" t="n">
        <v>6</v>
      </c>
      <c r="B47" s="27" t="n">
        <f aca="false">'Education Cost Forecast'!B67</f>
        <v>1</v>
      </c>
      <c r="C47" s="28" t="n">
        <f aca="false">'Education Cost Forecast'!Z67</f>
        <v>0</v>
      </c>
      <c r="D47" s="28" t="n">
        <f aca="false">IF(AND(B47=1,'Education Cost Forecast'!F67&gt;0,'Education Cost Forecast'!E67=0),'Education Cost Forecast'!$C$45,0)</f>
        <v>0</v>
      </c>
      <c r="E47" s="27" t="n">
        <f aca="false">IF(AND(B47=1,A47&lt;='Education Cost Forecast'!$C$53),1,0)</f>
        <v>1</v>
      </c>
      <c r="F47" s="40" t="n">
        <f aca="false">(1+Esc)^(A47-1)</f>
        <v>1.2762815625</v>
      </c>
      <c r="G47" s="28" t="n">
        <f aca="false">E47*('Education Cost Forecast'!$C$41*12*MonthlyFactor+'Education Cost Forecast'!$C$42)*F47</f>
        <v>161404.921106259</v>
      </c>
      <c r="H47" s="28" t="n">
        <f aca="false">E47*UnitFactor*F47</f>
        <v>1.34504100921882</v>
      </c>
      <c r="I47" s="28" t="n">
        <f aca="false">J46+D47-C47</f>
        <v>1759307.74156663</v>
      </c>
      <c r="J47" s="28" t="n">
        <f aca="false">IF(B47=1,I47*(1+RetRate)+G47,J46)</f>
        <v>2131829.59166088</v>
      </c>
      <c r="K47" s="28" t="n">
        <f aca="false">L46</f>
        <v>7.3178074997219</v>
      </c>
      <c r="L47" s="28" t="n">
        <f aca="false">IF(B47=1,K47*(1+RetRate)+H47,L46)</f>
        <v>9.54098540890735</v>
      </c>
      <c r="M47" s="40" t="n">
        <f aca="false">(1+RetRate)^(A47-1)</f>
        <v>1.7623416832</v>
      </c>
      <c r="N47" s="28" t="n">
        <f aca="false">IF(AND(B47=1,C47&gt;0,K47&lt;=0.000000000001,I47&lt;0),-I47/M47,0)</f>
        <v>0</v>
      </c>
      <c r="O47" s="28" t="n">
        <f aca="false">IF(AND(B47=1,C47&gt;0,K47&gt;0.000000000001),-(I47+$C$14*M47)/K47,0)</f>
        <v>0</v>
      </c>
      <c r="P47" s="28" t="n">
        <f aca="false">R46</f>
        <v>4932139.70460543</v>
      </c>
      <c r="Q47" s="28" t="n">
        <f aca="false">H47*$C$15</f>
        <v>583178.650956536</v>
      </c>
      <c r="R47" s="28" t="n">
        <f aca="false">IF(B47=1,(P47+D47-C47)*(1+RetRate)+G47+Q47,P47)</f>
        <v>6268580.04122087</v>
      </c>
      <c r="S47" s="28" t="n">
        <f aca="false">V46</f>
        <v>1759307.74156663</v>
      </c>
      <c r="T47" s="28" t="n">
        <f aca="false">S47+D47-C47</f>
        <v>1759307.74156663</v>
      </c>
      <c r="U47" s="28" t="n">
        <f aca="false">IF(B47=1,MAX(0,-T47),0)</f>
        <v>0</v>
      </c>
      <c r="V47" s="28" t="n">
        <f aca="false">IF(B47=1,MAX(0,T47)*(1+RetRate)+G47,S47)</f>
        <v>2131829.59166088</v>
      </c>
      <c r="W47" s="28" t="n">
        <f aca="false">IF(A47&lt;=MIN('Education Cost Forecast'!$C$49,'Education Cost Forecast'!$C$53),G47*(1+RetRate)^('Education Cost Forecast'!$C$49-A47),0)</f>
        <v>202466.333035691</v>
      </c>
      <c r="X47" s="28" t="n">
        <f aca="false">IF(B47=1,P47+D47-C47,0)</f>
        <v>4932139.70460543</v>
      </c>
      <c r="AA47" s="27" t="n">
        <v>43</v>
      </c>
      <c r="AB47" s="28" t="str">
        <f aca="false">(PlanStartYear+AA47-1)&amp;"/"&amp;RIGHT(PlanStartYear+AA47,2)</f>
        <v>2068/69</v>
      </c>
      <c r="AC47" s="28" t="n">
        <f aca="false">C84+C148+C212+C276</f>
        <v>0</v>
      </c>
      <c r="AD47" s="28" t="n">
        <f aca="false">G84+G148+G212+G276</f>
        <v>0</v>
      </c>
      <c r="AE47" s="28" t="n">
        <f aca="false">Q84+Q148+Q212+Q276</f>
        <v>0</v>
      </c>
      <c r="AF47" s="28" t="n">
        <f aca="false">AD47+AE47</f>
        <v>0</v>
      </c>
      <c r="AG47" s="28" t="n">
        <f aca="false">R84+R148+R212+R276</f>
        <v>0</v>
      </c>
      <c r="AH47" s="28" t="n">
        <f aca="false">V84+V148+V212+V276</f>
        <v>0</v>
      </c>
      <c r="AI47" s="28" t="n">
        <f aca="false">U84+U148+U212+U276</f>
        <v>0</v>
      </c>
    </row>
    <row r="48" customFormat="false" ht="15" hidden="false" customHeight="false" outlineLevel="0" collapsed="false">
      <c r="A48" s="27" t="n">
        <v>7</v>
      </c>
      <c r="B48" s="27" t="n">
        <f aca="false">'Education Cost Forecast'!B68</f>
        <v>1</v>
      </c>
      <c r="C48" s="28" t="n">
        <f aca="false">'Education Cost Forecast'!Z68</f>
        <v>0</v>
      </c>
      <c r="D48" s="28" t="n">
        <f aca="false">IF(AND(B48=1,'Education Cost Forecast'!F68&gt;0,'Education Cost Forecast'!E68=0),'Education Cost Forecast'!$C$45,0)</f>
        <v>0</v>
      </c>
      <c r="E48" s="27" t="n">
        <f aca="false">IF(AND(B48=1,A48&lt;='Education Cost Forecast'!$C$53),1,0)</f>
        <v>1</v>
      </c>
      <c r="F48" s="40" t="n">
        <f aca="false">(1+Esc)^(A48-1)</f>
        <v>1.340095640625</v>
      </c>
      <c r="G48" s="28" t="n">
        <f aca="false">E48*('Education Cost Forecast'!$C$41*12*MonthlyFactor+'Education Cost Forecast'!$C$42)*F48</f>
        <v>169475.167161572</v>
      </c>
      <c r="H48" s="28" t="n">
        <f aca="false">E48*UnitFactor*F48</f>
        <v>1.41229305967976</v>
      </c>
      <c r="I48" s="28" t="n">
        <f aca="false">J47+D48-C48</f>
        <v>2131829.59166088</v>
      </c>
      <c r="J48" s="28" t="n">
        <f aca="false">IF(B48=1,I48*(1+RetRate)+G48,J47)</f>
        <v>2557124.30982176</v>
      </c>
      <c r="K48" s="28" t="n">
        <f aca="false">L47</f>
        <v>9.54098540890735</v>
      </c>
      <c r="L48" s="28" t="n">
        <f aca="false">IF(B48=1,K48*(1+RetRate)+H48,L47)</f>
        <v>12.098196717656</v>
      </c>
      <c r="M48" s="40" t="n">
        <f aca="false">(1+RetRate)^(A48-1)</f>
        <v>1.973822685184</v>
      </c>
      <c r="N48" s="28" t="n">
        <f aca="false">IF(AND(B48=1,C48&gt;0,K48&lt;=0.000000000001,I48&lt;0),-I48/M48,0)</f>
        <v>0</v>
      </c>
      <c r="O48" s="28" t="n">
        <f aca="false">IF(AND(B48=1,C48&gt;0,K48&gt;0.000000000001),-(I48+$C$14*M48)/K48,0)</f>
        <v>0</v>
      </c>
      <c r="P48" s="28" t="n">
        <f aca="false">R47</f>
        <v>6268580.04122087</v>
      </c>
      <c r="Q48" s="28" t="n">
        <f aca="false">H48*$C$15</f>
        <v>612337.583504362</v>
      </c>
      <c r="R48" s="28" t="n">
        <f aca="false">IF(B48=1,(P48+D48-C48)*(1+RetRate)+G48+Q48,P48)</f>
        <v>7802622.39683331</v>
      </c>
      <c r="S48" s="28" t="n">
        <f aca="false">V47</f>
        <v>2131829.59166088</v>
      </c>
      <c r="T48" s="28" t="n">
        <f aca="false">S48+D48-C48</f>
        <v>2131829.59166088</v>
      </c>
      <c r="U48" s="28" t="n">
        <f aca="false">IF(B48=1,MAX(0,-T48),0)</f>
        <v>0</v>
      </c>
      <c r="V48" s="28" t="n">
        <f aca="false">IF(B48=1,MAX(0,T48)*(1+RetRate)+G48,S48)</f>
        <v>2557124.30982176</v>
      </c>
      <c r="W48" s="28" t="n">
        <f aca="false">IF(A48&lt;=MIN('Education Cost Forecast'!$C$49,'Education Cost Forecast'!$C$53),G48*(1+RetRate)^('Education Cost Forecast'!$C$49-A48),0)</f>
        <v>189812.18722096</v>
      </c>
      <c r="X48" s="28" t="n">
        <f aca="false">IF(B48=1,P48+D48-C48,0)</f>
        <v>6268580.04122087</v>
      </c>
      <c r="AA48" s="27" t="n">
        <v>44</v>
      </c>
      <c r="AB48" s="28" t="str">
        <f aca="false">(PlanStartYear+AA48-1)&amp;"/"&amp;RIGHT(PlanStartYear+AA48,2)</f>
        <v>2069/70</v>
      </c>
      <c r="AC48" s="28" t="n">
        <f aca="false">C85+C149+C213+C277</f>
        <v>0</v>
      </c>
      <c r="AD48" s="28" t="n">
        <f aca="false">G85+G149+G213+G277</f>
        <v>0</v>
      </c>
      <c r="AE48" s="28" t="n">
        <f aca="false">Q85+Q149+Q213+Q277</f>
        <v>0</v>
      </c>
      <c r="AF48" s="28" t="n">
        <f aca="false">AD48+AE48</f>
        <v>0</v>
      </c>
      <c r="AG48" s="28" t="n">
        <f aca="false">R85+R149+R213+R277</f>
        <v>0</v>
      </c>
      <c r="AH48" s="28" t="n">
        <f aca="false">V85+V149+V213+V277</f>
        <v>0</v>
      </c>
      <c r="AI48" s="28" t="n">
        <f aca="false">U85+U149+U213+U277</f>
        <v>0</v>
      </c>
    </row>
    <row r="49" customFormat="false" ht="15" hidden="false" customHeight="false" outlineLevel="0" collapsed="false">
      <c r="A49" s="27" t="n">
        <v>8</v>
      </c>
      <c r="B49" s="27" t="n">
        <f aca="false">'Education Cost Forecast'!B69</f>
        <v>1</v>
      </c>
      <c r="C49" s="28" t="n">
        <f aca="false">'Education Cost Forecast'!Z69</f>
        <v>0</v>
      </c>
      <c r="D49" s="28" t="n">
        <f aca="false">IF(AND(B49=1,'Education Cost Forecast'!F69&gt;0,'Education Cost Forecast'!E69=0),'Education Cost Forecast'!$C$45,0)</f>
        <v>0</v>
      </c>
      <c r="E49" s="27" t="n">
        <f aca="false">IF(AND(B49=1,A49&lt;='Education Cost Forecast'!$C$53),1,0)</f>
        <v>1</v>
      </c>
      <c r="F49" s="40" t="n">
        <f aca="false">(1+Esc)^(A49-1)</f>
        <v>1.40710042265625</v>
      </c>
      <c r="G49" s="28" t="n">
        <f aca="false">E49*('Education Cost Forecast'!$C$41*12*MonthlyFactor+'Education Cost Forecast'!$C$42)*F49</f>
        <v>177948.92551965</v>
      </c>
      <c r="H49" s="28" t="n">
        <f aca="false">E49*UnitFactor*F49</f>
        <v>1.48290771266375</v>
      </c>
      <c r="I49" s="28" t="n">
        <f aca="false">J48+D49-C49</f>
        <v>2557124.30982176</v>
      </c>
      <c r="J49" s="28" t="n">
        <f aca="false">IF(B49=1,I49*(1+RetRate)+G49,J48)</f>
        <v>3041928.15252002</v>
      </c>
      <c r="K49" s="28" t="n">
        <f aca="false">L48</f>
        <v>12.098196717656</v>
      </c>
      <c r="L49" s="28" t="n">
        <f aca="false">IF(B49=1,K49*(1+RetRate)+H49,L48)</f>
        <v>15.0328880364385</v>
      </c>
      <c r="M49" s="40" t="n">
        <f aca="false">(1+RetRate)^(A49-1)</f>
        <v>2.21068140740608</v>
      </c>
      <c r="N49" s="28" t="n">
        <f aca="false">IF(AND(B49=1,C49&gt;0,K49&lt;=0.000000000001,I49&lt;0),-I49/M49,0)</f>
        <v>0</v>
      </c>
      <c r="O49" s="28" t="n">
        <f aca="false">IF(AND(B49=1,C49&gt;0,K49&gt;0.000000000001),-(I49+$C$14*M49)/K49,0)</f>
        <v>0</v>
      </c>
      <c r="P49" s="28" t="n">
        <f aca="false">R48</f>
        <v>7802622.39683331</v>
      </c>
      <c r="Q49" s="28" t="n">
        <f aca="false">H49*$C$15</f>
        <v>642954.46267958</v>
      </c>
      <c r="R49" s="28" t="n">
        <f aca="false">IF(B49=1,(P49+D49-C49)*(1+RetRate)+G49+Q49,P49)</f>
        <v>9559840.47265254</v>
      </c>
      <c r="S49" s="28" t="n">
        <f aca="false">V48</f>
        <v>2557124.30982176</v>
      </c>
      <c r="T49" s="28" t="n">
        <f aca="false">S49+D49-C49</f>
        <v>2557124.30982176</v>
      </c>
      <c r="U49" s="28" t="n">
        <f aca="false">IF(B49=1,MAX(0,-T49),0)</f>
        <v>0</v>
      </c>
      <c r="V49" s="28" t="n">
        <f aca="false">IF(B49=1,MAX(0,T49)*(1+RetRate)+G49,S49)</f>
        <v>3041928.15252002</v>
      </c>
      <c r="W49" s="28" t="n">
        <f aca="false">IF(A49&lt;=MIN('Education Cost Forecast'!$C$49,'Education Cost Forecast'!$C$53),G49*(1+RetRate)^('Education Cost Forecast'!$C$49-A49),0)</f>
        <v>177948.92551965</v>
      </c>
      <c r="X49" s="28" t="n">
        <f aca="false">IF(B49=1,P49+D49-C49,0)</f>
        <v>7802622.39683331</v>
      </c>
      <c r="AA49" s="27" t="n">
        <v>45</v>
      </c>
      <c r="AB49" s="28" t="str">
        <f aca="false">(PlanStartYear+AA49-1)&amp;"/"&amp;RIGHT(PlanStartYear+AA49,2)</f>
        <v>2070/71</v>
      </c>
      <c r="AC49" s="28" t="n">
        <f aca="false">C86+C150+C214+C278</f>
        <v>0</v>
      </c>
      <c r="AD49" s="28" t="n">
        <f aca="false">G86+G150+G214+G278</f>
        <v>0</v>
      </c>
      <c r="AE49" s="28" t="n">
        <f aca="false">Q86+Q150+Q214+Q278</f>
        <v>0</v>
      </c>
      <c r="AF49" s="28" t="n">
        <f aca="false">AD49+AE49</f>
        <v>0</v>
      </c>
      <c r="AG49" s="28" t="n">
        <f aca="false">R86+R150+R214+R278</f>
        <v>0</v>
      </c>
      <c r="AH49" s="28" t="n">
        <f aca="false">V86+V150+V214+V278</f>
        <v>0</v>
      </c>
      <c r="AI49" s="28" t="n">
        <f aca="false">U86+U150+U214+U278</f>
        <v>0</v>
      </c>
    </row>
    <row r="50" customFormat="false" ht="15" hidden="false" customHeight="false" outlineLevel="0" collapsed="false">
      <c r="A50" s="27" t="n">
        <v>9</v>
      </c>
      <c r="B50" s="27" t="n">
        <f aca="false">'Education Cost Forecast'!B70</f>
        <v>1</v>
      </c>
      <c r="C50" s="28" t="n">
        <f aca="false">'Education Cost Forecast'!Z70</f>
        <v>3226151.09554399</v>
      </c>
      <c r="D50" s="28" t="n">
        <f aca="false">IF(AND(B50=1,'Education Cost Forecast'!F70&gt;0,'Education Cost Forecast'!E70=0),'Education Cost Forecast'!$C$45,0)</f>
        <v>0</v>
      </c>
      <c r="E50" s="27" t="n">
        <f aca="false">IF(AND(B50=1,A50&lt;='Education Cost Forecast'!$C$53),1,0)</f>
        <v>1</v>
      </c>
      <c r="F50" s="40" t="n">
        <f aca="false">(1+Esc)^(A50-1)</f>
        <v>1.47745544378906</v>
      </c>
      <c r="G50" s="28" t="n">
        <f aca="false">E50*('Education Cost Forecast'!$C$41*12*MonthlyFactor+'Education Cost Forecast'!$C$42)*F50</f>
        <v>186846.371795633</v>
      </c>
      <c r="H50" s="28" t="n">
        <f aca="false">E50*UnitFactor*F50</f>
        <v>1.55705309829694</v>
      </c>
      <c r="I50" s="28" t="n">
        <f aca="false">J49+D50-C50</f>
        <v>-184222.943023965</v>
      </c>
      <c r="J50" s="28" t="n">
        <f aca="false">IF(B50=1,I50*(1+RetRate)+G50,J49)</f>
        <v>-19483.324391208</v>
      </c>
      <c r="K50" s="28" t="n">
        <f aca="false">L49</f>
        <v>15.0328880364385</v>
      </c>
      <c r="L50" s="28" t="n">
        <f aca="false">IF(B50=1,K50*(1+RetRate)+H50,L49)</f>
        <v>18.393887699108</v>
      </c>
      <c r="M50" s="40" t="n">
        <f aca="false">(1+RetRate)^(A50-1)</f>
        <v>2.47596317629481</v>
      </c>
      <c r="N50" s="28" t="n">
        <f aca="false">IF(AND(B50=1,C50&gt;0,K50&lt;=0.000000000001,I50&lt;0),-I50/M50,0)</f>
        <v>0</v>
      </c>
      <c r="O50" s="28" t="n">
        <f aca="false">IF(AND(B50=1,C50&gt;0,K50&gt;0.000000000001),-(I50+$C$14*M50)/K50,0)</f>
        <v>12254.660752972</v>
      </c>
      <c r="P50" s="28" t="n">
        <f aca="false">R49</f>
        <v>9559840.47265254</v>
      </c>
      <c r="Q50" s="28" t="n">
        <f aca="false">H50*$C$15</f>
        <v>675102.18581356</v>
      </c>
      <c r="R50" s="28" t="n">
        <f aca="false">IF(B50=1,(P50+D50-C50)*(1+RetRate)+G50+Q50,P50)</f>
        <v>7955680.65997077</v>
      </c>
      <c r="S50" s="28" t="n">
        <f aca="false">V49</f>
        <v>3041928.15252002</v>
      </c>
      <c r="T50" s="28" t="n">
        <f aca="false">S50+D50-C50</f>
        <v>-184222.943023965</v>
      </c>
      <c r="U50" s="28" t="n">
        <f aca="false">IF(B50=1,MAX(0,-T50),0)</f>
        <v>184222.943023965</v>
      </c>
      <c r="V50" s="28" t="n">
        <f aca="false">IF(B50=1,MAX(0,T50)*(1+RetRate)+G50,S50)</f>
        <v>186846.371795633</v>
      </c>
      <c r="W50" s="28" t="n">
        <f aca="false">IF(A50&lt;=MIN('Education Cost Forecast'!$C$49,'Education Cost Forecast'!$C$53),G50*(1+RetRate)^('Education Cost Forecast'!$C$49-A50),0)</f>
        <v>0</v>
      </c>
      <c r="X50" s="28" t="n">
        <f aca="false">IF(B50=1,P50+D50-C50,0)</f>
        <v>6333689.37710855</v>
      </c>
      <c r="AA50" s="27" t="n">
        <v>46</v>
      </c>
      <c r="AB50" s="28" t="str">
        <f aca="false">(PlanStartYear+AA50-1)&amp;"/"&amp;RIGHT(PlanStartYear+AA50,2)</f>
        <v>2071/72</v>
      </c>
      <c r="AC50" s="28" t="n">
        <f aca="false">C87+C151+C215+C279</f>
        <v>0</v>
      </c>
      <c r="AD50" s="28" t="n">
        <f aca="false">G87+G151+G215+G279</f>
        <v>0</v>
      </c>
      <c r="AE50" s="28" t="n">
        <f aca="false">Q87+Q151+Q215+Q279</f>
        <v>0</v>
      </c>
      <c r="AF50" s="28" t="n">
        <f aca="false">AD50+AE50</f>
        <v>0</v>
      </c>
      <c r="AG50" s="28" t="n">
        <f aca="false">R87+R151+R215+R279</f>
        <v>0</v>
      </c>
      <c r="AH50" s="28" t="n">
        <f aca="false">V87+V151+V215+V279</f>
        <v>0</v>
      </c>
      <c r="AI50" s="28" t="n">
        <f aca="false">U87+U151+U215+U279</f>
        <v>0</v>
      </c>
    </row>
    <row r="51" customFormat="false" ht="15" hidden="false" customHeight="false" outlineLevel="0" collapsed="false">
      <c r="A51" s="27" t="n">
        <v>10</v>
      </c>
      <c r="B51" s="27" t="n">
        <f aca="false">'Education Cost Forecast'!B71</f>
        <v>1</v>
      </c>
      <c r="C51" s="28" t="n">
        <f aca="false">'Education Cost Forecast'!Z71</f>
        <v>3238537.31686559</v>
      </c>
      <c r="D51" s="28" t="n">
        <f aca="false">IF(AND(B51=1,'Education Cost Forecast'!F71&gt;0,'Education Cost Forecast'!E71=0),'Education Cost Forecast'!$C$45,0)</f>
        <v>0</v>
      </c>
      <c r="E51" s="27" t="n">
        <f aca="false">IF(AND(B51=1,A51&lt;='Education Cost Forecast'!$C$53),1,0)</f>
        <v>1</v>
      </c>
      <c r="F51" s="40" t="n">
        <f aca="false">(1+Esc)^(A51-1)</f>
        <v>1.55132821597852</v>
      </c>
      <c r="G51" s="28" t="n">
        <f aca="false">E51*('Education Cost Forecast'!$C$41*12*MonthlyFactor+'Education Cost Forecast'!$C$42)*F51</f>
        <v>196188.690385414</v>
      </c>
      <c r="H51" s="28" t="n">
        <f aca="false">E51*UnitFactor*F51</f>
        <v>1.63490575321179</v>
      </c>
      <c r="I51" s="28" t="n">
        <f aca="false">J50+D51-C51</f>
        <v>-3258020.6412568</v>
      </c>
      <c r="J51" s="28" t="n">
        <f aca="false">IF(B51=1,I51*(1+RetRate)+G51,J50)</f>
        <v>-3452794.4278222</v>
      </c>
      <c r="K51" s="28" t="n">
        <f aca="false">L50</f>
        <v>18.393887699108</v>
      </c>
      <c r="L51" s="28" t="n">
        <f aca="false">IF(B51=1,K51*(1+RetRate)+H51,L50)</f>
        <v>22.2360599762128</v>
      </c>
      <c r="M51" s="40" t="n">
        <f aca="false">(1+RetRate)^(A51-1)</f>
        <v>2.77307875745019</v>
      </c>
      <c r="N51" s="28" t="n">
        <f aca="false">IF(AND(B51=1,C51&gt;0,K51&lt;=0.000000000001,I51&lt;0),-I51/M51,0)</f>
        <v>0</v>
      </c>
      <c r="O51" s="28" t="n">
        <f aca="false">IF(AND(B51=1,C51&gt;0,K51&gt;0.000000000001),-(I51+$C$14*M51)/K51,0)</f>
        <v>177125.178458863</v>
      </c>
      <c r="P51" s="28" t="n">
        <f aca="false">R50</f>
        <v>7955680.65997077</v>
      </c>
      <c r="Q51" s="28" t="n">
        <f aca="false">H51*$C$15</f>
        <v>708857.295104238</v>
      </c>
      <c r="R51" s="28" t="n">
        <f aca="false">IF(B51=1,(P51+D51-C51)*(1+RetRate)+G51+Q51,P51)</f>
        <v>6188246.52976746</v>
      </c>
      <c r="S51" s="28" t="n">
        <f aca="false">V50</f>
        <v>186846.371795633</v>
      </c>
      <c r="T51" s="28" t="n">
        <f aca="false">S51+D51-C51</f>
        <v>-3051690.94506996</v>
      </c>
      <c r="U51" s="28" t="n">
        <f aca="false">IF(B51=1,MAX(0,-T51),0)</f>
        <v>3051690.94506996</v>
      </c>
      <c r="V51" s="28" t="n">
        <f aca="false">IF(B51=1,MAX(0,T51)*(1+RetRate)+G51,S51)</f>
        <v>196188.690385414</v>
      </c>
      <c r="W51" s="28" t="n">
        <f aca="false">IF(A51&lt;=MIN('Education Cost Forecast'!$C$49,'Education Cost Forecast'!$C$53),G51*(1+RetRate)^('Education Cost Forecast'!$C$49-A51),0)</f>
        <v>0</v>
      </c>
      <c r="X51" s="28" t="n">
        <f aca="false">IF(B51=1,P51+D51-C51,0)</f>
        <v>4717143.34310518</v>
      </c>
      <c r="AA51" s="27" t="n">
        <v>47</v>
      </c>
      <c r="AB51" s="28" t="str">
        <f aca="false">(PlanStartYear+AA51-1)&amp;"/"&amp;RIGHT(PlanStartYear+AA51,2)</f>
        <v>2072/73</v>
      </c>
      <c r="AC51" s="28" t="n">
        <f aca="false">C88+C152+C216+C280</f>
        <v>0</v>
      </c>
      <c r="AD51" s="28" t="n">
        <f aca="false">G88+G152+G216+G280</f>
        <v>0</v>
      </c>
      <c r="AE51" s="28" t="n">
        <f aca="false">Q88+Q152+Q216+Q280</f>
        <v>0</v>
      </c>
      <c r="AF51" s="28" t="n">
        <f aca="false">AD51+AE51</f>
        <v>0</v>
      </c>
      <c r="AG51" s="28" t="n">
        <f aca="false">R88+R152+R216+R280</f>
        <v>0</v>
      </c>
      <c r="AH51" s="28" t="n">
        <f aca="false">V88+V152+V216+V280</f>
        <v>0</v>
      </c>
      <c r="AI51" s="28" t="n">
        <f aca="false">U88+U152+U216+U280</f>
        <v>0</v>
      </c>
    </row>
    <row r="52" customFormat="false" ht="15" hidden="false" customHeight="false" outlineLevel="0" collapsed="false">
      <c r="A52" s="27" t="n">
        <v>11</v>
      </c>
      <c r="B52" s="27" t="n">
        <f aca="false">'Education Cost Forecast'!B72</f>
        <v>1</v>
      </c>
      <c r="C52" s="28" t="n">
        <f aca="false">'Education Cost Forecast'!Z72</f>
        <v>3554095.97895152</v>
      </c>
      <c r="D52" s="28" t="n">
        <f aca="false">IF(AND(B52=1,'Education Cost Forecast'!F72&gt;0,'Education Cost Forecast'!E72=0),'Education Cost Forecast'!$C$45,0)</f>
        <v>0</v>
      </c>
      <c r="E52" s="27" t="n">
        <f aca="false">IF(AND(B52=1,A52&lt;='Education Cost Forecast'!$C$53),1,0)</f>
        <v>1</v>
      </c>
      <c r="F52" s="40" t="n">
        <f aca="false">(1+Esc)^(A52-1)</f>
        <v>1.62889462677744</v>
      </c>
      <c r="G52" s="28" t="n">
        <f aca="false">E52*('Education Cost Forecast'!$C$41*12*MonthlyFactor+'Education Cost Forecast'!$C$42)*F52</f>
        <v>205998.124904685</v>
      </c>
      <c r="H52" s="28" t="n">
        <f aca="false">E52*UnitFactor*F52</f>
        <v>1.71665104087237</v>
      </c>
      <c r="I52" s="28" t="n">
        <f aca="false">J51+D52-C52</f>
        <v>-7006890.40677372</v>
      </c>
      <c r="J52" s="28" t="n">
        <f aca="false">IF(B52=1,I52*(1+RetRate)+G52,J51)</f>
        <v>-7641719.13068188</v>
      </c>
      <c r="K52" s="28" t="n">
        <f aca="false">L51</f>
        <v>22.2360599762128</v>
      </c>
      <c r="L52" s="28" t="n">
        <f aca="false">IF(B52=1,K52*(1+RetRate)+H52,L51)</f>
        <v>26.6210382142307</v>
      </c>
      <c r="M52" s="40" t="n">
        <f aca="false">(1+RetRate)^(A52-1)</f>
        <v>3.10584820834421</v>
      </c>
      <c r="N52" s="28" t="n">
        <f aca="false">IF(AND(B52=1,C52&gt;0,K52&lt;=0.000000000001,I52&lt;0),-I52/M52,0)</f>
        <v>0</v>
      </c>
      <c r="O52" s="28" t="n">
        <f aca="false">IF(AND(B52=1,C52&gt;0,K52&gt;0.000000000001),-(I52+$C$14*M52)/K52,0)</f>
        <v>315113.847249441</v>
      </c>
      <c r="P52" s="28" t="n">
        <f aca="false">R51</f>
        <v>6188246.52976746</v>
      </c>
      <c r="Q52" s="28" t="n">
        <f aca="false">H52*$C$15</f>
        <v>744300.15985945</v>
      </c>
      <c r="R52" s="28" t="n">
        <f aca="false">IF(B52=1,(P52+D52-C52)*(1+RetRate)+G52+Q52,P52)</f>
        <v>3900546.90167799</v>
      </c>
      <c r="S52" s="28" t="n">
        <f aca="false">V51</f>
        <v>196188.690385414</v>
      </c>
      <c r="T52" s="28" t="n">
        <f aca="false">S52+D52-C52</f>
        <v>-3357907.2885661</v>
      </c>
      <c r="U52" s="28" t="n">
        <f aca="false">IF(B52=1,MAX(0,-T52),0)</f>
        <v>3357907.2885661</v>
      </c>
      <c r="V52" s="28" t="n">
        <f aca="false">IF(B52=1,MAX(0,T52)*(1+RetRate)+G52,S52)</f>
        <v>205998.124904685</v>
      </c>
      <c r="W52" s="28" t="n">
        <f aca="false">IF(A52&lt;=MIN('Education Cost Forecast'!$C$49,'Education Cost Forecast'!$C$53),G52*(1+RetRate)^('Education Cost Forecast'!$C$49-A52),0)</f>
        <v>0</v>
      </c>
      <c r="X52" s="28" t="n">
        <f aca="false">IF(B52=1,P52+D52-C52,0)</f>
        <v>2634150.55081594</v>
      </c>
      <c r="AA52" s="27" t="n">
        <v>48</v>
      </c>
      <c r="AB52" s="28" t="str">
        <f aca="false">(PlanStartYear+AA52-1)&amp;"/"&amp;RIGHT(PlanStartYear+AA52,2)</f>
        <v>2073/74</v>
      </c>
      <c r="AC52" s="28" t="n">
        <f aca="false">C89+C153+C217+C281</f>
        <v>0</v>
      </c>
      <c r="AD52" s="28" t="n">
        <f aca="false">G89+G153+G217+G281</f>
        <v>0</v>
      </c>
      <c r="AE52" s="28" t="n">
        <f aca="false">Q89+Q153+Q217+Q281</f>
        <v>0</v>
      </c>
      <c r="AF52" s="28" t="n">
        <f aca="false">AD52+AE52</f>
        <v>0</v>
      </c>
      <c r="AG52" s="28" t="n">
        <f aca="false">R89+R153+R217+R281</f>
        <v>0</v>
      </c>
      <c r="AH52" s="28" t="n">
        <f aca="false">V89+V153+V217+V281</f>
        <v>0</v>
      </c>
      <c r="AI52" s="28" t="n">
        <f aca="false">U89+U153+U217+U281</f>
        <v>0</v>
      </c>
    </row>
    <row r="53" customFormat="false" ht="15" hidden="false" customHeight="false" outlineLevel="0" collapsed="false">
      <c r="A53" s="27" t="n">
        <v>12</v>
      </c>
      <c r="B53" s="27" t="n">
        <f aca="false">'Education Cost Forecast'!B73</f>
        <v>1</v>
      </c>
      <c r="C53" s="28" t="n">
        <f aca="false">'Education Cost Forecast'!Z73</f>
        <v>3900546.90167799</v>
      </c>
      <c r="D53" s="28" t="n">
        <f aca="false">IF(AND(B53=1,'Education Cost Forecast'!F73&gt;0,'Education Cost Forecast'!E73=0),'Education Cost Forecast'!$C$45,0)</f>
        <v>0</v>
      </c>
      <c r="E53" s="27" t="n">
        <f aca="false">IF(AND(B53=1,A53&lt;='Education Cost Forecast'!$C$53),1,0)</f>
        <v>0</v>
      </c>
      <c r="F53" s="40" t="n">
        <f aca="false">(1+Esc)^(A53-1)</f>
        <v>1.71033935811631</v>
      </c>
      <c r="G53" s="28" t="n">
        <f aca="false">E53*('Education Cost Forecast'!$C$41*12*MonthlyFactor+'Education Cost Forecast'!$C$42)*F53</f>
        <v>0</v>
      </c>
      <c r="H53" s="28" t="n">
        <f aca="false">E53*UnitFactor*F53</f>
        <v>0</v>
      </c>
      <c r="I53" s="28" t="n">
        <f aca="false">J52+D53-C53</f>
        <v>-11542266.0323599</v>
      </c>
      <c r="J53" s="28" t="n">
        <f aca="false">IF(B53=1,I53*(1+RetRate)+G53,J52)</f>
        <v>-12927337.9562431</v>
      </c>
      <c r="K53" s="28" t="n">
        <f aca="false">L52</f>
        <v>26.6210382142307</v>
      </c>
      <c r="L53" s="28" t="n">
        <f aca="false">IF(B53=1,K53*(1+RetRate)+H53,L52)</f>
        <v>29.8155627999384</v>
      </c>
      <c r="M53" s="40" t="n">
        <f aca="false">(1+RetRate)^(A53-1)</f>
        <v>3.47854999334552</v>
      </c>
      <c r="N53" s="28" t="n">
        <f aca="false">IF(AND(B53=1,C53&gt;0,K53&lt;=0.000000000001,I53&lt;0),-I53/M53,0)</f>
        <v>0</v>
      </c>
      <c r="O53" s="28" t="n">
        <f aca="false">IF(AND(B53=1,C53&gt;0,K53&gt;0.000000000001),-(I53+$C$14*M53)/K53,0)</f>
        <v>433576.855247883</v>
      </c>
      <c r="P53" s="28" t="n">
        <f aca="false">R52</f>
        <v>3900546.90167799</v>
      </c>
      <c r="Q53" s="28" t="n">
        <f aca="false">H53*$C$15</f>
        <v>0</v>
      </c>
      <c r="R53" s="28" t="n">
        <f aca="false">IF(B53=1,(P53+D53-C53)*(1+RetRate)+G53+Q53,P53)</f>
        <v>0</v>
      </c>
      <c r="S53" s="28" t="n">
        <f aca="false">V52</f>
        <v>205998.124904685</v>
      </c>
      <c r="T53" s="28" t="n">
        <f aca="false">S53+D53-C53</f>
        <v>-3694548.7767733</v>
      </c>
      <c r="U53" s="28" t="n">
        <f aca="false">IF(B53=1,MAX(0,-T53),0)</f>
        <v>3694548.7767733</v>
      </c>
      <c r="V53" s="28" t="n">
        <f aca="false">IF(B53=1,MAX(0,T53)*(1+RetRate)+G53,S53)</f>
        <v>0</v>
      </c>
      <c r="W53" s="28" t="n">
        <f aca="false">IF(A53&lt;=MIN('Education Cost Forecast'!$C$49,'Education Cost Forecast'!$C$53),G53*(1+RetRate)^('Education Cost Forecast'!$C$49-A53),0)</f>
        <v>0</v>
      </c>
      <c r="X53" s="28" t="n">
        <f aca="false">IF(B53=1,P53+D53-C53,0)</f>
        <v>0</v>
      </c>
      <c r="AA53" s="27" t="n">
        <v>49</v>
      </c>
      <c r="AB53" s="28" t="str">
        <f aca="false">(PlanStartYear+AA53-1)&amp;"/"&amp;RIGHT(PlanStartYear+AA53,2)</f>
        <v>2074/75</v>
      </c>
      <c r="AC53" s="28" t="n">
        <f aca="false">C90+C154+C218+C282</f>
        <v>0</v>
      </c>
      <c r="AD53" s="28" t="n">
        <f aca="false">G90+G154+G218+G282</f>
        <v>0</v>
      </c>
      <c r="AE53" s="28" t="n">
        <f aca="false">Q90+Q154+Q218+Q282</f>
        <v>0</v>
      </c>
      <c r="AF53" s="28" t="n">
        <f aca="false">AD53+AE53</f>
        <v>0</v>
      </c>
      <c r="AG53" s="28" t="n">
        <f aca="false">R90+R154+R218+R282</f>
        <v>0</v>
      </c>
      <c r="AH53" s="28" t="n">
        <f aca="false">V90+V154+V218+V282</f>
        <v>0</v>
      </c>
      <c r="AI53" s="28" t="n">
        <f aca="false">U90+U154+U218+U282</f>
        <v>0</v>
      </c>
    </row>
    <row r="54" customFormat="false" ht="15" hidden="false" customHeight="false" outlineLevel="0" collapsed="false">
      <c r="A54" s="27" t="n">
        <v>13</v>
      </c>
      <c r="B54" s="27" t="n">
        <f aca="false">'Education Cost Forecast'!B74</f>
        <v>0</v>
      </c>
      <c r="C54" s="28" t="n">
        <f aca="false">'Education Cost Forecast'!Z74</f>
        <v>0</v>
      </c>
      <c r="D54" s="28" t="n">
        <f aca="false">IF(AND(B54=1,'Education Cost Forecast'!F74&gt;0,'Education Cost Forecast'!E74=0),'Education Cost Forecast'!$C$45,0)</f>
        <v>0</v>
      </c>
      <c r="E54" s="27" t="n">
        <f aca="false">IF(AND(B54=1,A54&lt;='Education Cost Forecast'!$C$53),1,0)</f>
        <v>0</v>
      </c>
      <c r="F54" s="40" t="n">
        <f aca="false">(1+Esc)^(A54-1)</f>
        <v>1.79585632602213</v>
      </c>
      <c r="G54" s="28" t="n">
        <f aca="false">E54*('Education Cost Forecast'!$C$41*12*MonthlyFactor+'Education Cost Forecast'!$C$42)*F54</f>
        <v>0</v>
      </c>
      <c r="H54" s="28" t="n">
        <f aca="false">E54*UnitFactor*F54</f>
        <v>0</v>
      </c>
      <c r="I54" s="28" t="n">
        <f aca="false">J53+D54-C54</f>
        <v>-12927337.9562431</v>
      </c>
      <c r="J54" s="28" t="n">
        <f aca="false">IF(B54=1,I54*(1+RetRate)+G54,J53)</f>
        <v>-12927337.9562431</v>
      </c>
      <c r="K54" s="28" t="n">
        <f aca="false">L53</f>
        <v>29.8155627999384</v>
      </c>
      <c r="L54" s="28" t="n">
        <f aca="false">IF(B54=1,K54*(1+RetRate)+H54,L53)</f>
        <v>29.8155627999384</v>
      </c>
      <c r="M54" s="40" t="n">
        <f aca="false">(1+RetRate)^(A54-1)</f>
        <v>3.89597599254698</v>
      </c>
      <c r="N54" s="28" t="n">
        <f aca="false">IF(AND(B54=1,C54&gt;0,K54&lt;=0.000000000001,I54&lt;0),-I54/M54,0)</f>
        <v>0</v>
      </c>
      <c r="O54" s="28" t="n">
        <f aca="false">IF(AND(B54=1,C54&gt;0,K54&gt;0.000000000001),-(I54+$C$14*M54)/K54,0)</f>
        <v>0</v>
      </c>
      <c r="P54" s="28" t="n">
        <f aca="false">R53</f>
        <v>0</v>
      </c>
      <c r="Q54" s="28" t="n">
        <f aca="false">H54*$C$15</f>
        <v>0</v>
      </c>
      <c r="R54" s="28" t="n">
        <f aca="false">IF(B54=1,(P54+D54-C54)*(1+RetRate)+G54+Q54,P54)</f>
        <v>0</v>
      </c>
      <c r="S54" s="28" t="n">
        <f aca="false">V53</f>
        <v>0</v>
      </c>
      <c r="T54" s="28" t="n">
        <f aca="false">S54+D54-C54</f>
        <v>0</v>
      </c>
      <c r="U54" s="28" t="n">
        <f aca="false">IF(B54=1,MAX(0,-T54),0)</f>
        <v>0</v>
      </c>
      <c r="V54" s="28" t="n">
        <f aca="false">IF(B54=1,MAX(0,T54)*(1+RetRate)+G54,S54)</f>
        <v>0</v>
      </c>
      <c r="W54" s="28" t="n">
        <f aca="false">IF(A54&lt;=MIN('Education Cost Forecast'!$C$49,'Education Cost Forecast'!$C$53),G54*(1+RetRate)^('Education Cost Forecast'!$C$49-A54),0)</f>
        <v>0</v>
      </c>
      <c r="X54" s="28" t="n">
        <f aca="false">IF(B54=1,P54+D54-C54,0)</f>
        <v>0</v>
      </c>
      <c r="AA54" s="27" t="n">
        <v>50</v>
      </c>
      <c r="AB54" s="28" t="str">
        <f aca="false">(PlanStartYear+AA54-1)&amp;"/"&amp;RIGHT(PlanStartYear+AA54,2)</f>
        <v>2075/76</v>
      </c>
      <c r="AC54" s="28" t="n">
        <f aca="false">C91+C155+C219+C283</f>
        <v>0</v>
      </c>
      <c r="AD54" s="28" t="n">
        <f aca="false">G91+G155+G219+G283</f>
        <v>0</v>
      </c>
      <c r="AE54" s="28" t="n">
        <f aca="false">Q91+Q155+Q219+Q283</f>
        <v>0</v>
      </c>
      <c r="AF54" s="28" t="n">
        <f aca="false">AD54+AE54</f>
        <v>0</v>
      </c>
      <c r="AG54" s="28" t="n">
        <f aca="false">R91+R155+R219+R283</f>
        <v>0</v>
      </c>
      <c r="AH54" s="28" t="n">
        <f aca="false">V91+V155+V219+V283</f>
        <v>0</v>
      </c>
      <c r="AI54" s="28" t="n">
        <f aca="false">U91+U155+U219+U283</f>
        <v>0</v>
      </c>
    </row>
    <row r="55" customFormat="false" ht="15" hidden="false" customHeight="false" outlineLevel="0" collapsed="false">
      <c r="A55" s="27" t="n">
        <v>14</v>
      </c>
      <c r="B55" s="27" t="n">
        <f aca="false">'Education Cost Forecast'!B75</f>
        <v>0</v>
      </c>
      <c r="C55" s="28" t="n">
        <f aca="false">'Education Cost Forecast'!Z75</f>
        <v>0</v>
      </c>
      <c r="D55" s="28" t="n">
        <f aca="false">IF(AND(B55=1,'Education Cost Forecast'!F75&gt;0,'Education Cost Forecast'!E75=0),'Education Cost Forecast'!$C$45,0)</f>
        <v>0</v>
      </c>
      <c r="E55" s="27" t="n">
        <f aca="false">IF(AND(B55=1,A55&lt;='Education Cost Forecast'!$C$53),1,0)</f>
        <v>0</v>
      </c>
      <c r="F55" s="40" t="n">
        <f aca="false">(1+Esc)^(A55-1)</f>
        <v>1.88564914232324</v>
      </c>
      <c r="G55" s="28" t="n">
        <f aca="false">E55*('Education Cost Forecast'!$C$41*12*MonthlyFactor+'Education Cost Forecast'!$C$42)*F55</f>
        <v>0</v>
      </c>
      <c r="H55" s="28" t="n">
        <f aca="false">E55*UnitFactor*F55</f>
        <v>0</v>
      </c>
      <c r="I55" s="28" t="n">
        <f aca="false">J54+D55-C55</f>
        <v>-12927337.9562431</v>
      </c>
      <c r="J55" s="28" t="n">
        <f aca="false">IF(B55=1,I55*(1+RetRate)+G55,J54)</f>
        <v>-12927337.9562431</v>
      </c>
      <c r="K55" s="28" t="n">
        <f aca="false">L54</f>
        <v>29.8155627999384</v>
      </c>
      <c r="L55" s="28" t="n">
        <f aca="false">IF(B55=1,K55*(1+RetRate)+H55,L54)</f>
        <v>29.8155627999384</v>
      </c>
      <c r="M55" s="40" t="n">
        <f aca="false">(1+RetRate)^(A55-1)</f>
        <v>4.36349311165262</v>
      </c>
      <c r="N55" s="28" t="n">
        <f aca="false">IF(AND(B55=1,C55&gt;0,K55&lt;=0.000000000001,I55&lt;0),-I55/M55,0)</f>
        <v>0</v>
      </c>
      <c r="O55" s="28" t="n">
        <f aca="false">IF(AND(B55=1,C55&gt;0,K55&gt;0.000000000001),-(I55+$C$14*M55)/K55,0)</f>
        <v>0</v>
      </c>
      <c r="P55" s="28" t="n">
        <f aca="false">R54</f>
        <v>0</v>
      </c>
      <c r="Q55" s="28" t="n">
        <f aca="false">H55*$C$15</f>
        <v>0</v>
      </c>
      <c r="R55" s="28" t="n">
        <f aca="false">IF(B55=1,(P55+D55-C55)*(1+RetRate)+G55+Q55,P55)</f>
        <v>0</v>
      </c>
      <c r="S55" s="28" t="n">
        <f aca="false">V54</f>
        <v>0</v>
      </c>
      <c r="T55" s="28" t="n">
        <f aca="false">S55+D55-C55</f>
        <v>0</v>
      </c>
      <c r="U55" s="28" t="n">
        <f aca="false">IF(B55=1,MAX(0,-T55),0)</f>
        <v>0</v>
      </c>
      <c r="V55" s="28" t="n">
        <f aca="false">IF(B55=1,MAX(0,T55)*(1+RetRate)+G55,S55)</f>
        <v>0</v>
      </c>
      <c r="W55" s="28" t="n">
        <f aca="false">IF(A55&lt;=MIN('Education Cost Forecast'!$C$49,'Education Cost Forecast'!$C$53),G55*(1+RetRate)^('Education Cost Forecast'!$C$49-A55),0)</f>
        <v>0</v>
      </c>
      <c r="X55" s="28" t="n">
        <f aca="false">IF(B55=1,P55+D55-C55,0)</f>
        <v>0</v>
      </c>
      <c r="AA55" s="27" t="n">
        <v>51</v>
      </c>
      <c r="AB55" s="28" t="str">
        <f aca="false">(PlanStartYear+AA55-1)&amp;"/"&amp;RIGHT(PlanStartYear+AA55,2)</f>
        <v>2076/77</v>
      </c>
      <c r="AC55" s="28" t="n">
        <f aca="false">C92+C156+C220+C284</f>
        <v>0</v>
      </c>
      <c r="AD55" s="28" t="n">
        <f aca="false">G92+G156+G220+G284</f>
        <v>0</v>
      </c>
      <c r="AE55" s="28" t="n">
        <f aca="false">Q92+Q156+Q220+Q284</f>
        <v>0</v>
      </c>
      <c r="AF55" s="28" t="n">
        <f aca="false">AD55+AE55</f>
        <v>0</v>
      </c>
      <c r="AG55" s="28" t="n">
        <f aca="false">R92+R156+R220+R284</f>
        <v>0</v>
      </c>
      <c r="AH55" s="28" t="n">
        <f aca="false">V92+V156+V220+V284</f>
        <v>0</v>
      </c>
      <c r="AI55" s="28" t="n">
        <f aca="false">U92+U156+U220+U284</f>
        <v>0</v>
      </c>
    </row>
    <row r="56" customFormat="false" ht="15" hidden="false" customHeight="false" outlineLevel="0" collapsed="false">
      <c r="A56" s="27" t="n">
        <v>15</v>
      </c>
      <c r="B56" s="27" t="n">
        <f aca="false">'Education Cost Forecast'!B76</f>
        <v>0</v>
      </c>
      <c r="C56" s="28" t="n">
        <f aca="false">'Education Cost Forecast'!Z76</f>
        <v>0</v>
      </c>
      <c r="D56" s="28" t="n">
        <f aca="false">IF(AND(B56=1,'Education Cost Forecast'!F76&gt;0,'Education Cost Forecast'!E76=0),'Education Cost Forecast'!$C$45,0)</f>
        <v>0</v>
      </c>
      <c r="E56" s="27" t="n">
        <f aca="false">IF(AND(B56=1,A56&lt;='Education Cost Forecast'!$C$53),1,0)</f>
        <v>0</v>
      </c>
      <c r="F56" s="40" t="n">
        <f aca="false">(1+Esc)^(A56-1)</f>
        <v>1.9799315994394</v>
      </c>
      <c r="G56" s="28" t="n">
        <f aca="false">E56*('Education Cost Forecast'!$C$41*12*MonthlyFactor+'Education Cost Forecast'!$C$42)*F56</f>
        <v>0</v>
      </c>
      <c r="H56" s="28" t="n">
        <f aca="false">E56*UnitFactor*F56</f>
        <v>0</v>
      </c>
      <c r="I56" s="28" t="n">
        <f aca="false">J55+D56-C56</f>
        <v>-12927337.9562431</v>
      </c>
      <c r="J56" s="28" t="n">
        <f aca="false">IF(B56=1,I56*(1+RetRate)+G56,J55)</f>
        <v>-12927337.9562431</v>
      </c>
      <c r="K56" s="28" t="n">
        <f aca="false">L55</f>
        <v>29.8155627999384</v>
      </c>
      <c r="L56" s="28" t="n">
        <f aca="false">IF(B56=1,K56*(1+RetRate)+H56,L55)</f>
        <v>29.8155627999384</v>
      </c>
      <c r="M56" s="40" t="n">
        <f aca="false">(1+RetRate)^(A56-1)</f>
        <v>4.88711228505093</v>
      </c>
      <c r="N56" s="28" t="n">
        <f aca="false">IF(AND(B56=1,C56&gt;0,K56&lt;=0.000000000001,I56&lt;0),-I56/M56,0)</f>
        <v>0</v>
      </c>
      <c r="O56" s="28" t="n">
        <f aca="false">IF(AND(B56=1,C56&gt;0,K56&gt;0.000000000001),-(I56+$C$14*M56)/K56,0)</f>
        <v>0</v>
      </c>
      <c r="P56" s="28" t="n">
        <f aca="false">R55</f>
        <v>0</v>
      </c>
      <c r="Q56" s="28" t="n">
        <f aca="false">H56*$C$15</f>
        <v>0</v>
      </c>
      <c r="R56" s="28" t="n">
        <f aca="false">IF(B56=1,(P56+D56-C56)*(1+RetRate)+G56+Q56,P56)</f>
        <v>0</v>
      </c>
      <c r="S56" s="28" t="n">
        <f aca="false">V55</f>
        <v>0</v>
      </c>
      <c r="T56" s="28" t="n">
        <f aca="false">S56+D56-C56</f>
        <v>0</v>
      </c>
      <c r="U56" s="28" t="n">
        <f aca="false">IF(B56=1,MAX(0,-T56),0)</f>
        <v>0</v>
      </c>
      <c r="V56" s="28" t="n">
        <f aca="false">IF(B56=1,MAX(0,T56)*(1+RetRate)+G56,S56)</f>
        <v>0</v>
      </c>
      <c r="W56" s="28" t="n">
        <f aca="false">IF(A56&lt;=MIN('Education Cost Forecast'!$C$49,'Education Cost Forecast'!$C$53),G56*(1+RetRate)^('Education Cost Forecast'!$C$49-A56),0)</f>
        <v>0</v>
      </c>
      <c r="X56" s="28" t="n">
        <f aca="false">IF(B56=1,P56+D56-C56,0)</f>
        <v>0</v>
      </c>
      <c r="AA56" s="27" t="n">
        <v>52</v>
      </c>
      <c r="AB56" s="28" t="str">
        <f aca="false">(PlanStartYear+AA56-1)&amp;"/"&amp;RIGHT(PlanStartYear+AA56,2)</f>
        <v>2077/78</v>
      </c>
      <c r="AC56" s="28" t="n">
        <f aca="false">C93+C157+C221+C285</f>
        <v>0</v>
      </c>
      <c r="AD56" s="28" t="n">
        <f aca="false">G93+G157+G221+G285</f>
        <v>0</v>
      </c>
      <c r="AE56" s="28" t="n">
        <f aca="false">Q93+Q157+Q221+Q285</f>
        <v>0</v>
      </c>
      <c r="AF56" s="28" t="n">
        <f aca="false">AD56+AE56</f>
        <v>0</v>
      </c>
      <c r="AG56" s="28" t="n">
        <f aca="false">R93+R157+R221+R285</f>
        <v>0</v>
      </c>
      <c r="AH56" s="28" t="n">
        <f aca="false">V93+V157+V221+V285</f>
        <v>0</v>
      </c>
      <c r="AI56" s="28" t="n">
        <f aca="false">U93+U157+U221+U285</f>
        <v>0</v>
      </c>
    </row>
    <row r="57" customFormat="false" ht="15" hidden="false" customHeight="false" outlineLevel="0" collapsed="false">
      <c r="A57" s="27" t="n">
        <v>16</v>
      </c>
      <c r="B57" s="27" t="n">
        <f aca="false">'Education Cost Forecast'!B77</f>
        <v>0</v>
      </c>
      <c r="C57" s="28" t="n">
        <f aca="false">'Education Cost Forecast'!Z77</f>
        <v>0</v>
      </c>
      <c r="D57" s="28" t="n">
        <f aca="false">IF(AND(B57=1,'Education Cost Forecast'!F77&gt;0,'Education Cost Forecast'!E77=0),'Education Cost Forecast'!$C$45,0)</f>
        <v>0</v>
      </c>
      <c r="E57" s="27" t="n">
        <f aca="false">IF(AND(B57=1,A57&lt;='Education Cost Forecast'!$C$53),1,0)</f>
        <v>0</v>
      </c>
      <c r="F57" s="40" t="n">
        <f aca="false">(1+Esc)^(A57-1)</f>
        <v>2.07892817941137</v>
      </c>
      <c r="G57" s="28" t="n">
        <f aca="false">E57*('Education Cost Forecast'!$C$41*12*MonthlyFactor+'Education Cost Forecast'!$C$42)*F57</f>
        <v>0</v>
      </c>
      <c r="H57" s="28" t="n">
        <f aca="false">E57*UnitFactor*F57</f>
        <v>0</v>
      </c>
      <c r="I57" s="28" t="n">
        <f aca="false">J56+D57-C57</f>
        <v>-12927337.9562431</v>
      </c>
      <c r="J57" s="28" t="n">
        <f aca="false">IF(B57=1,I57*(1+RetRate)+G57,J56)</f>
        <v>-12927337.9562431</v>
      </c>
      <c r="K57" s="28" t="n">
        <f aca="false">L56</f>
        <v>29.8155627999384</v>
      </c>
      <c r="L57" s="28" t="n">
        <f aca="false">IF(B57=1,K57*(1+RetRate)+H57,L56)</f>
        <v>29.8155627999384</v>
      </c>
      <c r="M57" s="40" t="n">
        <f aca="false">(1+RetRate)^(A57-1)</f>
        <v>5.47356575925705</v>
      </c>
      <c r="N57" s="28" t="n">
        <f aca="false">IF(AND(B57=1,C57&gt;0,K57&lt;=0.000000000001,I57&lt;0),-I57/M57,0)</f>
        <v>0</v>
      </c>
      <c r="O57" s="28" t="n">
        <f aca="false">IF(AND(B57=1,C57&gt;0,K57&gt;0.000000000001),-(I57+$C$14*M57)/K57,0)</f>
        <v>0</v>
      </c>
      <c r="P57" s="28" t="n">
        <f aca="false">R56</f>
        <v>0</v>
      </c>
      <c r="Q57" s="28" t="n">
        <f aca="false">H57*$C$15</f>
        <v>0</v>
      </c>
      <c r="R57" s="28" t="n">
        <f aca="false">IF(B57=1,(P57+D57-C57)*(1+RetRate)+G57+Q57,P57)</f>
        <v>0</v>
      </c>
      <c r="S57" s="28" t="n">
        <f aca="false">V56</f>
        <v>0</v>
      </c>
      <c r="T57" s="28" t="n">
        <f aca="false">S57+D57-C57</f>
        <v>0</v>
      </c>
      <c r="U57" s="28" t="n">
        <f aca="false">IF(B57=1,MAX(0,-T57),0)</f>
        <v>0</v>
      </c>
      <c r="V57" s="28" t="n">
        <f aca="false">IF(B57=1,MAX(0,T57)*(1+RetRate)+G57,S57)</f>
        <v>0</v>
      </c>
      <c r="W57" s="28" t="n">
        <f aca="false">IF(A57&lt;=MIN('Education Cost Forecast'!$C$49,'Education Cost Forecast'!$C$53),G57*(1+RetRate)^('Education Cost Forecast'!$C$49-A57),0)</f>
        <v>0</v>
      </c>
      <c r="X57" s="28" t="n">
        <f aca="false">IF(B57=1,P57+D57-C57,0)</f>
        <v>0</v>
      </c>
      <c r="AA57" s="27" t="n">
        <v>53</v>
      </c>
      <c r="AB57" s="28" t="str">
        <f aca="false">(PlanStartYear+AA57-1)&amp;"/"&amp;RIGHT(PlanStartYear+AA57,2)</f>
        <v>2078/79</v>
      </c>
      <c r="AC57" s="28" t="n">
        <f aca="false">C94+C158+C222+C286</f>
        <v>0</v>
      </c>
      <c r="AD57" s="28" t="n">
        <f aca="false">G94+G158+G222+G286</f>
        <v>0</v>
      </c>
      <c r="AE57" s="28" t="n">
        <f aca="false">Q94+Q158+Q222+Q286</f>
        <v>0</v>
      </c>
      <c r="AF57" s="28" t="n">
        <f aca="false">AD57+AE57</f>
        <v>0</v>
      </c>
      <c r="AG57" s="28" t="n">
        <f aca="false">R94+R158+R222+R286</f>
        <v>0</v>
      </c>
      <c r="AH57" s="28" t="n">
        <f aca="false">V94+V158+V222+V286</f>
        <v>0</v>
      </c>
      <c r="AI57" s="28" t="n">
        <f aca="false">U94+U158+U222+U286</f>
        <v>0</v>
      </c>
    </row>
    <row r="58" customFormat="false" ht="15" hidden="false" customHeight="false" outlineLevel="0" collapsed="false">
      <c r="A58" s="27" t="n">
        <v>17</v>
      </c>
      <c r="B58" s="27" t="n">
        <f aca="false">'Education Cost Forecast'!B78</f>
        <v>0</v>
      </c>
      <c r="C58" s="28" t="n">
        <f aca="false">'Education Cost Forecast'!Z78</f>
        <v>0</v>
      </c>
      <c r="D58" s="28" t="n">
        <f aca="false">IF(AND(B58=1,'Education Cost Forecast'!F78&gt;0,'Education Cost Forecast'!E78=0),'Education Cost Forecast'!$C$45,0)</f>
        <v>0</v>
      </c>
      <c r="E58" s="27" t="n">
        <f aca="false">IF(AND(B58=1,A58&lt;='Education Cost Forecast'!$C$53),1,0)</f>
        <v>0</v>
      </c>
      <c r="F58" s="40" t="n">
        <f aca="false">(1+Esc)^(A58-1)</f>
        <v>2.18287458838194</v>
      </c>
      <c r="G58" s="28" t="n">
        <f aca="false">E58*('Education Cost Forecast'!$C$41*12*MonthlyFactor+'Education Cost Forecast'!$C$42)*F58</f>
        <v>0</v>
      </c>
      <c r="H58" s="28" t="n">
        <f aca="false">E58*UnitFactor*F58</f>
        <v>0</v>
      </c>
      <c r="I58" s="28" t="n">
        <f aca="false">J57+D58-C58</f>
        <v>-12927337.9562431</v>
      </c>
      <c r="J58" s="28" t="n">
        <f aca="false">IF(B58=1,I58*(1+RetRate)+G58,J57)</f>
        <v>-12927337.9562431</v>
      </c>
      <c r="K58" s="28" t="n">
        <f aca="false">L57</f>
        <v>29.8155627999384</v>
      </c>
      <c r="L58" s="28" t="n">
        <f aca="false">IF(B58=1,K58*(1+RetRate)+H58,L57)</f>
        <v>29.8155627999384</v>
      </c>
      <c r="M58" s="40" t="n">
        <f aca="false">(1+RetRate)^(A58-1)</f>
        <v>6.13039365036789</v>
      </c>
      <c r="N58" s="28" t="n">
        <f aca="false">IF(AND(B58=1,C58&gt;0,K58&lt;=0.000000000001,I58&lt;0),-I58/M58,0)</f>
        <v>0</v>
      </c>
      <c r="O58" s="28" t="n">
        <f aca="false">IF(AND(B58=1,C58&gt;0,K58&gt;0.000000000001),-(I58+$C$14*M58)/K58,0)</f>
        <v>0</v>
      </c>
      <c r="P58" s="28" t="n">
        <f aca="false">R57</f>
        <v>0</v>
      </c>
      <c r="Q58" s="28" t="n">
        <f aca="false">H58*$C$15</f>
        <v>0</v>
      </c>
      <c r="R58" s="28" t="n">
        <f aca="false">IF(B58=1,(P58+D58-C58)*(1+RetRate)+G58+Q58,P58)</f>
        <v>0</v>
      </c>
      <c r="S58" s="28" t="n">
        <f aca="false">V57</f>
        <v>0</v>
      </c>
      <c r="T58" s="28" t="n">
        <f aca="false">S58+D58-C58</f>
        <v>0</v>
      </c>
      <c r="U58" s="28" t="n">
        <f aca="false">IF(B58=1,MAX(0,-T58),0)</f>
        <v>0</v>
      </c>
      <c r="V58" s="28" t="n">
        <f aca="false">IF(B58=1,MAX(0,T58)*(1+RetRate)+G58,S58)</f>
        <v>0</v>
      </c>
      <c r="W58" s="28" t="n">
        <f aca="false">IF(A58&lt;=MIN('Education Cost Forecast'!$C$49,'Education Cost Forecast'!$C$53),G58*(1+RetRate)^('Education Cost Forecast'!$C$49-A58),0)</f>
        <v>0</v>
      </c>
      <c r="X58" s="28" t="n">
        <f aca="false">IF(B58=1,P58+D58-C58,0)</f>
        <v>0</v>
      </c>
      <c r="AA58" s="27" t="n">
        <v>54</v>
      </c>
      <c r="AB58" s="28" t="str">
        <f aca="false">(PlanStartYear+AA58-1)&amp;"/"&amp;RIGHT(PlanStartYear+AA58,2)</f>
        <v>2079/80</v>
      </c>
      <c r="AC58" s="28" t="n">
        <f aca="false">C95+C159+C223+C287</f>
        <v>0</v>
      </c>
      <c r="AD58" s="28" t="n">
        <f aca="false">G95+G159+G223+G287</f>
        <v>0</v>
      </c>
      <c r="AE58" s="28" t="n">
        <f aca="false">Q95+Q159+Q223+Q287</f>
        <v>0</v>
      </c>
      <c r="AF58" s="28" t="n">
        <f aca="false">AD58+AE58</f>
        <v>0</v>
      </c>
      <c r="AG58" s="28" t="n">
        <f aca="false">R95+R159+R223+R287</f>
        <v>0</v>
      </c>
      <c r="AH58" s="28" t="n">
        <f aca="false">V95+V159+V223+V287</f>
        <v>0</v>
      </c>
      <c r="AI58" s="28" t="n">
        <f aca="false">U95+U159+U223+U287</f>
        <v>0</v>
      </c>
    </row>
    <row r="59" customFormat="false" ht="15" hidden="false" customHeight="false" outlineLevel="0" collapsed="false">
      <c r="A59" s="27" t="n">
        <v>18</v>
      </c>
      <c r="B59" s="27" t="n">
        <f aca="false">'Education Cost Forecast'!B79</f>
        <v>0</v>
      </c>
      <c r="C59" s="28" t="n">
        <f aca="false">'Education Cost Forecast'!Z79</f>
        <v>0</v>
      </c>
      <c r="D59" s="28" t="n">
        <f aca="false">IF(AND(B59=1,'Education Cost Forecast'!F79&gt;0,'Education Cost Forecast'!E79=0),'Education Cost Forecast'!$C$45,0)</f>
        <v>0</v>
      </c>
      <c r="E59" s="27" t="n">
        <f aca="false">IF(AND(B59=1,A59&lt;='Education Cost Forecast'!$C$53),1,0)</f>
        <v>0</v>
      </c>
      <c r="F59" s="40" t="n">
        <f aca="false">(1+Esc)^(A59-1)</f>
        <v>2.29201831780103</v>
      </c>
      <c r="G59" s="28" t="n">
        <f aca="false">E59*('Education Cost Forecast'!$C$41*12*MonthlyFactor+'Education Cost Forecast'!$C$42)*F59</f>
        <v>0</v>
      </c>
      <c r="H59" s="28" t="n">
        <f aca="false">E59*UnitFactor*F59</f>
        <v>0</v>
      </c>
      <c r="I59" s="28" t="n">
        <f aca="false">J58+D59-C59</f>
        <v>-12927337.9562431</v>
      </c>
      <c r="J59" s="28" t="n">
        <f aca="false">IF(B59=1,I59*(1+RetRate)+G59,J58)</f>
        <v>-12927337.9562431</v>
      </c>
      <c r="K59" s="28" t="n">
        <f aca="false">L58</f>
        <v>29.8155627999384</v>
      </c>
      <c r="L59" s="28" t="n">
        <f aca="false">IF(B59=1,K59*(1+RetRate)+H59,L58)</f>
        <v>29.8155627999384</v>
      </c>
      <c r="M59" s="40" t="n">
        <f aca="false">(1+RetRate)^(A59-1)</f>
        <v>6.86604088841204</v>
      </c>
      <c r="N59" s="28" t="n">
        <f aca="false">IF(AND(B59=1,C59&gt;0,K59&lt;=0.000000000001,I59&lt;0),-I59/M59,0)</f>
        <v>0</v>
      </c>
      <c r="O59" s="28" t="n">
        <f aca="false">IF(AND(B59=1,C59&gt;0,K59&gt;0.000000000001),-(I59+$C$14*M59)/K59,0)</f>
        <v>0</v>
      </c>
      <c r="P59" s="28" t="n">
        <f aca="false">R58</f>
        <v>0</v>
      </c>
      <c r="Q59" s="28" t="n">
        <f aca="false">H59*$C$15</f>
        <v>0</v>
      </c>
      <c r="R59" s="28" t="n">
        <f aca="false">IF(B59=1,(P59+D59-C59)*(1+RetRate)+G59+Q59,P59)</f>
        <v>0</v>
      </c>
      <c r="S59" s="28" t="n">
        <f aca="false">V58</f>
        <v>0</v>
      </c>
      <c r="T59" s="28" t="n">
        <f aca="false">S59+D59-C59</f>
        <v>0</v>
      </c>
      <c r="U59" s="28" t="n">
        <f aca="false">IF(B59=1,MAX(0,-T59),0)</f>
        <v>0</v>
      </c>
      <c r="V59" s="28" t="n">
        <f aca="false">IF(B59=1,MAX(0,T59)*(1+RetRate)+G59,S59)</f>
        <v>0</v>
      </c>
      <c r="W59" s="28" t="n">
        <f aca="false">IF(A59&lt;=MIN('Education Cost Forecast'!$C$49,'Education Cost Forecast'!$C$53),G59*(1+RetRate)^('Education Cost Forecast'!$C$49-A59),0)</f>
        <v>0</v>
      </c>
      <c r="X59" s="28" t="n">
        <f aca="false">IF(B59=1,P59+D59-C59,0)</f>
        <v>0</v>
      </c>
      <c r="AA59" s="27" t="n">
        <v>55</v>
      </c>
      <c r="AB59" s="28" t="str">
        <f aca="false">(PlanStartYear+AA59-1)&amp;"/"&amp;RIGHT(PlanStartYear+AA59,2)</f>
        <v>2080/81</v>
      </c>
      <c r="AC59" s="28" t="n">
        <f aca="false">C96+C160+C224+C288</f>
        <v>0</v>
      </c>
      <c r="AD59" s="28" t="n">
        <f aca="false">G96+G160+G224+G288</f>
        <v>0</v>
      </c>
      <c r="AE59" s="28" t="n">
        <f aca="false">Q96+Q160+Q224+Q288</f>
        <v>0</v>
      </c>
      <c r="AF59" s="28" t="n">
        <f aca="false">AD59+AE59</f>
        <v>0</v>
      </c>
      <c r="AG59" s="28" t="n">
        <f aca="false">R96+R160+R224+R288</f>
        <v>0</v>
      </c>
      <c r="AH59" s="28" t="n">
        <f aca="false">V96+V160+V224+V288</f>
        <v>0</v>
      </c>
      <c r="AI59" s="28" t="n">
        <f aca="false">U96+U160+U224+U288</f>
        <v>0</v>
      </c>
    </row>
    <row r="60" customFormat="false" ht="15" hidden="false" customHeight="false" outlineLevel="0" collapsed="false">
      <c r="A60" s="27" t="n">
        <v>19</v>
      </c>
      <c r="B60" s="27" t="n">
        <f aca="false">'Education Cost Forecast'!B80</f>
        <v>0</v>
      </c>
      <c r="C60" s="28" t="n">
        <f aca="false">'Education Cost Forecast'!Z80</f>
        <v>0</v>
      </c>
      <c r="D60" s="28" t="n">
        <f aca="false">IF(AND(B60=1,'Education Cost Forecast'!F80&gt;0,'Education Cost Forecast'!E80=0),'Education Cost Forecast'!$C$45,0)</f>
        <v>0</v>
      </c>
      <c r="E60" s="27" t="n">
        <f aca="false">IF(AND(B60=1,A60&lt;='Education Cost Forecast'!$C$53),1,0)</f>
        <v>0</v>
      </c>
      <c r="F60" s="40" t="n">
        <f aca="false">(1+Esc)^(A60-1)</f>
        <v>2.40661923369109</v>
      </c>
      <c r="G60" s="28" t="n">
        <f aca="false">E60*('Education Cost Forecast'!$C$41*12*MonthlyFactor+'Education Cost Forecast'!$C$42)*F60</f>
        <v>0</v>
      </c>
      <c r="H60" s="28" t="n">
        <f aca="false">E60*UnitFactor*F60</f>
        <v>0</v>
      </c>
      <c r="I60" s="28" t="n">
        <f aca="false">J59+D60-C60</f>
        <v>-12927337.9562431</v>
      </c>
      <c r="J60" s="28" t="n">
        <f aca="false">IF(B60=1,I60*(1+RetRate)+G60,J59)</f>
        <v>-12927337.9562431</v>
      </c>
      <c r="K60" s="28" t="n">
        <f aca="false">L59</f>
        <v>29.8155627999384</v>
      </c>
      <c r="L60" s="28" t="n">
        <f aca="false">IF(B60=1,K60*(1+RetRate)+H60,L59)</f>
        <v>29.8155627999384</v>
      </c>
      <c r="M60" s="40" t="n">
        <f aca="false">(1+RetRate)^(A60-1)</f>
        <v>7.68996579502149</v>
      </c>
      <c r="N60" s="28" t="n">
        <f aca="false">IF(AND(B60=1,C60&gt;0,K60&lt;=0.000000000001,I60&lt;0),-I60/M60,0)</f>
        <v>0</v>
      </c>
      <c r="O60" s="28" t="n">
        <f aca="false">IF(AND(B60=1,C60&gt;0,K60&gt;0.000000000001),-(I60+$C$14*M60)/K60,0)</f>
        <v>0</v>
      </c>
      <c r="P60" s="28" t="n">
        <f aca="false">R59</f>
        <v>0</v>
      </c>
      <c r="Q60" s="28" t="n">
        <f aca="false">H60*$C$15</f>
        <v>0</v>
      </c>
      <c r="R60" s="28" t="n">
        <f aca="false">IF(B60=1,(P60+D60-C60)*(1+RetRate)+G60+Q60,P60)</f>
        <v>0</v>
      </c>
      <c r="S60" s="28" t="n">
        <f aca="false">V59</f>
        <v>0</v>
      </c>
      <c r="T60" s="28" t="n">
        <f aca="false">S60+D60-C60</f>
        <v>0</v>
      </c>
      <c r="U60" s="28" t="n">
        <f aca="false">IF(B60=1,MAX(0,-T60),0)</f>
        <v>0</v>
      </c>
      <c r="V60" s="28" t="n">
        <f aca="false">IF(B60=1,MAX(0,T60)*(1+RetRate)+G60,S60)</f>
        <v>0</v>
      </c>
      <c r="W60" s="28" t="n">
        <f aca="false">IF(A60&lt;=MIN('Education Cost Forecast'!$C$49,'Education Cost Forecast'!$C$53),G60*(1+RetRate)^('Education Cost Forecast'!$C$49-A60),0)</f>
        <v>0</v>
      </c>
      <c r="X60" s="28" t="n">
        <f aca="false">IF(B60=1,P60+D60-C60,0)</f>
        <v>0</v>
      </c>
      <c r="AA60" s="27" t="n">
        <v>56</v>
      </c>
      <c r="AB60" s="28" t="str">
        <f aca="false">(PlanStartYear+AA60-1)&amp;"/"&amp;RIGHT(PlanStartYear+AA60,2)</f>
        <v>2081/82</v>
      </c>
      <c r="AC60" s="28" t="n">
        <f aca="false">C97+C161+C225+C289</f>
        <v>0</v>
      </c>
      <c r="AD60" s="28" t="n">
        <f aca="false">G97+G161+G225+G289</f>
        <v>0</v>
      </c>
      <c r="AE60" s="28" t="n">
        <f aca="false">Q97+Q161+Q225+Q289</f>
        <v>0</v>
      </c>
      <c r="AF60" s="28" t="n">
        <f aca="false">AD60+AE60</f>
        <v>0</v>
      </c>
      <c r="AG60" s="28" t="n">
        <f aca="false">R97+R161+R225+R289</f>
        <v>0</v>
      </c>
      <c r="AH60" s="28" t="n">
        <f aca="false">V97+V161+V225+V289</f>
        <v>0</v>
      </c>
      <c r="AI60" s="28" t="n">
        <f aca="false">U97+U161+U225+U289</f>
        <v>0</v>
      </c>
    </row>
    <row r="61" customFormat="false" ht="15" hidden="false" customHeight="false" outlineLevel="0" collapsed="false">
      <c r="A61" s="27" t="n">
        <v>20</v>
      </c>
      <c r="B61" s="27" t="n">
        <f aca="false">'Education Cost Forecast'!B81</f>
        <v>0</v>
      </c>
      <c r="C61" s="28" t="n">
        <f aca="false">'Education Cost Forecast'!Z81</f>
        <v>0</v>
      </c>
      <c r="D61" s="28" t="n">
        <f aca="false">IF(AND(B61=1,'Education Cost Forecast'!F81&gt;0,'Education Cost Forecast'!E81=0),'Education Cost Forecast'!$C$45,0)</f>
        <v>0</v>
      </c>
      <c r="E61" s="27" t="n">
        <f aca="false">IF(AND(B61=1,A61&lt;='Education Cost Forecast'!$C$53),1,0)</f>
        <v>0</v>
      </c>
      <c r="F61" s="40" t="n">
        <f aca="false">(1+Esc)^(A61-1)</f>
        <v>2.52695019537564</v>
      </c>
      <c r="G61" s="28" t="n">
        <f aca="false">E61*('Education Cost Forecast'!$C$41*12*MonthlyFactor+'Education Cost Forecast'!$C$42)*F61</f>
        <v>0</v>
      </c>
      <c r="H61" s="28" t="n">
        <f aca="false">E61*UnitFactor*F61</f>
        <v>0</v>
      </c>
      <c r="I61" s="28" t="n">
        <f aca="false">J60+D61-C61</f>
        <v>-12927337.9562431</v>
      </c>
      <c r="J61" s="28" t="n">
        <f aca="false">IF(B61=1,I61*(1+RetRate)+G61,J60)</f>
        <v>-12927337.9562431</v>
      </c>
      <c r="K61" s="28" t="n">
        <f aca="false">L60</f>
        <v>29.8155627999384</v>
      </c>
      <c r="L61" s="28" t="n">
        <f aca="false">IF(B61=1,K61*(1+RetRate)+H61,L60)</f>
        <v>29.8155627999384</v>
      </c>
      <c r="M61" s="40" t="n">
        <f aca="false">(1+RetRate)^(A61-1)</f>
        <v>8.61276169042406</v>
      </c>
      <c r="N61" s="28" t="n">
        <f aca="false">IF(AND(B61=1,C61&gt;0,K61&lt;=0.000000000001,I61&lt;0),-I61/M61,0)</f>
        <v>0</v>
      </c>
      <c r="O61" s="28" t="n">
        <f aca="false">IF(AND(B61=1,C61&gt;0,K61&gt;0.000000000001),-(I61+$C$14*M61)/K61,0)</f>
        <v>0</v>
      </c>
      <c r="P61" s="28" t="n">
        <f aca="false">R60</f>
        <v>0</v>
      </c>
      <c r="Q61" s="28" t="n">
        <f aca="false">H61*$C$15</f>
        <v>0</v>
      </c>
      <c r="R61" s="28" t="n">
        <f aca="false">IF(B61=1,(P61+D61-C61)*(1+RetRate)+G61+Q61,P61)</f>
        <v>0</v>
      </c>
      <c r="S61" s="28" t="n">
        <f aca="false">V60</f>
        <v>0</v>
      </c>
      <c r="T61" s="28" t="n">
        <f aca="false">S61+D61-C61</f>
        <v>0</v>
      </c>
      <c r="U61" s="28" t="n">
        <f aca="false">IF(B61=1,MAX(0,-T61),0)</f>
        <v>0</v>
      </c>
      <c r="V61" s="28" t="n">
        <f aca="false">IF(B61=1,MAX(0,T61)*(1+RetRate)+G61,S61)</f>
        <v>0</v>
      </c>
      <c r="W61" s="28" t="n">
        <f aca="false">IF(A61&lt;=MIN('Education Cost Forecast'!$C$49,'Education Cost Forecast'!$C$53),G61*(1+RetRate)^('Education Cost Forecast'!$C$49-A61),0)</f>
        <v>0</v>
      </c>
      <c r="X61" s="28" t="n">
        <f aca="false">IF(B61=1,P61+D61-C61,0)</f>
        <v>0</v>
      </c>
      <c r="AA61" s="27" t="n">
        <v>57</v>
      </c>
      <c r="AB61" s="28" t="str">
        <f aca="false">(PlanStartYear+AA61-1)&amp;"/"&amp;RIGHT(PlanStartYear+AA61,2)</f>
        <v>2082/83</v>
      </c>
      <c r="AC61" s="28" t="n">
        <f aca="false">C98+C162+C226+C290</f>
        <v>0</v>
      </c>
      <c r="AD61" s="28" t="n">
        <f aca="false">G98+G162+G226+G290</f>
        <v>0</v>
      </c>
      <c r="AE61" s="28" t="n">
        <f aca="false">Q98+Q162+Q226+Q290</f>
        <v>0</v>
      </c>
      <c r="AF61" s="28" t="n">
        <f aca="false">AD61+AE61</f>
        <v>0</v>
      </c>
      <c r="AG61" s="28" t="n">
        <f aca="false">R98+R162+R226+R290</f>
        <v>0</v>
      </c>
      <c r="AH61" s="28" t="n">
        <f aca="false">V98+V162+V226+V290</f>
        <v>0</v>
      </c>
      <c r="AI61" s="28" t="n">
        <f aca="false">U98+U162+U226+U290</f>
        <v>0</v>
      </c>
    </row>
    <row r="62" customFormat="false" ht="15" hidden="false" customHeight="false" outlineLevel="0" collapsed="false">
      <c r="A62" s="27" t="n">
        <v>21</v>
      </c>
      <c r="B62" s="27" t="n">
        <f aca="false">'Education Cost Forecast'!B82</f>
        <v>0</v>
      </c>
      <c r="C62" s="28" t="n">
        <f aca="false">'Education Cost Forecast'!Z82</f>
        <v>0</v>
      </c>
      <c r="D62" s="28" t="n">
        <f aca="false">IF(AND(B62=1,'Education Cost Forecast'!F82&gt;0,'Education Cost Forecast'!E82=0),'Education Cost Forecast'!$C$45,0)</f>
        <v>0</v>
      </c>
      <c r="E62" s="27" t="n">
        <f aca="false">IF(AND(B62=1,A62&lt;='Education Cost Forecast'!$C$53),1,0)</f>
        <v>0</v>
      </c>
      <c r="F62" s="40" t="n">
        <f aca="false">(1+Esc)^(A62-1)</f>
        <v>2.65329770514442</v>
      </c>
      <c r="G62" s="28" t="n">
        <f aca="false">E62*('Education Cost Forecast'!$C$41*12*MonthlyFactor+'Education Cost Forecast'!$C$42)*F62</f>
        <v>0</v>
      </c>
      <c r="H62" s="28" t="n">
        <f aca="false">E62*UnitFactor*F62</f>
        <v>0</v>
      </c>
      <c r="I62" s="28" t="n">
        <f aca="false">J61+D62-C62</f>
        <v>-12927337.9562431</v>
      </c>
      <c r="J62" s="28" t="n">
        <f aca="false">IF(B62=1,I62*(1+RetRate)+G62,J61)</f>
        <v>-12927337.9562431</v>
      </c>
      <c r="K62" s="28" t="n">
        <f aca="false">L61</f>
        <v>29.8155627999384</v>
      </c>
      <c r="L62" s="28" t="n">
        <f aca="false">IF(B62=1,K62*(1+RetRate)+H62,L61)</f>
        <v>29.8155627999384</v>
      </c>
      <c r="M62" s="40" t="n">
        <f aca="false">(1+RetRate)^(A62-1)</f>
        <v>9.64629309327495</v>
      </c>
      <c r="N62" s="28" t="n">
        <f aca="false">IF(AND(B62=1,C62&gt;0,K62&lt;=0.000000000001,I62&lt;0),-I62/M62,0)</f>
        <v>0</v>
      </c>
      <c r="O62" s="28" t="n">
        <f aca="false">IF(AND(B62=1,C62&gt;0,K62&gt;0.000000000001),-(I62+$C$14*M62)/K62,0)</f>
        <v>0</v>
      </c>
      <c r="P62" s="28" t="n">
        <f aca="false">R61</f>
        <v>0</v>
      </c>
      <c r="Q62" s="28" t="n">
        <f aca="false">H62*$C$15</f>
        <v>0</v>
      </c>
      <c r="R62" s="28" t="n">
        <f aca="false">IF(B62=1,(P62+D62-C62)*(1+RetRate)+G62+Q62,P62)</f>
        <v>0</v>
      </c>
      <c r="S62" s="28" t="n">
        <f aca="false">V61</f>
        <v>0</v>
      </c>
      <c r="T62" s="28" t="n">
        <f aca="false">S62+D62-C62</f>
        <v>0</v>
      </c>
      <c r="U62" s="28" t="n">
        <f aca="false">IF(B62=1,MAX(0,-T62),0)</f>
        <v>0</v>
      </c>
      <c r="V62" s="28" t="n">
        <f aca="false">IF(B62=1,MAX(0,T62)*(1+RetRate)+G62,S62)</f>
        <v>0</v>
      </c>
      <c r="W62" s="28" t="n">
        <f aca="false">IF(A62&lt;=MIN('Education Cost Forecast'!$C$49,'Education Cost Forecast'!$C$53),G62*(1+RetRate)^('Education Cost Forecast'!$C$49-A62),0)</f>
        <v>0</v>
      </c>
      <c r="X62" s="28" t="n">
        <f aca="false">IF(B62=1,P62+D62-C62,0)</f>
        <v>0</v>
      </c>
      <c r="AA62" s="27" t="n">
        <v>58</v>
      </c>
      <c r="AB62" s="28" t="str">
        <f aca="false">(PlanStartYear+AA62-1)&amp;"/"&amp;RIGHT(PlanStartYear+AA62,2)</f>
        <v>2083/84</v>
      </c>
      <c r="AC62" s="28" t="n">
        <f aca="false">C99+C163+C227+C291</f>
        <v>0</v>
      </c>
      <c r="AD62" s="28" t="n">
        <f aca="false">G99+G163+G227+G291</f>
        <v>0</v>
      </c>
      <c r="AE62" s="28" t="n">
        <f aca="false">Q99+Q163+Q227+Q291</f>
        <v>0</v>
      </c>
      <c r="AF62" s="28" t="n">
        <f aca="false">AD62+AE62</f>
        <v>0</v>
      </c>
      <c r="AG62" s="28" t="n">
        <f aca="false">R99+R163+R227+R291</f>
        <v>0</v>
      </c>
      <c r="AH62" s="28" t="n">
        <f aca="false">V99+V163+V227+V291</f>
        <v>0</v>
      </c>
      <c r="AI62" s="28" t="n">
        <f aca="false">U99+U163+U227+U291</f>
        <v>0</v>
      </c>
    </row>
    <row r="63" customFormat="false" ht="15" hidden="false" customHeight="false" outlineLevel="0" collapsed="false">
      <c r="A63" s="27" t="n">
        <v>22</v>
      </c>
      <c r="B63" s="27" t="n">
        <f aca="false">'Education Cost Forecast'!B83</f>
        <v>0</v>
      </c>
      <c r="C63" s="28" t="n">
        <f aca="false">'Education Cost Forecast'!Z83</f>
        <v>0</v>
      </c>
      <c r="D63" s="28" t="n">
        <f aca="false">IF(AND(B63=1,'Education Cost Forecast'!F83&gt;0,'Education Cost Forecast'!E83=0),'Education Cost Forecast'!$C$45,0)</f>
        <v>0</v>
      </c>
      <c r="E63" s="27" t="n">
        <f aca="false">IF(AND(B63=1,A63&lt;='Education Cost Forecast'!$C$53),1,0)</f>
        <v>0</v>
      </c>
      <c r="F63" s="40" t="n">
        <f aca="false">(1+Esc)^(A63-1)</f>
        <v>2.78596259040164</v>
      </c>
      <c r="G63" s="28" t="n">
        <f aca="false">E63*('Education Cost Forecast'!$C$41*12*MonthlyFactor+'Education Cost Forecast'!$C$42)*F63</f>
        <v>0</v>
      </c>
      <c r="H63" s="28" t="n">
        <f aca="false">E63*UnitFactor*F63</f>
        <v>0</v>
      </c>
      <c r="I63" s="28" t="n">
        <f aca="false">J62+D63-C63</f>
        <v>-12927337.9562431</v>
      </c>
      <c r="J63" s="28" t="n">
        <f aca="false">IF(B63=1,I63*(1+RetRate)+G63,J62)</f>
        <v>-12927337.9562431</v>
      </c>
      <c r="K63" s="28" t="n">
        <f aca="false">L62</f>
        <v>29.8155627999384</v>
      </c>
      <c r="L63" s="28" t="n">
        <f aca="false">IF(B63=1,K63*(1+RetRate)+H63,L62)</f>
        <v>29.8155627999384</v>
      </c>
      <c r="M63" s="40" t="n">
        <f aca="false">(1+RetRate)^(A63-1)</f>
        <v>10.8038482644679</v>
      </c>
      <c r="N63" s="28" t="n">
        <f aca="false">IF(AND(B63=1,C63&gt;0,K63&lt;=0.000000000001,I63&lt;0),-I63/M63,0)</f>
        <v>0</v>
      </c>
      <c r="O63" s="28" t="n">
        <f aca="false">IF(AND(B63=1,C63&gt;0,K63&gt;0.000000000001),-(I63+$C$14*M63)/K63,0)</f>
        <v>0</v>
      </c>
      <c r="P63" s="28" t="n">
        <f aca="false">R62</f>
        <v>0</v>
      </c>
      <c r="Q63" s="28" t="n">
        <f aca="false">H63*$C$15</f>
        <v>0</v>
      </c>
      <c r="R63" s="28" t="n">
        <f aca="false">IF(B63=1,(P63+D63-C63)*(1+RetRate)+G63+Q63,P63)</f>
        <v>0</v>
      </c>
      <c r="S63" s="28" t="n">
        <f aca="false">V62</f>
        <v>0</v>
      </c>
      <c r="T63" s="28" t="n">
        <f aca="false">S63+D63-C63</f>
        <v>0</v>
      </c>
      <c r="U63" s="28" t="n">
        <f aca="false">IF(B63=1,MAX(0,-T63),0)</f>
        <v>0</v>
      </c>
      <c r="V63" s="28" t="n">
        <f aca="false">IF(B63=1,MAX(0,T63)*(1+RetRate)+G63,S63)</f>
        <v>0</v>
      </c>
      <c r="W63" s="28" t="n">
        <f aca="false">IF(A63&lt;=MIN('Education Cost Forecast'!$C$49,'Education Cost Forecast'!$C$53),G63*(1+RetRate)^('Education Cost Forecast'!$C$49-A63),0)</f>
        <v>0</v>
      </c>
      <c r="X63" s="28" t="n">
        <f aca="false">IF(B63=1,P63+D63-C63,0)</f>
        <v>0</v>
      </c>
      <c r="AA63" s="27" t="n">
        <v>59</v>
      </c>
      <c r="AB63" s="28" t="str">
        <f aca="false">(PlanStartYear+AA63-1)&amp;"/"&amp;RIGHT(PlanStartYear+AA63,2)</f>
        <v>2084/85</v>
      </c>
      <c r="AC63" s="28" t="n">
        <f aca="false">C100+C164+C228+C292</f>
        <v>0</v>
      </c>
      <c r="AD63" s="28" t="n">
        <f aca="false">G100+G164+G228+G292</f>
        <v>0</v>
      </c>
      <c r="AE63" s="28" t="n">
        <f aca="false">Q100+Q164+Q228+Q292</f>
        <v>0</v>
      </c>
      <c r="AF63" s="28" t="n">
        <f aca="false">AD63+AE63</f>
        <v>0</v>
      </c>
      <c r="AG63" s="28" t="n">
        <f aca="false">R100+R164+R228+R292</f>
        <v>0</v>
      </c>
      <c r="AH63" s="28" t="n">
        <f aca="false">V100+V164+V228+V292</f>
        <v>0</v>
      </c>
      <c r="AI63" s="28" t="n">
        <f aca="false">U100+U164+U228+U292</f>
        <v>0</v>
      </c>
    </row>
    <row r="64" customFormat="false" ht="15" hidden="false" customHeight="false" outlineLevel="0" collapsed="false">
      <c r="A64" s="27" t="n">
        <v>23</v>
      </c>
      <c r="B64" s="27" t="n">
        <f aca="false">'Education Cost Forecast'!B84</f>
        <v>0</v>
      </c>
      <c r="C64" s="28" t="n">
        <f aca="false">'Education Cost Forecast'!Z84</f>
        <v>0</v>
      </c>
      <c r="D64" s="28" t="n">
        <f aca="false">IF(AND(B64=1,'Education Cost Forecast'!F84&gt;0,'Education Cost Forecast'!E84=0),'Education Cost Forecast'!$C$45,0)</f>
        <v>0</v>
      </c>
      <c r="E64" s="27" t="n">
        <f aca="false">IF(AND(B64=1,A64&lt;='Education Cost Forecast'!$C$53),1,0)</f>
        <v>0</v>
      </c>
      <c r="F64" s="40" t="n">
        <f aca="false">(1+Esc)^(A64-1)</f>
        <v>2.92526071992173</v>
      </c>
      <c r="G64" s="28" t="n">
        <f aca="false">E64*('Education Cost Forecast'!$C$41*12*MonthlyFactor+'Education Cost Forecast'!$C$42)*F64</f>
        <v>0</v>
      </c>
      <c r="H64" s="28" t="n">
        <f aca="false">E64*UnitFactor*F64</f>
        <v>0</v>
      </c>
      <c r="I64" s="28" t="n">
        <f aca="false">J63+D64-C64</f>
        <v>-12927337.9562431</v>
      </c>
      <c r="J64" s="28" t="n">
        <f aca="false">IF(B64=1,I64*(1+RetRate)+G64,J63)</f>
        <v>-12927337.9562431</v>
      </c>
      <c r="K64" s="28" t="n">
        <f aca="false">L63</f>
        <v>29.8155627999384</v>
      </c>
      <c r="L64" s="28" t="n">
        <f aca="false">IF(B64=1,K64*(1+RetRate)+H64,L63)</f>
        <v>29.8155627999384</v>
      </c>
      <c r="M64" s="40" t="n">
        <f aca="false">(1+RetRate)^(A64-1)</f>
        <v>12.1003100562041</v>
      </c>
      <c r="N64" s="28" t="n">
        <f aca="false">IF(AND(B64=1,C64&gt;0,K64&lt;=0.000000000001,I64&lt;0),-I64/M64,0)</f>
        <v>0</v>
      </c>
      <c r="O64" s="28" t="n">
        <f aca="false">IF(AND(B64=1,C64&gt;0,K64&gt;0.000000000001),-(I64+$C$14*M64)/K64,0)</f>
        <v>0</v>
      </c>
      <c r="P64" s="28" t="n">
        <f aca="false">R63</f>
        <v>0</v>
      </c>
      <c r="Q64" s="28" t="n">
        <f aca="false">H64*$C$15</f>
        <v>0</v>
      </c>
      <c r="R64" s="28" t="n">
        <f aca="false">IF(B64=1,(P64+D64-C64)*(1+RetRate)+G64+Q64,P64)</f>
        <v>0</v>
      </c>
      <c r="S64" s="28" t="n">
        <f aca="false">V63</f>
        <v>0</v>
      </c>
      <c r="T64" s="28" t="n">
        <f aca="false">S64+D64-C64</f>
        <v>0</v>
      </c>
      <c r="U64" s="28" t="n">
        <f aca="false">IF(B64=1,MAX(0,-T64),0)</f>
        <v>0</v>
      </c>
      <c r="V64" s="28" t="n">
        <f aca="false">IF(B64=1,MAX(0,T64)*(1+RetRate)+G64,S64)</f>
        <v>0</v>
      </c>
      <c r="W64" s="28" t="n">
        <f aca="false">IF(A64&lt;=MIN('Education Cost Forecast'!$C$49,'Education Cost Forecast'!$C$53),G64*(1+RetRate)^('Education Cost Forecast'!$C$49-A64),0)</f>
        <v>0</v>
      </c>
      <c r="X64" s="28" t="n">
        <f aca="false">IF(B64=1,P64+D64-C64,0)</f>
        <v>0</v>
      </c>
      <c r="AA64" s="27" t="n">
        <v>60</v>
      </c>
      <c r="AB64" s="28" t="str">
        <f aca="false">(PlanStartYear+AA64-1)&amp;"/"&amp;RIGHT(PlanStartYear+AA64,2)</f>
        <v>2085/86</v>
      </c>
      <c r="AC64" s="28" t="n">
        <f aca="false">C101+C165+C229+C293</f>
        <v>0</v>
      </c>
      <c r="AD64" s="28" t="n">
        <f aca="false">G101+G165+G229+G293</f>
        <v>0</v>
      </c>
      <c r="AE64" s="28" t="n">
        <f aca="false">Q101+Q165+Q229+Q293</f>
        <v>0</v>
      </c>
      <c r="AF64" s="28" t="n">
        <f aca="false">AD64+AE64</f>
        <v>0</v>
      </c>
      <c r="AG64" s="28" t="n">
        <f aca="false">R101+R165+R229+R293</f>
        <v>0</v>
      </c>
      <c r="AH64" s="28" t="n">
        <f aca="false">V101+V165+V229+V293</f>
        <v>0</v>
      </c>
      <c r="AI64" s="28" t="n">
        <f aca="false">U101+U165+U229+U293</f>
        <v>0</v>
      </c>
    </row>
    <row r="65" customFormat="false" ht="15" hidden="false" customHeight="false" outlineLevel="0" collapsed="false">
      <c r="A65" s="27" t="n">
        <v>24</v>
      </c>
      <c r="B65" s="27" t="n">
        <f aca="false">'Education Cost Forecast'!B85</f>
        <v>0</v>
      </c>
      <c r="C65" s="28" t="n">
        <f aca="false">'Education Cost Forecast'!Z85</f>
        <v>0</v>
      </c>
      <c r="D65" s="28" t="n">
        <f aca="false">IF(AND(B65=1,'Education Cost Forecast'!F85&gt;0,'Education Cost Forecast'!E85=0),'Education Cost Forecast'!$C$45,0)</f>
        <v>0</v>
      </c>
      <c r="E65" s="27" t="n">
        <f aca="false">IF(AND(B65=1,A65&lt;='Education Cost Forecast'!$C$53),1,0)</f>
        <v>0</v>
      </c>
      <c r="F65" s="40" t="n">
        <f aca="false">(1+Esc)^(A65-1)</f>
        <v>3.07152375591781</v>
      </c>
      <c r="G65" s="28" t="n">
        <f aca="false">E65*('Education Cost Forecast'!$C$41*12*MonthlyFactor+'Education Cost Forecast'!$C$42)*F65</f>
        <v>0</v>
      </c>
      <c r="H65" s="28" t="n">
        <f aca="false">E65*UnitFactor*F65</f>
        <v>0</v>
      </c>
      <c r="I65" s="28" t="n">
        <f aca="false">J64+D65-C65</f>
        <v>-12927337.9562431</v>
      </c>
      <c r="J65" s="28" t="n">
        <f aca="false">IF(B65=1,I65*(1+RetRate)+G65,J64)</f>
        <v>-12927337.9562431</v>
      </c>
      <c r="K65" s="28" t="n">
        <f aca="false">L64</f>
        <v>29.8155627999384</v>
      </c>
      <c r="L65" s="28" t="n">
        <f aca="false">IF(B65=1,K65*(1+RetRate)+H65,L64)</f>
        <v>29.8155627999384</v>
      </c>
      <c r="M65" s="40" t="n">
        <f aca="false">(1+RetRate)^(A65-1)</f>
        <v>13.5523472629486</v>
      </c>
      <c r="N65" s="28" t="n">
        <f aca="false">IF(AND(B65=1,C65&gt;0,K65&lt;=0.000000000001,I65&lt;0),-I65/M65,0)</f>
        <v>0</v>
      </c>
      <c r="O65" s="28" t="n">
        <f aca="false">IF(AND(B65=1,C65&gt;0,K65&gt;0.000000000001),-(I65+$C$14*M65)/K65,0)</f>
        <v>0</v>
      </c>
      <c r="P65" s="28" t="n">
        <f aca="false">R64</f>
        <v>0</v>
      </c>
      <c r="Q65" s="28" t="n">
        <f aca="false">H65*$C$15</f>
        <v>0</v>
      </c>
      <c r="R65" s="28" t="n">
        <f aca="false">IF(B65=1,(P65+D65-C65)*(1+RetRate)+G65+Q65,P65)</f>
        <v>0</v>
      </c>
      <c r="S65" s="28" t="n">
        <f aca="false">V64</f>
        <v>0</v>
      </c>
      <c r="T65" s="28" t="n">
        <f aca="false">S65+D65-C65</f>
        <v>0</v>
      </c>
      <c r="U65" s="28" t="n">
        <f aca="false">IF(B65=1,MAX(0,-T65),0)</f>
        <v>0</v>
      </c>
      <c r="V65" s="28" t="n">
        <f aca="false">IF(B65=1,MAX(0,T65)*(1+RetRate)+G65,S65)</f>
        <v>0</v>
      </c>
      <c r="W65" s="28" t="n">
        <f aca="false">IF(A65&lt;=MIN('Education Cost Forecast'!$C$49,'Education Cost Forecast'!$C$53),G65*(1+RetRate)^('Education Cost Forecast'!$C$49-A65),0)</f>
        <v>0</v>
      </c>
      <c r="X65" s="28" t="n">
        <f aca="false">IF(B65=1,P65+D65-C65,0)</f>
        <v>0</v>
      </c>
    </row>
    <row r="66" customFormat="false" ht="15" hidden="false" customHeight="false" outlineLevel="0" collapsed="false">
      <c r="A66" s="27" t="n">
        <v>25</v>
      </c>
      <c r="B66" s="27" t="n">
        <f aca="false">'Education Cost Forecast'!B86</f>
        <v>0</v>
      </c>
      <c r="C66" s="28" t="n">
        <f aca="false">'Education Cost Forecast'!Z86</f>
        <v>0</v>
      </c>
      <c r="D66" s="28" t="n">
        <f aca="false">IF(AND(B66=1,'Education Cost Forecast'!F86&gt;0,'Education Cost Forecast'!E86=0),'Education Cost Forecast'!$C$45,0)</f>
        <v>0</v>
      </c>
      <c r="E66" s="27" t="n">
        <f aca="false">IF(AND(B66=1,A66&lt;='Education Cost Forecast'!$C$53),1,0)</f>
        <v>0</v>
      </c>
      <c r="F66" s="40" t="n">
        <f aca="false">(1+Esc)^(A66-1)</f>
        <v>3.2250999437137</v>
      </c>
      <c r="G66" s="28" t="n">
        <f aca="false">E66*('Education Cost Forecast'!$C$41*12*MonthlyFactor+'Education Cost Forecast'!$C$42)*F66</f>
        <v>0</v>
      </c>
      <c r="H66" s="28" t="n">
        <f aca="false">E66*UnitFactor*F66</f>
        <v>0</v>
      </c>
      <c r="I66" s="28" t="n">
        <f aca="false">J65+D66-C66</f>
        <v>-12927337.9562431</v>
      </c>
      <c r="J66" s="28" t="n">
        <f aca="false">IF(B66=1,I66*(1+RetRate)+G66,J65)</f>
        <v>-12927337.9562431</v>
      </c>
      <c r="K66" s="28" t="n">
        <f aca="false">L65</f>
        <v>29.8155627999384</v>
      </c>
      <c r="L66" s="28" t="n">
        <f aca="false">IF(B66=1,K66*(1+RetRate)+H66,L65)</f>
        <v>29.8155627999384</v>
      </c>
      <c r="M66" s="40" t="n">
        <f aca="false">(1+RetRate)^(A66-1)</f>
        <v>15.1786289345024</v>
      </c>
      <c r="N66" s="28" t="n">
        <f aca="false">IF(AND(B66=1,C66&gt;0,K66&lt;=0.000000000001,I66&lt;0),-I66/M66,0)</f>
        <v>0</v>
      </c>
      <c r="O66" s="28" t="n">
        <f aca="false">IF(AND(B66=1,C66&gt;0,K66&gt;0.000000000001),-(I66+$C$14*M66)/K66,0)</f>
        <v>0</v>
      </c>
      <c r="P66" s="28" t="n">
        <f aca="false">R65</f>
        <v>0</v>
      </c>
      <c r="Q66" s="28" t="n">
        <f aca="false">H66*$C$15</f>
        <v>0</v>
      </c>
      <c r="R66" s="28" t="n">
        <f aca="false">IF(B66=1,(P66+D66-C66)*(1+RetRate)+G66+Q66,P66)</f>
        <v>0</v>
      </c>
      <c r="S66" s="28" t="n">
        <f aca="false">V65</f>
        <v>0</v>
      </c>
      <c r="T66" s="28" t="n">
        <f aca="false">S66+D66-C66</f>
        <v>0</v>
      </c>
      <c r="U66" s="28" t="n">
        <f aca="false">IF(B66=1,MAX(0,-T66),0)</f>
        <v>0</v>
      </c>
      <c r="V66" s="28" t="n">
        <f aca="false">IF(B66=1,MAX(0,T66)*(1+RetRate)+G66,S66)</f>
        <v>0</v>
      </c>
      <c r="W66" s="28" t="n">
        <f aca="false">IF(A66&lt;=MIN('Education Cost Forecast'!$C$49,'Education Cost Forecast'!$C$53),G66*(1+RetRate)^('Education Cost Forecast'!$C$49-A66),0)</f>
        <v>0</v>
      </c>
      <c r="X66" s="28" t="n">
        <f aca="false">IF(B66=1,P66+D66-C66,0)</f>
        <v>0</v>
      </c>
    </row>
    <row r="67" customFormat="false" ht="15" hidden="false" customHeight="false" outlineLevel="0" collapsed="false">
      <c r="A67" s="27" t="n">
        <v>26</v>
      </c>
      <c r="B67" s="27" t="n">
        <f aca="false">'Education Cost Forecast'!B87</f>
        <v>0</v>
      </c>
      <c r="C67" s="28" t="n">
        <f aca="false">'Education Cost Forecast'!Z87</f>
        <v>0</v>
      </c>
      <c r="D67" s="28" t="n">
        <f aca="false">IF(AND(B67=1,'Education Cost Forecast'!F87&gt;0,'Education Cost Forecast'!E87=0),'Education Cost Forecast'!$C$45,0)</f>
        <v>0</v>
      </c>
      <c r="E67" s="27" t="n">
        <f aca="false">IF(AND(B67=1,A67&lt;='Education Cost Forecast'!$C$53),1,0)</f>
        <v>0</v>
      </c>
      <c r="F67" s="40" t="n">
        <f aca="false">(1+Esc)^(A67-1)</f>
        <v>3.38635494089939</v>
      </c>
      <c r="G67" s="28" t="n">
        <f aca="false">E67*('Education Cost Forecast'!$C$41*12*MonthlyFactor+'Education Cost Forecast'!$C$42)*F67</f>
        <v>0</v>
      </c>
      <c r="H67" s="28" t="n">
        <f aca="false">E67*UnitFactor*F67</f>
        <v>0</v>
      </c>
      <c r="I67" s="28" t="n">
        <f aca="false">J66+D67-C67</f>
        <v>-12927337.9562431</v>
      </c>
      <c r="J67" s="28" t="n">
        <f aca="false">IF(B67=1,I67*(1+RetRate)+G67,J66)</f>
        <v>-12927337.9562431</v>
      </c>
      <c r="K67" s="28" t="n">
        <f aca="false">L66</f>
        <v>29.8155627999384</v>
      </c>
      <c r="L67" s="28" t="n">
        <f aca="false">IF(B67=1,K67*(1+RetRate)+H67,L66)</f>
        <v>29.8155627999384</v>
      </c>
      <c r="M67" s="40" t="n">
        <f aca="false">(1+RetRate)^(A67-1)</f>
        <v>17.0000644066427</v>
      </c>
      <c r="N67" s="28" t="n">
        <f aca="false">IF(AND(B67=1,C67&gt;0,K67&lt;=0.000000000001,I67&lt;0),-I67/M67,0)</f>
        <v>0</v>
      </c>
      <c r="O67" s="28" t="n">
        <f aca="false">IF(AND(B67=1,C67&gt;0,K67&gt;0.000000000001),-(I67+$C$14*M67)/K67,0)</f>
        <v>0</v>
      </c>
      <c r="P67" s="28" t="n">
        <f aca="false">R66</f>
        <v>0</v>
      </c>
      <c r="Q67" s="28" t="n">
        <f aca="false">H67*$C$15</f>
        <v>0</v>
      </c>
      <c r="R67" s="28" t="n">
        <f aca="false">IF(B67=1,(P67+D67-C67)*(1+RetRate)+G67+Q67,P67)</f>
        <v>0</v>
      </c>
      <c r="S67" s="28" t="n">
        <f aca="false">V66</f>
        <v>0</v>
      </c>
      <c r="T67" s="28" t="n">
        <f aca="false">S67+D67-C67</f>
        <v>0</v>
      </c>
      <c r="U67" s="28" t="n">
        <f aca="false">IF(B67=1,MAX(0,-T67),0)</f>
        <v>0</v>
      </c>
      <c r="V67" s="28" t="n">
        <f aca="false">IF(B67=1,MAX(0,T67)*(1+RetRate)+G67,S67)</f>
        <v>0</v>
      </c>
      <c r="W67" s="28" t="n">
        <f aca="false">IF(A67&lt;=MIN('Education Cost Forecast'!$C$49,'Education Cost Forecast'!$C$53),G67*(1+RetRate)^('Education Cost Forecast'!$C$49-A67),0)</f>
        <v>0</v>
      </c>
      <c r="X67" s="28" t="n">
        <f aca="false">IF(B67=1,P67+D67-C67,0)</f>
        <v>0</v>
      </c>
    </row>
    <row r="68" customFormat="false" ht="15" hidden="false" customHeight="false" outlineLevel="0" collapsed="false">
      <c r="A68" s="27" t="n">
        <v>27</v>
      </c>
      <c r="B68" s="27" t="n">
        <f aca="false">'Education Cost Forecast'!B88</f>
        <v>0</v>
      </c>
      <c r="C68" s="28" t="n">
        <f aca="false">'Education Cost Forecast'!Z88</f>
        <v>0</v>
      </c>
      <c r="D68" s="28" t="n">
        <f aca="false">IF(AND(B68=1,'Education Cost Forecast'!F88&gt;0,'Education Cost Forecast'!E88=0),'Education Cost Forecast'!$C$45,0)</f>
        <v>0</v>
      </c>
      <c r="E68" s="27" t="n">
        <f aca="false">IF(AND(B68=1,A68&lt;='Education Cost Forecast'!$C$53),1,0)</f>
        <v>0</v>
      </c>
      <c r="F68" s="40" t="n">
        <f aca="false">(1+Esc)^(A68-1)</f>
        <v>3.55567268794436</v>
      </c>
      <c r="G68" s="28" t="n">
        <f aca="false">E68*('Education Cost Forecast'!$C$41*12*MonthlyFactor+'Education Cost Forecast'!$C$42)*F68</f>
        <v>0</v>
      </c>
      <c r="H68" s="28" t="n">
        <f aca="false">E68*UnitFactor*F68</f>
        <v>0</v>
      </c>
      <c r="I68" s="28" t="n">
        <f aca="false">J67+D68-C68</f>
        <v>-12927337.9562431</v>
      </c>
      <c r="J68" s="28" t="n">
        <f aca="false">IF(B68=1,I68*(1+RetRate)+G68,J67)</f>
        <v>-12927337.9562431</v>
      </c>
      <c r="K68" s="28" t="n">
        <f aca="false">L67</f>
        <v>29.8155627999384</v>
      </c>
      <c r="L68" s="28" t="n">
        <f aca="false">IF(B68=1,K68*(1+RetRate)+H68,L67)</f>
        <v>29.8155627999384</v>
      </c>
      <c r="M68" s="40" t="n">
        <f aca="false">(1+RetRate)^(A68-1)</f>
        <v>19.0400721354399</v>
      </c>
      <c r="N68" s="28" t="n">
        <f aca="false">IF(AND(B68=1,C68&gt;0,K68&lt;=0.000000000001,I68&lt;0),-I68/M68,0)</f>
        <v>0</v>
      </c>
      <c r="O68" s="28" t="n">
        <f aca="false">IF(AND(B68=1,C68&gt;0,K68&gt;0.000000000001),-(I68+$C$14*M68)/K68,0)</f>
        <v>0</v>
      </c>
      <c r="P68" s="28" t="n">
        <f aca="false">R67</f>
        <v>0</v>
      </c>
      <c r="Q68" s="28" t="n">
        <f aca="false">H68*$C$15</f>
        <v>0</v>
      </c>
      <c r="R68" s="28" t="n">
        <f aca="false">IF(B68=1,(P68+D68-C68)*(1+RetRate)+G68+Q68,P68)</f>
        <v>0</v>
      </c>
      <c r="S68" s="28" t="n">
        <f aca="false">V67</f>
        <v>0</v>
      </c>
      <c r="T68" s="28" t="n">
        <f aca="false">S68+D68-C68</f>
        <v>0</v>
      </c>
      <c r="U68" s="28" t="n">
        <f aca="false">IF(B68=1,MAX(0,-T68),0)</f>
        <v>0</v>
      </c>
      <c r="V68" s="28" t="n">
        <f aca="false">IF(B68=1,MAX(0,T68)*(1+RetRate)+G68,S68)</f>
        <v>0</v>
      </c>
      <c r="W68" s="28" t="n">
        <f aca="false">IF(A68&lt;=MIN('Education Cost Forecast'!$C$49,'Education Cost Forecast'!$C$53),G68*(1+RetRate)^('Education Cost Forecast'!$C$49-A68),0)</f>
        <v>0</v>
      </c>
      <c r="X68" s="28" t="n">
        <f aca="false">IF(B68=1,P68+D68-C68,0)</f>
        <v>0</v>
      </c>
    </row>
    <row r="69" customFormat="false" ht="15" hidden="false" customHeight="false" outlineLevel="0" collapsed="false">
      <c r="A69" s="27" t="n">
        <v>28</v>
      </c>
      <c r="B69" s="27" t="n">
        <f aca="false">'Education Cost Forecast'!B89</f>
        <v>0</v>
      </c>
      <c r="C69" s="28" t="n">
        <f aca="false">'Education Cost Forecast'!Z89</f>
        <v>0</v>
      </c>
      <c r="D69" s="28" t="n">
        <f aca="false">IF(AND(B69=1,'Education Cost Forecast'!F89&gt;0,'Education Cost Forecast'!E89=0),'Education Cost Forecast'!$C$45,0)</f>
        <v>0</v>
      </c>
      <c r="E69" s="27" t="n">
        <f aca="false">IF(AND(B69=1,A69&lt;='Education Cost Forecast'!$C$53),1,0)</f>
        <v>0</v>
      </c>
      <c r="F69" s="40" t="n">
        <f aca="false">(1+Esc)^(A69-1)</f>
        <v>3.73345632234158</v>
      </c>
      <c r="G69" s="28" t="n">
        <f aca="false">E69*('Education Cost Forecast'!$C$41*12*MonthlyFactor+'Education Cost Forecast'!$C$42)*F69</f>
        <v>0</v>
      </c>
      <c r="H69" s="28" t="n">
        <f aca="false">E69*UnitFactor*F69</f>
        <v>0</v>
      </c>
      <c r="I69" s="28" t="n">
        <f aca="false">J68+D69-C69</f>
        <v>-12927337.9562431</v>
      </c>
      <c r="J69" s="28" t="n">
        <f aca="false">IF(B69=1,I69*(1+RetRate)+G69,J68)</f>
        <v>-12927337.9562431</v>
      </c>
      <c r="K69" s="28" t="n">
        <f aca="false">L68</f>
        <v>29.8155627999384</v>
      </c>
      <c r="L69" s="28" t="n">
        <f aca="false">IF(B69=1,K69*(1+RetRate)+H69,L68)</f>
        <v>29.8155627999384</v>
      </c>
      <c r="M69" s="40" t="n">
        <f aca="false">(1+RetRate)^(A69-1)</f>
        <v>21.3248807916926</v>
      </c>
      <c r="N69" s="28" t="n">
        <f aca="false">IF(AND(B69=1,C69&gt;0,K69&lt;=0.000000000001,I69&lt;0),-I69/M69,0)</f>
        <v>0</v>
      </c>
      <c r="O69" s="28" t="n">
        <f aca="false">IF(AND(B69=1,C69&gt;0,K69&gt;0.000000000001),-(I69+$C$14*M69)/K69,0)</f>
        <v>0</v>
      </c>
      <c r="P69" s="28" t="n">
        <f aca="false">R68</f>
        <v>0</v>
      </c>
      <c r="Q69" s="28" t="n">
        <f aca="false">H69*$C$15</f>
        <v>0</v>
      </c>
      <c r="R69" s="28" t="n">
        <f aca="false">IF(B69=1,(P69+D69-C69)*(1+RetRate)+G69+Q69,P69)</f>
        <v>0</v>
      </c>
      <c r="S69" s="28" t="n">
        <f aca="false">V68</f>
        <v>0</v>
      </c>
      <c r="T69" s="28" t="n">
        <f aca="false">S69+D69-C69</f>
        <v>0</v>
      </c>
      <c r="U69" s="28" t="n">
        <f aca="false">IF(B69=1,MAX(0,-T69),0)</f>
        <v>0</v>
      </c>
      <c r="V69" s="28" t="n">
        <f aca="false">IF(B69=1,MAX(0,T69)*(1+RetRate)+G69,S69)</f>
        <v>0</v>
      </c>
      <c r="W69" s="28" t="n">
        <f aca="false">IF(A69&lt;=MIN('Education Cost Forecast'!$C$49,'Education Cost Forecast'!$C$53),G69*(1+RetRate)^('Education Cost Forecast'!$C$49-A69),0)</f>
        <v>0</v>
      </c>
      <c r="X69" s="28" t="n">
        <f aca="false">IF(B69=1,P69+D69-C69,0)</f>
        <v>0</v>
      </c>
    </row>
    <row r="70" customFormat="false" ht="15" hidden="false" customHeight="false" outlineLevel="0" collapsed="false">
      <c r="A70" s="27" t="n">
        <v>29</v>
      </c>
      <c r="B70" s="27" t="n">
        <f aca="false">'Education Cost Forecast'!B90</f>
        <v>0</v>
      </c>
      <c r="C70" s="28" t="n">
        <f aca="false">'Education Cost Forecast'!Z90</f>
        <v>0</v>
      </c>
      <c r="D70" s="28" t="n">
        <f aca="false">IF(AND(B70=1,'Education Cost Forecast'!F90&gt;0,'Education Cost Forecast'!E90=0),'Education Cost Forecast'!$C$45,0)</f>
        <v>0</v>
      </c>
      <c r="E70" s="27" t="n">
        <f aca="false">IF(AND(B70=1,A70&lt;='Education Cost Forecast'!$C$53),1,0)</f>
        <v>0</v>
      </c>
      <c r="F70" s="40" t="n">
        <f aca="false">(1+Esc)^(A70-1)</f>
        <v>3.92012913845866</v>
      </c>
      <c r="G70" s="28" t="n">
        <f aca="false">E70*('Education Cost Forecast'!$C$41*12*MonthlyFactor+'Education Cost Forecast'!$C$42)*F70</f>
        <v>0</v>
      </c>
      <c r="H70" s="28" t="n">
        <f aca="false">E70*UnitFactor*F70</f>
        <v>0</v>
      </c>
      <c r="I70" s="28" t="n">
        <f aca="false">J69+D70-C70</f>
        <v>-12927337.9562431</v>
      </c>
      <c r="J70" s="28" t="n">
        <f aca="false">IF(B70=1,I70*(1+RetRate)+G70,J69)</f>
        <v>-12927337.9562431</v>
      </c>
      <c r="K70" s="28" t="n">
        <f aca="false">L69</f>
        <v>29.8155627999384</v>
      </c>
      <c r="L70" s="28" t="n">
        <f aca="false">IF(B70=1,K70*(1+RetRate)+H70,L69)</f>
        <v>29.8155627999384</v>
      </c>
      <c r="M70" s="40" t="n">
        <f aca="false">(1+RetRate)^(A70-1)</f>
        <v>23.8838664866958</v>
      </c>
      <c r="N70" s="28" t="n">
        <f aca="false">IF(AND(B70=1,C70&gt;0,K70&lt;=0.000000000001,I70&lt;0),-I70/M70,0)</f>
        <v>0</v>
      </c>
      <c r="O70" s="28" t="n">
        <f aca="false">IF(AND(B70=1,C70&gt;0,K70&gt;0.000000000001),-(I70+$C$14*M70)/K70,0)</f>
        <v>0</v>
      </c>
      <c r="P70" s="28" t="n">
        <f aca="false">R69</f>
        <v>0</v>
      </c>
      <c r="Q70" s="28" t="n">
        <f aca="false">H70*$C$15</f>
        <v>0</v>
      </c>
      <c r="R70" s="28" t="n">
        <f aca="false">IF(B70=1,(P70+D70-C70)*(1+RetRate)+G70+Q70,P70)</f>
        <v>0</v>
      </c>
      <c r="S70" s="28" t="n">
        <f aca="false">V69</f>
        <v>0</v>
      </c>
      <c r="T70" s="28" t="n">
        <f aca="false">S70+D70-C70</f>
        <v>0</v>
      </c>
      <c r="U70" s="28" t="n">
        <f aca="false">IF(B70=1,MAX(0,-T70),0)</f>
        <v>0</v>
      </c>
      <c r="V70" s="28" t="n">
        <f aca="false">IF(B70=1,MAX(0,T70)*(1+RetRate)+G70,S70)</f>
        <v>0</v>
      </c>
      <c r="W70" s="28" t="n">
        <f aca="false">IF(A70&lt;=MIN('Education Cost Forecast'!$C$49,'Education Cost Forecast'!$C$53),G70*(1+RetRate)^('Education Cost Forecast'!$C$49-A70),0)</f>
        <v>0</v>
      </c>
      <c r="X70" s="28" t="n">
        <f aca="false">IF(B70=1,P70+D70-C70,0)</f>
        <v>0</v>
      </c>
    </row>
    <row r="71" customFormat="false" ht="15" hidden="false" customHeight="false" outlineLevel="0" collapsed="false">
      <c r="A71" s="27" t="n">
        <v>30</v>
      </c>
      <c r="B71" s="27" t="n">
        <f aca="false">'Education Cost Forecast'!B91</f>
        <v>0</v>
      </c>
      <c r="C71" s="28" t="n">
        <f aca="false">'Education Cost Forecast'!Z91</f>
        <v>0</v>
      </c>
      <c r="D71" s="28" t="n">
        <f aca="false">IF(AND(B71=1,'Education Cost Forecast'!F91&gt;0,'Education Cost Forecast'!E91=0),'Education Cost Forecast'!$C$45,0)</f>
        <v>0</v>
      </c>
      <c r="E71" s="27" t="n">
        <f aca="false">IF(AND(B71=1,A71&lt;='Education Cost Forecast'!$C$53),1,0)</f>
        <v>0</v>
      </c>
      <c r="F71" s="40" t="n">
        <f aca="false">(1+Esc)^(A71-1)</f>
        <v>4.11613559538159</v>
      </c>
      <c r="G71" s="28" t="n">
        <f aca="false">E71*('Education Cost Forecast'!$C$41*12*MonthlyFactor+'Education Cost Forecast'!$C$42)*F71</f>
        <v>0</v>
      </c>
      <c r="H71" s="28" t="n">
        <f aca="false">E71*UnitFactor*F71</f>
        <v>0</v>
      </c>
      <c r="I71" s="28" t="n">
        <f aca="false">J70+D71-C71</f>
        <v>-12927337.9562431</v>
      </c>
      <c r="J71" s="28" t="n">
        <f aca="false">IF(B71=1,I71*(1+RetRate)+G71,J70)</f>
        <v>-12927337.9562431</v>
      </c>
      <c r="K71" s="28" t="n">
        <f aca="false">L70</f>
        <v>29.8155627999384</v>
      </c>
      <c r="L71" s="28" t="n">
        <f aca="false">IF(B71=1,K71*(1+RetRate)+H71,L70)</f>
        <v>29.8155627999384</v>
      </c>
      <c r="M71" s="40" t="n">
        <f aca="false">(1+RetRate)^(A71-1)</f>
        <v>26.7499304650992</v>
      </c>
      <c r="N71" s="28" t="n">
        <f aca="false">IF(AND(B71=1,C71&gt;0,K71&lt;=0.000000000001,I71&lt;0),-I71/M71,0)</f>
        <v>0</v>
      </c>
      <c r="O71" s="28" t="n">
        <f aca="false">IF(AND(B71=1,C71&gt;0,K71&gt;0.000000000001),-(I71+$C$14*M71)/K71,0)</f>
        <v>0</v>
      </c>
      <c r="P71" s="28" t="n">
        <f aca="false">R70</f>
        <v>0</v>
      </c>
      <c r="Q71" s="28" t="n">
        <f aca="false">H71*$C$15</f>
        <v>0</v>
      </c>
      <c r="R71" s="28" t="n">
        <f aca="false">IF(B71=1,(P71+D71-C71)*(1+RetRate)+G71+Q71,P71)</f>
        <v>0</v>
      </c>
      <c r="S71" s="28" t="n">
        <f aca="false">V70</f>
        <v>0</v>
      </c>
      <c r="T71" s="28" t="n">
        <f aca="false">S71+D71-C71</f>
        <v>0</v>
      </c>
      <c r="U71" s="28" t="n">
        <f aca="false">IF(B71=1,MAX(0,-T71),0)</f>
        <v>0</v>
      </c>
      <c r="V71" s="28" t="n">
        <f aca="false">IF(B71=1,MAX(0,T71)*(1+RetRate)+G71,S71)</f>
        <v>0</v>
      </c>
      <c r="W71" s="28" t="n">
        <f aca="false">IF(A71&lt;=MIN('Education Cost Forecast'!$C$49,'Education Cost Forecast'!$C$53),G71*(1+RetRate)^('Education Cost Forecast'!$C$49-A71),0)</f>
        <v>0</v>
      </c>
      <c r="X71" s="28" t="n">
        <f aca="false">IF(B71=1,P71+D71-C71,0)</f>
        <v>0</v>
      </c>
    </row>
    <row r="72" customFormat="false" ht="15" hidden="false" customHeight="false" outlineLevel="0" collapsed="false">
      <c r="A72" s="27" t="n">
        <v>31</v>
      </c>
      <c r="B72" s="27" t="n">
        <f aca="false">'Education Cost Forecast'!B92</f>
        <v>0</v>
      </c>
      <c r="C72" s="28" t="n">
        <f aca="false">'Education Cost Forecast'!Z92</f>
        <v>0</v>
      </c>
      <c r="D72" s="28" t="n">
        <f aca="false">IF(AND(B72=1,'Education Cost Forecast'!F92&gt;0,'Education Cost Forecast'!E92=0),'Education Cost Forecast'!$C$45,0)</f>
        <v>0</v>
      </c>
      <c r="E72" s="27" t="n">
        <f aca="false">IF(AND(B72=1,A72&lt;='Education Cost Forecast'!$C$53),1,0)</f>
        <v>0</v>
      </c>
      <c r="F72" s="40" t="n">
        <f aca="false">(1+Esc)^(A72-1)</f>
        <v>4.32194237515067</v>
      </c>
      <c r="G72" s="28" t="n">
        <f aca="false">E72*('Education Cost Forecast'!$C$41*12*MonthlyFactor+'Education Cost Forecast'!$C$42)*F72</f>
        <v>0</v>
      </c>
      <c r="H72" s="28" t="n">
        <f aca="false">E72*UnitFactor*F72</f>
        <v>0</v>
      </c>
      <c r="I72" s="28" t="n">
        <f aca="false">J71+D72-C72</f>
        <v>-12927337.9562431</v>
      </c>
      <c r="J72" s="28" t="n">
        <f aca="false">IF(B72=1,I72*(1+RetRate)+G72,J71)</f>
        <v>-12927337.9562431</v>
      </c>
      <c r="K72" s="28" t="n">
        <f aca="false">L71</f>
        <v>29.8155627999384</v>
      </c>
      <c r="L72" s="28" t="n">
        <f aca="false">IF(B72=1,K72*(1+RetRate)+H72,L71)</f>
        <v>29.8155627999384</v>
      </c>
      <c r="M72" s="40" t="n">
        <f aca="false">(1+RetRate)^(A72-1)</f>
        <v>29.9599221209112</v>
      </c>
      <c r="N72" s="28" t="n">
        <f aca="false">IF(AND(B72=1,C72&gt;0,K72&lt;=0.000000000001,I72&lt;0),-I72/M72,0)</f>
        <v>0</v>
      </c>
      <c r="O72" s="28" t="n">
        <f aca="false">IF(AND(B72=1,C72&gt;0,K72&gt;0.000000000001),-(I72+$C$14*M72)/K72,0)</f>
        <v>0</v>
      </c>
      <c r="P72" s="28" t="n">
        <f aca="false">R71</f>
        <v>0</v>
      </c>
      <c r="Q72" s="28" t="n">
        <f aca="false">H72*$C$15</f>
        <v>0</v>
      </c>
      <c r="R72" s="28" t="n">
        <f aca="false">IF(B72=1,(P72+D72-C72)*(1+RetRate)+G72+Q72,P72)</f>
        <v>0</v>
      </c>
      <c r="S72" s="28" t="n">
        <f aca="false">V71</f>
        <v>0</v>
      </c>
      <c r="T72" s="28" t="n">
        <f aca="false">S72+D72-C72</f>
        <v>0</v>
      </c>
      <c r="U72" s="28" t="n">
        <f aca="false">IF(B72=1,MAX(0,-T72),0)</f>
        <v>0</v>
      </c>
      <c r="V72" s="28" t="n">
        <f aca="false">IF(B72=1,MAX(0,T72)*(1+RetRate)+G72,S72)</f>
        <v>0</v>
      </c>
      <c r="W72" s="28" t="n">
        <f aca="false">IF(A72&lt;=MIN('Education Cost Forecast'!$C$49,'Education Cost Forecast'!$C$53),G72*(1+RetRate)^('Education Cost Forecast'!$C$49-A72),0)</f>
        <v>0</v>
      </c>
      <c r="X72" s="28" t="n">
        <f aca="false">IF(B72=1,P72+D72-C72,0)</f>
        <v>0</v>
      </c>
    </row>
    <row r="73" customFormat="false" ht="15" hidden="false" customHeight="false" outlineLevel="0" collapsed="false">
      <c r="A73" s="27" t="n">
        <v>32</v>
      </c>
      <c r="B73" s="27" t="n">
        <f aca="false">'Education Cost Forecast'!B93</f>
        <v>0</v>
      </c>
      <c r="C73" s="28" t="n">
        <f aca="false">'Education Cost Forecast'!Z93</f>
        <v>0</v>
      </c>
      <c r="D73" s="28" t="n">
        <f aca="false">IF(AND(B73=1,'Education Cost Forecast'!F93&gt;0,'Education Cost Forecast'!E93=0),'Education Cost Forecast'!$C$45,0)</f>
        <v>0</v>
      </c>
      <c r="E73" s="27" t="n">
        <f aca="false">IF(AND(B73=1,A73&lt;='Education Cost Forecast'!$C$53),1,0)</f>
        <v>0</v>
      </c>
      <c r="F73" s="40" t="n">
        <f aca="false">(1+Esc)^(A73-1)</f>
        <v>4.5380394939082</v>
      </c>
      <c r="G73" s="28" t="n">
        <f aca="false">E73*('Education Cost Forecast'!$C$41*12*MonthlyFactor+'Education Cost Forecast'!$C$42)*F73</f>
        <v>0</v>
      </c>
      <c r="H73" s="28" t="n">
        <f aca="false">E73*UnitFactor*F73</f>
        <v>0</v>
      </c>
      <c r="I73" s="28" t="n">
        <f aca="false">J72+D73-C73</f>
        <v>-12927337.9562431</v>
      </c>
      <c r="J73" s="28" t="n">
        <f aca="false">IF(B73=1,I73*(1+RetRate)+G73,J72)</f>
        <v>-12927337.9562431</v>
      </c>
      <c r="K73" s="28" t="n">
        <f aca="false">L72</f>
        <v>29.8155627999384</v>
      </c>
      <c r="L73" s="28" t="n">
        <f aca="false">IF(B73=1,K73*(1+RetRate)+H73,L72)</f>
        <v>29.8155627999384</v>
      </c>
      <c r="M73" s="40" t="n">
        <f aca="false">(1+RetRate)^(A73-1)</f>
        <v>33.5551127754205</v>
      </c>
      <c r="N73" s="28" t="n">
        <f aca="false">IF(AND(B73=1,C73&gt;0,K73&lt;=0.000000000001,I73&lt;0),-I73/M73,0)</f>
        <v>0</v>
      </c>
      <c r="O73" s="28" t="n">
        <f aca="false">IF(AND(B73=1,C73&gt;0,K73&gt;0.000000000001),-(I73+$C$14*M73)/K73,0)</f>
        <v>0</v>
      </c>
      <c r="P73" s="28" t="n">
        <f aca="false">R72</f>
        <v>0</v>
      </c>
      <c r="Q73" s="28" t="n">
        <f aca="false">H73*$C$15</f>
        <v>0</v>
      </c>
      <c r="R73" s="28" t="n">
        <f aca="false">IF(B73=1,(P73+D73-C73)*(1+RetRate)+G73+Q73,P73)</f>
        <v>0</v>
      </c>
      <c r="S73" s="28" t="n">
        <f aca="false">V72</f>
        <v>0</v>
      </c>
      <c r="T73" s="28" t="n">
        <f aca="false">S73+D73-C73</f>
        <v>0</v>
      </c>
      <c r="U73" s="28" t="n">
        <f aca="false">IF(B73=1,MAX(0,-T73),0)</f>
        <v>0</v>
      </c>
      <c r="V73" s="28" t="n">
        <f aca="false">IF(B73=1,MAX(0,T73)*(1+RetRate)+G73,S73)</f>
        <v>0</v>
      </c>
      <c r="W73" s="28" t="n">
        <f aca="false">IF(A73&lt;=MIN('Education Cost Forecast'!$C$49,'Education Cost Forecast'!$C$53),G73*(1+RetRate)^('Education Cost Forecast'!$C$49-A73),0)</f>
        <v>0</v>
      </c>
      <c r="X73" s="28" t="n">
        <f aca="false">IF(B73=1,P73+D73-C73,0)</f>
        <v>0</v>
      </c>
    </row>
    <row r="74" customFormat="false" ht="15" hidden="false" customHeight="false" outlineLevel="0" collapsed="false">
      <c r="A74" s="27" t="n">
        <v>33</v>
      </c>
      <c r="B74" s="27" t="n">
        <f aca="false">'Education Cost Forecast'!B94</f>
        <v>0</v>
      </c>
      <c r="C74" s="28" t="n">
        <f aca="false">'Education Cost Forecast'!Z94</f>
        <v>0</v>
      </c>
      <c r="D74" s="28" t="n">
        <f aca="false">IF(AND(B74=1,'Education Cost Forecast'!F94&gt;0,'Education Cost Forecast'!E94=0),'Education Cost Forecast'!$C$45,0)</f>
        <v>0</v>
      </c>
      <c r="E74" s="27" t="n">
        <f aca="false">IF(AND(B74=1,A74&lt;='Education Cost Forecast'!$C$53),1,0)</f>
        <v>0</v>
      </c>
      <c r="F74" s="40" t="n">
        <f aca="false">(1+Esc)^(A74-1)</f>
        <v>4.76494146860361</v>
      </c>
      <c r="G74" s="28" t="n">
        <f aca="false">E74*('Education Cost Forecast'!$C$41*12*MonthlyFactor+'Education Cost Forecast'!$C$42)*F74</f>
        <v>0</v>
      </c>
      <c r="H74" s="28" t="n">
        <f aca="false">E74*UnitFactor*F74</f>
        <v>0</v>
      </c>
      <c r="I74" s="28" t="n">
        <f aca="false">J73+D74-C74</f>
        <v>-12927337.9562431</v>
      </c>
      <c r="J74" s="28" t="n">
        <f aca="false">IF(B74=1,I74*(1+RetRate)+G74,J73)</f>
        <v>-12927337.9562431</v>
      </c>
      <c r="K74" s="28" t="n">
        <f aca="false">L73</f>
        <v>29.8155627999384</v>
      </c>
      <c r="L74" s="28" t="n">
        <f aca="false">IF(B74=1,K74*(1+RetRate)+H74,L73)</f>
        <v>29.8155627999384</v>
      </c>
      <c r="M74" s="40" t="n">
        <f aca="false">(1+RetRate)^(A74-1)</f>
        <v>37.581726308471</v>
      </c>
      <c r="N74" s="28" t="n">
        <f aca="false">IF(AND(B74=1,C74&gt;0,K74&lt;=0.000000000001,I74&lt;0),-I74/M74,0)</f>
        <v>0</v>
      </c>
      <c r="O74" s="28" t="n">
        <f aca="false">IF(AND(B74=1,C74&gt;0,K74&gt;0.000000000001),-(I74+$C$14*M74)/K74,0)</f>
        <v>0</v>
      </c>
      <c r="P74" s="28" t="n">
        <f aca="false">R73</f>
        <v>0</v>
      </c>
      <c r="Q74" s="28" t="n">
        <f aca="false">H74*$C$15</f>
        <v>0</v>
      </c>
      <c r="R74" s="28" t="n">
        <f aca="false">IF(B74=1,(P74+D74-C74)*(1+RetRate)+G74+Q74,P74)</f>
        <v>0</v>
      </c>
      <c r="S74" s="28" t="n">
        <f aca="false">V73</f>
        <v>0</v>
      </c>
      <c r="T74" s="28" t="n">
        <f aca="false">S74+D74-C74</f>
        <v>0</v>
      </c>
      <c r="U74" s="28" t="n">
        <f aca="false">IF(B74=1,MAX(0,-T74),0)</f>
        <v>0</v>
      </c>
      <c r="V74" s="28" t="n">
        <f aca="false">IF(B74=1,MAX(0,T74)*(1+RetRate)+G74,S74)</f>
        <v>0</v>
      </c>
      <c r="W74" s="28" t="n">
        <f aca="false">IF(A74&lt;=MIN('Education Cost Forecast'!$C$49,'Education Cost Forecast'!$C$53),G74*(1+RetRate)^('Education Cost Forecast'!$C$49-A74),0)</f>
        <v>0</v>
      </c>
      <c r="X74" s="28" t="n">
        <f aca="false">IF(B74=1,P74+D74-C74,0)</f>
        <v>0</v>
      </c>
    </row>
    <row r="75" customFormat="false" ht="15" hidden="false" customHeight="false" outlineLevel="0" collapsed="false">
      <c r="A75" s="27" t="n">
        <v>34</v>
      </c>
      <c r="B75" s="27" t="n">
        <f aca="false">'Education Cost Forecast'!B95</f>
        <v>0</v>
      </c>
      <c r="C75" s="28" t="n">
        <f aca="false">'Education Cost Forecast'!Z95</f>
        <v>0</v>
      </c>
      <c r="D75" s="28" t="n">
        <f aca="false">IF(AND(B75=1,'Education Cost Forecast'!F95&gt;0,'Education Cost Forecast'!E95=0),'Education Cost Forecast'!$C$45,0)</f>
        <v>0</v>
      </c>
      <c r="E75" s="27" t="n">
        <f aca="false">IF(AND(B75=1,A75&lt;='Education Cost Forecast'!$C$53),1,0)</f>
        <v>0</v>
      </c>
      <c r="F75" s="40" t="n">
        <f aca="false">(1+Esc)^(A75-1)</f>
        <v>5.00318854203379</v>
      </c>
      <c r="G75" s="28" t="n">
        <f aca="false">E75*('Education Cost Forecast'!$C$41*12*MonthlyFactor+'Education Cost Forecast'!$C$42)*F75</f>
        <v>0</v>
      </c>
      <c r="H75" s="28" t="n">
        <f aca="false">E75*UnitFactor*F75</f>
        <v>0</v>
      </c>
      <c r="I75" s="28" t="n">
        <f aca="false">J74+D75-C75</f>
        <v>-12927337.9562431</v>
      </c>
      <c r="J75" s="28" t="n">
        <f aca="false">IF(B75=1,I75*(1+RetRate)+G75,J74)</f>
        <v>-12927337.9562431</v>
      </c>
      <c r="K75" s="28" t="n">
        <f aca="false">L74</f>
        <v>29.8155627999384</v>
      </c>
      <c r="L75" s="28" t="n">
        <f aca="false">IF(B75=1,K75*(1+RetRate)+H75,L74)</f>
        <v>29.8155627999384</v>
      </c>
      <c r="M75" s="40" t="n">
        <f aca="false">(1+RetRate)^(A75-1)</f>
        <v>42.0915334654875</v>
      </c>
      <c r="N75" s="28" t="n">
        <f aca="false">IF(AND(B75=1,C75&gt;0,K75&lt;=0.000000000001,I75&lt;0),-I75/M75,0)</f>
        <v>0</v>
      </c>
      <c r="O75" s="28" t="n">
        <f aca="false">IF(AND(B75=1,C75&gt;0,K75&gt;0.000000000001),-(I75+$C$14*M75)/K75,0)</f>
        <v>0</v>
      </c>
      <c r="P75" s="28" t="n">
        <f aca="false">R74</f>
        <v>0</v>
      </c>
      <c r="Q75" s="28" t="n">
        <f aca="false">H75*$C$15</f>
        <v>0</v>
      </c>
      <c r="R75" s="28" t="n">
        <f aca="false">IF(B75=1,(P75+D75-C75)*(1+RetRate)+G75+Q75,P75)</f>
        <v>0</v>
      </c>
      <c r="S75" s="28" t="n">
        <f aca="false">V74</f>
        <v>0</v>
      </c>
      <c r="T75" s="28" t="n">
        <f aca="false">S75+D75-C75</f>
        <v>0</v>
      </c>
      <c r="U75" s="28" t="n">
        <f aca="false">IF(B75=1,MAX(0,-T75),0)</f>
        <v>0</v>
      </c>
      <c r="V75" s="28" t="n">
        <f aca="false">IF(B75=1,MAX(0,T75)*(1+RetRate)+G75,S75)</f>
        <v>0</v>
      </c>
      <c r="W75" s="28" t="n">
        <f aca="false">IF(A75&lt;=MIN('Education Cost Forecast'!$C$49,'Education Cost Forecast'!$C$53),G75*(1+RetRate)^('Education Cost Forecast'!$C$49-A75),0)</f>
        <v>0</v>
      </c>
      <c r="X75" s="28" t="n">
        <f aca="false">IF(B75=1,P75+D75-C75,0)</f>
        <v>0</v>
      </c>
    </row>
    <row r="76" customFormat="false" ht="15" hidden="false" customHeight="false" outlineLevel="0" collapsed="false">
      <c r="A76" s="27" t="n">
        <v>35</v>
      </c>
      <c r="B76" s="27" t="n">
        <f aca="false">'Education Cost Forecast'!B96</f>
        <v>0</v>
      </c>
      <c r="C76" s="28" t="n">
        <f aca="false">'Education Cost Forecast'!Z96</f>
        <v>0</v>
      </c>
      <c r="D76" s="28" t="n">
        <f aca="false">IF(AND(B76=1,'Education Cost Forecast'!F96&gt;0,'Education Cost Forecast'!E96=0),'Education Cost Forecast'!$C$45,0)</f>
        <v>0</v>
      </c>
      <c r="E76" s="27" t="n">
        <f aca="false">IF(AND(B76=1,A76&lt;='Education Cost Forecast'!$C$53),1,0)</f>
        <v>0</v>
      </c>
      <c r="F76" s="40" t="n">
        <f aca="false">(1+Esc)^(A76-1)</f>
        <v>5.25334796913548</v>
      </c>
      <c r="G76" s="28" t="n">
        <f aca="false">E76*('Education Cost Forecast'!$C$41*12*MonthlyFactor+'Education Cost Forecast'!$C$42)*F76</f>
        <v>0</v>
      </c>
      <c r="H76" s="28" t="n">
        <f aca="false">E76*UnitFactor*F76</f>
        <v>0</v>
      </c>
      <c r="I76" s="28" t="n">
        <f aca="false">J75+D76-C76</f>
        <v>-12927337.9562431</v>
      </c>
      <c r="J76" s="28" t="n">
        <f aca="false">IF(B76=1,I76*(1+RetRate)+G76,J75)</f>
        <v>-12927337.9562431</v>
      </c>
      <c r="K76" s="28" t="n">
        <f aca="false">L75</f>
        <v>29.8155627999384</v>
      </c>
      <c r="L76" s="28" t="n">
        <f aca="false">IF(B76=1,K76*(1+RetRate)+H76,L75)</f>
        <v>29.8155627999384</v>
      </c>
      <c r="M76" s="40" t="n">
        <f aca="false">(1+RetRate)^(A76-1)</f>
        <v>47.142517481346</v>
      </c>
      <c r="N76" s="28" t="n">
        <f aca="false">IF(AND(B76=1,C76&gt;0,K76&lt;=0.000000000001,I76&lt;0),-I76/M76,0)</f>
        <v>0</v>
      </c>
      <c r="O76" s="28" t="n">
        <f aca="false">IF(AND(B76=1,C76&gt;0,K76&gt;0.000000000001),-(I76+$C$14*M76)/K76,0)</f>
        <v>0</v>
      </c>
      <c r="P76" s="28" t="n">
        <f aca="false">R75</f>
        <v>0</v>
      </c>
      <c r="Q76" s="28" t="n">
        <f aca="false">H76*$C$15</f>
        <v>0</v>
      </c>
      <c r="R76" s="28" t="n">
        <f aca="false">IF(B76=1,(P76+D76-C76)*(1+RetRate)+G76+Q76,P76)</f>
        <v>0</v>
      </c>
      <c r="S76" s="28" t="n">
        <f aca="false">V75</f>
        <v>0</v>
      </c>
      <c r="T76" s="28" t="n">
        <f aca="false">S76+D76-C76</f>
        <v>0</v>
      </c>
      <c r="U76" s="28" t="n">
        <f aca="false">IF(B76=1,MAX(0,-T76),0)</f>
        <v>0</v>
      </c>
      <c r="V76" s="28" t="n">
        <f aca="false">IF(B76=1,MAX(0,T76)*(1+RetRate)+G76,S76)</f>
        <v>0</v>
      </c>
      <c r="W76" s="28" t="n">
        <f aca="false">IF(A76&lt;=MIN('Education Cost Forecast'!$C$49,'Education Cost Forecast'!$C$53),G76*(1+RetRate)^('Education Cost Forecast'!$C$49-A76),0)</f>
        <v>0</v>
      </c>
      <c r="X76" s="28" t="n">
        <f aca="false">IF(B76=1,P76+D76-C76,0)</f>
        <v>0</v>
      </c>
    </row>
    <row r="77" customFormat="false" ht="15" hidden="false" customHeight="false" outlineLevel="0" collapsed="false">
      <c r="A77" s="27" t="n">
        <v>36</v>
      </c>
      <c r="B77" s="27" t="n">
        <f aca="false">'Education Cost Forecast'!B97</f>
        <v>0</v>
      </c>
      <c r="C77" s="28" t="n">
        <f aca="false">'Education Cost Forecast'!Z97</f>
        <v>0</v>
      </c>
      <c r="D77" s="28" t="n">
        <f aca="false">IF(AND(B77=1,'Education Cost Forecast'!F97&gt;0,'Education Cost Forecast'!E97=0),'Education Cost Forecast'!$C$45,0)</f>
        <v>0</v>
      </c>
      <c r="E77" s="27" t="n">
        <f aca="false">IF(AND(B77=1,A77&lt;='Education Cost Forecast'!$C$53),1,0)</f>
        <v>0</v>
      </c>
      <c r="F77" s="40" t="n">
        <f aca="false">(1+Esc)^(A77-1)</f>
        <v>5.51601536759226</v>
      </c>
      <c r="G77" s="28" t="n">
        <f aca="false">E77*('Education Cost Forecast'!$C$41*12*MonthlyFactor+'Education Cost Forecast'!$C$42)*F77</f>
        <v>0</v>
      </c>
      <c r="H77" s="28" t="n">
        <f aca="false">E77*UnitFactor*F77</f>
        <v>0</v>
      </c>
      <c r="I77" s="28" t="n">
        <f aca="false">J76+D77-C77</f>
        <v>-12927337.9562431</v>
      </c>
      <c r="J77" s="28" t="n">
        <f aca="false">IF(B77=1,I77*(1+RetRate)+G77,J76)</f>
        <v>-12927337.9562431</v>
      </c>
      <c r="K77" s="28" t="n">
        <f aca="false">L76</f>
        <v>29.8155627999384</v>
      </c>
      <c r="L77" s="28" t="n">
        <f aca="false">IF(B77=1,K77*(1+RetRate)+H77,L76)</f>
        <v>29.8155627999384</v>
      </c>
      <c r="M77" s="40" t="n">
        <f aca="false">(1+RetRate)^(A77-1)</f>
        <v>52.7996195791075</v>
      </c>
      <c r="N77" s="28" t="n">
        <f aca="false">IF(AND(B77=1,C77&gt;0,K77&lt;=0.000000000001,I77&lt;0),-I77/M77,0)</f>
        <v>0</v>
      </c>
      <c r="O77" s="28" t="n">
        <f aca="false">IF(AND(B77=1,C77&gt;0,K77&gt;0.000000000001),-(I77+$C$14*M77)/K77,0)</f>
        <v>0</v>
      </c>
      <c r="P77" s="28" t="n">
        <f aca="false">R76</f>
        <v>0</v>
      </c>
      <c r="Q77" s="28" t="n">
        <f aca="false">H77*$C$15</f>
        <v>0</v>
      </c>
      <c r="R77" s="28" t="n">
        <f aca="false">IF(B77=1,(P77+D77-C77)*(1+RetRate)+G77+Q77,P77)</f>
        <v>0</v>
      </c>
      <c r="S77" s="28" t="n">
        <f aca="false">V76</f>
        <v>0</v>
      </c>
      <c r="T77" s="28" t="n">
        <f aca="false">S77+D77-C77</f>
        <v>0</v>
      </c>
      <c r="U77" s="28" t="n">
        <f aca="false">IF(B77=1,MAX(0,-T77),0)</f>
        <v>0</v>
      </c>
      <c r="V77" s="28" t="n">
        <f aca="false">IF(B77=1,MAX(0,T77)*(1+RetRate)+G77,S77)</f>
        <v>0</v>
      </c>
      <c r="W77" s="28" t="n">
        <f aca="false">IF(A77&lt;=MIN('Education Cost Forecast'!$C$49,'Education Cost Forecast'!$C$53),G77*(1+RetRate)^('Education Cost Forecast'!$C$49-A77),0)</f>
        <v>0</v>
      </c>
      <c r="X77" s="28" t="n">
        <f aca="false">IF(B77=1,P77+D77-C77,0)</f>
        <v>0</v>
      </c>
    </row>
    <row r="78" customFormat="false" ht="15" hidden="false" customHeight="false" outlineLevel="0" collapsed="false">
      <c r="A78" s="27" t="n">
        <v>37</v>
      </c>
      <c r="B78" s="27" t="n">
        <f aca="false">'Education Cost Forecast'!B98</f>
        <v>0</v>
      </c>
      <c r="C78" s="28" t="n">
        <f aca="false">'Education Cost Forecast'!Z98</f>
        <v>0</v>
      </c>
      <c r="D78" s="28" t="n">
        <f aca="false">IF(AND(B78=1,'Education Cost Forecast'!F98&gt;0,'Education Cost Forecast'!E98=0),'Education Cost Forecast'!$C$45,0)</f>
        <v>0</v>
      </c>
      <c r="E78" s="27" t="n">
        <f aca="false">IF(AND(B78=1,A78&lt;='Education Cost Forecast'!$C$53),1,0)</f>
        <v>0</v>
      </c>
      <c r="F78" s="40" t="n">
        <f aca="false">(1+Esc)^(A78-1)</f>
        <v>5.79181613597187</v>
      </c>
      <c r="G78" s="28" t="n">
        <f aca="false">E78*('Education Cost Forecast'!$C$41*12*MonthlyFactor+'Education Cost Forecast'!$C$42)*F78</f>
        <v>0</v>
      </c>
      <c r="H78" s="28" t="n">
        <f aca="false">E78*UnitFactor*F78</f>
        <v>0</v>
      </c>
      <c r="I78" s="28" t="n">
        <f aca="false">J77+D78-C78</f>
        <v>-12927337.9562431</v>
      </c>
      <c r="J78" s="28" t="n">
        <f aca="false">IF(B78=1,I78*(1+RetRate)+G78,J77)</f>
        <v>-12927337.9562431</v>
      </c>
      <c r="K78" s="28" t="n">
        <f aca="false">L77</f>
        <v>29.8155627999384</v>
      </c>
      <c r="L78" s="28" t="n">
        <f aca="false">IF(B78=1,K78*(1+RetRate)+H78,L77)</f>
        <v>29.8155627999384</v>
      </c>
      <c r="M78" s="40" t="n">
        <f aca="false">(1+RetRate)^(A78-1)</f>
        <v>59.1355739286004</v>
      </c>
      <c r="N78" s="28" t="n">
        <f aca="false">IF(AND(B78=1,C78&gt;0,K78&lt;=0.000000000001,I78&lt;0),-I78/M78,0)</f>
        <v>0</v>
      </c>
      <c r="O78" s="28" t="n">
        <f aca="false">IF(AND(B78=1,C78&gt;0,K78&gt;0.000000000001),-(I78+$C$14*M78)/K78,0)</f>
        <v>0</v>
      </c>
      <c r="P78" s="28" t="n">
        <f aca="false">R77</f>
        <v>0</v>
      </c>
      <c r="Q78" s="28" t="n">
        <f aca="false">H78*$C$15</f>
        <v>0</v>
      </c>
      <c r="R78" s="28" t="n">
        <f aca="false">IF(B78=1,(P78+D78-C78)*(1+RetRate)+G78+Q78,P78)</f>
        <v>0</v>
      </c>
      <c r="S78" s="28" t="n">
        <f aca="false">V77</f>
        <v>0</v>
      </c>
      <c r="T78" s="28" t="n">
        <f aca="false">S78+D78-C78</f>
        <v>0</v>
      </c>
      <c r="U78" s="28" t="n">
        <f aca="false">IF(B78=1,MAX(0,-T78),0)</f>
        <v>0</v>
      </c>
      <c r="V78" s="28" t="n">
        <f aca="false">IF(B78=1,MAX(0,T78)*(1+RetRate)+G78,S78)</f>
        <v>0</v>
      </c>
      <c r="W78" s="28" t="n">
        <f aca="false">IF(A78&lt;=MIN('Education Cost Forecast'!$C$49,'Education Cost Forecast'!$C$53),G78*(1+RetRate)^('Education Cost Forecast'!$C$49-A78),0)</f>
        <v>0</v>
      </c>
      <c r="X78" s="28" t="n">
        <f aca="false">IF(B78=1,P78+D78-C78,0)</f>
        <v>0</v>
      </c>
    </row>
    <row r="79" customFormat="false" ht="15" hidden="false" customHeight="false" outlineLevel="0" collapsed="false">
      <c r="A79" s="27" t="n">
        <v>38</v>
      </c>
      <c r="B79" s="27" t="n">
        <f aca="false">'Education Cost Forecast'!B99</f>
        <v>0</v>
      </c>
      <c r="C79" s="28" t="n">
        <f aca="false">'Education Cost Forecast'!Z99</f>
        <v>0</v>
      </c>
      <c r="D79" s="28" t="n">
        <f aca="false">IF(AND(B79=1,'Education Cost Forecast'!F99&gt;0,'Education Cost Forecast'!E99=0),'Education Cost Forecast'!$C$45,0)</f>
        <v>0</v>
      </c>
      <c r="E79" s="27" t="n">
        <f aca="false">IF(AND(B79=1,A79&lt;='Education Cost Forecast'!$C$53),1,0)</f>
        <v>0</v>
      </c>
      <c r="F79" s="40" t="n">
        <f aca="false">(1+Esc)^(A79-1)</f>
        <v>6.08140694277046</v>
      </c>
      <c r="G79" s="28" t="n">
        <f aca="false">E79*('Education Cost Forecast'!$C$41*12*MonthlyFactor+'Education Cost Forecast'!$C$42)*F79</f>
        <v>0</v>
      </c>
      <c r="H79" s="28" t="n">
        <f aca="false">E79*UnitFactor*F79</f>
        <v>0</v>
      </c>
      <c r="I79" s="28" t="n">
        <f aca="false">J78+D79-C79</f>
        <v>-12927337.9562431</v>
      </c>
      <c r="J79" s="28" t="n">
        <f aca="false">IF(B79=1,I79*(1+RetRate)+G79,J78)</f>
        <v>-12927337.9562431</v>
      </c>
      <c r="K79" s="28" t="n">
        <f aca="false">L78</f>
        <v>29.8155627999384</v>
      </c>
      <c r="L79" s="28" t="n">
        <f aca="false">IF(B79=1,K79*(1+RetRate)+H79,L78)</f>
        <v>29.8155627999384</v>
      </c>
      <c r="M79" s="40" t="n">
        <f aca="false">(1+RetRate)^(A79-1)</f>
        <v>66.2318428000325</v>
      </c>
      <c r="N79" s="28" t="n">
        <f aca="false">IF(AND(B79=1,C79&gt;0,K79&lt;=0.000000000001,I79&lt;0),-I79/M79,0)</f>
        <v>0</v>
      </c>
      <c r="O79" s="28" t="n">
        <f aca="false">IF(AND(B79=1,C79&gt;0,K79&gt;0.000000000001),-(I79+$C$14*M79)/K79,0)</f>
        <v>0</v>
      </c>
      <c r="P79" s="28" t="n">
        <f aca="false">R78</f>
        <v>0</v>
      </c>
      <c r="Q79" s="28" t="n">
        <f aca="false">H79*$C$15</f>
        <v>0</v>
      </c>
      <c r="R79" s="28" t="n">
        <f aca="false">IF(B79=1,(P79+D79-C79)*(1+RetRate)+G79+Q79,P79)</f>
        <v>0</v>
      </c>
      <c r="S79" s="28" t="n">
        <f aca="false">V78</f>
        <v>0</v>
      </c>
      <c r="T79" s="28" t="n">
        <f aca="false">S79+D79-C79</f>
        <v>0</v>
      </c>
      <c r="U79" s="28" t="n">
        <f aca="false">IF(B79=1,MAX(0,-T79),0)</f>
        <v>0</v>
      </c>
      <c r="V79" s="28" t="n">
        <f aca="false">IF(B79=1,MAX(0,T79)*(1+RetRate)+G79,S79)</f>
        <v>0</v>
      </c>
      <c r="W79" s="28" t="n">
        <f aca="false">IF(A79&lt;=MIN('Education Cost Forecast'!$C$49,'Education Cost Forecast'!$C$53),G79*(1+RetRate)^('Education Cost Forecast'!$C$49-A79),0)</f>
        <v>0</v>
      </c>
      <c r="X79" s="28" t="n">
        <f aca="false">IF(B79=1,P79+D79-C79,0)</f>
        <v>0</v>
      </c>
    </row>
    <row r="80" customFormat="false" ht="15" hidden="false" customHeight="false" outlineLevel="0" collapsed="false">
      <c r="A80" s="27" t="n">
        <v>39</v>
      </c>
      <c r="B80" s="27" t="n">
        <f aca="false">'Education Cost Forecast'!B100</f>
        <v>0</v>
      </c>
      <c r="C80" s="28" t="n">
        <f aca="false">'Education Cost Forecast'!Z100</f>
        <v>0</v>
      </c>
      <c r="D80" s="28" t="n">
        <f aca="false">IF(AND(B80=1,'Education Cost Forecast'!F100&gt;0,'Education Cost Forecast'!E100=0),'Education Cost Forecast'!$C$45,0)</f>
        <v>0</v>
      </c>
      <c r="E80" s="27" t="n">
        <f aca="false">IF(AND(B80=1,A80&lt;='Education Cost Forecast'!$C$53),1,0)</f>
        <v>0</v>
      </c>
      <c r="F80" s="40" t="n">
        <f aca="false">(1+Esc)^(A80-1)</f>
        <v>6.38547728990899</v>
      </c>
      <c r="G80" s="28" t="n">
        <f aca="false">E80*('Education Cost Forecast'!$C$41*12*MonthlyFactor+'Education Cost Forecast'!$C$42)*F80</f>
        <v>0</v>
      </c>
      <c r="H80" s="28" t="n">
        <f aca="false">E80*UnitFactor*F80</f>
        <v>0</v>
      </c>
      <c r="I80" s="28" t="n">
        <f aca="false">J79+D80-C80</f>
        <v>-12927337.9562431</v>
      </c>
      <c r="J80" s="28" t="n">
        <f aca="false">IF(B80=1,I80*(1+RetRate)+G80,J79)</f>
        <v>-12927337.9562431</v>
      </c>
      <c r="K80" s="28" t="n">
        <f aca="false">L79</f>
        <v>29.8155627999384</v>
      </c>
      <c r="L80" s="28" t="n">
        <f aca="false">IF(B80=1,K80*(1+RetRate)+H80,L79)</f>
        <v>29.8155627999384</v>
      </c>
      <c r="M80" s="40" t="n">
        <f aca="false">(1+RetRate)^(A80-1)</f>
        <v>74.1796639360364</v>
      </c>
      <c r="N80" s="28" t="n">
        <f aca="false">IF(AND(B80=1,C80&gt;0,K80&lt;=0.000000000001,I80&lt;0),-I80/M80,0)</f>
        <v>0</v>
      </c>
      <c r="O80" s="28" t="n">
        <f aca="false">IF(AND(B80=1,C80&gt;0,K80&gt;0.000000000001),-(I80+$C$14*M80)/K80,0)</f>
        <v>0</v>
      </c>
      <c r="P80" s="28" t="n">
        <f aca="false">R79</f>
        <v>0</v>
      </c>
      <c r="Q80" s="28" t="n">
        <f aca="false">H80*$C$15</f>
        <v>0</v>
      </c>
      <c r="R80" s="28" t="n">
        <f aca="false">IF(B80=1,(P80+D80-C80)*(1+RetRate)+G80+Q80,P80)</f>
        <v>0</v>
      </c>
      <c r="S80" s="28" t="n">
        <f aca="false">V79</f>
        <v>0</v>
      </c>
      <c r="T80" s="28" t="n">
        <f aca="false">S80+D80-C80</f>
        <v>0</v>
      </c>
      <c r="U80" s="28" t="n">
        <f aca="false">IF(B80=1,MAX(0,-T80),0)</f>
        <v>0</v>
      </c>
      <c r="V80" s="28" t="n">
        <f aca="false">IF(B80=1,MAX(0,T80)*(1+RetRate)+G80,S80)</f>
        <v>0</v>
      </c>
      <c r="W80" s="28" t="n">
        <f aca="false">IF(A80&lt;=MIN('Education Cost Forecast'!$C$49,'Education Cost Forecast'!$C$53),G80*(1+RetRate)^('Education Cost Forecast'!$C$49-A80),0)</f>
        <v>0</v>
      </c>
      <c r="X80" s="28" t="n">
        <f aca="false">IF(B80=1,P80+D80-C80,0)</f>
        <v>0</v>
      </c>
    </row>
    <row r="81" customFormat="false" ht="15" hidden="false" customHeight="false" outlineLevel="0" collapsed="false">
      <c r="A81" s="27" t="n">
        <v>40</v>
      </c>
      <c r="B81" s="27" t="n">
        <f aca="false">'Education Cost Forecast'!B101</f>
        <v>0</v>
      </c>
      <c r="C81" s="28" t="n">
        <f aca="false">'Education Cost Forecast'!Z101</f>
        <v>0</v>
      </c>
      <c r="D81" s="28" t="n">
        <f aca="false">IF(AND(B81=1,'Education Cost Forecast'!F101&gt;0,'Education Cost Forecast'!E101=0),'Education Cost Forecast'!$C$45,0)</f>
        <v>0</v>
      </c>
      <c r="E81" s="27" t="n">
        <f aca="false">IF(AND(B81=1,A81&lt;='Education Cost Forecast'!$C$53),1,0)</f>
        <v>0</v>
      </c>
      <c r="F81" s="40" t="n">
        <f aca="false">(1+Esc)^(A81-1)</f>
        <v>6.70475115440444</v>
      </c>
      <c r="G81" s="28" t="n">
        <f aca="false">E81*('Education Cost Forecast'!$C$41*12*MonthlyFactor+'Education Cost Forecast'!$C$42)*F81</f>
        <v>0</v>
      </c>
      <c r="H81" s="28" t="n">
        <f aca="false">E81*UnitFactor*F81</f>
        <v>0</v>
      </c>
      <c r="I81" s="28" t="n">
        <f aca="false">J80+D81-C81</f>
        <v>-12927337.9562431</v>
      </c>
      <c r="J81" s="28" t="n">
        <f aca="false">IF(B81=1,I81*(1+RetRate)+G81,J80)</f>
        <v>-12927337.9562431</v>
      </c>
      <c r="K81" s="28" t="n">
        <f aca="false">L80</f>
        <v>29.8155627999384</v>
      </c>
      <c r="L81" s="28" t="n">
        <f aca="false">IF(B81=1,K81*(1+RetRate)+H81,L80)</f>
        <v>29.8155627999384</v>
      </c>
      <c r="M81" s="40" t="n">
        <f aca="false">(1+RetRate)^(A81-1)</f>
        <v>83.0812236083607</v>
      </c>
      <c r="N81" s="28" t="n">
        <f aca="false">IF(AND(B81=1,C81&gt;0,K81&lt;=0.000000000001,I81&lt;0),-I81/M81,0)</f>
        <v>0</v>
      </c>
      <c r="O81" s="28" t="n">
        <f aca="false">IF(AND(B81=1,C81&gt;0,K81&gt;0.000000000001),-(I81+$C$14*M81)/K81,0)</f>
        <v>0</v>
      </c>
      <c r="P81" s="28" t="n">
        <f aca="false">R80</f>
        <v>0</v>
      </c>
      <c r="Q81" s="28" t="n">
        <f aca="false">H81*$C$15</f>
        <v>0</v>
      </c>
      <c r="R81" s="28" t="n">
        <f aca="false">IF(B81=1,(P81+D81-C81)*(1+RetRate)+G81+Q81,P81)</f>
        <v>0</v>
      </c>
      <c r="S81" s="28" t="n">
        <f aca="false">V80</f>
        <v>0</v>
      </c>
      <c r="T81" s="28" t="n">
        <f aca="false">S81+D81-C81</f>
        <v>0</v>
      </c>
      <c r="U81" s="28" t="n">
        <f aca="false">IF(B81=1,MAX(0,-T81),0)</f>
        <v>0</v>
      </c>
      <c r="V81" s="28" t="n">
        <f aca="false">IF(B81=1,MAX(0,T81)*(1+RetRate)+G81,S81)</f>
        <v>0</v>
      </c>
      <c r="W81" s="28" t="n">
        <f aca="false">IF(A81&lt;=MIN('Education Cost Forecast'!$C$49,'Education Cost Forecast'!$C$53),G81*(1+RetRate)^('Education Cost Forecast'!$C$49-A81),0)</f>
        <v>0</v>
      </c>
      <c r="X81" s="28" t="n">
        <f aca="false">IF(B81=1,P81+D81-C81,0)</f>
        <v>0</v>
      </c>
    </row>
    <row r="82" customFormat="false" ht="15" hidden="false" customHeight="false" outlineLevel="0" collapsed="false">
      <c r="A82" s="27" t="n">
        <v>41</v>
      </c>
      <c r="B82" s="27" t="n">
        <f aca="false">'Education Cost Forecast'!B102</f>
        <v>0</v>
      </c>
      <c r="C82" s="28" t="n">
        <f aca="false">'Education Cost Forecast'!Z102</f>
        <v>0</v>
      </c>
      <c r="D82" s="28" t="n">
        <f aca="false">IF(AND(B82=1,'Education Cost Forecast'!F102&gt;0,'Education Cost Forecast'!E102=0),'Education Cost Forecast'!$C$45,0)</f>
        <v>0</v>
      </c>
      <c r="E82" s="27" t="n">
        <f aca="false">IF(AND(B82=1,A82&lt;='Education Cost Forecast'!$C$53),1,0)</f>
        <v>0</v>
      </c>
      <c r="F82" s="40" t="n">
        <f aca="false">(1+Esc)^(A82-1)</f>
        <v>7.03998871212466</v>
      </c>
      <c r="G82" s="28" t="n">
        <f aca="false">E82*('Education Cost Forecast'!$C$41*12*MonthlyFactor+'Education Cost Forecast'!$C$42)*F82</f>
        <v>0</v>
      </c>
      <c r="H82" s="28" t="n">
        <f aca="false">E82*UnitFactor*F82</f>
        <v>0</v>
      </c>
      <c r="I82" s="28" t="n">
        <f aca="false">J81+D82-C82</f>
        <v>-12927337.9562431</v>
      </c>
      <c r="J82" s="28" t="n">
        <f aca="false">IF(B82=1,I82*(1+RetRate)+G82,J81)</f>
        <v>-12927337.9562431</v>
      </c>
      <c r="K82" s="28" t="n">
        <f aca="false">L81</f>
        <v>29.8155627999384</v>
      </c>
      <c r="L82" s="28" t="n">
        <f aca="false">IF(B82=1,K82*(1+RetRate)+H82,L81)</f>
        <v>29.8155627999384</v>
      </c>
      <c r="M82" s="40" t="n">
        <f aca="false">(1+RetRate)^(A82-1)</f>
        <v>93.050970441364</v>
      </c>
      <c r="N82" s="28" t="n">
        <f aca="false">IF(AND(B82=1,C82&gt;0,K82&lt;=0.000000000001,I82&lt;0),-I82/M82,0)</f>
        <v>0</v>
      </c>
      <c r="O82" s="28" t="n">
        <f aca="false">IF(AND(B82=1,C82&gt;0,K82&gt;0.000000000001),-(I82+$C$14*M82)/K82,0)</f>
        <v>0</v>
      </c>
      <c r="P82" s="28" t="n">
        <f aca="false">R81</f>
        <v>0</v>
      </c>
      <c r="Q82" s="28" t="n">
        <f aca="false">H82*$C$15</f>
        <v>0</v>
      </c>
      <c r="R82" s="28" t="n">
        <f aca="false">IF(B82=1,(P82+D82-C82)*(1+RetRate)+G82+Q82,P82)</f>
        <v>0</v>
      </c>
      <c r="S82" s="28" t="n">
        <f aca="false">V81</f>
        <v>0</v>
      </c>
      <c r="T82" s="28" t="n">
        <f aca="false">S82+D82-C82</f>
        <v>0</v>
      </c>
      <c r="U82" s="28" t="n">
        <f aca="false">IF(B82=1,MAX(0,-T82),0)</f>
        <v>0</v>
      </c>
      <c r="V82" s="28" t="n">
        <f aca="false">IF(B82=1,MAX(0,T82)*(1+RetRate)+G82,S82)</f>
        <v>0</v>
      </c>
      <c r="W82" s="28" t="n">
        <f aca="false">IF(A82&lt;=MIN('Education Cost Forecast'!$C$49,'Education Cost Forecast'!$C$53),G82*(1+RetRate)^('Education Cost Forecast'!$C$49-A82),0)</f>
        <v>0</v>
      </c>
      <c r="X82" s="28" t="n">
        <f aca="false">IF(B82=1,P82+D82-C82,0)</f>
        <v>0</v>
      </c>
    </row>
    <row r="83" customFormat="false" ht="15" hidden="false" customHeight="false" outlineLevel="0" collapsed="false">
      <c r="A83" s="27" t="n">
        <v>42</v>
      </c>
      <c r="B83" s="27" t="n">
        <f aca="false">'Education Cost Forecast'!B103</f>
        <v>0</v>
      </c>
      <c r="C83" s="28" t="n">
        <f aca="false">'Education Cost Forecast'!Z103</f>
        <v>0</v>
      </c>
      <c r="D83" s="28" t="n">
        <f aca="false">IF(AND(B83=1,'Education Cost Forecast'!F103&gt;0,'Education Cost Forecast'!E103=0),'Education Cost Forecast'!$C$45,0)</f>
        <v>0</v>
      </c>
      <c r="E83" s="27" t="n">
        <f aca="false">IF(AND(B83=1,A83&lt;='Education Cost Forecast'!$C$53),1,0)</f>
        <v>0</v>
      </c>
      <c r="F83" s="40" t="n">
        <f aca="false">(1+Esc)^(A83-1)</f>
        <v>7.39198814773089</v>
      </c>
      <c r="G83" s="28" t="n">
        <f aca="false">E83*('Education Cost Forecast'!$C$41*12*MonthlyFactor+'Education Cost Forecast'!$C$42)*F83</f>
        <v>0</v>
      </c>
      <c r="H83" s="28" t="n">
        <f aca="false">E83*UnitFactor*F83</f>
        <v>0</v>
      </c>
      <c r="I83" s="28" t="n">
        <f aca="false">J82+D83-C83</f>
        <v>-12927337.9562431</v>
      </c>
      <c r="J83" s="28" t="n">
        <f aca="false">IF(B83=1,I83*(1+RetRate)+G83,J82)</f>
        <v>-12927337.9562431</v>
      </c>
      <c r="K83" s="28" t="n">
        <f aca="false">L82</f>
        <v>29.8155627999384</v>
      </c>
      <c r="L83" s="28" t="n">
        <f aca="false">IF(B83=1,K83*(1+RetRate)+H83,L82)</f>
        <v>29.8155627999384</v>
      </c>
      <c r="M83" s="40" t="n">
        <f aca="false">(1+RetRate)^(A83-1)</f>
        <v>104.217086894328</v>
      </c>
      <c r="N83" s="28" t="n">
        <f aca="false">IF(AND(B83=1,C83&gt;0,K83&lt;=0.000000000001,I83&lt;0),-I83/M83,0)</f>
        <v>0</v>
      </c>
      <c r="O83" s="28" t="n">
        <f aca="false">IF(AND(B83=1,C83&gt;0,K83&gt;0.000000000001),-(I83+$C$14*M83)/K83,0)</f>
        <v>0</v>
      </c>
      <c r="P83" s="28" t="n">
        <f aca="false">R82</f>
        <v>0</v>
      </c>
      <c r="Q83" s="28" t="n">
        <f aca="false">H83*$C$15</f>
        <v>0</v>
      </c>
      <c r="R83" s="28" t="n">
        <f aca="false">IF(B83=1,(P83+D83-C83)*(1+RetRate)+G83+Q83,P83)</f>
        <v>0</v>
      </c>
      <c r="S83" s="28" t="n">
        <f aca="false">V82</f>
        <v>0</v>
      </c>
      <c r="T83" s="28" t="n">
        <f aca="false">S83+D83-C83</f>
        <v>0</v>
      </c>
      <c r="U83" s="28" t="n">
        <f aca="false">IF(B83=1,MAX(0,-T83),0)</f>
        <v>0</v>
      </c>
      <c r="V83" s="28" t="n">
        <f aca="false">IF(B83=1,MAX(0,T83)*(1+RetRate)+G83,S83)</f>
        <v>0</v>
      </c>
      <c r="W83" s="28" t="n">
        <f aca="false">IF(A83&lt;=MIN('Education Cost Forecast'!$C$49,'Education Cost Forecast'!$C$53),G83*(1+RetRate)^('Education Cost Forecast'!$C$49-A83),0)</f>
        <v>0</v>
      </c>
      <c r="X83" s="28" t="n">
        <f aca="false">IF(B83=1,P83+D83-C83,0)</f>
        <v>0</v>
      </c>
    </row>
    <row r="84" customFormat="false" ht="15" hidden="false" customHeight="false" outlineLevel="0" collapsed="false">
      <c r="A84" s="27" t="n">
        <v>43</v>
      </c>
      <c r="B84" s="27" t="n">
        <f aca="false">'Education Cost Forecast'!B104</f>
        <v>0</v>
      </c>
      <c r="C84" s="28" t="n">
        <f aca="false">'Education Cost Forecast'!Z104</f>
        <v>0</v>
      </c>
      <c r="D84" s="28" t="n">
        <f aca="false">IF(AND(B84=1,'Education Cost Forecast'!F104&gt;0,'Education Cost Forecast'!E104=0),'Education Cost Forecast'!$C$45,0)</f>
        <v>0</v>
      </c>
      <c r="E84" s="27" t="n">
        <f aca="false">IF(AND(B84=1,A84&lt;='Education Cost Forecast'!$C$53),1,0)</f>
        <v>0</v>
      </c>
      <c r="F84" s="40" t="n">
        <f aca="false">(1+Esc)^(A84-1)</f>
        <v>7.76158755511744</v>
      </c>
      <c r="G84" s="28" t="n">
        <f aca="false">E84*('Education Cost Forecast'!$C$41*12*MonthlyFactor+'Education Cost Forecast'!$C$42)*F84</f>
        <v>0</v>
      </c>
      <c r="H84" s="28" t="n">
        <f aca="false">E84*UnitFactor*F84</f>
        <v>0</v>
      </c>
      <c r="I84" s="28" t="n">
        <f aca="false">J83+D84-C84</f>
        <v>-12927337.9562431</v>
      </c>
      <c r="J84" s="28" t="n">
        <f aca="false">IF(B84=1,I84*(1+RetRate)+G84,J83)</f>
        <v>-12927337.9562431</v>
      </c>
      <c r="K84" s="28" t="n">
        <f aca="false">L83</f>
        <v>29.8155627999384</v>
      </c>
      <c r="L84" s="28" t="n">
        <f aca="false">IF(B84=1,K84*(1+RetRate)+H84,L83)</f>
        <v>29.8155627999384</v>
      </c>
      <c r="M84" s="40" t="n">
        <f aca="false">(1+RetRate)^(A84-1)</f>
        <v>116.723137321647</v>
      </c>
      <c r="N84" s="28" t="n">
        <f aca="false">IF(AND(B84=1,C84&gt;0,K84&lt;=0.000000000001,I84&lt;0),-I84/M84,0)</f>
        <v>0</v>
      </c>
      <c r="O84" s="28" t="n">
        <f aca="false">IF(AND(B84=1,C84&gt;0,K84&gt;0.000000000001),-(I84+$C$14*M84)/K84,0)</f>
        <v>0</v>
      </c>
      <c r="P84" s="28" t="n">
        <f aca="false">R83</f>
        <v>0</v>
      </c>
      <c r="Q84" s="28" t="n">
        <f aca="false">H84*$C$15</f>
        <v>0</v>
      </c>
      <c r="R84" s="28" t="n">
        <f aca="false">IF(B84=1,(P84+D84-C84)*(1+RetRate)+G84+Q84,P84)</f>
        <v>0</v>
      </c>
      <c r="S84" s="28" t="n">
        <f aca="false">V83</f>
        <v>0</v>
      </c>
      <c r="T84" s="28" t="n">
        <f aca="false">S84+D84-C84</f>
        <v>0</v>
      </c>
      <c r="U84" s="28" t="n">
        <f aca="false">IF(B84=1,MAX(0,-T84),0)</f>
        <v>0</v>
      </c>
      <c r="V84" s="28" t="n">
        <f aca="false">IF(B84=1,MAX(0,T84)*(1+RetRate)+G84,S84)</f>
        <v>0</v>
      </c>
      <c r="W84" s="28" t="n">
        <f aca="false">IF(A84&lt;=MIN('Education Cost Forecast'!$C$49,'Education Cost Forecast'!$C$53),G84*(1+RetRate)^('Education Cost Forecast'!$C$49-A84),0)</f>
        <v>0</v>
      </c>
      <c r="X84" s="28" t="n">
        <f aca="false">IF(B84=1,P84+D84-C84,0)</f>
        <v>0</v>
      </c>
    </row>
    <row r="85" customFormat="false" ht="15" hidden="false" customHeight="false" outlineLevel="0" collapsed="false">
      <c r="A85" s="27" t="n">
        <v>44</v>
      </c>
      <c r="B85" s="27" t="n">
        <f aca="false">'Education Cost Forecast'!B105</f>
        <v>0</v>
      </c>
      <c r="C85" s="28" t="n">
        <f aca="false">'Education Cost Forecast'!Z105</f>
        <v>0</v>
      </c>
      <c r="D85" s="28" t="n">
        <f aca="false">IF(AND(B85=1,'Education Cost Forecast'!F105&gt;0,'Education Cost Forecast'!E105=0),'Education Cost Forecast'!$C$45,0)</f>
        <v>0</v>
      </c>
      <c r="E85" s="27" t="n">
        <f aca="false">IF(AND(B85=1,A85&lt;='Education Cost Forecast'!$C$53),1,0)</f>
        <v>0</v>
      </c>
      <c r="F85" s="40" t="n">
        <f aca="false">(1+Esc)^(A85-1)</f>
        <v>8.14966693287331</v>
      </c>
      <c r="G85" s="28" t="n">
        <f aca="false">E85*('Education Cost Forecast'!$C$41*12*MonthlyFactor+'Education Cost Forecast'!$C$42)*F85</f>
        <v>0</v>
      </c>
      <c r="H85" s="28" t="n">
        <f aca="false">E85*UnitFactor*F85</f>
        <v>0</v>
      </c>
      <c r="I85" s="28" t="n">
        <f aca="false">J84+D85-C85</f>
        <v>-12927337.9562431</v>
      </c>
      <c r="J85" s="28" t="n">
        <f aca="false">IF(B85=1,I85*(1+RetRate)+G85,J84)</f>
        <v>-12927337.9562431</v>
      </c>
      <c r="K85" s="28" t="n">
        <f aca="false">L84</f>
        <v>29.8155627999384</v>
      </c>
      <c r="L85" s="28" t="n">
        <f aca="false">IF(B85=1,K85*(1+RetRate)+H85,L84)</f>
        <v>29.8155627999384</v>
      </c>
      <c r="M85" s="40" t="n">
        <f aca="false">(1+RetRate)^(A85-1)</f>
        <v>130.729913800245</v>
      </c>
      <c r="N85" s="28" t="n">
        <f aca="false">IF(AND(B85=1,C85&gt;0,K85&lt;=0.000000000001,I85&lt;0),-I85/M85,0)</f>
        <v>0</v>
      </c>
      <c r="O85" s="28" t="n">
        <f aca="false">IF(AND(B85=1,C85&gt;0,K85&gt;0.000000000001),-(I85+$C$14*M85)/K85,0)</f>
        <v>0</v>
      </c>
      <c r="P85" s="28" t="n">
        <f aca="false">R84</f>
        <v>0</v>
      </c>
      <c r="Q85" s="28" t="n">
        <f aca="false">H85*$C$15</f>
        <v>0</v>
      </c>
      <c r="R85" s="28" t="n">
        <f aca="false">IF(B85=1,(P85+D85-C85)*(1+RetRate)+G85+Q85,P85)</f>
        <v>0</v>
      </c>
      <c r="S85" s="28" t="n">
        <f aca="false">V84</f>
        <v>0</v>
      </c>
      <c r="T85" s="28" t="n">
        <f aca="false">S85+D85-C85</f>
        <v>0</v>
      </c>
      <c r="U85" s="28" t="n">
        <f aca="false">IF(B85=1,MAX(0,-T85),0)</f>
        <v>0</v>
      </c>
      <c r="V85" s="28" t="n">
        <f aca="false">IF(B85=1,MAX(0,T85)*(1+RetRate)+G85,S85)</f>
        <v>0</v>
      </c>
      <c r="W85" s="28" t="n">
        <f aca="false">IF(A85&lt;=MIN('Education Cost Forecast'!$C$49,'Education Cost Forecast'!$C$53),G85*(1+RetRate)^('Education Cost Forecast'!$C$49-A85),0)</f>
        <v>0</v>
      </c>
      <c r="X85" s="28" t="n">
        <f aca="false">IF(B85=1,P85+D85-C85,0)</f>
        <v>0</v>
      </c>
    </row>
    <row r="86" customFormat="false" ht="15" hidden="false" customHeight="false" outlineLevel="0" collapsed="false">
      <c r="A86" s="27" t="n">
        <v>45</v>
      </c>
      <c r="B86" s="27" t="n">
        <f aca="false">'Education Cost Forecast'!B106</f>
        <v>0</v>
      </c>
      <c r="C86" s="28" t="n">
        <f aca="false">'Education Cost Forecast'!Z106</f>
        <v>0</v>
      </c>
      <c r="D86" s="28" t="n">
        <f aca="false">IF(AND(B86=1,'Education Cost Forecast'!F106&gt;0,'Education Cost Forecast'!E106=0),'Education Cost Forecast'!$C$45,0)</f>
        <v>0</v>
      </c>
      <c r="E86" s="27" t="n">
        <f aca="false">IF(AND(B86=1,A86&lt;='Education Cost Forecast'!$C$53),1,0)</f>
        <v>0</v>
      </c>
      <c r="F86" s="40" t="n">
        <f aca="false">(1+Esc)^(A86-1)</f>
        <v>8.55715027951698</v>
      </c>
      <c r="G86" s="28" t="n">
        <f aca="false">E86*('Education Cost Forecast'!$C$41*12*MonthlyFactor+'Education Cost Forecast'!$C$42)*F86</f>
        <v>0</v>
      </c>
      <c r="H86" s="28" t="n">
        <f aca="false">E86*UnitFactor*F86</f>
        <v>0</v>
      </c>
      <c r="I86" s="28" t="n">
        <f aca="false">J85+D86-C86</f>
        <v>-12927337.9562431</v>
      </c>
      <c r="J86" s="28" t="n">
        <f aca="false">IF(B86=1,I86*(1+RetRate)+G86,J85)</f>
        <v>-12927337.9562431</v>
      </c>
      <c r="K86" s="28" t="n">
        <f aca="false">L85</f>
        <v>29.8155627999384</v>
      </c>
      <c r="L86" s="28" t="n">
        <f aca="false">IF(B86=1,K86*(1+RetRate)+H86,L85)</f>
        <v>29.8155627999384</v>
      </c>
      <c r="M86" s="40" t="n">
        <f aca="false">(1+RetRate)^(A86-1)</f>
        <v>146.417503456274</v>
      </c>
      <c r="N86" s="28" t="n">
        <f aca="false">IF(AND(B86=1,C86&gt;0,K86&lt;=0.000000000001,I86&lt;0),-I86/M86,0)</f>
        <v>0</v>
      </c>
      <c r="O86" s="28" t="n">
        <f aca="false">IF(AND(B86=1,C86&gt;0,K86&gt;0.000000000001),-(I86+$C$14*M86)/K86,0)</f>
        <v>0</v>
      </c>
      <c r="P86" s="28" t="n">
        <f aca="false">R85</f>
        <v>0</v>
      </c>
      <c r="Q86" s="28" t="n">
        <f aca="false">H86*$C$15</f>
        <v>0</v>
      </c>
      <c r="R86" s="28" t="n">
        <f aca="false">IF(B86=1,(P86+D86-C86)*(1+RetRate)+G86+Q86,P86)</f>
        <v>0</v>
      </c>
      <c r="S86" s="28" t="n">
        <f aca="false">V85</f>
        <v>0</v>
      </c>
      <c r="T86" s="28" t="n">
        <f aca="false">S86+D86-C86</f>
        <v>0</v>
      </c>
      <c r="U86" s="28" t="n">
        <f aca="false">IF(B86=1,MAX(0,-T86),0)</f>
        <v>0</v>
      </c>
      <c r="V86" s="28" t="n">
        <f aca="false">IF(B86=1,MAX(0,T86)*(1+RetRate)+G86,S86)</f>
        <v>0</v>
      </c>
      <c r="W86" s="28" t="n">
        <f aca="false">IF(A86&lt;=MIN('Education Cost Forecast'!$C$49,'Education Cost Forecast'!$C$53),G86*(1+RetRate)^('Education Cost Forecast'!$C$49-A86),0)</f>
        <v>0</v>
      </c>
      <c r="X86" s="28" t="n">
        <f aca="false">IF(B86=1,P86+D86-C86,0)</f>
        <v>0</v>
      </c>
    </row>
    <row r="87" customFormat="false" ht="15" hidden="false" customHeight="false" outlineLevel="0" collapsed="false">
      <c r="A87" s="27" t="n">
        <v>46</v>
      </c>
      <c r="B87" s="27" t="n">
        <f aca="false">'Education Cost Forecast'!B107</f>
        <v>0</v>
      </c>
      <c r="C87" s="28" t="n">
        <f aca="false">'Education Cost Forecast'!Z107</f>
        <v>0</v>
      </c>
      <c r="D87" s="28" t="n">
        <f aca="false">IF(AND(B87=1,'Education Cost Forecast'!F107&gt;0,'Education Cost Forecast'!E107=0),'Education Cost Forecast'!$C$45,0)</f>
        <v>0</v>
      </c>
      <c r="E87" s="27" t="n">
        <f aca="false">IF(AND(B87=1,A87&lt;='Education Cost Forecast'!$C$53),1,0)</f>
        <v>0</v>
      </c>
      <c r="F87" s="40" t="n">
        <f aca="false">(1+Esc)^(A87-1)</f>
        <v>8.98500779349282</v>
      </c>
      <c r="G87" s="28" t="n">
        <f aca="false">E87*('Education Cost Forecast'!$C$41*12*MonthlyFactor+'Education Cost Forecast'!$C$42)*F87</f>
        <v>0</v>
      </c>
      <c r="H87" s="28" t="n">
        <f aca="false">E87*UnitFactor*F87</f>
        <v>0</v>
      </c>
      <c r="I87" s="28" t="n">
        <f aca="false">J86+D87-C87</f>
        <v>-12927337.9562431</v>
      </c>
      <c r="J87" s="28" t="n">
        <f aca="false">IF(B87=1,I87*(1+RetRate)+G87,J86)</f>
        <v>-12927337.9562431</v>
      </c>
      <c r="K87" s="28" t="n">
        <f aca="false">L86</f>
        <v>29.8155627999384</v>
      </c>
      <c r="L87" s="28" t="n">
        <f aca="false">IF(B87=1,K87*(1+RetRate)+H87,L86)</f>
        <v>29.8155627999384</v>
      </c>
      <c r="M87" s="40" t="n">
        <f aca="false">(1+RetRate)^(A87-1)</f>
        <v>163.987603871027</v>
      </c>
      <c r="N87" s="28" t="n">
        <f aca="false">IF(AND(B87=1,C87&gt;0,K87&lt;=0.000000000001,I87&lt;0),-I87/M87,0)</f>
        <v>0</v>
      </c>
      <c r="O87" s="28" t="n">
        <f aca="false">IF(AND(B87=1,C87&gt;0,K87&gt;0.000000000001),-(I87+$C$14*M87)/K87,0)</f>
        <v>0</v>
      </c>
      <c r="P87" s="28" t="n">
        <f aca="false">R86</f>
        <v>0</v>
      </c>
      <c r="Q87" s="28" t="n">
        <f aca="false">H87*$C$15</f>
        <v>0</v>
      </c>
      <c r="R87" s="28" t="n">
        <f aca="false">IF(B87=1,(P87+D87-C87)*(1+RetRate)+G87+Q87,P87)</f>
        <v>0</v>
      </c>
      <c r="S87" s="28" t="n">
        <f aca="false">V86</f>
        <v>0</v>
      </c>
      <c r="T87" s="28" t="n">
        <f aca="false">S87+D87-C87</f>
        <v>0</v>
      </c>
      <c r="U87" s="28" t="n">
        <f aca="false">IF(B87=1,MAX(0,-T87),0)</f>
        <v>0</v>
      </c>
      <c r="V87" s="28" t="n">
        <f aca="false">IF(B87=1,MAX(0,T87)*(1+RetRate)+G87,S87)</f>
        <v>0</v>
      </c>
      <c r="W87" s="28" t="n">
        <f aca="false">IF(A87&lt;=MIN('Education Cost Forecast'!$C$49,'Education Cost Forecast'!$C$53),G87*(1+RetRate)^('Education Cost Forecast'!$C$49-A87),0)</f>
        <v>0</v>
      </c>
      <c r="X87" s="28" t="n">
        <f aca="false">IF(B87=1,P87+D87-C87,0)</f>
        <v>0</v>
      </c>
    </row>
    <row r="88" customFormat="false" ht="15" hidden="false" customHeight="false" outlineLevel="0" collapsed="false">
      <c r="A88" s="27" t="n">
        <v>47</v>
      </c>
      <c r="B88" s="27" t="n">
        <f aca="false">'Education Cost Forecast'!B108</f>
        <v>0</v>
      </c>
      <c r="C88" s="28" t="n">
        <f aca="false">'Education Cost Forecast'!Z108</f>
        <v>0</v>
      </c>
      <c r="D88" s="28" t="n">
        <f aca="false">IF(AND(B88=1,'Education Cost Forecast'!F108&gt;0,'Education Cost Forecast'!E108=0),'Education Cost Forecast'!$C$45,0)</f>
        <v>0</v>
      </c>
      <c r="E88" s="27" t="n">
        <f aca="false">IF(AND(B88=1,A88&lt;='Education Cost Forecast'!$C$53),1,0)</f>
        <v>0</v>
      </c>
      <c r="F88" s="40" t="n">
        <f aca="false">(1+Esc)^(A88-1)</f>
        <v>9.43425818316747</v>
      </c>
      <c r="G88" s="28" t="n">
        <f aca="false">E88*('Education Cost Forecast'!$C$41*12*MonthlyFactor+'Education Cost Forecast'!$C$42)*F88</f>
        <v>0</v>
      </c>
      <c r="H88" s="28" t="n">
        <f aca="false">E88*UnitFactor*F88</f>
        <v>0</v>
      </c>
      <c r="I88" s="28" t="n">
        <f aca="false">J87+D88-C88</f>
        <v>-12927337.9562431</v>
      </c>
      <c r="J88" s="28" t="n">
        <f aca="false">IF(B88=1,I88*(1+RetRate)+G88,J87)</f>
        <v>-12927337.9562431</v>
      </c>
      <c r="K88" s="28" t="n">
        <f aca="false">L87</f>
        <v>29.8155627999384</v>
      </c>
      <c r="L88" s="28" t="n">
        <f aca="false">IF(B88=1,K88*(1+RetRate)+H88,L87)</f>
        <v>29.8155627999384</v>
      </c>
      <c r="M88" s="40" t="n">
        <f aca="false">(1+RetRate)^(A88-1)</f>
        <v>183.66611633555</v>
      </c>
      <c r="N88" s="28" t="n">
        <f aca="false">IF(AND(B88=1,C88&gt;0,K88&lt;=0.000000000001,I88&lt;0),-I88/M88,0)</f>
        <v>0</v>
      </c>
      <c r="O88" s="28" t="n">
        <f aca="false">IF(AND(B88=1,C88&gt;0,K88&gt;0.000000000001),-(I88+$C$14*M88)/K88,0)</f>
        <v>0</v>
      </c>
      <c r="P88" s="28" t="n">
        <f aca="false">R87</f>
        <v>0</v>
      </c>
      <c r="Q88" s="28" t="n">
        <f aca="false">H88*$C$15</f>
        <v>0</v>
      </c>
      <c r="R88" s="28" t="n">
        <f aca="false">IF(B88=1,(P88+D88-C88)*(1+RetRate)+G88+Q88,P88)</f>
        <v>0</v>
      </c>
      <c r="S88" s="28" t="n">
        <f aca="false">V87</f>
        <v>0</v>
      </c>
      <c r="T88" s="28" t="n">
        <f aca="false">S88+D88-C88</f>
        <v>0</v>
      </c>
      <c r="U88" s="28" t="n">
        <f aca="false">IF(B88=1,MAX(0,-T88),0)</f>
        <v>0</v>
      </c>
      <c r="V88" s="28" t="n">
        <f aca="false">IF(B88=1,MAX(0,T88)*(1+RetRate)+G88,S88)</f>
        <v>0</v>
      </c>
      <c r="W88" s="28" t="n">
        <f aca="false">IF(A88&lt;=MIN('Education Cost Forecast'!$C$49,'Education Cost Forecast'!$C$53),G88*(1+RetRate)^('Education Cost Forecast'!$C$49-A88),0)</f>
        <v>0</v>
      </c>
      <c r="X88" s="28" t="n">
        <f aca="false">IF(B88=1,P88+D88-C88,0)</f>
        <v>0</v>
      </c>
    </row>
    <row r="89" customFormat="false" ht="15" hidden="false" customHeight="false" outlineLevel="0" collapsed="false">
      <c r="A89" s="27" t="n">
        <v>48</v>
      </c>
      <c r="B89" s="27" t="n">
        <f aca="false">'Education Cost Forecast'!B109</f>
        <v>0</v>
      </c>
      <c r="C89" s="28" t="n">
        <f aca="false">'Education Cost Forecast'!Z109</f>
        <v>0</v>
      </c>
      <c r="D89" s="28" t="n">
        <f aca="false">IF(AND(B89=1,'Education Cost Forecast'!F109&gt;0,'Education Cost Forecast'!E109=0),'Education Cost Forecast'!$C$45,0)</f>
        <v>0</v>
      </c>
      <c r="E89" s="27" t="n">
        <f aca="false">IF(AND(B89=1,A89&lt;='Education Cost Forecast'!$C$53),1,0)</f>
        <v>0</v>
      </c>
      <c r="F89" s="40" t="n">
        <f aca="false">(1+Esc)^(A89-1)</f>
        <v>9.90597109232584</v>
      </c>
      <c r="G89" s="28" t="n">
        <f aca="false">E89*('Education Cost Forecast'!$C$41*12*MonthlyFactor+'Education Cost Forecast'!$C$42)*F89</f>
        <v>0</v>
      </c>
      <c r="H89" s="28" t="n">
        <f aca="false">E89*UnitFactor*F89</f>
        <v>0</v>
      </c>
      <c r="I89" s="28" t="n">
        <f aca="false">J88+D89-C89</f>
        <v>-12927337.9562431</v>
      </c>
      <c r="J89" s="28" t="n">
        <f aca="false">IF(B89=1,I89*(1+RetRate)+G89,J88)</f>
        <v>-12927337.9562431</v>
      </c>
      <c r="K89" s="28" t="n">
        <f aca="false">L88</f>
        <v>29.8155627999384</v>
      </c>
      <c r="L89" s="28" t="n">
        <f aca="false">IF(B89=1,K89*(1+RetRate)+H89,L88)</f>
        <v>29.8155627999384</v>
      </c>
      <c r="M89" s="40" t="n">
        <f aca="false">(1+RetRate)^(A89-1)</f>
        <v>205.706050295816</v>
      </c>
      <c r="N89" s="28" t="n">
        <f aca="false">IF(AND(B89=1,C89&gt;0,K89&lt;=0.000000000001,I89&lt;0),-I89/M89,0)</f>
        <v>0</v>
      </c>
      <c r="O89" s="28" t="n">
        <f aca="false">IF(AND(B89=1,C89&gt;0,K89&gt;0.000000000001),-(I89+$C$14*M89)/K89,0)</f>
        <v>0</v>
      </c>
      <c r="P89" s="28" t="n">
        <f aca="false">R88</f>
        <v>0</v>
      </c>
      <c r="Q89" s="28" t="n">
        <f aca="false">H89*$C$15</f>
        <v>0</v>
      </c>
      <c r="R89" s="28" t="n">
        <f aca="false">IF(B89=1,(P89+D89-C89)*(1+RetRate)+G89+Q89,P89)</f>
        <v>0</v>
      </c>
      <c r="S89" s="28" t="n">
        <f aca="false">V88</f>
        <v>0</v>
      </c>
      <c r="T89" s="28" t="n">
        <f aca="false">S89+D89-C89</f>
        <v>0</v>
      </c>
      <c r="U89" s="28" t="n">
        <f aca="false">IF(B89=1,MAX(0,-T89),0)</f>
        <v>0</v>
      </c>
      <c r="V89" s="28" t="n">
        <f aca="false">IF(B89=1,MAX(0,T89)*(1+RetRate)+G89,S89)</f>
        <v>0</v>
      </c>
      <c r="W89" s="28" t="n">
        <f aca="false">IF(A89&lt;=MIN('Education Cost Forecast'!$C$49,'Education Cost Forecast'!$C$53),G89*(1+RetRate)^('Education Cost Forecast'!$C$49-A89),0)</f>
        <v>0</v>
      </c>
      <c r="X89" s="28" t="n">
        <f aca="false">IF(B89=1,P89+D89-C89,0)</f>
        <v>0</v>
      </c>
    </row>
    <row r="90" customFormat="false" ht="15" hidden="false" customHeight="false" outlineLevel="0" collapsed="false">
      <c r="A90" s="27" t="n">
        <v>49</v>
      </c>
      <c r="B90" s="27" t="n">
        <f aca="false">'Education Cost Forecast'!B110</f>
        <v>0</v>
      </c>
      <c r="C90" s="28" t="n">
        <f aca="false">'Education Cost Forecast'!Z110</f>
        <v>0</v>
      </c>
      <c r="D90" s="28" t="n">
        <f aca="false">IF(AND(B90=1,'Education Cost Forecast'!F110&gt;0,'Education Cost Forecast'!E110=0),'Education Cost Forecast'!$C$45,0)</f>
        <v>0</v>
      </c>
      <c r="E90" s="27" t="n">
        <f aca="false">IF(AND(B90=1,A90&lt;='Education Cost Forecast'!$C$53),1,0)</f>
        <v>0</v>
      </c>
      <c r="F90" s="40" t="n">
        <f aca="false">(1+Esc)^(A90-1)</f>
        <v>10.4012696469421</v>
      </c>
      <c r="G90" s="28" t="n">
        <f aca="false">E90*('Education Cost Forecast'!$C$41*12*MonthlyFactor+'Education Cost Forecast'!$C$42)*F90</f>
        <v>0</v>
      </c>
      <c r="H90" s="28" t="n">
        <f aca="false">E90*UnitFactor*F90</f>
        <v>0</v>
      </c>
      <c r="I90" s="28" t="n">
        <f aca="false">J89+D90-C90</f>
        <v>-12927337.9562431</v>
      </c>
      <c r="J90" s="28" t="n">
        <f aca="false">IF(B90=1,I90*(1+RetRate)+G90,J89)</f>
        <v>-12927337.9562431</v>
      </c>
      <c r="K90" s="28" t="n">
        <f aca="false">L89</f>
        <v>29.8155627999384</v>
      </c>
      <c r="L90" s="28" t="n">
        <f aca="false">IF(B90=1,K90*(1+RetRate)+H90,L89)</f>
        <v>29.8155627999384</v>
      </c>
      <c r="M90" s="40" t="n">
        <f aca="false">(1+RetRate)^(A90-1)</f>
        <v>230.390776331314</v>
      </c>
      <c r="N90" s="28" t="n">
        <f aca="false">IF(AND(B90=1,C90&gt;0,K90&lt;=0.000000000001,I90&lt;0),-I90/M90,0)</f>
        <v>0</v>
      </c>
      <c r="O90" s="28" t="n">
        <f aca="false">IF(AND(B90=1,C90&gt;0,K90&gt;0.000000000001),-(I90+$C$14*M90)/K90,0)</f>
        <v>0</v>
      </c>
      <c r="P90" s="28" t="n">
        <f aca="false">R89</f>
        <v>0</v>
      </c>
      <c r="Q90" s="28" t="n">
        <f aca="false">H90*$C$15</f>
        <v>0</v>
      </c>
      <c r="R90" s="28" t="n">
        <f aca="false">IF(B90=1,(P90+D90-C90)*(1+RetRate)+G90+Q90,P90)</f>
        <v>0</v>
      </c>
      <c r="S90" s="28" t="n">
        <f aca="false">V89</f>
        <v>0</v>
      </c>
      <c r="T90" s="28" t="n">
        <f aca="false">S90+D90-C90</f>
        <v>0</v>
      </c>
      <c r="U90" s="28" t="n">
        <f aca="false">IF(B90=1,MAX(0,-T90),0)</f>
        <v>0</v>
      </c>
      <c r="V90" s="28" t="n">
        <f aca="false">IF(B90=1,MAX(0,T90)*(1+RetRate)+G90,S90)</f>
        <v>0</v>
      </c>
      <c r="W90" s="28" t="n">
        <f aca="false">IF(A90&lt;=MIN('Education Cost Forecast'!$C$49,'Education Cost Forecast'!$C$53),G90*(1+RetRate)^('Education Cost Forecast'!$C$49-A90),0)</f>
        <v>0</v>
      </c>
      <c r="X90" s="28" t="n">
        <f aca="false">IF(B90=1,P90+D90-C90,0)</f>
        <v>0</v>
      </c>
    </row>
    <row r="91" customFormat="false" ht="15" hidden="false" customHeight="false" outlineLevel="0" collapsed="false">
      <c r="A91" s="27" t="n">
        <v>50</v>
      </c>
      <c r="B91" s="27" t="n">
        <f aca="false">'Education Cost Forecast'!B111</f>
        <v>0</v>
      </c>
      <c r="C91" s="28" t="n">
        <f aca="false">'Education Cost Forecast'!Z111</f>
        <v>0</v>
      </c>
      <c r="D91" s="28" t="n">
        <f aca="false">IF(AND(B91=1,'Education Cost Forecast'!F111&gt;0,'Education Cost Forecast'!E111=0),'Education Cost Forecast'!$C$45,0)</f>
        <v>0</v>
      </c>
      <c r="E91" s="27" t="n">
        <f aca="false">IF(AND(B91=1,A91&lt;='Education Cost Forecast'!$C$53),1,0)</f>
        <v>0</v>
      </c>
      <c r="F91" s="40" t="n">
        <f aca="false">(1+Esc)^(A91-1)</f>
        <v>10.9213331292892</v>
      </c>
      <c r="G91" s="28" t="n">
        <f aca="false">E91*('Education Cost Forecast'!$C$41*12*MonthlyFactor+'Education Cost Forecast'!$C$42)*F91</f>
        <v>0</v>
      </c>
      <c r="H91" s="28" t="n">
        <f aca="false">E91*UnitFactor*F91</f>
        <v>0</v>
      </c>
      <c r="I91" s="28" t="n">
        <f aca="false">J90+D91-C91</f>
        <v>-12927337.9562431</v>
      </c>
      <c r="J91" s="28" t="n">
        <f aca="false">IF(B91=1,I91*(1+RetRate)+G91,J90)</f>
        <v>-12927337.9562431</v>
      </c>
      <c r="K91" s="28" t="n">
        <f aca="false">L90</f>
        <v>29.8155627999384</v>
      </c>
      <c r="L91" s="28" t="n">
        <f aca="false">IF(B91=1,K91*(1+RetRate)+H91,L90)</f>
        <v>29.8155627999384</v>
      </c>
      <c r="M91" s="40" t="n">
        <f aca="false">(1+RetRate)^(A91-1)</f>
        <v>258.037669491072</v>
      </c>
      <c r="N91" s="28" t="n">
        <f aca="false">IF(AND(B91=1,C91&gt;0,K91&lt;=0.000000000001,I91&lt;0),-I91/M91,0)</f>
        <v>0</v>
      </c>
      <c r="O91" s="28" t="n">
        <f aca="false">IF(AND(B91=1,C91&gt;0,K91&gt;0.000000000001),-(I91+$C$14*M91)/K91,0)</f>
        <v>0</v>
      </c>
      <c r="P91" s="28" t="n">
        <f aca="false">R90</f>
        <v>0</v>
      </c>
      <c r="Q91" s="28" t="n">
        <f aca="false">H91*$C$15</f>
        <v>0</v>
      </c>
      <c r="R91" s="28" t="n">
        <f aca="false">IF(B91=1,(P91+D91-C91)*(1+RetRate)+G91+Q91,P91)</f>
        <v>0</v>
      </c>
      <c r="S91" s="28" t="n">
        <f aca="false">V90</f>
        <v>0</v>
      </c>
      <c r="T91" s="28" t="n">
        <f aca="false">S91+D91-C91</f>
        <v>0</v>
      </c>
      <c r="U91" s="28" t="n">
        <f aca="false">IF(B91=1,MAX(0,-T91),0)</f>
        <v>0</v>
      </c>
      <c r="V91" s="28" t="n">
        <f aca="false">IF(B91=1,MAX(0,T91)*(1+RetRate)+G91,S91)</f>
        <v>0</v>
      </c>
      <c r="W91" s="28" t="n">
        <f aca="false">IF(A91&lt;=MIN('Education Cost Forecast'!$C$49,'Education Cost Forecast'!$C$53),G91*(1+RetRate)^('Education Cost Forecast'!$C$49-A91),0)</f>
        <v>0</v>
      </c>
      <c r="X91" s="28" t="n">
        <f aca="false">IF(B91=1,P91+D91-C91,0)</f>
        <v>0</v>
      </c>
    </row>
    <row r="92" customFormat="false" ht="15" hidden="false" customHeight="false" outlineLevel="0" collapsed="false">
      <c r="A92" s="27" t="n">
        <v>51</v>
      </c>
      <c r="B92" s="27" t="n">
        <f aca="false">'Education Cost Forecast'!B112</f>
        <v>0</v>
      </c>
      <c r="C92" s="28" t="n">
        <f aca="false">'Education Cost Forecast'!Z112</f>
        <v>0</v>
      </c>
      <c r="D92" s="28" t="n">
        <f aca="false">IF(AND(B92=1,'Education Cost Forecast'!F112&gt;0,'Education Cost Forecast'!E112=0),'Education Cost Forecast'!$C$45,0)</f>
        <v>0</v>
      </c>
      <c r="E92" s="27" t="n">
        <f aca="false">IF(AND(B92=1,A92&lt;='Education Cost Forecast'!$C$53),1,0)</f>
        <v>0</v>
      </c>
      <c r="F92" s="40" t="n">
        <f aca="false">(1+Esc)^(A92-1)</f>
        <v>11.4673997857537</v>
      </c>
      <c r="G92" s="28" t="n">
        <f aca="false">E92*('Education Cost Forecast'!$C$41*12*MonthlyFactor+'Education Cost Forecast'!$C$42)*F92</f>
        <v>0</v>
      </c>
      <c r="H92" s="28" t="n">
        <f aca="false">E92*UnitFactor*F92</f>
        <v>0</v>
      </c>
      <c r="I92" s="28" t="n">
        <f aca="false">J91+D92-C92</f>
        <v>-12927337.9562431</v>
      </c>
      <c r="J92" s="28" t="n">
        <f aca="false">IF(B92=1,I92*(1+RetRate)+G92,J91)</f>
        <v>-12927337.9562431</v>
      </c>
      <c r="K92" s="28" t="n">
        <f aca="false">L91</f>
        <v>29.8155627999384</v>
      </c>
      <c r="L92" s="28" t="n">
        <f aca="false">IF(B92=1,K92*(1+RetRate)+H92,L91)</f>
        <v>29.8155627999384</v>
      </c>
      <c r="M92" s="40" t="n">
        <f aca="false">(1+RetRate)^(A92-1)</f>
        <v>289.002189830001</v>
      </c>
      <c r="N92" s="28" t="n">
        <f aca="false">IF(AND(B92=1,C92&gt;0,K92&lt;=0.000000000001,I92&lt;0),-I92/M92,0)</f>
        <v>0</v>
      </c>
      <c r="O92" s="28" t="n">
        <f aca="false">IF(AND(B92=1,C92&gt;0,K92&gt;0.000000000001),-(I92+$C$14*M92)/K92,0)</f>
        <v>0</v>
      </c>
      <c r="P92" s="28" t="n">
        <f aca="false">R91</f>
        <v>0</v>
      </c>
      <c r="Q92" s="28" t="n">
        <f aca="false">H92*$C$15</f>
        <v>0</v>
      </c>
      <c r="R92" s="28" t="n">
        <f aca="false">IF(B92=1,(P92+D92-C92)*(1+RetRate)+G92+Q92,P92)</f>
        <v>0</v>
      </c>
      <c r="S92" s="28" t="n">
        <f aca="false">V91</f>
        <v>0</v>
      </c>
      <c r="T92" s="28" t="n">
        <f aca="false">S92+D92-C92</f>
        <v>0</v>
      </c>
      <c r="U92" s="28" t="n">
        <f aca="false">IF(B92=1,MAX(0,-T92),0)</f>
        <v>0</v>
      </c>
      <c r="V92" s="28" t="n">
        <f aca="false">IF(B92=1,MAX(0,T92)*(1+RetRate)+G92,S92)</f>
        <v>0</v>
      </c>
      <c r="W92" s="28" t="n">
        <f aca="false">IF(A92&lt;=MIN('Education Cost Forecast'!$C$49,'Education Cost Forecast'!$C$53),G92*(1+RetRate)^('Education Cost Forecast'!$C$49-A92),0)</f>
        <v>0</v>
      </c>
      <c r="X92" s="28" t="n">
        <f aca="false">IF(B92=1,P92+D92-C92,0)</f>
        <v>0</v>
      </c>
    </row>
    <row r="93" customFormat="false" ht="15" hidden="false" customHeight="false" outlineLevel="0" collapsed="false">
      <c r="A93" s="27" t="n">
        <v>52</v>
      </c>
      <c r="B93" s="27" t="n">
        <f aca="false">'Education Cost Forecast'!B113</f>
        <v>0</v>
      </c>
      <c r="C93" s="28" t="n">
        <f aca="false">'Education Cost Forecast'!Z113</f>
        <v>0</v>
      </c>
      <c r="D93" s="28" t="n">
        <f aca="false">IF(AND(B93=1,'Education Cost Forecast'!F113&gt;0,'Education Cost Forecast'!E113=0),'Education Cost Forecast'!$C$45,0)</f>
        <v>0</v>
      </c>
      <c r="E93" s="27" t="n">
        <f aca="false">IF(AND(B93=1,A93&lt;='Education Cost Forecast'!$C$53),1,0)</f>
        <v>0</v>
      </c>
      <c r="F93" s="40" t="n">
        <f aca="false">(1+Esc)^(A93-1)</f>
        <v>12.0407697750414</v>
      </c>
      <c r="G93" s="28" t="n">
        <f aca="false">E93*('Education Cost Forecast'!$C$41*12*MonthlyFactor+'Education Cost Forecast'!$C$42)*F93</f>
        <v>0</v>
      </c>
      <c r="H93" s="28" t="n">
        <f aca="false">E93*UnitFactor*F93</f>
        <v>0</v>
      </c>
      <c r="I93" s="28" t="n">
        <f aca="false">J92+D93-C93</f>
        <v>-12927337.9562431</v>
      </c>
      <c r="J93" s="28" t="n">
        <f aca="false">IF(B93=1,I93*(1+RetRate)+G93,J92)</f>
        <v>-12927337.9562431</v>
      </c>
      <c r="K93" s="28" t="n">
        <f aca="false">L92</f>
        <v>29.8155627999384</v>
      </c>
      <c r="L93" s="28" t="n">
        <f aca="false">IF(B93=1,K93*(1+RetRate)+H93,L92)</f>
        <v>29.8155627999384</v>
      </c>
      <c r="M93" s="40" t="n">
        <f aca="false">(1+RetRate)^(A93-1)</f>
        <v>323.682452609601</v>
      </c>
      <c r="N93" s="28" t="n">
        <f aca="false">IF(AND(B93=1,C93&gt;0,K93&lt;=0.000000000001,I93&lt;0),-I93/M93,0)</f>
        <v>0</v>
      </c>
      <c r="O93" s="28" t="n">
        <f aca="false">IF(AND(B93=1,C93&gt;0,K93&gt;0.000000000001),-(I93+$C$14*M93)/K93,0)</f>
        <v>0</v>
      </c>
      <c r="P93" s="28" t="n">
        <f aca="false">R92</f>
        <v>0</v>
      </c>
      <c r="Q93" s="28" t="n">
        <f aca="false">H93*$C$15</f>
        <v>0</v>
      </c>
      <c r="R93" s="28" t="n">
        <f aca="false">IF(B93=1,(P93+D93-C93)*(1+RetRate)+G93+Q93,P93)</f>
        <v>0</v>
      </c>
      <c r="S93" s="28" t="n">
        <f aca="false">V92</f>
        <v>0</v>
      </c>
      <c r="T93" s="28" t="n">
        <f aca="false">S93+D93-C93</f>
        <v>0</v>
      </c>
      <c r="U93" s="28" t="n">
        <f aca="false">IF(B93=1,MAX(0,-T93),0)</f>
        <v>0</v>
      </c>
      <c r="V93" s="28" t="n">
        <f aca="false">IF(B93=1,MAX(0,T93)*(1+RetRate)+G93,S93)</f>
        <v>0</v>
      </c>
      <c r="W93" s="28" t="n">
        <f aca="false">IF(A93&lt;=MIN('Education Cost Forecast'!$C$49,'Education Cost Forecast'!$C$53),G93*(1+RetRate)^('Education Cost Forecast'!$C$49-A93),0)</f>
        <v>0</v>
      </c>
      <c r="X93" s="28" t="n">
        <f aca="false">IF(B93=1,P93+D93-C93,0)</f>
        <v>0</v>
      </c>
    </row>
    <row r="94" customFormat="false" ht="15" hidden="false" customHeight="false" outlineLevel="0" collapsed="false">
      <c r="A94" s="27" t="n">
        <v>53</v>
      </c>
      <c r="B94" s="27" t="n">
        <f aca="false">'Education Cost Forecast'!B114</f>
        <v>0</v>
      </c>
      <c r="C94" s="28" t="n">
        <f aca="false">'Education Cost Forecast'!Z114</f>
        <v>0</v>
      </c>
      <c r="D94" s="28" t="n">
        <f aca="false">IF(AND(B94=1,'Education Cost Forecast'!F114&gt;0,'Education Cost Forecast'!E114=0),'Education Cost Forecast'!$C$45,0)</f>
        <v>0</v>
      </c>
      <c r="E94" s="27" t="n">
        <f aca="false">IF(AND(B94=1,A94&lt;='Education Cost Forecast'!$C$53),1,0)</f>
        <v>0</v>
      </c>
      <c r="F94" s="40" t="n">
        <f aca="false">(1+Esc)^(A94-1)</f>
        <v>12.6428082637935</v>
      </c>
      <c r="G94" s="28" t="n">
        <f aca="false">E94*('Education Cost Forecast'!$C$41*12*MonthlyFactor+'Education Cost Forecast'!$C$42)*F94</f>
        <v>0</v>
      </c>
      <c r="H94" s="28" t="n">
        <f aca="false">E94*UnitFactor*F94</f>
        <v>0</v>
      </c>
      <c r="I94" s="28" t="n">
        <f aca="false">J93+D94-C94</f>
        <v>-12927337.9562431</v>
      </c>
      <c r="J94" s="28" t="n">
        <f aca="false">IF(B94=1,I94*(1+RetRate)+G94,J93)</f>
        <v>-12927337.9562431</v>
      </c>
      <c r="K94" s="28" t="n">
        <f aca="false">L93</f>
        <v>29.8155627999384</v>
      </c>
      <c r="L94" s="28" t="n">
        <f aca="false">IF(B94=1,K94*(1+RetRate)+H94,L93)</f>
        <v>29.8155627999384</v>
      </c>
      <c r="M94" s="40" t="n">
        <f aca="false">(1+RetRate)^(A94-1)</f>
        <v>362.524346922753</v>
      </c>
      <c r="N94" s="28" t="n">
        <f aca="false">IF(AND(B94=1,C94&gt;0,K94&lt;=0.000000000001,I94&lt;0),-I94/M94,0)</f>
        <v>0</v>
      </c>
      <c r="O94" s="28" t="n">
        <f aca="false">IF(AND(B94=1,C94&gt;0,K94&gt;0.000000000001),-(I94+$C$14*M94)/K94,0)</f>
        <v>0</v>
      </c>
      <c r="P94" s="28" t="n">
        <f aca="false">R93</f>
        <v>0</v>
      </c>
      <c r="Q94" s="28" t="n">
        <f aca="false">H94*$C$15</f>
        <v>0</v>
      </c>
      <c r="R94" s="28" t="n">
        <f aca="false">IF(B94=1,(P94+D94-C94)*(1+RetRate)+G94+Q94,P94)</f>
        <v>0</v>
      </c>
      <c r="S94" s="28" t="n">
        <f aca="false">V93</f>
        <v>0</v>
      </c>
      <c r="T94" s="28" t="n">
        <f aca="false">S94+D94-C94</f>
        <v>0</v>
      </c>
      <c r="U94" s="28" t="n">
        <f aca="false">IF(B94=1,MAX(0,-T94),0)</f>
        <v>0</v>
      </c>
      <c r="V94" s="28" t="n">
        <f aca="false">IF(B94=1,MAX(0,T94)*(1+RetRate)+G94,S94)</f>
        <v>0</v>
      </c>
      <c r="W94" s="28" t="n">
        <f aca="false">IF(A94&lt;=MIN('Education Cost Forecast'!$C$49,'Education Cost Forecast'!$C$53),G94*(1+RetRate)^('Education Cost Forecast'!$C$49-A94),0)</f>
        <v>0</v>
      </c>
      <c r="X94" s="28" t="n">
        <f aca="false">IF(B94=1,P94+D94-C94,0)</f>
        <v>0</v>
      </c>
    </row>
    <row r="95" customFormat="false" ht="15" hidden="false" customHeight="false" outlineLevel="0" collapsed="false">
      <c r="A95" s="27" t="n">
        <v>54</v>
      </c>
      <c r="B95" s="27" t="n">
        <f aca="false">'Education Cost Forecast'!B115</f>
        <v>0</v>
      </c>
      <c r="C95" s="28" t="n">
        <f aca="false">'Education Cost Forecast'!Z115</f>
        <v>0</v>
      </c>
      <c r="D95" s="28" t="n">
        <f aca="false">IF(AND(B95=1,'Education Cost Forecast'!F115&gt;0,'Education Cost Forecast'!E115=0),'Education Cost Forecast'!$C$45,0)</f>
        <v>0</v>
      </c>
      <c r="E95" s="27" t="n">
        <f aca="false">IF(AND(B95=1,A95&lt;='Education Cost Forecast'!$C$53),1,0)</f>
        <v>0</v>
      </c>
      <c r="F95" s="40" t="n">
        <f aca="false">(1+Esc)^(A95-1)</f>
        <v>13.2749486769831</v>
      </c>
      <c r="G95" s="28" t="n">
        <f aca="false">E95*('Education Cost Forecast'!$C$41*12*MonthlyFactor+'Education Cost Forecast'!$C$42)*F95</f>
        <v>0</v>
      </c>
      <c r="H95" s="28" t="n">
        <f aca="false">E95*UnitFactor*F95</f>
        <v>0</v>
      </c>
      <c r="I95" s="28" t="n">
        <f aca="false">J94+D95-C95</f>
        <v>-12927337.9562431</v>
      </c>
      <c r="J95" s="28" t="n">
        <f aca="false">IF(B95=1,I95*(1+RetRate)+G95,J94)</f>
        <v>-12927337.9562431</v>
      </c>
      <c r="K95" s="28" t="n">
        <f aca="false">L94</f>
        <v>29.8155627999384</v>
      </c>
      <c r="L95" s="28" t="n">
        <f aca="false">IF(B95=1,K95*(1+RetRate)+H95,L94)</f>
        <v>29.8155627999384</v>
      </c>
      <c r="M95" s="40" t="n">
        <f aca="false">(1+RetRate)^(A95-1)</f>
        <v>406.027268553483</v>
      </c>
      <c r="N95" s="28" t="n">
        <f aca="false">IF(AND(B95=1,C95&gt;0,K95&lt;=0.000000000001,I95&lt;0),-I95/M95,0)</f>
        <v>0</v>
      </c>
      <c r="O95" s="28" t="n">
        <f aca="false">IF(AND(B95=1,C95&gt;0,K95&gt;0.000000000001),-(I95+$C$14*M95)/K95,0)</f>
        <v>0</v>
      </c>
      <c r="P95" s="28" t="n">
        <f aca="false">R94</f>
        <v>0</v>
      </c>
      <c r="Q95" s="28" t="n">
        <f aca="false">H95*$C$15</f>
        <v>0</v>
      </c>
      <c r="R95" s="28" t="n">
        <f aca="false">IF(B95=1,(P95+D95-C95)*(1+RetRate)+G95+Q95,P95)</f>
        <v>0</v>
      </c>
      <c r="S95" s="28" t="n">
        <f aca="false">V94</f>
        <v>0</v>
      </c>
      <c r="T95" s="28" t="n">
        <f aca="false">S95+D95-C95</f>
        <v>0</v>
      </c>
      <c r="U95" s="28" t="n">
        <f aca="false">IF(B95=1,MAX(0,-T95),0)</f>
        <v>0</v>
      </c>
      <c r="V95" s="28" t="n">
        <f aca="false">IF(B95=1,MAX(0,T95)*(1+RetRate)+G95,S95)</f>
        <v>0</v>
      </c>
      <c r="W95" s="28" t="n">
        <f aca="false">IF(A95&lt;=MIN('Education Cost Forecast'!$C$49,'Education Cost Forecast'!$C$53),G95*(1+RetRate)^('Education Cost Forecast'!$C$49-A95),0)</f>
        <v>0</v>
      </c>
      <c r="X95" s="28" t="n">
        <f aca="false">IF(B95=1,P95+D95-C95,0)</f>
        <v>0</v>
      </c>
    </row>
    <row r="96" customFormat="false" ht="15" hidden="false" customHeight="false" outlineLevel="0" collapsed="false">
      <c r="A96" s="27" t="n">
        <v>55</v>
      </c>
      <c r="B96" s="27" t="n">
        <f aca="false">'Education Cost Forecast'!B116</f>
        <v>0</v>
      </c>
      <c r="C96" s="28" t="n">
        <f aca="false">'Education Cost Forecast'!Z116</f>
        <v>0</v>
      </c>
      <c r="D96" s="28" t="n">
        <f aca="false">IF(AND(B96=1,'Education Cost Forecast'!F116&gt;0,'Education Cost Forecast'!E116=0),'Education Cost Forecast'!$C$45,0)</f>
        <v>0</v>
      </c>
      <c r="E96" s="27" t="n">
        <f aca="false">IF(AND(B96=1,A96&lt;='Education Cost Forecast'!$C$53),1,0)</f>
        <v>0</v>
      </c>
      <c r="F96" s="40" t="n">
        <f aca="false">(1+Esc)^(A96-1)</f>
        <v>13.9386961108323</v>
      </c>
      <c r="G96" s="28" t="n">
        <f aca="false">E96*('Education Cost Forecast'!$C$41*12*MonthlyFactor+'Education Cost Forecast'!$C$42)*F96</f>
        <v>0</v>
      </c>
      <c r="H96" s="28" t="n">
        <f aca="false">E96*UnitFactor*F96</f>
        <v>0</v>
      </c>
      <c r="I96" s="28" t="n">
        <f aca="false">J95+D96-C96</f>
        <v>-12927337.9562431</v>
      </c>
      <c r="J96" s="28" t="n">
        <f aca="false">IF(B96=1,I96*(1+RetRate)+G96,J95)</f>
        <v>-12927337.9562431</v>
      </c>
      <c r="K96" s="28" t="n">
        <f aca="false">L95</f>
        <v>29.8155627999384</v>
      </c>
      <c r="L96" s="28" t="n">
        <f aca="false">IF(B96=1,K96*(1+RetRate)+H96,L95)</f>
        <v>29.8155627999384</v>
      </c>
      <c r="M96" s="40" t="n">
        <f aca="false">(1+RetRate)^(A96-1)</f>
        <v>454.750540779902</v>
      </c>
      <c r="N96" s="28" t="n">
        <f aca="false">IF(AND(B96=1,C96&gt;0,K96&lt;=0.000000000001,I96&lt;0),-I96/M96,0)</f>
        <v>0</v>
      </c>
      <c r="O96" s="28" t="n">
        <f aca="false">IF(AND(B96=1,C96&gt;0,K96&gt;0.000000000001),-(I96+$C$14*M96)/K96,0)</f>
        <v>0</v>
      </c>
      <c r="P96" s="28" t="n">
        <f aca="false">R95</f>
        <v>0</v>
      </c>
      <c r="Q96" s="28" t="n">
        <f aca="false">H96*$C$15</f>
        <v>0</v>
      </c>
      <c r="R96" s="28" t="n">
        <f aca="false">IF(B96=1,(P96+D96-C96)*(1+RetRate)+G96+Q96,P96)</f>
        <v>0</v>
      </c>
      <c r="S96" s="28" t="n">
        <f aca="false">V95</f>
        <v>0</v>
      </c>
      <c r="T96" s="28" t="n">
        <f aca="false">S96+D96-C96</f>
        <v>0</v>
      </c>
      <c r="U96" s="28" t="n">
        <f aca="false">IF(B96=1,MAX(0,-T96),0)</f>
        <v>0</v>
      </c>
      <c r="V96" s="28" t="n">
        <f aca="false">IF(B96=1,MAX(0,T96)*(1+RetRate)+G96,S96)</f>
        <v>0</v>
      </c>
      <c r="W96" s="28" t="n">
        <f aca="false">IF(A96&lt;=MIN('Education Cost Forecast'!$C$49,'Education Cost Forecast'!$C$53),G96*(1+RetRate)^('Education Cost Forecast'!$C$49-A96),0)</f>
        <v>0</v>
      </c>
      <c r="X96" s="28" t="n">
        <f aca="false">IF(B96=1,P96+D96-C96,0)</f>
        <v>0</v>
      </c>
    </row>
    <row r="97" customFormat="false" ht="15" hidden="false" customHeight="false" outlineLevel="0" collapsed="false">
      <c r="A97" s="27" t="n">
        <v>56</v>
      </c>
      <c r="B97" s="27" t="n">
        <f aca="false">'Education Cost Forecast'!B117</f>
        <v>0</v>
      </c>
      <c r="C97" s="28" t="n">
        <f aca="false">'Education Cost Forecast'!Z117</f>
        <v>0</v>
      </c>
      <c r="D97" s="28" t="n">
        <f aca="false">IF(AND(B97=1,'Education Cost Forecast'!F117&gt;0,'Education Cost Forecast'!E117=0),'Education Cost Forecast'!$C$45,0)</f>
        <v>0</v>
      </c>
      <c r="E97" s="27" t="n">
        <f aca="false">IF(AND(B97=1,A97&lt;='Education Cost Forecast'!$C$53),1,0)</f>
        <v>0</v>
      </c>
      <c r="F97" s="40" t="n">
        <f aca="false">(1+Esc)^(A97-1)</f>
        <v>14.6356309163739</v>
      </c>
      <c r="G97" s="28" t="n">
        <f aca="false">E97*('Education Cost Forecast'!$C$41*12*MonthlyFactor+'Education Cost Forecast'!$C$42)*F97</f>
        <v>0</v>
      </c>
      <c r="H97" s="28" t="n">
        <f aca="false">E97*UnitFactor*F97</f>
        <v>0</v>
      </c>
      <c r="I97" s="28" t="n">
        <f aca="false">J96+D97-C97</f>
        <v>-12927337.9562431</v>
      </c>
      <c r="J97" s="28" t="n">
        <f aca="false">IF(B97=1,I97*(1+RetRate)+G97,J96)</f>
        <v>-12927337.9562431</v>
      </c>
      <c r="K97" s="28" t="n">
        <f aca="false">L96</f>
        <v>29.8155627999384</v>
      </c>
      <c r="L97" s="28" t="n">
        <f aca="false">IF(B97=1,K97*(1+RetRate)+H97,L96)</f>
        <v>29.8155627999384</v>
      </c>
      <c r="M97" s="40" t="n">
        <f aca="false">(1+RetRate)^(A97-1)</f>
        <v>509.32060567349</v>
      </c>
      <c r="N97" s="28" t="n">
        <f aca="false">IF(AND(B97=1,C97&gt;0,K97&lt;=0.000000000001,I97&lt;0),-I97/M97,0)</f>
        <v>0</v>
      </c>
      <c r="O97" s="28" t="n">
        <f aca="false">IF(AND(B97=1,C97&gt;0,K97&gt;0.000000000001),-(I97+$C$14*M97)/K97,0)</f>
        <v>0</v>
      </c>
      <c r="P97" s="28" t="n">
        <f aca="false">R96</f>
        <v>0</v>
      </c>
      <c r="Q97" s="28" t="n">
        <f aca="false">H97*$C$15</f>
        <v>0</v>
      </c>
      <c r="R97" s="28" t="n">
        <f aca="false">IF(B97=1,(P97+D97-C97)*(1+RetRate)+G97+Q97,P97)</f>
        <v>0</v>
      </c>
      <c r="S97" s="28" t="n">
        <f aca="false">V96</f>
        <v>0</v>
      </c>
      <c r="T97" s="28" t="n">
        <f aca="false">S97+D97-C97</f>
        <v>0</v>
      </c>
      <c r="U97" s="28" t="n">
        <f aca="false">IF(B97=1,MAX(0,-T97),0)</f>
        <v>0</v>
      </c>
      <c r="V97" s="28" t="n">
        <f aca="false">IF(B97=1,MAX(0,T97)*(1+RetRate)+G97,S97)</f>
        <v>0</v>
      </c>
      <c r="W97" s="28" t="n">
        <f aca="false">IF(A97&lt;=MIN('Education Cost Forecast'!$C$49,'Education Cost Forecast'!$C$53),G97*(1+RetRate)^('Education Cost Forecast'!$C$49-A97),0)</f>
        <v>0</v>
      </c>
      <c r="X97" s="28" t="n">
        <f aca="false">IF(B97=1,P97+D97-C97,0)</f>
        <v>0</v>
      </c>
    </row>
    <row r="98" customFormat="false" ht="15" hidden="false" customHeight="false" outlineLevel="0" collapsed="false">
      <c r="A98" s="27" t="n">
        <v>57</v>
      </c>
      <c r="B98" s="27" t="n">
        <f aca="false">'Education Cost Forecast'!B118</f>
        <v>0</v>
      </c>
      <c r="C98" s="28" t="n">
        <f aca="false">'Education Cost Forecast'!Z118</f>
        <v>0</v>
      </c>
      <c r="D98" s="28" t="n">
        <f aca="false">IF(AND(B98=1,'Education Cost Forecast'!F118&gt;0,'Education Cost Forecast'!E118=0),'Education Cost Forecast'!$C$45,0)</f>
        <v>0</v>
      </c>
      <c r="E98" s="27" t="n">
        <f aca="false">IF(AND(B98=1,A98&lt;='Education Cost Forecast'!$C$53),1,0)</f>
        <v>0</v>
      </c>
      <c r="F98" s="40" t="n">
        <f aca="false">(1+Esc)^(A98-1)</f>
        <v>15.3674124621926</v>
      </c>
      <c r="G98" s="28" t="n">
        <f aca="false">E98*('Education Cost Forecast'!$C$41*12*MonthlyFactor+'Education Cost Forecast'!$C$42)*F98</f>
        <v>0</v>
      </c>
      <c r="H98" s="28" t="n">
        <f aca="false">E98*UnitFactor*F98</f>
        <v>0</v>
      </c>
      <c r="I98" s="28" t="n">
        <f aca="false">J97+D98-C98</f>
        <v>-12927337.9562431</v>
      </c>
      <c r="J98" s="28" t="n">
        <f aca="false">IF(B98=1,I98*(1+RetRate)+G98,J97)</f>
        <v>-12927337.9562431</v>
      </c>
      <c r="K98" s="28" t="n">
        <f aca="false">L97</f>
        <v>29.8155627999384</v>
      </c>
      <c r="L98" s="28" t="n">
        <f aca="false">IF(B98=1,K98*(1+RetRate)+H98,L97)</f>
        <v>29.8155627999384</v>
      </c>
      <c r="M98" s="40" t="n">
        <f aca="false">(1+RetRate)^(A98-1)</f>
        <v>570.439078354309</v>
      </c>
      <c r="N98" s="28" t="n">
        <f aca="false">IF(AND(B98=1,C98&gt;0,K98&lt;=0.000000000001,I98&lt;0),-I98/M98,0)</f>
        <v>0</v>
      </c>
      <c r="O98" s="28" t="n">
        <f aca="false">IF(AND(B98=1,C98&gt;0,K98&gt;0.000000000001),-(I98+$C$14*M98)/K98,0)</f>
        <v>0</v>
      </c>
      <c r="P98" s="28" t="n">
        <f aca="false">R97</f>
        <v>0</v>
      </c>
      <c r="Q98" s="28" t="n">
        <f aca="false">H98*$C$15</f>
        <v>0</v>
      </c>
      <c r="R98" s="28" t="n">
        <f aca="false">IF(B98=1,(P98+D98-C98)*(1+RetRate)+G98+Q98,P98)</f>
        <v>0</v>
      </c>
      <c r="S98" s="28" t="n">
        <f aca="false">V97</f>
        <v>0</v>
      </c>
      <c r="T98" s="28" t="n">
        <f aca="false">S98+D98-C98</f>
        <v>0</v>
      </c>
      <c r="U98" s="28" t="n">
        <f aca="false">IF(B98=1,MAX(0,-T98),0)</f>
        <v>0</v>
      </c>
      <c r="V98" s="28" t="n">
        <f aca="false">IF(B98=1,MAX(0,T98)*(1+RetRate)+G98,S98)</f>
        <v>0</v>
      </c>
      <c r="W98" s="28" t="n">
        <f aca="false">IF(A98&lt;=MIN('Education Cost Forecast'!$C$49,'Education Cost Forecast'!$C$53),G98*(1+RetRate)^('Education Cost Forecast'!$C$49-A98),0)</f>
        <v>0</v>
      </c>
      <c r="X98" s="28" t="n">
        <f aca="false">IF(B98=1,P98+D98-C98,0)</f>
        <v>0</v>
      </c>
    </row>
    <row r="99" customFormat="false" ht="15" hidden="false" customHeight="false" outlineLevel="0" collapsed="false">
      <c r="A99" s="27" t="n">
        <v>58</v>
      </c>
      <c r="B99" s="27" t="n">
        <f aca="false">'Education Cost Forecast'!B119</f>
        <v>0</v>
      </c>
      <c r="C99" s="28" t="n">
        <f aca="false">'Education Cost Forecast'!Z119</f>
        <v>0</v>
      </c>
      <c r="D99" s="28" t="n">
        <f aca="false">IF(AND(B99=1,'Education Cost Forecast'!F119&gt;0,'Education Cost Forecast'!E119=0),'Education Cost Forecast'!$C$45,0)</f>
        <v>0</v>
      </c>
      <c r="E99" s="27" t="n">
        <f aca="false">IF(AND(B99=1,A99&lt;='Education Cost Forecast'!$C$53),1,0)</f>
        <v>0</v>
      </c>
      <c r="F99" s="40" t="n">
        <f aca="false">(1+Esc)^(A99-1)</f>
        <v>16.1357830853022</v>
      </c>
      <c r="G99" s="28" t="n">
        <f aca="false">E99*('Education Cost Forecast'!$C$41*12*MonthlyFactor+'Education Cost Forecast'!$C$42)*F99</f>
        <v>0</v>
      </c>
      <c r="H99" s="28" t="n">
        <f aca="false">E99*UnitFactor*F99</f>
        <v>0</v>
      </c>
      <c r="I99" s="28" t="n">
        <f aca="false">J98+D99-C99</f>
        <v>-12927337.9562431</v>
      </c>
      <c r="J99" s="28" t="n">
        <f aca="false">IF(B99=1,I99*(1+RetRate)+G99,J98)</f>
        <v>-12927337.9562431</v>
      </c>
      <c r="K99" s="28" t="n">
        <f aca="false">L98</f>
        <v>29.8155627999384</v>
      </c>
      <c r="L99" s="28" t="n">
        <f aca="false">IF(B99=1,K99*(1+RetRate)+H99,L98)</f>
        <v>29.8155627999384</v>
      </c>
      <c r="M99" s="40" t="n">
        <f aca="false">(1+RetRate)^(A99-1)</f>
        <v>638.891767756826</v>
      </c>
      <c r="N99" s="28" t="n">
        <f aca="false">IF(AND(B99=1,C99&gt;0,K99&lt;=0.000000000001,I99&lt;0),-I99/M99,0)</f>
        <v>0</v>
      </c>
      <c r="O99" s="28" t="n">
        <f aca="false">IF(AND(B99=1,C99&gt;0,K99&gt;0.000000000001),-(I99+$C$14*M99)/K99,0)</f>
        <v>0</v>
      </c>
      <c r="P99" s="28" t="n">
        <f aca="false">R98</f>
        <v>0</v>
      </c>
      <c r="Q99" s="28" t="n">
        <f aca="false">H99*$C$15</f>
        <v>0</v>
      </c>
      <c r="R99" s="28" t="n">
        <f aca="false">IF(B99=1,(P99+D99-C99)*(1+RetRate)+G99+Q99,P99)</f>
        <v>0</v>
      </c>
      <c r="S99" s="28" t="n">
        <f aca="false">V98</f>
        <v>0</v>
      </c>
      <c r="T99" s="28" t="n">
        <f aca="false">S99+D99-C99</f>
        <v>0</v>
      </c>
      <c r="U99" s="28" t="n">
        <f aca="false">IF(B99=1,MAX(0,-T99),0)</f>
        <v>0</v>
      </c>
      <c r="V99" s="28" t="n">
        <f aca="false">IF(B99=1,MAX(0,T99)*(1+RetRate)+G99,S99)</f>
        <v>0</v>
      </c>
      <c r="W99" s="28" t="n">
        <f aca="false">IF(A99&lt;=MIN('Education Cost Forecast'!$C$49,'Education Cost Forecast'!$C$53),G99*(1+RetRate)^('Education Cost Forecast'!$C$49-A99),0)</f>
        <v>0</v>
      </c>
      <c r="X99" s="28" t="n">
        <f aca="false">IF(B99=1,P99+D99-C99,0)</f>
        <v>0</v>
      </c>
    </row>
    <row r="100" customFormat="false" ht="15" hidden="false" customHeight="false" outlineLevel="0" collapsed="false">
      <c r="A100" s="27" t="n">
        <v>59</v>
      </c>
      <c r="B100" s="27" t="n">
        <f aca="false">'Education Cost Forecast'!B120</f>
        <v>0</v>
      </c>
      <c r="C100" s="28" t="n">
        <f aca="false">'Education Cost Forecast'!Z120</f>
        <v>0</v>
      </c>
      <c r="D100" s="28" t="n">
        <f aca="false">IF(AND(B100=1,'Education Cost Forecast'!F120&gt;0,'Education Cost Forecast'!E120=0),'Education Cost Forecast'!$C$45,0)</f>
        <v>0</v>
      </c>
      <c r="E100" s="27" t="n">
        <f aca="false">IF(AND(B100=1,A100&lt;='Education Cost Forecast'!$C$53),1,0)</f>
        <v>0</v>
      </c>
      <c r="F100" s="40" t="n">
        <f aca="false">(1+Esc)^(A100-1)</f>
        <v>16.9425722395673</v>
      </c>
      <c r="G100" s="28" t="n">
        <f aca="false">E100*('Education Cost Forecast'!$C$41*12*MonthlyFactor+'Education Cost Forecast'!$C$42)*F100</f>
        <v>0</v>
      </c>
      <c r="H100" s="28" t="n">
        <f aca="false">E100*UnitFactor*F100</f>
        <v>0</v>
      </c>
      <c r="I100" s="28" t="n">
        <f aca="false">J99+D100-C100</f>
        <v>-12927337.9562431</v>
      </c>
      <c r="J100" s="28" t="n">
        <f aca="false">IF(B100=1,I100*(1+RetRate)+G100,J99)</f>
        <v>-12927337.9562431</v>
      </c>
      <c r="K100" s="28" t="n">
        <f aca="false">L99</f>
        <v>29.8155627999384</v>
      </c>
      <c r="L100" s="28" t="n">
        <f aca="false">IF(B100=1,K100*(1+RetRate)+H100,L99)</f>
        <v>29.8155627999384</v>
      </c>
      <c r="M100" s="40" t="n">
        <f aca="false">(1+RetRate)^(A100-1)</f>
        <v>715.558779887645</v>
      </c>
      <c r="N100" s="28" t="n">
        <f aca="false">IF(AND(B100=1,C100&gt;0,K100&lt;=0.000000000001,I100&lt;0),-I100/M100,0)</f>
        <v>0</v>
      </c>
      <c r="O100" s="28" t="n">
        <f aca="false">IF(AND(B100=1,C100&gt;0,K100&gt;0.000000000001),-(I100+$C$14*M100)/K100,0)</f>
        <v>0</v>
      </c>
      <c r="P100" s="28" t="n">
        <f aca="false">R99</f>
        <v>0</v>
      </c>
      <c r="Q100" s="28" t="n">
        <f aca="false">H100*$C$15</f>
        <v>0</v>
      </c>
      <c r="R100" s="28" t="n">
        <f aca="false">IF(B100=1,(P100+D100-C100)*(1+RetRate)+G100+Q100,P100)</f>
        <v>0</v>
      </c>
      <c r="S100" s="28" t="n">
        <f aca="false">V99</f>
        <v>0</v>
      </c>
      <c r="T100" s="28" t="n">
        <f aca="false">S100+D100-C100</f>
        <v>0</v>
      </c>
      <c r="U100" s="28" t="n">
        <f aca="false">IF(B100=1,MAX(0,-T100),0)</f>
        <v>0</v>
      </c>
      <c r="V100" s="28" t="n">
        <f aca="false">IF(B100=1,MAX(0,T100)*(1+RetRate)+G100,S100)</f>
        <v>0</v>
      </c>
      <c r="W100" s="28" t="n">
        <f aca="false">IF(A100&lt;=MIN('Education Cost Forecast'!$C$49,'Education Cost Forecast'!$C$53),G100*(1+RetRate)^('Education Cost Forecast'!$C$49-A100),0)</f>
        <v>0</v>
      </c>
      <c r="X100" s="28" t="n">
        <f aca="false">IF(B100=1,P100+D100-C100,0)</f>
        <v>0</v>
      </c>
    </row>
    <row r="101" customFormat="false" ht="15" hidden="false" customHeight="false" outlineLevel="0" collapsed="false">
      <c r="A101" s="27" t="n">
        <v>60</v>
      </c>
      <c r="B101" s="27" t="n">
        <f aca="false">'Education Cost Forecast'!B121</f>
        <v>0</v>
      </c>
      <c r="C101" s="28" t="n">
        <f aca="false">'Education Cost Forecast'!Z121</f>
        <v>0</v>
      </c>
      <c r="D101" s="28" t="n">
        <f aca="false">IF(AND(B101=1,'Education Cost Forecast'!F121&gt;0,'Education Cost Forecast'!E121=0),'Education Cost Forecast'!$C$45,0)</f>
        <v>0</v>
      </c>
      <c r="E101" s="27" t="n">
        <f aca="false">IF(AND(B101=1,A101&lt;='Education Cost Forecast'!$C$53),1,0)</f>
        <v>0</v>
      </c>
      <c r="F101" s="40" t="n">
        <f aca="false">(1+Esc)^(A101-1)</f>
        <v>17.7897008515457</v>
      </c>
      <c r="G101" s="28" t="n">
        <f aca="false">E101*('Education Cost Forecast'!$C$41*12*MonthlyFactor+'Education Cost Forecast'!$C$42)*F101</f>
        <v>0</v>
      </c>
      <c r="H101" s="28" t="n">
        <f aca="false">E101*UnitFactor*F101</f>
        <v>0</v>
      </c>
      <c r="I101" s="28" t="n">
        <f aca="false">J100+D101-C101</f>
        <v>-12927337.9562431</v>
      </c>
      <c r="J101" s="28" t="n">
        <f aca="false">IF(B101=1,I101*(1+RetRate)+G101,J100)</f>
        <v>-12927337.9562431</v>
      </c>
      <c r="K101" s="28" t="n">
        <f aca="false">L100</f>
        <v>29.8155627999384</v>
      </c>
      <c r="L101" s="28" t="n">
        <f aca="false">IF(B101=1,K101*(1+RetRate)+H101,L100)</f>
        <v>29.8155627999384</v>
      </c>
      <c r="M101" s="40" t="n">
        <f aca="false">(1+RetRate)^(A101-1)</f>
        <v>801.425833474162</v>
      </c>
      <c r="N101" s="28" t="n">
        <f aca="false">IF(AND(B101=1,C101&gt;0,K101&lt;=0.000000000001,I101&lt;0),-I101/M101,0)</f>
        <v>0</v>
      </c>
      <c r="O101" s="28" t="n">
        <f aca="false">IF(AND(B101=1,C101&gt;0,K101&gt;0.000000000001),-(I101+$C$14*M101)/K101,0)</f>
        <v>0</v>
      </c>
      <c r="P101" s="28" t="n">
        <f aca="false">R100</f>
        <v>0</v>
      </c>
      <c r="Q101" s="28" t="n">
        <f aca="false">H101*$C$15</f>
        <v>0</v>
      </c>
      <c r="R101" s="28" t="n">
        <f aca="false">IF(B101=1,(P101+D101-C101)*(1+RetRate)+G101+Q101,P101)</f>
        <v>0</v>
      </c>
      <c r="S101" s="28" t="n">
        <f aca="false">V100</f>
        <v>0</v>
      </c>
      <c r="T101" s="28" t="n">
        <f aca="false">S101+D101-C101</f>
        <v>0</v>
      </c>
      <c r="U101" s="28" t="n">
        <f aca="false">IF(B101=1,MAX(0,-T101),0)</f>
        <v>0</v>
      </c>
      <c r="V101" s="28" t="n">
        <f aca="false">IF(B101=1,MAX(0,T101)*(1+RetRate)+G101,S101)</f>
        <v>0</v>
      </c>
      <c r="W101" s="28" t="n">
        <f aca="false">IF(A101&lt;=MIN('Education Cost Forecast'!$C$49,'Education Cost Forecast'!$C$53),G101*(1+RetRate)^('Education Cost Forecast'!$C$49-A101),0)</f>
        <v>0</v>
      </c>
      <c r="X101" s="28" t="n">
        <f aca="false">IF(B101=1,P101+D101-C101,0)</f>
        <v>0</v>
      </c>
    </row>
    <row r="104" customFormat="false" ht="15" hidden="false" customHeight="false" outlineLevel="0" collapsed="false">
      <c r="A104" s="6" t="str">
        <f aca="false">"Child 2: "&amp;'Education Cost Forecast'!$D$6&amp;" — annual cash flow ("&amp;RepCcy&amp;")"</f>
        <v>Child 2: Child 2 — annual cash flow (PKR)</v>
      </c>
    </row>
    <row r="105" customFormat="false" ht="66" hidden="false" customHeight="true" outlineLevel="0" collapsed="false">
      <c r="A105" s="22" t="s">
        <v>581</v>
      </c>
      <c r="B105" s="22" t="s">
        <v>582</v>
      </c>
      <c r="C105" s="22" t="s">
        <v>634</v>
      </c>
      <c r="D105" s="22" t="s">
        <v>635</v>
      </c>
      <c r="E105" s="22" t="s">
        <v>636</v>
      </c>
      <c r="F105" s="22" t="s">
        <v>637</v>
      </c>
      <c r="G105" s="22" t="s">
        <v>638</v>
      </c>
      <c r="H105" s="22" t="s">
        <v>639</v>
      </c>
      <c r="I105" s="22" t="s">
        <v>640</v>
      </c>
      <c r="J105" s="22" t="s">
        <v>641</v>
      </c>
      <c r="K105" s="22" t="s">
        <v>642</v>
      </c>
      <c r="L105" s="22" t="s">
        <v>643</v>
      </c>
      <c r="M105" s="22" t="s">
        <v>644</v>
      </c>
      <c r="N105" s="22" t="s">
        <v>645</v>
      </c>
      <c r="O105" s="22" t="s">
        <v>646</v>
      </c>
      <c r="P105" s="22" t="s">
        <v>647</v>
      </c>
      <c r="Q105" s="22" t="s">
        <v>648</v>
      </c>
      <c r="R105" s="22" t="s">
        <v>649</v>
      </c>
      <c r="S105" s="22" t="s">
        <v>650</v>
      </c>
      <c r="T105" s="22" t="s">
        <v>651</v>
      </c>
      <c r="U105" s="22" t="s">
        <v>652</v>
      </c>
      <c r="V105" s="22" t="s">
        <v>653</v>
      </c>
      <c r="W105" s="22" t="s">
        <v>654</v>
      </c>
      <c r="X105" s="22" t="s">
        <v>655</v>
      </c>
    </row>
    <row r="106" customFormat="false" ht="15" hidden="false" customHeight="false" outlineLevel="0" collapsed="false">
      <c r="A106" s="27" t="n">
        <v>1</v>
      </c>
      <c r="B106" s="27" t="n">
        <f aca="false">'Education Cost Forecast'!B126</f>
        <v>1</v>
      </c>
      <c r="C106" s="28" t="n">
        <f aca="false">'Education Cost Forecast'!Z126</f>
        <v>0</v>
      </c>
      <c r="D106" s="28" t="n">
        <f aca="false">IF(AND(B106=1,'Education Cost Forecast'!F126&gt;0,'Education Cost Forecast'!E126=0),'Education Cost Forecast'!$D$45,0)</f>
        <v>0</v>
      </c>
      <c r="E106" s="27" t="n">
        <f aca="false">IF(AND(B106=1,A106&lt;='Education Cost Forecast'!$D$53),1,0)</f>
        <v>1</v>
      </c>
      <c r="F106" s="40" t="n">
        <f aca="false">(1+Esc)^(A106-1)</f>
        <v>1</v>
      </c>
      <c r="G106" s="28" t="n">
        <f aca="false">E106*('Education Cost Forecast'!$D$41*12*MonthlyFactor+'Education Cost Forecast'!$D$42)*F106</f>
        <v>63232.4895417654</v>
      </c>
      <c r="H106" s="28" t="n">
        <f aca="false">E106*UnitFactor*F106</f>
        <v>1.05387482569609</v>
      </c>
      <c r="I106" s="28" t="n">
        <f aca="false">'Education Cost Forecast'!$D$40*'Education Cost Forecast'!$D$47+D106-C106</f>
        <v>100000</v>
      </c>
      <c r="J106" s="28" t="n">
        <f aca="false">IF(B106=1,I106*(1+RetRate)+G106,'Education Cost Forecast'!$D$40*'Education Cost Forecast'!$D$47)</f>
        <v>175232.489541765</v>
      </c>
      <c r="K106" s="28" t="n">
        <f aca="false">0</f>
        <v>0</v>
      </c>
      <c r="L106" s="28" t="n">
        <f aca="false">IF(B106=1,K106*(1+RetRate)+H106,0)</f>
        <v>1.05387482569609</v>
      </c>
      <c r="M106" s="40" t="n">
        <f aca="false">(1+RetRate)^(A106-1)</f>
        <v>1</v>
      </c>
      <c r="N106" s="28" t="n">
        <f aca="false">IF(AND(B106=1,C106&gt;0,K106&lt;=0.000000000001,I106&lt;0),-I106/M106,0)</f>
        <v>0</v>
      </c>
      <c r="O106" s="28" t="n">
        <f aca="false">IF(AND(B106=1,C106&gt;0,K106&gt;0.000000000001),-(I106+$D$14*M106)/K106,0)</f>
        <v>0</v>
      </c>
      <c r="P106" s="28" t="n">
        <f aca="false">'Education Cost Forecast'!$D$40*'Education Cost Forecast'!$D$47+$D$14</f>
        <v>100000</v>
      </c>
      <c r="Q106" s="28" t="n">
        <f aca="false">H106*$D$15</f>
        <v>1469973.36660112</v>
      </c>
      <c r="R106" s="28" t="n">
        <f aca="false">IF(B106=1,(P106+D106-C106)*(1+RetRate)+G106+Q106,P106)</f>
        <v>1645205.85614288</v>
      </c>
      <c r="S106" s="28" t="n">
        <f aca="false">'Education Cost Forecast'!$D$40*'Education Cost Forecast'!$D$47</f>
        <v>100000</v>
      </c>
      <c r="T106" s="28" t="n">
        <f aca="false">S106+D106-C106</f>
        <v>100000</v>
      </c>
      <c r="U106" s="28" t="n">
        <f aca="false">IF(B106=1,MAX(0,-T106),0)</f>
        <v>0</v>
      </c>
      <c r="V106" s="28" t="n">
        <f aca="false">IF(B106=1,MAX(0,T106)*(1+RetRate)+G106,S106)</f>
        <v>175232.489541765</v>
      </c>
      <c r="W106" s="28" t="n">
        <f aca="false">IF(A106&lt;=MIN('Education Cost Forecast'!$D$49,'Education Cost Forecast'!$D$53),G106*(1+RetRate)^('Education Cost Forecast'!$D$49-A106),0)</f>
        <v>219957.376074729</v>
      </c>
      <c r="X106" s="28" t="n">
        <f aca="false">IF(B106=1,P106+D106-C106,0)</f>
        <v>100000</v>
      </c>
    </row>
    <row r="107" customFormat="false" ht="15" hidden="false" customHeight="false" outlineLevel="0" collapsed="false">
      <c r="A107" s="27" t="n">
        <v>2</v>
      </c>
      <c r="B107" s="27" t="n">
        <f aca="false">'Education Cost Forecast'!B127</f>
        <v>1</v>
      </c>
      <c r="C107" s="28" t="n">
        <f aca="false">'Education Cost Forecast'!Z127</f>
        <v>0</v>
      </c>
      <c r="D107" s="28" t="n">
        <f aca="false">IF(AND(B107=1,'Education Cost Forecast'!F127&gt;0,'Education Cost Forecast'!E127=0),'Education Cost Forecast'!$D$45,0)</f>
        <v>0</v>
      </c>
      <c r="E107" s="27" t="n">
        <f aca="false">IF(AND(B107=1,A107&lt;='Education Cost Forecast'!$D$53),1,0)</f>
        <v>1</v>
      </c>
      <c r="F107" s="40" t="n">
        <f aca="false">(1+Esc)^(A107-1)</f>
        <v>1.05</v>
      </c>
      <c r="G107" s="28" t="n">
        <f aca="false">E107*('Education Cost Forecast'!$D$41*12*MonthlyFactor+'Education Cost Forecast'!$D$42)*F107</f>
        <v>66394.1140188537</v>
      </c>
      <c r="H107" s="28" t="n">
        <f aca="false">E107*UnitFactor*F107</f>
        <v>1.10656856698089</v>
      </c>
      <c r="I107" s="28" t="n">
        <f aca="false">J106+D107-C107</f>
        <v>175232.489541765</v>
      </c>
      <c r="J107" s="28" t="n">
        <f aca="false">IF(B107=1,I107*(1+RetRate)+G107,J106)</f>
        <v>262654.502305631</v>
      </c>
      <c r="K107" s="28" t="n">
        <f aca="false">L106</f>
        <v>1.05387482569609</v>
      </c>
      <c r="L107" s="28" t="n">
        <f aca="false">IF(B107=1,K107*(1+RetRate)+H107,L106)</f>
        <v>2.28690837176052</v>
      </c>
      <c r="M107" s="40" t="n">
        <f aca="false">(1+RetRate)^(A107-1)</f>
        <v>1.12</v>
      </c>
      <c r="N107" s="28" t="n">
        <f aca="false">IF(AND(B107=1,C107&gt;0,K107&lt;=0.000000000001,I107&lt;0),-I107/M107,0)</f>
        <v>0</v>
      </c>
      <c r="O107" s="28" t="n">
        <f aca="false">IF(AND(B107=1,C107&gt;0,K107&gt;0.000000000001),-(I107+$D$14*M107)/K107,0)</f>
        <v>0</v>
      </c>
      <c r="P107" s="28" t="n">
        <f aca="false">R106</f>
        <v>1645205.85614288</v>
      </c>
      <c r="Q107" s="28" t="n">
        <f aca="false">H107*$D$15</f>
        <v>1543472.03493117</v>
      </c>
      <c r="R107" s="28" t="n">
        <f aca="false">IF(B107=1,(P107+D107-C107)*(1+RetRate)+G107+Q107,P107)</f>
        <v>3452496.70783005</v>
      </c>
      <c r="S107" s="28" t="n">
        <f aca="false">V106</f>
        <v>175232.489541765</v>
      </c>
      <c r="T107" s="28" t="n">
        <f aca="false">S107+D107-C107</f>
        <v>175232.489541765</v>
      </c>
      <c r="U107" s="28" t="n">
        <f aca="false">IF(B107=1,MAX(0,-T107),0)</f>
        <v>0</v>
      </c>
      <c r="V107" s="28" t="n">
        <f aca="false">IF(B107=1,MAX(0,T107)*(1+RetRate)+G107,S107)</f>
        <v>262654.502305631</v>
      </c>
      <c r="W107" s="28" t="n">
        <f aca="false">IF(A107&lt;=MIN('Education Cost Forecast'!$D$49,'Education Cost Forecast'!$D$53),G107*(1+RetRate)^('Education Cost Forecast'!$D$49-A107),0)</f>
        <v>206210.040070058</v>
      </c>
      <c r="X107" s="28" t="n">
        <f aca="false">IF(B107=1,P107+D107-C107,0)</f>
        <v>1645205.85614288</v>
      </c>
    </row>
    <row r="108" customFormat="false" ht="15" hidden="false" customHeight="false" outlineLevel="0" collapsed="false">
      <c r="A108" s="27" t="n">
        <v>3</v>
      </c>
      <c r="B108" s="27" t="n">
        <f aca="false">'Education Cost Forecast'!B128</f>
        <v>1</v>
      </c>
      <c r="C108" s="28" t="n">
        <f aca="false">'Education Cost Forecast'!Z128</f>
        <v>0</v>
      </c>
      <c r="D108" s="28" t="n">
        <f aca="false">IF(AND(B108=1,'Education Cost Forecast'!F128&gt;0,'Education Cost Forecast'!E128=0),'Education Cost Forecast'!$D$45,0)</f>
        <v>0</v>
      </c>
      <c r="E108" s="27" t="n">
        <f aca="false">IF(AND(B108=1,A108&lt;='Education Cost Forecast'!$D$53),1,0)</f>
        <v>1</v>
      </c>
      <c r="F108" s="40" t="n">
        <f aca="false">(1+Esc)^(A108-1)</f>
        <v>1.1025</v>
      </c>
      <c r="G108" s="28" t="n">
        <f aca="false">E108*('Education Cost Forecast'!$D$41*12*MonthlyFactor+'Education Cost Forecast'!$D$42)*F108</f>
        <v>69713.8197197964</v>
      </c>
      <c r="H108" s="28" t="n">
        <f aca="false">E108*UnitFactor*F108</f>
        <v>1.16189699532994</v>
      </c>
      <c r="I108" s="28" t="n">
        <f aca="false">J107+D108-C108</f>
        <v>262654.502305631</v>
      </c>
      <c r="J108" s="28" t="n">
        <f aca="false">IF(B108=1,I108*(1+RetRate)+G108,J107)</f>
        <v>363886.862302103</v>
      </c>
      <c r="K108" s="28" t="n">
        <f aca="false">L107</f>
        <v>2.28690837176052</v>
      </c>
      <c r="L108" s="28" t="n">
        <f aca="false">IF(B108=1,K108*(1+RetRate)+H108,L107)</f>
        <v>3.72323437170172</v>
      </c>
      <c r="M108" s="40" t="n">
        <f aca="false">(1+RetRate)^(A108-1)</f>
        <v>1.2544</v>
      </c>
      <c r="N108" s="28" t="n">
        <f aca="false">IF(AND(B108=1,C108&gt;0,K108&lt;=0.000000000001,I108&lt;0),-I108/M108,0)</f>
        <v>0</v>
      </c>
      <c r="O108" s="28" t="n">
        <f aca="false">IF(AND(B108=1,C108&gt;0,K108&gt;0.000000000001),-(I108+$D$14*M108)/K108,0)</f>
        <v>0</v>
      </c>
      <c r="P108" s="28" t="n">
        <f aca="false">R107</f>
        <v>3452496.70783005</v>
      </c>
      <c r="Q108" s="28" t="n">
        <f aca="false">H108*$D$15</f>
        <v>1620645.63667773</v>
      </c>
      <c r="R108" s="28" t="n">
        <f aca="false">IF(B108=1,(P108+D108-C108)*(1+RetRate)+G108+Q108,P108)</f>
        <v>5557155.76916719</v>
      </c>
      <c r="S108" s="28" t="n">
        <f aca="false">V107</f>
        <v>262654.502305631</v>
      </c>
      <c r="T108" s="28" t="n">
        <f aca="false">S108+D108-C108</f>
        <v>262654.502305631</v>
      </c>
      <c r="U108" s="28" t="n">
        <f aca="false">IF(B108=1,MAX(0,-T108),0)</f>
        <v>0</v>
      </c>
      <c r="V108" s="28" t="n">
        <f aca="false">IF(B108=1,MAX(0,T108)*(1+RetRate)+G108,S108)</f>
        <v>363886.862302103</v>
      </c>
      <c r="W108" s="28" t="n">
        <f aca="false">IF(A108&lt;=MIN('Education Cost Forecast'!$D$49,'Education Cost Forecast'!$D$53),G108*(1+RetRate)^('Education Cost Forecast'!$D$49-A108),0)</f>
        <v>193321.912565679</v>
      </c>
      <c r="X108" s="28" t="n">
        <f aca="false">IF(B108=1,P108+D108-C108,0)</f>
        <v>3452496.70783005</v>
      </c>
    </row>
    <row r="109" customFormat="false" ht="15" hidden="false" customHeight="false" outlineLevel="0" collapsed="false">
      <c r="A109" s="27" t="n">
        <v>4</v>
      </c>
      <c r="B109" s="27" t="n">
        <f aca="false">'Education Cost Forecast'!B129</f>
        <v>1</v>
      </c>
      <c r="C109" s="28" t="n">
        <f aca="false">'Education Cost Forecast'!Z129</f>
        <v>0</v>
      </c>
      <c r="D109" s="28" t="n">
        <f aca="false">IF(AND(B109=1,'Education Cost Forecast'!F129&gt;0,'Education Cost Forecast'!E129=0),'Education Cost Forecast'!$D$45,0)</f>
        <v>0</v>
      </c>
      <c r="E109" s="27" t="n">
        <f aca="false">IF(AND(B109=1,A109&lt;='Education Cost Forecast'!$D$53),1,0)</f>
        <v>1</v>
      </c>
      <c r="F109" s="40" t="n">
        <f aca="false">(1+Esc)^(A109-1)</f>
        <v>1.157625</v>
      </c>
      <c r="G109" s="28" t="n">
        <f aca="false">E109*('Education Cost Forecast'!$D$41*12*MonthlyFactor+'Education Cost Forecast'!$D$42)*F109</f>
        <v>73199.5107057862</v>
      </c>
      <c r="H109" s="28" t="n">
        <f aca="false">E109*UnitFactor*F109</f>
        <v>1.21999184509644</v>
      </c>
      <c r="I109" s="28" t="n">
        <f aca="false">J108+D109-C109</f>
        <v>363886.862302103</v>
      </c>
      <c r="J109" s="28" t="n">
        <f aca="false">IF(B109=1,I109*(1+RetRate)+G109,J108)</f>
        <v>480752.796484142</v>
      </c>
      <c r="K109" s="28" t="n">
        <f aca="false">L108</f>
        <v>3.72323437170172</v>
      </c>
      <c r="L109" s="28" t="n">
        <f aca="false">IF(B109=1,K109*(1+RetRate)+H109,L108)</f>
        <v>5.39001434140236</v>
      </c>
      <c r="M109" s="40" t="n">
        <f aca="false">(1+RetRate)^(A109-1)</f>
        <v>1.404928</v>
      </c>
      <c r="N109" s="28" t="n">
        <f aca="false">IF(AND(B109=1,C109&gt;0,K109&lt;=0.000000000001,I109&lt;0),-I109/M109,0)</f>
        <v>0</v>
      </c>
      <c r="O109" s="28" t="n">
        <f aca="false">IF(AND(B109=1,C109&gt;0,K109&gt;0.000000000001),-(I109+$D$14*M109)/K109,0)</f>
        <v>0</v>
      </c>
      <c r="P109" s="28" t="n">
        <f aca="false">R108</f>
        <v>5557155.76916719</v>
      </c>
      <c r="Q109" s="28" t="n">
        <f aca="false">H109*$D$15</f>
        <v>1701677.91851162</v>
      </c>
      <c r="R109" s="28" t="n">
        <f aca="false">IF(B109=1,(P109+D109-C109)*(1+RetRate)+G109+Q109,P109)</f>
        <v>7998891.89068466</v>
      </c>
      <c r="S109" s="28" t="n">
        <f aca="false">V108</f>
        <v>363886.862302103</v>
      </c>
      <c r="T109" s="28" t="n">
        <f aca="false">S109+D109-C109</f>
        <v>363886.862302103</v>
      </c>
      <c r="U109" s="28" t="n">
        <f aca="false">IF(B109=1,MAX(0,-T109),0)</f>
        <v>0</v>
      </c>
      <c r="V109" s="28" t="n">
        <f aca="false">IF(B109=1,MAX(0,T109)*(1+RetRate)+G109,S109)</f>
        <v>480752.796484142</v>
      </c>
      <c r="W109" s="28" t="n">
        <f aca="false">IF(A109&lt;=MIN('Education Cost Forecast'!$D$49,'Education Cost Forecast'!$D$53),G109*(1+RetRate)^('Education Cost Forecast'!$D$49-A109),0)</f>
        <v>181239.293030324</v>
      </c>
      <c r="X109" s="28" t="n">
        <f aca="false">IF(B109=1,P109+D109-C109,0)</f>
        <v>5557155.76916719</v>
      </c>
    </row>
    <row r="110" customFormat="false" ht="15" hidden="false" customHeight="false" outlineLevel="0" collapsed="false">
      <c r="A110" s="27" t="n">
        <v>5</v>
      </c>
      <c r="B110" s="27" t="n">
        <f aca="false">'Education Cost Forecast'!B130</f>
        <v>1</v>
      </c>
      <c r="C110" s="28" t="n">
        <f aca="false">'Education Cost Forecast'!Z130</f>
        <v>0</v>
      </c>
      <c r="D110" s="28" t="n">
        <f aca="false">IF(AND(B110=1,'Education Cost Forecast'!F130&gt;0,'Education Cost Forecast'!E130=0),'Education Cost Forecast'!$D$45,0)</f>
        <v>0</v>
      </c>
      <c r="E110" s="27" t="n">
        <f aca="false">IF(AND(B110=1,A110&lt;='Education Cost Forecast'!$D$53),1,0)</f>
        <v>1</v>
      </c>
      <c r="F110" s="40" t="n">
        <f aca="false">(1+Esc)^(A110-1)</f>
        <v>1.21550625</v>
      </c>
      <c r="G110" s="28" t="n">
        <f aca="false">E110*('Education Cost Forecast'!$D$41*12*MonthlyFactor+'Education Cost Forecast'!$D$42)*F110</f>
        <v>76859.4862410755</v>
      </c>
      <c r="H110" s="28" t="n">
        <f aca="false">E110*UnitFactor*F110</f>
        <v>1.28099143735126</v>
      </c>
      <c r="I110" s="28" t="n">
        <f aca="false">J109+D110-C110</f>
        <v>480752.796484142</v>
      </c>
      <c r="J110" s="28" t="n">
        <f aca="false">IF(B110=1,I110*(1+RetRate)+G110,J109)</f>
        <v>615302.618303314</v>
      </c>
      <c r="K110" s="28" t="n">
        <f aca="false">L109</f>
        <v>5.39001434140236</v>
      </c>
      <c r="L110" s="28" t="n">
        <f aca="false">IF(B110=1,K110*(1+RetRate)+H110,L109)</f>
        <v>7.3178074997219</v>
      </c>
      <c r="M110" s="40" t="n">
        <f aca="false">(1+RetRate)^(A110-1)</f>
        <v>1.57351936</v>
      </c>
      <c r="N110" s="28" t="n">
        <f aca="false">IF(AND(B110=1,C110&gt;0,K110&lt;=0.000000000001,I110&lt;0),-I110/M110,0)</f>
        <v>0</v>
      </c>
      <c r="O110" s="28" t="n">
        <f aca="false">IF(AND(B110=1,C110&gt;0,K110&gt;0.000000000001),-(I110+$D$14*M110)/K110,0)</f>
        <v>0</v>
      </c>
      <c r="P110" s="28" t="n">
        <f aca="false">R109</f>
        <v>7998891.89068466</v>
      </c>
      <c r="Q110" s="28" t="n">
        <f aca="false">H110*$D$15</f>
        <v>1786761.8144372</v>
      </c>
      <c r="R110" s="28" t="n">
        <f aca="false">IF(B110=1,(P110+D110-C110)*(1+RetRate)+G110+Q110,P110)</f>
        <v>10822380.2182451</v>
      </c>
      <c r="S110" s="28" t="n">
        <f aca="false">V109</f>
        <v>480752.796484142</v>
      </c>
      <c r="T110" s="28" t="n">
        <f aca="false">S110+D110-C110</f>
        <v>480752.796484142</v>
      </c>
      <c r="U110" s="28" t="n">
        <f aca="false">IF(B110=1,MAX(0,-T110),0)</f>
        <v>0</v>
      </c>
      <c r="V110" s="28" t="n">
        <f aca="false">IF(B110=1,MAX(0,T110)*(1+RetRate)+G110,S110)</f>
        <v>615302.618303314</v>
      </c>
      <c r="W110" s="28" t="n">
        <f aca="false">IF(A110&lt;=MIN('Education Cost Forecast'!$D$49,'Education Cost Forecast'!$D$53),G110*(1+RetRate)^('Education Cost Forecast'!$D$49-A110),0)</f>
        <v>169911.837215929</v>
      </c>
      <c r="X110" s="28" t="n">
        <f aca="false">IF(B110=1,P110+D110-C110,0)</f>
        <v>7998891.89068466</v>
      </c>
    </row>
    <row r="111" customFormat="false" ht="15" hidden="false" customHeight="false" outlineLevel="0" collapsed="false">
      <c r="A111" s="27" t="n">
        <v>6</v>
      </c>
      <c r="B111" s="27" t="n">
        <f aca="false">'Education Cost Forecast'!B131</f>
        <v>1</v>
      </c>
      <c r="C111" s="28" t="n">
        <f aca="false">'Education Cost Forecast'!Z131</f>
        <v>0</v>
      </c>
      <c r="D111" s="28" t="n">
        <f aca="false">IF(AND(B111=1,'Education Cost Forecast'!F131&gt;0,'Education Cost Forecast'!E131=0),'Education Cost Forecast'!$D$45,0)</f>
        <v>0</v>
      </c>
      <c r="E111" s="27" t="n">
        <f aca="false">IF(AND(B111=1,A111&lt;='Education Cost Forecast'!$D$53),1,0)</f>
        <v>1</v>
      </c>
      <c r="F111" s="40" t="n">
        <f aca="false">(1+Esc)^(A111-1)</f>
        <v>1.2762815625</v>
      </c>
      <c r="G111" s="28" t="n">
        <f aca="false">E111*('Education Cost Forecast'!$D$41*12*MonthlyFactor+'Education Cost Forecast'!$D$42)*F111</f>
        <v>80702.4605531293</v>
      </c>
      <c r="H111" s="28" t="n">
        <f aca="false">E111*UnitFactor*F111</f>
        <v>1.34504100921882</v>
      </c>
      <c r="I111" s="28" t="n">
        <f aca="false">J110+D111-C111</f>
        <v>615302.618303314</v>
      </c>
      <c r="J111" s="28" t="n">
        <f aca="false">IF(B111=1,I111*(1+RetRate)+G111,J110)</f>
        <v>769841.393052841</v>
      </c>
      <c r="K111" s="28" t="n">
        <f aca="false">L110</f>
        <v>7.3178074997219</v>
      </c>
      <c r="L111" s="28" t="n">
        <f aca="false">IF(B111=1,K111*(1+RetRate)+H111,L110)</f>
        <v>9.54098540890735</v>
      </c>
      <c r="M111" s="40" t="n">
        <f aca="false">(1+RetRate)^(A111-1)</f>
        <v>1.7623416832</v>
      </c>
      <c r="N111" s="28" t="n">
        <f aca="false">IF(AND(B111=1,C111&gt;0,K111&lt;=0.000000000001,I111&lt;0),-I111/M111,0)</f>
        <v>0</v>
      </c>
      <c r="O111" s="28" t="n">
        <f aca="false">IF(AND(B111=1,C111&gt;0,K111&gt;0.000000000001),-(I111+$D$14*M111)/K111,0)</f>
        <v>0</v>
      </c>
      <c r="P111" s="28" t="n">
        <f aca="false">R110</f>
        <v>10822380.2182451</v>
      </c>
      <c r="Q111" s="28" t="n">
        <f aca="false">H111*$D$15</f>
        <v>1876099.90515906</v>
      </c>
      <c r="R111" s="28" t="n">
        <f aca="false">IF(B111=1,(P111+D111-C111)*(1+RetRate)+G111+Q111,P111)</f>
        <v>14077868.2101467</v>
      </c>
      <c r="S111" s="28" t="n">
        <f aca="false">V110</f>
        <v>615302.618303314</v>
      </c>
      <c r="T111" s="28" t="n">
        <f aca="false">S111+D111-C111</f>
        <v>615302.618303314</v>
      </c>
      <c r="U111" s="28" t="n">
        <f aca="false">IF(B111=1,MAX(0,-T111),0)</f>
        <v>0</v>
      </c>
      <c r="V111" s="28" t="n">
        <f aca="false">IF(B111=1,MAX(0,T111)*(1+RetRate)+G111,S111)</f>
        <v>769841.393052841</v>
      </c>
      <c r="W111" s="28" t="n">
        <f aca="false">IF(A111&lt;=MIN('Education Cost Forecast'!$D$49,'Education Cost Forecast'!$D$53),G111*(1+RetRate)^('Education Cost Forecast'!$D$49-A111),0)</f>
        <v>159292.347389934</v>
      </c>
      <c r="X111" s="28" t="n">
        <f aca="false">IF(B111=1,P111+D111-C111,0)</f>
        <v>10822380.2182451</v>
      </c>
    </row>
    <row r="112" customFormat="false" ht="15" hidden="false" customHeight="false" outlineLevel="0" collapsed="false">
      <c r="A112" s="27" t="n">
        <v>7</v>
      </c>
      <c r="B112" s="27" t="n">
        <f aca="false">'Education Cost Forecast'!B132</f>
        <v>1</v>
      </c>
      <c r="C112" s="28" t="n">
        <f aca="false">'Education Cost Forecast'!Z132</f>
        <v>0</v>
      </c>
      <c r="D112" s="28" t="n">
        <f aca="false">IF(AND(B112=1,'Education Cost Forecast'!F132&gt;0,'Education Cost Forecast'!E132=0),'Education Cost Forecast'!$D$45,0)</f>
        <v>0</v>
      </c>
      <c r="E112" s="27" t="n">
        <f aca="false">IF(AND(B112=1,A112&lt;='Education Cost Forecast'!$D$53),1,0)</f>
        <v>1</v>
      </c>
      <c r="F112" s="40" t="n">
        <f aca="false">(1+Esc)^(A112-1)</f>
        <v>1.340095640625</v>
      </c>
      <c r="G112" s="28" t="n">
        <f aca="false">E112*('Education Cost Forecast'!$D$41*12*MonthlyFactor+'Education Cost Forecast'!$D$42)*F112</f>
        <v>84737.5835807858</v>
      </c>
      <c r="H112" s="28" t="n">
        <f aca="false">E112*UnitFactor*F112</f>
        <v>1.41229305967976</v>
      </c>
      <c r="I112" s="28" t="n">
        <f aca="false">J111+D112-C112</f>
        <v>769841.393052841</v>
      </c>
      <c r="J112" s="28" t="n">
        <f aca="false">IF(B112=1,I112*(1+RetRate)+G112,J111)</f>
        <v>946959.943799968</v>
      </c>
      <c r="K112" s="28" t="n">
        <f aca="false">L111</f>
        <v>9.54098540890735</v>
      </c>
      <c r="L112" s="28" t="n">
        <f aca="false">IF(B112=1,K112*(1+RetRate)+H112,L111)</f>
        <v>12.098196717656</v>
      </c>
      <c r="M112" s="40" t="n">
        <f aca="false">(1+RetRate)^(A112-1)</f>
        <v>1.973822685184</v>
      </c>
      <c r="N112" s="28" t="n">
        <f aca="false">IF(AND(B112=1,C112&gt;0,K112&lt;=0.000000000001,I112&lt;0),-I112/M112,0)</f>
        <v>0</v>
      </c>
      <c r="O112" s="28" t="n">
        <f aca="false">IF(AND(B112=1,C112&gt;0,K112&gt;0.000000000001),-(I112+$D$14*M112)/K112,0)</f>
        <v>0</v>
      </c>
      <c r="P112" s="28" t="n">
        <f aca="false">R111</f>
        <v>14077868.2101467</v>
      </c>
      <c r="Q112" s="28" t="n">
        <f aca="false">H112*$D$15</f>
        <v>1969904.90041701</v>
      </c>
      <c r="R112" s="28" t="n">
        <f aca="false">IF(B112=1,(P112+D112-C112)*(1+RetRate)+G112+Q112,P112)</f>
        <v>17821854.8793621</v>
      </c>
      <c r="S112" s="28" t="n">
        <f aca="false">V111</f>
        <v>769841.393052841</v>
      </c>
      <c r="T112" s="28" t="n">
        <f aca="false">S112+D112-C112</f>
        <v>769841.393052841</v>
      </c>
      <c r="U112" s="28" t="n">
        <f aca="false">IF(B112=1,MAX(0,-T112),0)</f>
        <v>0</v>
      </c>
      <c r="V112" s="28" t="n">
        <f aca="false">IF(B112=1,MAX(0,T112)*(1+RetRate)+G112,S112)</f>
        <v>946959.943799968</v>
      </c>
      <c r="W112" s="28" t="n">
        <f aca="false">IF(A112&lt;=MIN('Education Cost Forecast'!$D$49,'Education Cost Forecast'!$D$53),G112*(1+RetRate)^('Education Cost Forecast'!$D$49-A112),0)</f>
        <v>149336.575678063</v>
      </c>
      <c r="X112" s="28" t="n">
        <f aca="false">IF(B112=1,P112+D112-C112,0)</f>
        <v>14077868.2101467</v>
      </c>
    </row>
    <row r="113" customFormat="false" ht="15" hidden="false" customHeight="false" outlineLevel="0" collapsed="false">
      <c r="A113" s="27" t="n">
        <v>8</v>
      </c>
      <c r="B113" s="27" t="n">
        <f aca="false">'Education Cost Forecast'!B133</f>
        <v>1</v>
      </c>
      <c r="C113" s="28" t="n">
        <f aca="false">'Education Cost Forecast'!Z133</f>
        <v>0</v>
      </c>
      <c r="D113" s="28" t="n">
        <f aca="false">IF(AND(B113=1,'Education Cost Forecast'!F133&gt;0,'Education Cost Forecast'!E133=0),'Education Cost Forecast'!$D$45,0)</f>
        <v>0</v>
      </c>
      <c r="E113" s="27" t="n">
        <f aca="false">IF(AND(B113=1,A113&lt;='Education Cost Forecast'!$D$53),1,0)</f>
        <v>1</v>
      </c>
      <c r="F113" s="40" t="n">
        <f aca="false">(1+Esc)^(A113-1)</f>
        <v>1.40710042265625</v>
      </c>
      <c r="G113" s="28" t="n">
        <f aca="false">E113*('Education Cost Forecast'!$D$41*12*MonthlyFactor+'Education Cost Forecast'!$D$42)*F113</f>
        <v>88974.4627598251</v>
      </c>
      <c r="H113" s="28" t="n">
        <f aca="false">E113*UnitFactor*F113</f>
        <v>1.48290771266375</v>
      </c>
      <c r="I113" s="28" t="n">
        <f aca="false">J112+D113-C113</f>
        <v>946959.943799968</v>
      </c>
      <c r="J113" s="28" t="n">
        <f aca="false">IF(B113=1,I113*(1+RetRate)+G113,J112)</f>
        <v>1149569.59981579</v>
      </c>
      <c r="K113" s="28" t="n">
        <f aca="false">L112</f>
        <v>12.098196717656</v>
      </c>
      <c r="L113" s="28" t="n">
        <f aca="false">IF(B113=1,K113*(1+RetRate)+H113,L112)</f>
        <v>15.0328880364385</v>
      </c>
      <c r="M113" s="40" t="n">
        <f aca="false">(1+RetRate)^(A113-1)</f>
        <v>2.21068140740608</v>
      </c>
      <c r="N113" s="28" t="n">
        <f aca="false">IF(AND(B113=1,C113&gt;0,K113&lt;=0.000000000001,I113&lt;0),-I113/M113,0)</f>
        <v>0</v>
      </c>
      <c r="O113" s="28" t="n">
        <f aca="false">IF(AND(B113=1,C113&gt;0,K113&gt;0.000000000001),-(I113+$D$14*M113)/K113,0)</f>
        <v>0</v>
      </c>
      <c r="P113" s="28" t="n">
        <f aca="false">R112</f>
        <v>17821854.8793621</v>
      </c>
      <c r="Q113" s="28" t="n">
        <f aca="false">H113*$D$15</f>
        <v>2068400.14543786</v>
      </c>
      <c r="R113" s="28" t="n">
        <f aca="false">IF(B113=1,(P113+D113-C113)*(1+RetRate)+G113+Q113,P113)</f>
        <v>22117852.0730832</v>
      </c>
      <c r="S113" s="28" t="n">
        <f aca="false">V112</f>
        <v>946959.943799968</v>
      </c>
      <c r="T113" s="28" t="n">
        <f aca="false">S113+D113-C113</f>
        <v>946959.943799968</v>
      </c>
      <c r="U113" s="28" t="n">
        <f aca="false">IF(B113=1,MAX(0,-T113),0)</f>
        <v>0</v>
      </c>
      <c r="V113" s="28" t="n">
        <f aca="false">IF(B113=1,MAX(0,T113)*(1+RetRate)+G113,S113)</f>
        <v>1149569.59981579</v>
      </c>
      <c r="W113" s="28" t="n">
        <f aca="false">IF(A113&lt;=MIN('Education Cost Forecast'!$D$49,'Education Cost Forecast'!$D$53),G113*(1+RetRate)^('Education Cost Forecast'!$D$49-A113),0)</f>
        <v>140003.039698184</v>
      </c>
      <c r="X113" s="28" t="n">
        <f aca="false">IF(B113=1,P113+D113-C113,0)</f>
        <v>17821854.8793621</v>
      </c>
    </row>
    <row r="114" customFormat="false" ht="15" hidden="false" customHeight="false" outlineLevel="0" collapsed="false">
      <c r="A114" s="27" t="n">
        <v>9</v>
      </c>
      <c r="B114" s="27" t="n">
        <f aca="false">'Education Cost Forecast'!B134</f>
        <v>1</v>
      </c>
      <c r="C114" s="28" t="n">
        <f aca="false">'Education Cost Forecast'!Z134</f>
        <v>0</v>
      </c>
      <c r="D114" s="28" t="n">
        <f aca="false">IF(AND(B114=1,'Education Cost Forecast'!F134&gt;0,'Education Cost Forecast'!E134=0),'Education Cost Forecast'!$D$45,0)</f>
        <v>0</v>
      </c>
      <c r="E114" s="27" t="n">
        <f aca="false">IF(AND(B114=1,A114&lt;='Education Cost Forecast'!$D$53),1,0)</f>
        <v>1</v>
      </c>
      <c r="F114" s="40" t="n">
        <f aca="false">(1+Esc)^(A114-1)</f>
        <v>1.47745544378906</v>
      </c>
      <c r="G114" s="28" t="n">
        <f aca="false">E114*('Education Cost Forecast'!$D$41*12*MonthlyFactor+'Education Cost Forecast'!$D$42)*F114</f>
        <v>93423.1858978163</v>
      </c>
      <c r="H114" s="28" t="n">
        <f aca="false">E114*UnitFactor*F114</f>
        <v>1.55705309829694</v>
      </c>
      <c r="I114" s="28" t="n">
        <f aca="false">J113+D114-C114</f>
        <v>1149569.59981579</v>
      </c>
      <c r="J114" s="28" t="n">
        <f aca="false">IF(B114=1,I114*(1+RetRate)+G114,J113)</f>
        <v>1380941.1376915</v>
      </c>
      <c r="K114" s="28" t="n">
        <f aca="false">L113</f>
        <v>15.0328880364385</v>
      </c>
      <c r="L114" s="28" t="n">
        <f aca="false">IF(B114=1,K114*(1+RetRate)+H114,L113)</f>
        <v>18.393887699108</v>
      </c>
      <c r="M114" s="40" t="n">
        <f aca="false">(1+RetRate)^(A114-1)</f>
        <v>2.47596317629481</v>
      </c>
      <c r="N114" s="28" t="n">
        <f aca="false">IF(AND(B114=1,C114&gt;0,K114&lt;=0.000000000001,I114&lt;0),-I114/M114,0)</f>
        <v>0</v>
      </c>
      <c r="O114" s="28" t="n">
        <f aca="false">IF(AND(B114=1,C114&gt;0,K114&gt;0.000000000001),-(I114+$D$14*M114)/K114,0)</f>
        <v>0</v>
      </c>
      <c r="P114" s="28" t="n">
        <f aca="false">R113</f>
        <v>22117852.0730832</v>
      </c>
      <c r="Q114" s="28" t="n">
        <f aca="false">H114*$D$15</f>
        <v>2171820.15270976</v>
      </c>
      <c r="R114" s="28" t="n">
        <f aca="false">IF(B114=1,(P114+D114-C114)*(1+RetRate)+G114+Q114,P114)</f>
        <v>27037237.6604608</v>
      </c>
      <c r="S114" s="28" t="n">
        <f aca="false">V113</f>
        <v>1149569.59981579</v>
      </c>
      <c r="T114" s="28" t="n">
        <f aca="false">S114+D114-C114</f>
        <v>1149569.59981579</v>
      </c>
      <c r="U114" s="28" t="n">
        <f aca="false">IF(B114=1,MAX(0,-T114),0)</f>
        <v>0</v>
      </c>
      <c r="V114" s="28" t="n">
        <f aca="false">IF(B114=1,MAX(0,T114)*(1+RetRate)+G114,S114)</f>
        <v>1380941.1376915</v>
      </c>
      <c r="W114" s="28" t="n">
        <f aca="false">IF(A114&lt;=MIN('Education Cost Forecast'!$D$49,'Education Cost Forecast'!$D$53),G114*(1+RetRate)^('Education Cost Forecast'!$D$49-A114),0)</f>
        <v>131252.849717047</v>
      </c>
      <c r="X114" s="28" t="n">
        <f aca="false">IF(B114=1,P114+D114-C114,0)</f>
        <v>22117852.0730832</v>
      </c>
    </row>
    <row r="115" customFormat="false" ht="15" hidden="false" customHeight="false" outlineLevel="0" collapsed="false">
      <c r="A115" s="27" t="n">
        <v>10</v>
      </c>
      <c r="B115" s="27" t="n">
        <f aca="false">'Education Cost Forecast'!B135</f>
        <v>1</v>
      </c>
      <c r="C115" s="28" t="n">
        <f aca="false">'Education Cost Forecast'!Z135</f>
        <v>0</v>
      </c>
      <c r="D115" s="28" t="n">
        <f aca="false">IF(AND(B115=1,'Education Cost Forecast'!F135&gt;0,'Education Cost Forecast'!E135=0),'Education Cost Forecast'!$D$45,0)</f>
        <v>0</v>
      </c>
      <c r="E115" s="27" t="n">
        <f aca="false">IF(AND(B115=1,A115&lt;='Education Cost Forecast'!$D$53),1,0)</f>
        <v>1</v>
      </c>
      <c r="F115" s="40" t="n">
        <f aca="false">(1+Esc)^(A115-1)</f>
        <v>1.55132821597852</v>
      </c>
      <c r="G115" s="28" t="n">
        <f aca="false">E115*('Education Cost Forecast'!$D$41*12*MonthlyFactor+'Education Cost Forecast'!$D$42)*F115</f>
        <v>98094.3451927071</v>
      </c>
      <c r="H115" s="28" t="n">
        <f aca="false">E115*UnitFactor*F115</f>
        <v>1.63490575321179</v>
      </c>
      <c r="I115" s="28" t="n">
        <f aca="false">J114+D115-C115</f>
        <v>1380941.1376915</v>
      </c>
      <c r="J115" s="28" t="n">
        <f aca="false">IF(B115=1,I115*(1+RetRate)+G115,J114)</f>
        <v>1644748.41940719</v>
      </c>
      <c r="K115" s="28" t="n">
        <f aca="false">L114</f>
        <v>18.393887699108</v>
      </c>
      <c r="L115" s="28" t="n">
        <f aca="false">IF(B115=1,K115*(1+RetRate)+H115,L114)</f>
        <v>22.2360599762128</v>
      </c>
      <c r="M115" s="40" t="n">
        <f aca="false">(1+RetRate)^(A115-1)</f>
        <v>2.77307875745019</v>
      </c>
      <c r="N115" s="28" t="n">
        <f aca="false">IF(AND(B115=1,C115&gt;0,K115&lt;=0.000000000001,I115&lt;0),-I115/M115,0)</f>
        <v>0</v>
      </c>
      <c r="O115" s="28" t="n">
        <f aca="false">IF(AND(B115=1,C115&gt;0,K115&gt;0.000000000001),-(I115+$D$14*M115)/K115,0)</f>
        <v>0</v>
      </c>
      <c r="P115" s="28" t="n">
        <f aca="false">R114</f>
        <v>27037237.6604608</v>
      </c>
      <c r="Q115" s="28" t="n">
        <f aca="false">H115*$D$15</f>
        <v>2280411.16034524</v>
      </c>
      <c r="R115" s="28" t="n">
        <f aca="false">IF(B115=1,(P115+D115-C115)*(1+RetRate)+G115+Q115,P115)</f>
        <v>32660211.6852541</v>
      </c>
      <c r="S115" s="28" t="n">
        <f aca="false">V114</f>
        <v>1380941.1376915</v>
      </c>
      <c r="T115" s="28" t="n">
        <f aca="false">S115+D115-C115</f>
        <v>1380941.1376915</v>
      </c>
      <c r="U115" s="28" t="n">
        <f aca="false">IF(B115=1,MAX(0,-T115),0)</f>
        <v>0</v>
      </c>
      <c r="V115" s="28" t="n">
        <f aca="false">IF(B115=1,MAX(0,T115)*(1+RetRate)+G115,S115)</f>
        <v>1644748.41940719</v>
      </c>
      <c r="W115" s="28" t="n">
        <f aca="false">IF(A115&lt;=MIN('Education Cost Forecast'!$D$49,'Education Cost Forecast'!$D$53),G115*(1+RetRate)^('Education Cost Forecast'!$D$49-A115),0)</f>
        <v>123049.546609732</v>
      </c>
      <c r="X115" s="28" t="n">
        <f aca="false">IF(B115=1,P115+D115-C115,0)</f>
        <v>27037237.6604608</v>
      </c>
    </row>
    <row r="116" customFormat="false" ht="15" hidden="false" customHeight="false" outlineLevel="0" collapsed="false">
      <c r="A116" s="27" t="n">
        <v>11</v>
      </c>
      <c r="B116" s="27" t="n">
        <f aca="false">'Education Cost Forecast'!B136</f>
        <v>1</v>
      </c>
      <c r="C116" s="28" t="n">
        <f aca="false">'Education Cost Forecast'!Z136</f>
        <v>0</v>
      </c>
      <c r="D116" s="28" t="n">
        <f aca="false">IF(AND(B116=1,'Education Cost Forecast'!F136&gt;0,'Education Cost Forecast'!E136=0),'Education Cost Forecast'!$D$45,0)</f>
        <v>0</v>
      </c>
      <c r="E116" s="27" t="n">
        <f aca="false">IF(AND(B116=1,A116&lt;='Education Cost Forecast'!$D$53),1,0)</f>
        <v>1</v>
      </c>
      <c r="F116" s="40" t="n">
        <f aca="false">(1+Esc)^(A116-1)</f>
        <v>1.62889462677744</v>
      </c>
      <c r="G116" s="28" t="n">
        <f aca="false">E116*('Education Cost Forecast'!$D$41*12*MonthlyFactor+'Education Cost Forecast'!$D$42)*F116</f>
        <v>102999.062452342</v>
      </c>
      <c r="H116" s="28" t="n">
        <f aca="false">E116*UnitFactor*F116</f>
        <v>1.71665104087237</v>
      </c>
      <c r="I116" s="28" t="n">
        <f aca="false">J115+D116-C116</f>
        <v>1644748.41940719</v>
      </c>
      <c r="J116" s="28" t="n">
        <f aca="false">IF(B116=1,I116*(1+RetRate)+G116,J115)</f>
        <v>1945117.29218839</v>
      </c>
      <c r="K116" s="28" t="n">
        <f aca="false">L115</f>
        <v>22.2360599762128</v>
      </c>
      <c r="L116" s="28" t="n">
        <f aca="false">IF(B116=1,K116*(1+RetRate)+H116,L115)</f>
        <v>26.6210382142307</v>
      </c>
      <c r="M116" s="40" t="n">
        <f aca="false">(1+RetRate)^(A116-1)</f>
        <v>3.10584820834421</v>
      </c>
      <c r="N116" s="28" t="n">
        <f aca="false">IF(AND(B116=1,C116&gt;0,K116&lt;=0.000000000001,I116&lt;0),-I116/M116,0)</f>
        <v>0</v>
      </c>
      <c r="O116" s="28" t="n">
        <f aca="false">IF(AND(B116=1,C116&gt;0,K116&gt;0.000000000001),-(I116+$D$14*M116)/K116,0)</f>
        <v>0</v>
      </c>
      <c r="P116" s="28" t="n">
        <f aca="false">R115</f>
        <v>32660211.6852541</v>
      </c>
      <c r="Q116" s="28" t="n">
        <f aca="false">H116*$D$15</f>
        <v>2394431.71836251</v>
      </c>
      <c r="R116" s="28" t="n">
        <f aca="false">IF(B116=1,(P116+D116-C116)*(1+RetRate)+G116+Q116,P116)</f>
        <v>39076867.8682994</v>
      </c>
      <c r="S116" s="28" t="n">
        <f aca="false">V115</f>
        <v>1644748.41940719</v>
      </c>
      <c r="T116" s="28" t="n">
        <f aca="false">S116+D116-C116</f>
        <v>1644748.41940719</v>
      </c>
      <c r="U116" s="28" t="n">
        <f aca="false">IF(B116=1,MAX(0,-T116),0)</f>
        <v>0</v>
      </c>
      <c r="V116" s="28" t="n">
        <f aca="false">IF(B116=1,MAX(0,T116)*(1+RetRate)+G116,S116)</f>
        <v>1945117.29218839</v>
      </c>
      <c r="W116" s="28" t="n">
        <f aca="false">IF(A116&lt;=MIN('Education Cost Forecast'!$D$49,'Education Cost Forecast'!$D$53),G116*(1+RetRate)^('Education Cost Forecast'!$D$49-A116),0)</f>
        <v>115358.949946624</v>
      </c>
      <c r="X116" s="28" t="n">
        <f aca="false">IF(B116=1,P116+D116-C116,0)</f>
        <v>32660211.6852541</v>
      </c>
    </row>
    <row r="117" customFormat="false" ht="15" hidden="false" customHeight="false" outlineLevel="0" collapsed="false">
      <c r="A117" s="27" t="n">
        <v>12</v>
      </c>
      <c r="B117" s="27" t="n">
        <f aca="false">'Education Cost Forecast'!B137</f>
        <v>1</v>
      </c>
      <c r="C117" s="28" t="n">
        <f aca="false">'Education Cost Forecast'!Z137</f>
        <v>0</v>
      </c>
      <c r="D117" s="28" t="n">
        <f aca="false">IF(AND(B117=1,'Education Cost Forecast'!F137&gt;0,'Education Cost Forecast'!E137=0),'Education Cost Forecast'!$D$45,0)</f>
        <v>0</v>
      </c>
      <c r="E117" s="27" t="n">
        <f aca="false">IF(AND(B117=1,A117&lt;='Education Cost Forecast'!$D$53),1,0)</f>
        <v>1</v>
      </c>
      <c r="F117" s="40" t="n">
        <f aca="false">(1+Esc)^(A117-1)</f>
        <v>1.71033935811631</v>
      </c>
      <c r="G117" s="28" t="n">
        <f aca="false">E117*('Education Cost Forecast'!$D$41*12*MonthlyFactor+'Education Cost Forecast'!$D$42)*F117</f>
        <v>108149.01557496</v>
      </c>
      <c r="H117" s="28" t="n">
        <f aca="false">E117*UnitFactor*F117</f>
        <v>1.80248359291599</v>
      </c>
      <c r="I117" s="28" t="n">
        <f aca="false">J116+D117-C117</f>
        <v>1945117.29218839</v>
      </c>
      <c r="J117" s="28" t="n">
        <f aca="false">IF(B117=1,I117*(1+RetRate)+G117,J116)</f>
        <v>2286680.38282596</v>
      </c>
      <c r="K117" s="28" t="n">
        <f aca="false">L116</f>
        <v>26.6210382142307</v>
      </c>
      <c r="L117" s="28" t="n">
        <f aca="false">IF(B117=1,K117*(1+RetRate)+H117,L116)</f>
        <v>31.6180463928544</v>
      </c>
      <c r="M117" s="40" t="n">
        <f aca="false">(1+RetRate)^(A117-1)</f>
        <v>3.47854999334552</v>
      </c>
      <c r="N117" s="28" t="n">
        <f aca="false">IF(AND(B117=1,C117&gt;0,K117&lt;=0.000000000001,I117&lt;0),-I117/M117,0)</f>
        <v>0</v>
      </c>
      <c r="O117" s="28" t="n">
        <f aca="false">IF(AND(B117=1,C117&gt;0,K117&gt;0.000000000001),-(I117+$D$14*M117)/K117,0)</f>
        <v>0</v>
      </c>
      <c r="P117" s="28" t="n">
        <f aca="false">R116</f>
        <v>39076867.8682994</v>
      </c>
      <c r="Q117" s="28" t="n">
        <f aca="false">H117*$D$15</f>
        <v>2514153.30428063</v>
      </c>
      <c r="R117" s="28" t="n">
        <f aca="false">IF(B117=1,(P117+D117-C117)*(1+RetRate)+G117+Q117,P117)</f>
        <v>46388394.3323509</v>
      </c>
      <c r="S117" s="28" t="n">
        <f aca="false">V116</f>
        <v>1945117.29218839</v>
      </c>
      <c r="T117" s="28" t="n">
        <f aca="false">S117+D117-C117</f>
        <v>1945117.29218839</v>
      </c>
      <c r="U117" s="28" t="n">
        <f aca="false">IF(B117=1,MAX(0,-T117),0)</f>
        <v>0</v>
      </c>
      <c r="V117" s="28" t="n">
        <f aca="false">IF(B117=1,MAX(0,T117)*(1+RetRate)+G117,S117)</f>
        <v>2286680.38282596</v>
      </c>
      <c r="W117" s="28" t="n">
        <f aca="false">IF(A117&lt;=MIN('Education Cost Forecast'!$D$49,'Education Cost Forecast'!$D$53),G117*(1+RetRate)^('Education Cost Forecast'!$D$49-A117),0)</f>
        <v>108149.01557496</v>
      </c>
      <c r="X117" s="28" t="n">
        <f aca="false">IF(B117=1,P117+D117-C117,0)</f>
        <v>39076867.8682994</v>
      </c>
    </row>
    <row r="118" customFormat="false" ht="15" hidden="false" customHeight="false" outlineLevel="0" collapsed="false">
      <c r="A118" s="27" t="n">
        <v>13</v>
      </c>
      <c r="B118" s="27" t="n">
        <f aca="false">'Education Cost Forecast'!B138</f>
        <v>1</v>
      </c>
      <c r="C118" s="28" t="n">
        <f aca="false">'Education Cost Forecast'!Z138</f>
        <v>12173272.9157122</v>
      </c>
      <c r="D118" s="28" t="n">
        <f aca="false">IF(AND(B118=1,'Education Cost Forecast'!F138&gt;0,'Education Cost Forecast'!E138=0),'Education Cost Forecast'!$D$45,0)</f>
        <v>0</v>
      </c>
      <c r="E118" s="27" t="n">
        <f aca="false">IF(AND(B118=1,A118&lt;='Education Cost Forecast'!$D$53),1,0)</f>
        <v>1</v>
      </c>
      <c r="F118" s="40" t="n">
        <f aca="false">(1+Esc)^(A118-1)</f>
        <v>1.79585632602213</v>
      </c>
      <c r="G118" s="28" t="n">
        <f aca="false">E118*('Education Cost Forecast'!$D$41*12*MonthlyFactor+'Education Cost Forecast'!$D$42)*F118</f>
        <v>113556.466353708</v>
      </c>
      <c r="H118" s="28" t="n">
        <f aca="false">E118*UnitFactor*F118</f>
        <v>1.89260777256179</v>
      </c>
      <c r="I118" s="28" t="n">
        <f aca="false">J117+D118-C118</f>
        <v>-9886592.53288622</v>
      </c>
      <c r="J118" s="28" t="n">
        <f aca="false">IF(B118=1,I118*(1+RetRate)+G118,J117)</f>
        <v>-10959427.1704789</v>
      </c>
      <c r="K118" s="28" t="n">
        <f aca="false">L117</f>
        <v>31.6180463928544</v>
      </c>
      <c r="L118" s="28" t="n">
        <f aca="false">IF(B118=1,K118*(1+RetRate)+H118,L117)</f>
        <v>37.3048197325587</v>
      </c>
      <c r="M118" s="40" t="n">
        <f aca="false">(1+RetRate)^(A118-1)</f>
        <v>3.89597599254698</v>
      </c>
      <c r="N118" s="28" t="n">
        <f aca="false">IF(AND(B118=1,C118&gt;0,K118&lt;=0.000000000001,I118&lt;0),-I118/M118,0)</f>
        <v>0</v>
      </c>
      <c r="O118" s="28" t="n">
        <f aca="false">IF(AND(B118=1,C118&gt;0,K118&gt;0.000000000001),-(I118+$D$14*M118)/K118,0)</f>
        <v>312688.27966299</v>
      </c>
      <c r="P118" s="28" t="n">
        <f aca="false">R117</f>
        <v>46388394.3323509</v>
      </c>
      <c r="Q118" s="28" t="n">
        <f aca="false">H118*$D$15</f>
        <v>2639860.96949466</v>
      </c>
      <c r="R118" s="28" t="n">
        <f aca="false">IF(B118=1,(P118+D118-C118)*(1+RetRate)+G118+Q118,P118)</f>
        <v>41074353.4224838</v>
      </c>
      <c r="S118" s="28" t="n">
        <f aca="false">V117</f>
        <v>2286680.38282596</v>
      </c>
      <c r="T118" s="28" t="n">
        <f aca="false">S118+D118-C118</f>
        <v>-9886592.53288622</v>
      </c>
      <c r="U118" s="28" t="n">
        <f aca="false">IF(B118=1,MAX(0,-T118),0)</f>
        <v>9886592.53288622</v>
      </c>
      <c r="V118" s="28" t="n">
        <f aca="false">IF(B118=1,MAX(0,T118)*(1+RetRate)+G118,S118)</f>
        <v>113556.466353708</v>
      </c>
      <c r="W118" s="28" t="n">
        <f aca="false">IF(A118&lt;=MIN('Education Cost Forecast'!$D$49,'Education Cost Forecast'!$D$53),G118*(1+RetRate)^('Education Cost Forecast'!$D$49-A118),0)</f>
        <v>0</v>
      </c>
      <c r="X118" s="28" t="n">
        <f aca="false">IF(B118=1,P118+D118-C118,0)</f>
        <v>34215121.4166387</v>
      </c>
    </row>
    <row r="119" customFormat="false" ht="15" hidden="false" customHeight="false" outlineLevel="0" collapsed="false">
      <c r="A119" s="27" t="n">
        <v>14</v>
      </c>
      <c r="B119" s="27" t="n">
        <f aca="false">'Education Cost Forecast'!B139</f>
        <v>1</v>
      </c>
      <c r="C119" s="28" t="n">
        <f aca="false">'Education Cost Forecast'!Z139</f>
        <v>12428568.7471852</v>
      </c>
      <c r="D119" s="28" t="n">
        <f aca="false">IF(AND(B119=1,'Education Cost Forecast'!F139&gt;0,'Education Cost Forecast'!E139=0),'Education Cost Forecast'!$D$45,0)</f>
        <v>0</v>
      </c>
      <c r="E119" s="27" t="n">
        <f aca="false">IF(AND(B119=1,A119&lt;='Education Cost Forecast'!$D$53),1,0)</f>
        <v>1</v>
      </c>
      <c r="F119" s="40" t="n">
        <f aca="false">(1+Esc)^(A119-1)</f>
        <v>1.88564914232324</v>
      </c>
      <c r="G119" s="28" t="n">
        <f aca="false">E119*('Education Cost Forecast'!$D$41*12*MonthlyFactor+'Education Cost Forecast'!$D$42)*F119</f>
        <v>119234.289671393</v>
      </c>
      <c r="H119" s="28" t="n">
        <f aca="false">E119*UnitFactor*F119</f>
        <v>1.98723816118988</v>
      </c>
      <c r="I119" s="28" t="n">
        <f aca="false">J118+D119-C119</f>
        <v>-23387995.9176641</v>
      </c>
      <c r="J119" s="28" t="n">
        <f aca="false">IF(B119=1,I119*(1+RetRate)+G119,J118)</f>
        <v>-26075321.1381124</v>
      </c>
      <c r="K119" s="28" t="n">
        <f aca="false">L118</f>
        <v>37.3048197325587</v>
      </c>
      <c r="L119" s="28" t="n">
        <f aca="false">IF(B119=1,K119*(1+RetRate)+H119,L118)</f>
        <v>43.7686362616556</v>
      </c>
      <c r="M119" s="40" t="n">
        <f aca="false">(1+RetRate)^(A119-1)</f>
        <v>4.36349311165262</v>
      </c>
      <c r="N119" s="28" t="n">
        <f aca="false">IF(AND(B119=1,C119&gt;0,K119&lt;=0.000000000001,I119&lt;0),-I119/M119,0)</f>
        <v>0</v>
      </c>
      <c r="O119" s="28" t="n">
        <f aca="false">IF(AND(B119=1,C119&gt;0,K119&gt;0.000000000001),-(I119+$D$14*M119)/K119,0)</f>
        <v>626943.008579979</v>
      </c>
      <c r="P119" s="28" t="n">
        <f aca="false">R118</f>
        <v>41074353.4224838</v>
      </c>
      <c r="Q119" s="28" t="n">
        <f aca="false">H119*$D$15</f>
        <v>2771854.0179694</v>
      </c>
      <c r="R119" s="28" t="n">
        <f aca="false">IF(B119=1,(P119+D119-C119)*(1+RetRate)+G119+Q119,P119)</f>
        <v>34974367.1439751</v>
      </c>
      <c r="S119" s="28" t="n">
        <f aca="false">V118</f>
        <v>113556.466353708</v>
      </c>
      <c r="T119" s="28" t="n">
        <f aca="false">S119+D119-C119</f>
        <v>-12315012.2808315</v>
      </c>
      <c r="U119" s="28" t="n">
        <f aca="false">IF(B119=1,MAX(0,-T119),0)</f>
        <v>12315012.2808315</v>
      </c>
      <c r="V119" s="28" t="n">
        <f aca="false">IF(B119=1,MAX(0,T119)*(1+RetRate)+G119,S119)</f>
        <v>119234.289671393</v>
      </c>
      <c r="W119" s="28" t="n">
        <f aca="false">IF(A119&lt;=MIN('Education Cost Forecast'!$D$49,'Education Cost Forecast'!$D$53),G119*(1+RetRate)^('Education Cost Forecast'!$D$49-A119),0)</f>
        <v>0</v>
      </c>
      <c r="X119" s="28" t="n">
        <f aca="false">IF(B119=1,P119+D119-C119,0)</f>
        <v>28645784.6752985</v>
      </c>
    </row>
    <row r="120" customFormat="false" ht="15" hidden="false" customHeight="false" outlineLevel="0" collapsed="false">
      <c r="A120" s="27" t="n">
        <v>15</v>
      </c>
      <c r="B120" s="27" t="n">
        <f aca="false">'Education Cost Forecast'!B140</f>
        <v>1</v>
      </c>
      <c r="C120" s="28" t="n">
        <f aca="false">'Education Cost Forecast'!Z140</f>
        <v>13660976.223187</v>
      </c>
      <c r="D120" s="28" t="n">
        <f aca="false">IF(AND(B120=1,'Education Cost Forecast'!F140&gt;0,'Education Cost Forecast'!E140=0),'Education Cost Forecast'!$D$45,0)</f>
        <v>0</v>
      </c>
      <c r="E120" s="27" t="n">
        <f aca="false">IF(AND(B120=1,A120&lt;='Education Cost Forecast'!$D$53),1,0)</f>
        <v>1</v>
      </c>
      <c r="F120" s="40" t="n">
        <f aca="false">(1+Esc)^(A120-1)</f>
        <v>1.9799315994394</v>
      </c>
      <c r="G120" s="28" t="n">
        <f aca="false">E120*('Education Cost Forecast'!$D$41*12*MonthlyFactor+'Education Cost Forecast'!$D$42)*F120</f>
        <v>125196.004154963</v>
      </c>
      <c r="H120" s="28" t="n">
        <f aca="false">E120*UnitFactor*F120</f>
        <v>2.08660006924938</v>
      </c>
      <c r="I120" s="28" t="n">
        <f aca="false">J119+D120-C120</f>
        <v>-39736297.3612994</v>
      </c>
      <c r="J120" s="28" t="n">
        <f aca="false">IF(B120=1,I120*(1+RetRate)+G120,J119)</f>
        <v>-44379457.0405004</v>
      </c>
      <c r="K120" s="28" t="n">
        <f aca="false">L119</f>
        <v>43.7686362616556</v>
      </c>
      <c r="L120" s="28" t="n">
        <f aca="false">IF(B120=1,K120*(1+RetRate)+H120,L119)</f>
        <v>51.1074726823037</v>
      </c>
      <c r="M120" s="40" t="n">
        <f aca="false">(1+RetRate)^(A120-1)</f>
        <v>4.88711228505093</v>
      </c>
      <c r="N120" s="28" t="n">
        <f aca="false">IF(AND(B120=1,C120&gt;0,K120&lt;=0.000000000001,I120&lt;0),-I120/M120,0)</f>
        <v>0</v>
      </c>
      <c r="O120" s="28" t="n">
        <f aca="false">IF(AND(B120=1,C120&gt;0,K120&gt;0.000000000001),-(I120+$D$14*M120)/K120,0)</f>
        <v>907871.497840365</v>
      </c>
      <c r="P120" s="28" t="n">
        <f aca="false">R119</f>
        <v>34974367.1439751</v>
      </c>
      <c r="Q120" s="28" t="n">
        <f aca="false">H120*$D$15</f>
        <v>2910446.71886787</v>
      </c>
      <c r="R120" s="28" t="n">
        <f aca="false">IF(B120=1,(P120+D120-C120)*(1+RetRate)+G120+Q120,P120)</f>
        <v>26906640.5543055</v>
      </c>
      <c r="S120" s="28" t="n">
        <f aca="false">V119</f>
        <v>119234.289671393</v>
      </c>
      <c r="T120" s="28" t="n">
        <f aca="false">S120+D120-C120</f>
        <v>-13541741.9335156</v>
      </c>
      <c r="U120" s="28" t="n">
        <f aca="false">IF(B120=1,MAX(0,-T120),0)</f>
        <v>13541741.9335156</v>
      </c>
      <c r="V120" s="28" t="n">
        <f aca="false">IF(B120=1,MAX(0,T120)*(1+RetRate)+G120,S120)</f>
        <v>125196.004154963</v>
      </c>
      <c r="W120" s="28" t="n">
        <f aca="false">IF(A120&lt;=MIN('Education Cost Forecast'!$D$49,'Education Cost Forecast'!$D$53),G120*(1+RetRate)^('Education Cost Forecast'!$D$49-A120),0)</f>
        <v>0</v>
      </c>
      <c r="X120" s="28" t="n">
        <f aca="false">IF(B120=1,P120+D120-C120,0)</f>
        <v>21313390.9207881</v>
      </c>
    </row>
    <row r="121" customFormat="false" ht="15" hidden="false" customHeight="false" outlineLevel="0" collapsed="false">
      <c r="A121" s="27" t="n">
        <v>16</v>
      </c>
      <c r="B121" s="27" t="n">
        <f aca="false">'Education Cost Forecast'!B141</f>
        <v>1</v>
      </c>
      <c r="C121" s="28" t="n">
        <f aca="false">'Education Cost Forecast'!Z141</f>
        <v>15015788.4948916</v>
      </c>
      <c r="D121" s="28" t="n">
        <f aca="false">IF(AND(B121=1,'Education Cost Forecast'!F141&gt;0,'Education Cost Forecast'!E141=0),'Education Cost Forecast'!$D$45,0)</f>
        <v>0</v>
      </c>
      <c r="E121" s="27" t="n">
        <f aca="false">IF(AND(B121=1,A121&lt;='Education Cost Forecast'!$D$53),1,0)</f>
        <v>1</v>
      </c>
      <c r="F121" s="40" t="n">
        <f aca="false">(1+Esc)^(A121-1)</f>
        <v>2.07892817941137</v>
      </c>
      <c r="G121" s="28" t="n">
        <f aca="false">E121*('Education Cost Forecast'!$D$41*12*MonthlyFactor+'Education Cost Forecast'!$D$42)*F121</f>
        <v>131455.804362711</v>
      </c>
      <c r="H121" s="28" t="n">
        <f aca="false">E121*UnitFactor*F121</f>
        <v>2.19093007271185</v>
      </c>
      <c r="I121" s="28" t="n">
        <f aca="false">J120+D121-C121</f>
        <v>-59395245.535392</v>
      </c>
      <c r="J121" s="28" t="n">
        <f aca="false">IF(B121=1,I121*(1+RetRate)+G121,J120)</f>
        <v>-66391219.1952763</v>
      </c>
      <c r="K121" s="28" t="n">
        <f aca="false">L120</f>
        <v>51.1074726823037</v>
      </c>
      <c r="L121" s="28" t="n">
        <f aca="false">IF(B121=1,K121*(1+RetRate)+H121,L120)</f>
        <v>59.431299476892</v>
      </c>
      <c r="M121" s="40" t="n">
        <f aca="false">(1+RetRate)^(A121-1)</f>
        <v>5.47356575925705</v>
      </c>
      <c r="N121" s="28" t="n">
        <f aca="false">IF(AND(B121=1,C121&gt;0,K121&lt;=0.000000000001,I121&lt;0),-I121/M121,0)</f>
        <v>0</v>
      </c>
      <c r="O121" s="28" t="n">
        <f aca="false">IF(AND(B121=1,C121&gt;0,K121&gt;0.000000000001),-(I121+$D$14*M121)/K121,0)</f>
        <v>1162163.62144548</v>
      </c>
      <c r="P121" s="28" t="n">
        <f aca="false">R120</f>
        <v>26906640.5543055</v>
      </c>
      <c r="Q121" s="28" t="n">
        <f aca="false">H121*$D$15</f>
        <v>3055969.05481126</v>
      </c>
      <c r="R121" s="28" t="n">
        <f aca="false">IF(B121=1,(P121+D121-C121)*(1+RetRate)+G121+Q121,P121)</f>
        <v>16505179.1657176</v>
      </c>
      <c r="S121" s="28" t="n">
        <f aca="false">V120</f>
        <v>125196.004154963</v>
      </c>
      <c r="T121" s="28" t="n">
        <f aca="false">S121+D121-C121</f>
        <v>-14890592.4907367</v>
      </c>
      <c r="U121" s="28" t="n">
        <f aca="false">IF(B121=1,MAX(0,-T121),0)</f>
        <v>14890592.4907367</v>
      </c>
      <c r="V121" s="28" t="n">
        <f aca="false">IF(B121=1,MAX(0,T121)*(1+RetRate)+G121,S121)</f>
        <v>131455.804362711</v>
      </c>
      <c r="W121" s="28" t="n">
        <f aca="false">IF(A121&lt;=MIN('Education Cost Forecast'!$D$49,'Education Cost Forecast'!$D$53),G121*(1+RetRate)^('Education Cost Forecast'!$D$49-A121),0)</f>
        <v>0</v>
      </c>
      <c r="X121" s="28" t="n">
        <f aca="false">IF(B121=1,P121+D121-C121,0)</f>
        <v>11890852.0594139</v>
      </c>
    </row>
    <row r="122" customFormat="false" ht="15" hidden="false" customHeight="false" outlineLevel="0" collapsed="false">
      <c r="A122" s="27" t="n">
        <v>17</v>
      </c>
      <c r="B122" s="27" t="n">
        <f aca="false">'Education Cost Forecast'!B142</f>
        <v>1</v>
      </c>
      <c r="C122" s="28" t="n">
        <f aca="false">'Education Cost Forecast'!Z142</f>
        <v>16505179.1657176</v>
      </c>
      <c r="D122" s="28" t="n">
        <f aca="false">IF(AND(B122=1,'Education Cost Forecast'!F142&gt;0,'Education Cost Forecast'!E142=0),'Education Cost Forecast'!$D$45,0)</f>
        <v>0</v>
      </c>
      <c r="E122" s="27" t="n">
        <f aca="false">IF(AND(B122=1,A122&lt;='Education Cost Forecast'!$D$53),1,0)</f>
        <v>0</v>
      </c>
      <c r="F122" s="40" t="n">
        <f aca="false">(1+Esc)^(A122-1)</f>
        <v>2.18287458838194</v>
      </c>
      <c r="G122" s="28" t="n">
        <f aca="false">E122*('Education Cost Forecast'!$D$41*12*MonthlyFactor+'Education Cost Forecast'!$D$42)*F122</f>
        <v>0</v>
      </c>
      <c r="H122" s="28" t="n">
        <f aca="false">E122*UnitFactor*F122</f>
        <v>0</v>
      </c>
      <c r="I122" s="28" t="n">
        <f aca="false">J121+D122-C122</f>
        <v>-82896398.3609939</v>
      </c>
      <c r="J122" s="28" t="n">
        <f aca="false">IF(B122=1,I122*(1+RetRate)+G122,J121)</f>
        <v>-92843966.1643132</v>
      </c>
      <c r="K122" s="28" t="n">
        <f aca="false">L121</f>
        <v>59.431299476892</v>
      </c>
      <c r="L122" s="28" t="n">
        <f aca="false">IF(B122=1,K122*(1+RetRate)+H122,L121)</f>
        <v>66.563055414119</v>
      </c>
      <c r="M122" s="40" t="n">
        <f aca="false">(1+RetRate)^(A122-1)</f>
        <v>6.13039365036789</v>
      </c>
      <c r="N122" s="28" t="n">
        <f aca="false">IF(AND(B122=1,C122&gt;0,K122&lt;=0.000000000001,I122&lt;0),-I122/M122,0)</f>
        <v>0</v>
      </c>
      <c r="O122" s="28" t="n">
        <f aca="false">IF(AND(B122=1,C122&gt;0,K122&gt;0.000000000001),-(I122+$D$14*M122)/K122,0)</f>
        <v>1394827.28950299</v>
      </c>
      <c r="P122" s="28" t="n">
        <f aca="false">R121</f>
        <v>16505179.1657176</v>
      </c>
      <c r="Q122" s="28" t="n">
        <f aca="false">H122*$D$15</f>
        <v>0</v>
      </c>
      <c r="R122" s="28" t="n">
        <f aca="false">IF(B122=1,(P122+D122-C122)*(1+RetRate)+G122+Q122,P122)</f>
        <v>0</v>
      </c>
      <c r="S122" s="28" t="n">
        <f aca="false">V121</f>
        <v>131455.804362711</v>
      </c>
      <c r="T122" s="28" t="n">
        <f aca="false">S122+D122-C122</f>
        <v>-16373723.3613549</v>
      </c>
      <c r="U122" s="28" t="n">
        <f aca="false">IF(B122=1,MAX(0,-T122),0)</f>
        <v>16373723.3613549</v>
      </c>
      <c r="V122" s="28" t="n">
        <f aca="false">IF(B122=1,MAX(0,T122)*(1+RetRate)+G122,S122)</f>
        <v>0</v>
      </c>
      <c r="W122" s="28" t="n">
        <f aca="false">IF(A122&lt;=MIN('Education Cost Forecast'!$D$49,'Education Cost Forecast'!$D$53),G122*(1+RetRate)^('Education Cost Forecast'!$D$49-A122),0)</f>
        <v>0</v>
      </c>
      <c r="X122" s="28" t="n">
        <f aca="false">IF(B122=1,P122+D122-C122,0)</f>
        <v>0</v>
      </c>
    </row>
    <row r="123" customFormat="false" ht="15" hidden="false" customHeight="false" outlineLevel="0" collapsed="false">
      <c r="A123" s="27" t="n">
        <v>18</v>
      </c>
      <c r="B123" s="27" t="n">
        <f aca="false">'Education Cost Forecast'!B143</f>
        <v>0</v>
      </c>
      <c r="C123" s="28" t="n">
        <f aca="false">'Education Cost Forecast'!Z143</f>
        <v>0</v>
      </c>
      <c r="D123" s="28" t="n">
        <f aca="false">IF(AND(B123=1,'Education Cost Forecast'!F143&gt;0,'Education Cost Forecast'!E143=0),'Education Cost Forecast'!$D$45,0)</f>
        <v>0</v>
      </c>
      <c r="E123" s="27" t="n">
        <f aca="false">IF(AND(B123=1,A123&lt;='Education Cost Forecast'!$D$53),1,0)</f>
        <v>0</v>
      </c>
      <c r="F123" s="40" t="n">
        <f aca="false">(1+Esc)^(A123-1)</f>
        <v>2.29201831780103</v>
      </c>
      <c r="G123" s="28" t="n">
        <f aca="false">E123*('Education Cost Forecast'!$D$41*12*MonthlyFactor+'Education Cost Forecast'!$D$42)*F123</f>
        <v>0</v>
      </c>
      <c r="H123" s="28" t="n">
        <f aca="false">E123*UnitFactor*F123</f>
        <v>0</v>
      </c>
      <c r="I123" s="28" t="n">
        <f aca="false">J122+D123-C123</f>
        <v>-92843966.1643132</v>
      </c>
      <c r="J123" s="28" t="n">
        <f aca="false">IF(B123=1,I123*(1+RetRate)+G123,J122)</f>
        <v>-92843966.1643132</v>
      </c>
      <c r="K123" s="28" t="n">
        <f aca="false">L122</f>
        <v>66.563055414119</v>
      </c>
      <c r="L123" s="28" t="n">
        <f aca="false">IF(B123=1,K123*(1+RetRate)+H123,L122)</f>
        <v>66.563055414119</v>
      </c>
      <c r="M123" s="40" t="n">
        <f aca="false">(1+RetRate)^(A123-1)</f>
        <v>6.86604088841204</v>
      </c>
      <c r="N123" s="28" t="n">
        <f aca="false">IF(AND(B123=1,C123&gt;0,K123&lt;=0.000000000001,I123&lt;0),-I123/M123,0)</f>
        <v>0</v>
      </c>
      <c r="O123" s="28" t="n">
        <f aca="false">IF(AND(B123=1,C123&gt;0,K123&gt;0.000000000001),-(I123+$D$14*M123)/K123,0)</f>
        <v>0</v>
      </c>
      <c r="P123" s="28" t="n">
        <f aca="false">R122</f>
        <v>0</v>
      </c>
      <c r="Q123" s="28" t="n">
        <f aca="false">H123*$D$15</f>
        <v>0</v>
      </c>
      <c r="R123" s="28" t="n">
        <f aca="false">IF(B123=1,(P123+D123-C123)*(1+RetRate)+G123+Q123,P123)</f>
        <v>0</v>
      </c>
      <c r="S123" s="28" t="n">
        <f aca="false">V122</f>
        <v>0</v>
      </c>
      <c r="T123" s="28" t="n">
        <f aca="false">S123+D123-C123</f>
        <v>0</v>
      </c>
      <c r="U123" s="28" t="n">
        <f aca="false">IF(B123=1,MAX(0,-T123),0)</f>
        <v>0</v>
      </c>
      <c r="V123" s="28" t="n">
        <f aca="false">IF(B123=1,MAX(0,T123)*(1+RetRate)+G123,S123)</f>
        <v>0</v>
      </c>
      <c r="W123" s="28" t="n">
        <f aca="false">IF(A123&lt;=MIN('Education Cost Forecast'!$D$49,'Education Cost Forecast'!$D$53),G123*(1+RetRate)^('Education Cost Forecast'!$D$49-A123),0)</f>
        <v>0</v>
      </c>
      <c r="X123" s="28" t="n">
        <f aca="false">IF(B123=1,P123+D123-C123,0)</f>
        <v>0</v>
      </c>
    </row>
    <row r="124" customFormat="false" ht="15" hidden="false" customHeight="false" outlineLevel="0" collapsed="false">
      <c r="A124" s="27" t="n">
        <v>19</v>
      </c>
      <c r="B124" s="27" t="n">
        <f aca="false">'Education Cost Forecast'!B144</f>
        <v>0</v>
      </c>
      <c r="C124" s="28" t="n">
        <f aca="false">'Education Cost Forecast'!Z144</f>
        <v>0</v>
      </c>
      <c r="D124" s="28" t="n">
        <f aca="false">IF(AND(B124=1,'Education Cost Forecast'!F144&gt;0,'Education Cost Forecast'!E144=0),'Education Cost Forecast'!$D$45,0)</f>
        <v>0</v>
      </c>
      <c r="E124" s="27" t="n">
        <f aca="false">IF(AND(B124=1,A124&lt;='Education Cost Forecast'!$D$53),1,0)</f>
        <v>0</v>
      </c>
      <c r="F124" s="40" t="n">
        <f aca="false">(1+Esc)^(A124-1)</f>
        <v>2.40661923369109</v>
      </c>
      <c r="G124" s="28" t="n">
        <f aca="false">E124*('Education Cost Forecast'!$D$41*12*MonthlyFactor+'Education Cost Forecast'!$D$42)*F124</f>
        <v>0</v>
      </c>
      <c r="H124" s="28" t="n">
        <f aca="false">E124*UnitFactor*F124</f>
        <v>0</v>
      </c>
      <c r="I124" s="28" t="n">
        <f aca="false">J123+D124-C124</f>
        <v>-92843966.1643132</v>
      </c>
      <c r="J124" s="28" t="n">
        <f aca="false">IF(B124=1,I124*(1+RetRate)+G124,J123)</f>
        <v>-92843966.1643132</v>
      </c>
      <c r="K124" s="28" t="n">
        <f aca="false">L123</f>
        <v>66.563055414119</v>
      </c>
      <c r="L124" s="28" t="n">
        <f aca="false">IF(B124=1,K124*(1+RetRate)+H124,L123)</f>
        <v>66.563055414119</v>
      </c>
      <c r="M124" s="40" t="n">
        <f aca="false">(1+RetRate)^(A124-1)</f>
        <v>7.68996579502149</v>
      </c>
      <c r="N124" s="28" t="n">
        <f aca="false">IF(AND(B124=1,C124&gt;0,K124&lt;=0.000000000001,I124&lt;0),-I124/M124,0)</f>
        <v>0</v>
      </c>
      <c r="O124" s="28" t="n">
        <f aca="false">IF(AND(B124=1,C124&gt;0,K124&gt;0.000000000001),-(I124+$D$14*M124)/K124,0)</f>
        <v>0</v>
      </c>
      <c r="P124" s="28" t="n">
        <f aca="false">R123</f>
        <v>0</v>
      </c>
      <c r="Q124" s="28" t="n">
        <f aca="false">H124*$D$15</f>
        <v>0</v>
      </c>
      <c r="R124" s="28" t="n">
        <f aca="false">IF(B124=1,(P124+D124-C124)*(1+RetRate)+G124+Q124,P124)</f>
        <v>0</v>
      </c>
      <c r="S124" s="28" t="n">
        <f aca="false">V123</f>
        <v>0</v>
      </c>
      <c r="T124" s="28" t="n">
        <f aca="false">S124+D124-C124</f>
        <v>0</v>
      </c>
      <c r="U124" s="28" t="n">
        <f aca="false">IF(B124=1,MAX(0,-T124),0)</f>
        <v>0</v>
      </c>
      <c r="V124" s="28" t="n">
        <f aca="false">IF(B124=1,MAX(0,T124)*(1+RetRate)+G124,S124)</f>
        <v>0</v>
      </c>
      <c r="W124" s="28" t="n">
        <f aca="false">IF(A124&lt;=MIN('Education Cost Forecast'!$D$49,'Education Cost Forecast'!$D$53),G124*(1+RetRate)^('Education Cost Forecast'!$D$49-A124),0)</f>
        <v>0</v>
      </c>
      <c r="X124" s="28" t="n">
        <f aca="false">IF(B124=1,P124+D124-C124,0)</f>
        <v>0</v>
      </c>
    </row>
    <row r="125" customFormat="false" ht="15" hidden="false" customHeight="false" outlineLevel="0" collapsed="false">
      <c r="A125" s="27" t="n">
        <v>20</v>
      </c>
      <c r="B125" s="27" t="n">
        <f aca="false">'Education Cost Forecast'!B145</f>
        <v>0</v>
      </c>
      <c r="C125" s="28" t="n">
        <f aca="false">'Education Cost Forecast'!Z145</f>
        <v>0</v>
      </c>
      <c r="D125" s="28" t="n">
        <f aca="false">IF(AND(B125=1,'Education Cost Forecast'!F145&gt;0,'Education Cost Forecast'!E145=0),'Education Cost Forecast'!$D$45,0)</f>
        <v>0</v>
      </c>
      <c r="E125" s="27" t="n">
        <f aca="false">IF(AND(B125=1,A125&lt;='Education Cost Forecast'!$D$53),1,0)</f>
        <v>0</v>
      </c>
      <c r="F125" s="40" t="n">
        <f aca="false">(1+Esc)^(A125-1)</f>
        <v>2.52695019537564</v>
      </c>
      <c r="G125" s="28" t="n">
        <f aca="false">E125*('Education Cost Forecast'!$D$41*12*MonthlyFactor+'Education Cost Forecast'!$D$42)*F125</f>
        <v>0</v>
      </c>
      <c r="H125" s="28" t="n">
        <f aca="false">E125*UnitFactor*F125</f>
        <v>0</v>
      </c>
      <c r="I125" s="28" t="n">
        <f aca="false">J124+D125-C125</f>
        <v>-92843966.1643132</v>
      </c>
      <c r="J125" s="28" t="n">
        <f aca="false">IF(B125=1,I125*(1+RetRate)+G125,J124)</f>
        <v>-92843966.1643132</v>
      </c>
      <c r="K125" s="28" t="n">
        <f aca="false">L124</f>
        <v>66.563055414119</v>
      </c>
      <c r="L125" s="28" t="n">
        <f aca="false">IF(B125=1,K125*(1+RetRate)+H125,L124)</f>
        <v>66.563055414119</v>
      </c>
      <c r="M125" s="40" t="n">
        <f aca="false">(1+RetRate)^(A125-1)</f>
        <v>8.61276169042406</v>
      </c>
      <c r="N125" s="28" t="n">
        <f aca="false">IF(AND(B125=1,C125&gt;0,K125&lt;=0.000000000001,I125&lt;0),-I125/M125,0)</f>
        <v>0</v>
      </c>
      <c r="O125" s="28" t="n">
        <f aca="false">IF(AND(B125=1,C125&gt;0,K125&gt;0.000000000001),-(I125+$D$14*M125)/K125,0)</f>
        <v>0</v>
      </c>
      <c r="P125" s="28" t="n">
        <f aca="false">R124</f>
        <v>0</v>
      </c>
      <c r="Q125" s="28" t="n">
        <f aca="false">H125*$D$15</f>
        <v>0</v>
      </c>
      <c r="R125" s="28" t="n">
        <f aca="false">IF(B125=1,(P125+D125-C125)*(1+RetRate)+G125+Q125,P125)</f>
        <v>0</v>
      </c>
      <c r="S125" s="28" t="n">
        <f aca="false">V124</f>
        <v>0</v>
      </c>
      <c r="T125" s="28" t="n">
        <f aca="false">S125+D125-C125</f>
        <v>0</v>
      </c>
      <c r="U125" s="28" t="n">
        <f aca="false">IF(B125=1,MAX(0,-T125),0)</f>
        <v>0</v>
      </c>
      <c r="V125" s="28" t="n">
        <f aca="false">IF(B125=1,MAX(0,T125)*(1+RetRate)+G125,S125)</f>
        <v>0</v>
      </c>
      <c r="W125" s="28" t="n">
        <f aca="false">IF(A125&lt;=MIN('Education Cost Forecast'!$D$49,'Education Cost Forecast'!$D$53),G125*(1+RetRate)^('Education Cost Forecast'!$D$49-A125),0)</f>
        <v>0</v>
      </c>
      <c r="X125" s="28" t="n">
        <f aca="false">IF(B125=1,P125+D125-C125,0)</f>
        <v>0</v>
      </c>
    </row>
    <row r="126" customFormat="false" ht="15" hidden="false" customHeight="false" outlineLevel="0" collapsed="false">
      <c r="A126" s="27" t="n">
        <v>21</v>
      </c>
      <c r="B126" s="27" t="n">
        <f aca="false">'Education Cost Forecast'!B146</f>
        <v>0</v>
      </c>
      <c r="C126" s="28" t="n">
        <f aca="false">'Education Cost Forecast'!Z146</f>
        <v>0</v>
      </c>
      <c r="D126" s="28" t="n">
        <f aca="false">IF(AND(B126=1,'Education Cost Forecast'!F146&gt;0,'Education Cost Forecast'!E146=0),'Education Cost Forecast'!$D$45,0)</f>
        <v>0</v>
      </c>
      <c r="E126" s="27" t="n">
        <f aca="false">IF(AND(B126=1,A126&lt;='Education Cost Forecast'!$D$53),1,0)</f>
        <v>0</v>
      </c>
      <c r="F126" s="40" t="n">
        <f aca="false">(1+Esc)^(A126-1)</f>
        <v>2.65329770514442</v>
      </c>
      <c r="G126" s="28" t="n">
        <f aca="false">E126*('Education Cost Forecast'!$D$41*12*MonthlyFactor+'Education Cost Forecast'!$D$42)*F126</f>
        <v>0</v>
      </c>
      <c r="H126" s="28" t="n">
        <f aca="false">E126*UnitFactor*F126</f>
        <v>0</v>
      </c>
      <c r="I126" s="28" t="n">
        <f aca="false">J125+D126-C126</f>
        <v>-92843966.1643132</v>
      </c>
      <c r="J126" s="28" t="n">
        <f aca="false">IF(B126=1,I126*(1+RetRate)+G126,J125)</f>
        <v>-92843966.1643132</v>
      </c>
      <c r="K126" s="28" t="n">
        <f aca="false">L125</f>
        <v>66.563055414119</v>
      </c>
      <c r="L126" s="28" t="n">
        <f aca="false">IF(B126=1,K126*(1+RetRate)+H126,L125)</f>
        <v>66.563055414119</v>
      </c>
      <c r="M126" s="40" t="n">
        <f aca="false">(1+RetRate)^(A126-1)</f>
        <v>9.64629309327495</v>
      </c>
      <c r="N126" s="28" t="n">
        <f aca="false">IF(AND(B126=1,C126&gt;0,K126&lt;=0.000000000001,I126&lt;0),-I126/M126,0)</f>
        <v>0</v>
      </c>
      <c r="O126" s="28" t="n">
        <f aca="false">IF(AND(B126=1,C126&gt;0,K126&gt;0.000000000001),-(I126+$D$14*M126)/K126,0)</f>
        <v>0</v>
      </c>
      <c r="P126" s="28" t="n">
        <f aca="false">R125</f>
        <v>0</v>
      </c>
      <c r="Q126" s="28" t="n">
        <f aca="false">H126*$D$15</f>
        <v>0</v>
      </c>
      <c r="R126" s="28" t="n">
        <f aca="false">IF(B126=1,(P126+D126-C126)*(1+RetRate)+G126+Q126,P126)</f>
        <v>0</v>
      </c>
      <c r="S126" s="28" t="n">
        <f aca="false">V125</f>
        <v>0</v>
      </c>
      <c r="T126" s="28" t="n">
        <f aca="false">S126+D126-C126</f>
        <v>0</v>
      </c>
      <c r="U126" s="28" t="n">
        <f aca="false">IF(B126=1,MAX(0,-T126),0)</f>
        <v>0</v>
      </c>
      <c r="V126" s="28" t="n">
        <f aca="false">IF(B126=1,MAX(0,T126)*(1+RetRate)+G126,S126)</f>
        <v>0</v>
      </c>
      <c r="W126" s="28" t="n">
        <f aca="false">IF(A126&lt;=MIN('Education Cost Forecast'!$D$49,'Education Cost Forecast'!$D$53),G126*(1+RetRate)^('Education Cost Forecast'!$D$49-A126),0)</f>
        <v>0</v>
      </c>
      <c r="X126" s="28" t="n">
        <f aca="false">IF(B126=1,P126+D126-C126,0)</f>
        <v>0</v>
      </c>
    </row>
    <row r="127" customFormat="false" ht="15" hidden="false" customHeight="false" outlineLevel="0" collapsed="false">
      <c r="A127" s="27" t="n">
        <v>22</v>
      </c>
      <c r="B127" s="27" t="n">
        <f aca="false">'Education Cost Forecast'!B147</f>
        <v>0</v>
      </c>
      <c r="C127" s="28" t="n">
        <f aca="false">'Education Cost Forecast'!Z147</f>
        <v>0</v>
      </c>
      <c r="D127" s="28" t="n">
        <f aca="false">IF(AND(B127=1,'Education Cost Forecast'!F147&gt;0,'Education Cost Forecast'!E147=0),'Education Cost Forecast'!$D$45,0)</f>
        <v>0</v>
      </c>
      <c r="E127" s="27" t="n">
        <f aca="false">IF(AND(B127=1,A127&lt;='Education Cost Forecast'!$D$53),1,0)</f>
        <v>0</v>
      </c>
      <c r="F127" s="40" t="n">
        <f aca="false">(1+Esc)^(A127-1)</f>
        <v>2.78596259040164</v>
      </c>
      <c r="G127" s="28" t="n">
        <f aca="false">E127*('Education Cost Forecast'!$D$41*12*MonthlyFactor+'Education Cost Forecast'!$D$42)*F127</f>
        <v>0</v>
      </c>
      <c r="H127" s="28" t="n">
        <f aca="false">E127*UnitFactor*F127</f>
        <v>0</v>
      </c>
      <c r="I127" s="28" t="n">
        <f aca="false">J126+D127-C127</f>
        <v>-92843966.1643132</v>
      </c>
      <c r="J127" s="28" t="n">
        <f aca="false">IF(B127=1,I127*(1+RetRate)+G127,J126)</f>
        <v>-92843966.1643132</v>
      </c>
      <c r="K127" s="28" t="n">
        <f aca="false">L126</f>
        <v>66.563055414119</v>
      </c>
      <c r="L127" s="28" t="n">
        <f aca="false">IF(B127=1,K127*(1+RetRate)+H127,L126)</f>
        <v>66.563055414119</v>
      </c>
      <c r="M127" s="40" t="n">
        <f aca="false">(1+RetRate)^(A127-1)</f>
        <v>10.8038482644679</v>
      </c>
      <c r="N127" s="28" t="n">
        <f aca="false">IF(AND(B127=1,C127&gt;0,K127&lt;=0.000000000001,I127&lt;0),-I127/M127,0)</f>
        <v>0</v>
      </c>
      <c r="O127" s="28" t="n">
        <f aca="false">IF(AND(B127=1,C127&gt;0,K127&gt;0.000000000001),-(I127+$D$14*M127)/K127,0)</f>
        <v>0</v>
      </c>
      <c r="P127" s="28" t="n">
        <f aca="false">R126</f>
        <v>0</v>
      </c>
      <c r="Q127" s="28" t="n">
        <f aca="false">H127*$D$15</f>
        <v>0</v>
      </c>
      <c r="R127" s="28" t="n">
        <f aca="false">IF(B127=1,(P127+D127-C127)*(1+RetRate)+G127+Q127,P127)</f>
        <v>0</v>
      </c>
      <c r="S127" s="28" t="n">
        <f aca="false">V126</f>
        <v>0</v>
      </c>
      <c r="T127" s="28" t="n">
        <f aca="false">S127+D127-C127</f>
        <v>0</v>
      </c>
      <c r="U127" s="28" t="n">
        <f aca="false">IF(B127=1,MAX(0,-T127),0)</f>
        <v>0</v>
      </c>
      <c r="V127" s="28" t="n">
        <f aca="false">IF(B127=1,MAX(0,T127)*(1+RetRate)+G127,S127)</f>
        <v>0</v>
      </c>
      <c r="W127" s="28" t="n">
        <f aca="false">IF(A127&lt;=MIN('Education Cost Forecast'!$D$49,'Education Cost Forecast'!$D$53),G127*(1+RetRate)^('Education Cost Forecast'!$D$49-A127),0)</f>
        <v>0</v>
      </c>
      <c r="X127" s="28" t="n">
        <f aca="false">IF(B127=1,P127+D127-C127,0)</f>
        <v>0</v>
      </c>
    </row>
    <row r="128" customFormat="false" ht="15" hidden="false" customHeight="false" outlineLevel="0" collapsed="false">
      <c r="A128" s="27" t="n">
        <v>23</v>
      </c>
      <c r="B128" s="27" t="n">
        <f aca="false">'Education Cost Forecast'!B148</f>
        <v>0</v>
      </c>
      <c r="C128" s="28" t="n">
        <f aca="false">'Education Cost Forecast'!Z148</f>
        <v>0</v>
      </c>
      <c r="D128" s="28" t="n">
        <f aca="false">IF(AND(B128=1,'Education Cost Forecast'!F148&gt;0,'Education Cost Forecast'!E148=0),'Education Cost Forecast'!$D$45,0)</f>
        <v>0</v>
      </c>
      <c r="E128" s="27" t="n">
        <f aca="false">IF(AND(B128=1,A128&lt;='Education Cost Forecast'!$D$53),1,0)</f>
        <v>0</v>
      </c>
      <c r="F128" s="40" t="n">
        <f aca="false">(1+Esc)^(A128-1)</f>
        <v>2.92526071992173</v>
      </c>
      <c r="G128" s="28" t="n">
        <f aca="false">E128*('Education Cost Forecast'!$D$41*12*MonthlyFactor+'Education Cost Forecast'!$D$42)*F128</f>
        <v>0</v>
      </c>
      <c r="H128" s="28" t="n">
        <f aca="false">E128*UnitFactor*F128</f>
        <v>0</v>
      </c>
      <c r="I128" s="28" t="n">
        <f aca="false">J127+D128-C128</f>
        <v>-92843966.1643132</v>
      </c>
      <c r="J128" s="28" t="n">
        <f aca="false">IF(B128=1,I128*(1+RetRate)+G128,J127)</f>
        <v>-92843966.1643132</v>
      </c>
      <c r="K128" s="28" t="n">
        <f aca="false">L127</f>
        <v>66.563055414119</v>
      </c>
      <c r="L128" s="28" t="n">
        <f aca="false">IF(B128=1,K128*(1+RetRate)+H128,L127)</f>
        <v>66.563055414119</v>
      </c>
      <c r="M128" s="40" t="n">
        <f aca="false">(1+RetRate)^(A128-1)</f>
        <v>12.1003100562041</v>
      </c>
      <c r="N128" s="28" t="n">
        <f aca="false">IF(AND(B128=1,C128&gt;0,K128&lt;=0.000000000001,I128&lt;0),-I128/M128,0)</f>
        <v>0</v>
      </c>
      <c r="O128" s="28" t="n">
        <f aca="false">IF(AND(B128=1,C128&gt;0,K128&gt;0.000000000001),-(I128+$D$14*M128)/K128,0)</f>
        <v>0</v>
      </c>
      <c r="P128" s="28" t="n">
        <f aca="false">R127</f>
        <v>0</v>
      </c>
      <c r="Q128" s="28" t="n">
        <f aca="false">H128*$D$15</f>
        <v>0</v>
      </c>
      <c r="R128" s="28" t="n">
        <f aca="false">IF(B128=1,(P128+D128-C128)*(1+RetRate)+G128+Q128,P128)</f>
        <v>0</v>
      </c>
      <c r="S128" s="28" t="n">
        <f aca="false">V127</f>
        <v>0</v>
      </c>
      <c r="T128" s="28" t="n">
        <f aca="false">S128+D128-C128</f>
        <v>0</v>
      </c>
      <c r="U128" s="28" t="n">
        <f aca="false">IF(B128=1,MAX(0,-T128),0)</f>
        <v>0</v>
      </c>
      <c r="V128" s="28" t="n">
        <f aca="false">IF(B128=1,MAX(0,T128)*(1+RetRate)+G128,S128)</f>
        <v>0</v>
      </c>
      <c r="W128" s="28" t="n">
        <f aca="false">IF(A128&lt;=MIN('Education Cost Forecast'!$D$49,'Education Cost Forecast'!$D$53),G128*(1+RetRate)^('Education Cost Forecast'!$D$49-A128),0)</f>
        <v>0</v>
      </c>
      <c r="X128" s="28" t="n">
        <f aca="false">IF(B128=1,P128+D128-C128,0)</f>
        <v>0</v>
      </c>
    </row>
    <row r="129" customFormat="false" ht="15" hidden="false" customHeight="false" outlineLevel="0" collapsed="false">
      <c r="A129" s="27" t="n">
        <v>24</v>
      </c>
      <c r="B129" s="27" t="n">
        <f aca="false">'Education Cost Forecast'!B149</f>
        <v>0</v>
      </c>
      <c r="C129" s="28" t="n">
        <f aca="false">'Education Cost Forecast'!Z149</f>
        <v>0</v>
      </c>
      <c r="D129" s="28" t="n">
        <f aca="false">IF(AND(B129=1,'Education Cost Forecast'!F149&gt;0,'Education Cost Forecast'!E149=0),'Education Cost Forecast'!$D$45,0)</f>
        <v>0</v>
      </c>
      <c r="E129" s="27" t="n">
        <f aca="false">IF(AND(B129=1,A129&lt;='Education Cost Forecast'!$D$53),1,0)</f>
        <v>0</v>
      </c>
      <c r="F129" s="40" t="n">
        <f aca="false">(1+Esc)^(A129-1)</f>
        <v>3.07152375591781</v>
      </c>
      <c r="G129" s="28" t="n">
        <f aca="false">E129*('Education Cost Forecast'!$D$41*12*MonthlyFactor+'Education Cost Forecast'!$D$42)*F129</f>
        <v>0</v>
      </c>
      <c r="H129" s="28" t="n">
        <f aca="false">E129*UnitFactor*F129</f>
        <v>0</v>
      </c>
      <c r="I129" s="28" t="n">
        <f aca="false">J128+D129-C129</f>
        <v>-92843966.1643132</v>
      </c>
      <c r="J129" s="28" t="n">
        <f aca="false">IF(B129=1,I129*(1+RetRate)+G129,J128)</f>
        <v>-92843966.1643132</v>
      </c>
      <c r="K129" s="28" t="n">
        <f aca="false">L128</f>
        <v>66.563055414119</v>
      </c>
      <c r="L129" s="28" t="n">
        <f aca="false">IF(B129=1,K129*(1+RetRate)+H129,L128)</f>
        <v>66.563055414119</v>
      </c>
      <c r="M129" s="40" t="n">
        <f aca="false">(1+RetRate)^(A129-1)</f>
        <v>13.5523472629486</v>
      </c>
      <c r="N129" s="28" t="n">
        <f aca="false">IF(AND(B129=1,C129&gt;0,K129&lt;=0.000000000001,I129&lt;0),-I129/M129,0)</f>
        <v>0</v>
      </c>
      <c r="O129" s="28" t="n">
        <f aca="false">IF(AND(B129=1,C129&gt;0,K129&gt;0.000000000001),-(I129+$D$14*M129)/K129,0)</f>
        <v>0</v>
      </c>
      <c r="P129" s="28" t="n">
        <f aca="false">R128</f>
        <v>0</v>
      </c>
      <c r="Q129" s="28" t="n">
        <f aca="false">H129*$D$15</f>
        <v>0</v>
      </c>
      <c r="R129" s="28" t="n">
        <f aca="false">IF(B129=1,(P129+D129-C129)*(1+RetRate)+G129+Q129,P129)</f>
        <v>0</v>
      </c>
      <c r="S129" s="28" t="n">
        <f aca="false">V128</f>
        <v>0</v>
      </c>
      <c r="T129" s="28" t="n">
        <f aca="false">S129+D129-C129</f>
        <v>0</v>
      </c>
      <c r="U129" s="28" t="n">
        <f aca="false">IF(B129=1,MAX(0,-T129),0)</f>
        <v>0</v>
      </c>
      <c r="V129" s="28" t="n">
        <f aca="false">IF(B129=1,MAX(0,T129)*(1+RetRate)+G129,S129)</f>
        <v>0</v>
      </c>
      <c r="W129" s="28" t="n">
        <f aca="false">IF(A129&lt;=MIN('Education Cost Forecast'!$D$49,'Education Cost Forecast'!$D$53),G129*(1+RetRate)^('Education Cost Forecast'!$D$49-A129),0)</f>
        <v>0</v>
      </c>
      <c r="X129" s="28" t="n">
        <f aca="false">IF(B129=1,P129+D129-C129,0)</f>
        <v>0</v>
      </c>
    </row>
    <row r="130" customFormat="false" ht="15" hidden="false" customHeight="false" outlineLevel="0" collapsed="false">
      <c r="A130" s="27" t="n">
        <v>25</v>
      </c>
      <c r="B130" s="27" t="n">
        <f aca="false">'Education Cost Forecast'!B150</f>
        <v>0</v>
      </c>
      <c r="C130" s="28" t="n">
        <f aca="false">'Education Cost Forecast'!Z150</f>
        <v>0</v>
      </c>
      <c r="D130" s="28" t="n">
        <f aca="false">IF(AND(B130=1,'Education Cost Forecast'!F150&gt;0,'Education Cost Forecast'!E150=0),'Education Cost Forecast'!$D$45,0)</f>
        <v>0</v>
      </c>
      <c r="E130" s="27" t="n">
        <f aca="false">IF(AND(B130=1,A130&lt;='Education Cost Forecast'!$D$53),1,0)</f>
        <v>0</v>
      </c>
      <c r="F130" s="40" t="n">
        <f aca="false">(1+Esc)^(A130-1)</f>
        <v>3.2250999437137</v>
      </c>
      <c r="G130" s="28" t="n">
        <f aca="false">E130*('Education Cost Forecast'!$D$41*12*MonthlyFactor+'Education Cost Forecast'!$D$42)*F130</f>
        <v>0</v>
      </c>
      <c r="H130" s="28" t="n">
        <f aca="false">E130*UnitFactor*F130</f>
        <v>0</v>
      </c>
      <c r="I130" s="28" t="n">
        <f aca="false">J129+D130-C130</f>
        <v>-92843966.1643132</v>
      </c>
      <c r="J130" s="28" t="n">
        <f aca="false">IF(B130=1,I130*(1+RetRate)+G130,J129)</f>
        <v>-92843966.1643132</v>
      </c>
      <c r="K130" s="28" t="n">
        <f aca="false">L129</f>
        <v>66.563055414119</v>
      </c>
      <c r="L130" s="28" t="n">
        <f aca="false">IF(B130=1,K130*(1+RetRate)+H130,L129)</f>
        <v>66.563055414119</v>
      </c>
      <c r="M130" s="40" t="n">
        <f aca="false">(1+RetRate)^(A130-1)</f>
        <v>15.1786289345024</v>
      </c>
      <c r="N130" s="28" t="n">
        <f aca="false">IF(AND(B130=1,C130&gt;0,K130&lt;=0.000000000001,I130&lt;0),-I130/M130,0)</f>
        <v>0</v>
      </c>
      <c r="O130" s="28" t="n">
        <f aca="false">IF(AND(B130=1,C130&gt;0,K130&gt;0.000000000001),-(I130+$D$14*M130)/K130,0)</f>
        <v>0</v>
      </c>
      <c r="P130" s="28" t="n">
        <f aca="false">R129</f>
        <v>0</v>
      </c>
      <c r="Q130" s="28" t="n">
        <f aca="false">H130*$D$15</f>
        <v>0</v>
      </c>
      <c r="R130" s="28" t="n">
        <f aca="false">IF(B130=1,(P130+D130-C130)*(1+RetRate)+G130+Q130,P130)</f>
        <v>0</v>
      </c>
      <c r="S130" s="28" t="n">
        <f aca="false">V129</f>
        <v>0</v>
      </c>
      <c r="T130" s="28" t="n">
        <f aca="false">S130+D130-C130</f>
        <v>0</v>
      </c>
      <c r="U130" s="28" t="n">
        <f aca="false">IF(B130=1,MAX(0,-T130),0)</f>
        <v>0</v>
      </c>
      <c r="V130" s="28" t="n">
        <f aca="false">IF(B130=1,MAX(0,T130)*(1+RetRate)+G130,S130)</f>
        <v>0</v>
      </c>
      <c r="W130" s="28" t="n">
        <f aca="false">IF(A130&lt;=MIN('Education Cost Forecast'!$D$49,'Education Cost Forecast'!$D$53),G130*(1+RetRate)^('Education Cost Forecast'!$D$49-A130),0)</f>
        <v>0</v>
      </c>
      <c r="X130" s="28" t="n">
        <f aca="false">IF(B130=1,P130+D130-C130,0)</f>
        <v>0</v>
      </c>
    </row>
    <row r="131" customFormat="false" ht="15" hidden="false" customHeight="false" outlineLevel="0" collapsed="false">
      <c r="A131" s="27" t="n">
        <v>26</v>
      </c>
      <c r="B131" s="27" t="n">
        <f aca="false">'Education Cost Forecast'!B151</f>
        <v>0</v>
      </c>
      <c r="C131" s="28" t="n">
        <f aca="false">'Education Cost Forecast'!Z151</f>
        <v>0</v>
      </c>
      <c r="D131" s="28" t="n">
        <f aca="false">IF(AND(B131=1,'Education Cost Forecast'!F151&gt;0,'Education Cost Forecast'!E151=0),'Education Cost Forecast'!$D$45,0)</f>
        <v>0</v>
      </c>
      <c r="E131" s="27" t="n">
        <f aca="false">IF(AND(B131=1,A131&lt;='Education Cost Forecast'!$D$53),1,0)</f>
        <v>0</v>
      </c>
      <c r="F131" s="40" t="n">
        <f aca="false">(1+Esc)^(A131-1)</f>
        <v>3.38635494089939</v>
      </c>
      <c r="G131" s="28" t="n">
        <f aca="false">E131*('Education Cost Forecast'!$D$41*12*MonthlyFactor+'Education Cost Forecast'!$D$42)*F131</f>
        <v>0</v>
      </c>
      <c r="H131" s="28" t="n">
        <f aca="false">E131*UnitFactor*F131</f>
        <v>0</v>
      </c>
      <c r="I131" s="28" t="n">
        <f aca="false">J130+D131-C131</f>
        <v>-92843966.1643132</v>
      </c>
      <c r="J131" s="28" t="n">
        <f aca="false">IF(B131=1,I131*(1+RetRate)+G131,J130)</f>
        <v>-92843966.1643132</v>
      </c>
      <c r="K131" s="28" t="n">
        <f aca="false">L130</f>
        <v>66.563055414119</v>
      </c>
      <c r="L131" s="28" t="n">
        <f aca="false">IF(B131=1,K131*(1+RetRate)+H131,L130)</f>
        <v>66.563055414119</v>
      </c>
      <c r="M131" s="40" t="n">
        <f aca="false">(1+RetRate)^(A131-1)</f>
        <v>17.0000644066427</v>
      </c>
      <c r="N131" s="28" t="n">
        <f aca="false">IF(AND(B131=1,C131&gt;0,K131&lt;=0.000000000001,I131&lt;0),-I131/M131,0)</f>
        <v>0</v>
      </c>
      <c r="O131" s="28" t="n">
        <f aca="false">IF(AND(B131=1,C131&gt;0,K131&gt;0.000000000001),-(I131+$D$14*M131)/K131,0)</f>
        <v>0</v>
      </c>
      <c r="P131" s="28" t="n">
        <f aca="false">R130</f>
        <v>0</v>
      </c>
      <c r="Q131" s="28" t="n">
        <f aca="false">H131*$D$15</f>
        <v>0</v>
      </c>
      <c r="R131" s="28" t="n">
        <f aca="false">IF(B131=1,(P131+D131-C131)*(1+RetRate)+G131+Q131,P131)</f>
        <v>0</v>
      </c>
      <c r="S131" s="28" t="n">
        <f aca="false">V130</f>
        <v>0</v>
      </c>
      <c r="T131" s="28" t="n">
        <f aca="false">S131+D131-C131</f>
        <v>0</v>
      </c>
      <c r="U131" s="28" t="n">
        <f aca="false">IF(B131=1,MAX(0,-T131),0)</f>
        <v>0</v>
      </c>
      <c r="V131" s="28" t="n">
        <f aca="false">IF(B131=1,MAX(0,T131)*(1+RetRate)+G131,S131)</f>
        <v>0</v>
      </c>
      <c r="W131" s="28" t="n">
        <f aca="false">IF(A131&lt;=MIN('Education Cost Forecast'!$D$49,'Education Cost Forecast'!$D$53),G131*(1+RetRate)^('Education Cost Forecast'!$D$49-A131),0)</f>
        <v>0</v>
      </c>
      <c r="X131" s="28" t="n">
        <f aca="false">IF(B131=1,P131+D131-C131,0)</f>
        <v>0</v>
      </c>
    </row>
    <row r="132" customFormat="false" ht="15" hidden="false" customHeight="false" outlineLevel="0" collapsed="false">
      <c r="A132" s="27" t="n">
        <v>27</v>
      </c>
      <c r="B132" s="27" t="n">
        <f aca="false">'Education Cost Forecast'!B152</f>
        <v>0</v>
      </c>
      <c r="C132" s="28" t="n">
        <f aca="false">'Education Cost Forecast'!Z152</f>
        <v>0</v>
      </c>
      <c r="D132" s="28" t="n">
        <f aca="false">IF(AND(B132=1,'Education Cost Forecast'!F152&gt;0,'Education Cost Forecast'!E152=0),'Education Cost Forecast'!$D$45,0)</f>
        <v>0</v>
      </c>
      <c r="E132" s="27" t="n">
        <f aca="false">IF(AND(B132=1,A132&lt;='Education Cost Forecast'!$D$53),1,0)</f>
        <v>0</v>
      </c>
      <c r="F132" s="40" t="n">
        <f aca="false">(1+Esc)^(A132-1)</f>
        <v>3.55567268794436</v>
      </c>
      <c r="G132" s="28" t="n">
        <f aca="false">E132*('Education Cost Forecast'!$D$41*12*MonthlyFactor+'Education Cost Forecast'!$D$42)*F132</f>
        <v>0</v>
      </c>
      <c r="H132" s="28" t="n">
        <f aca="false">E132*UnitFactor*F132</f>
        <v>0</v>
      </c>
      <c r="I132" s="28" t="n">
        <f aca="false">J131+D132-C132</f>
        <v>-92843966.1643132</v>
      </c>
      <c r="J132" s="28" t="n">
        <f aca="false">IF(B132=1,I132*(1+RetRate)+G132,J131)</f>
        <v>-92843966.1643132</v>
      </c>
      <c r="K132" s="28" t="n">
        <f aca="false">L131</f>
        <v>66.563055414119</v>
      </c>
      <c r="L132" s="28" t="n">
        <f aca="false">IF(B132=1,K132*(1+RetRate)+H132,L131)</f>
        <v>66.563055414119</v>
      </c>
      <c r="M132" s="40" t="n">
        <f aca="false">(1+RetRate)^(A132-1)</f>
        <v>19.0400721354399</v>
      </c>
      <c r="N132" s="28" t="n">
        <f aca="false">IF(AND(B132=1,C132&gt;0,K132&lt;=0.000000000001,I132&lt;0),-I132/M132,0)</f>
        <v>0</v>
      </c>
      <c r="O132" s="28" t="n">
        <f aca="false">IF(AND(B132=1,C132&gt;0,K132&gt;0.000000000001),-(I132+$D$14*M132)/K132,0)</f>
        <v>0</v>
      </c>
      <c r="P132" s="28" t="n">
        <f aca="false">R131</f>
        <v>0</v>
      </c>
      <c r="Q132" s="28" t="n">
        <f aca="false">H132*$D$15</f>
        <v>0</v>
      </c>
      <c r="R132" s="28" t="n">
        <f aca="false">IF(B132=1,(P132+D132-C132)*(1+RetRate)+G132+Q132,P132)</f>
        <v>0</v>
      </c>
      <c r="S132" s="28" t="n">
        <f aca="false">V131</f>
        <v>0</v>
      </c>
      <c r="T132" s="28" t="n">
        <f aca="false">S132+D132-C132</f>
        <v>0</v>
      </c>
      <c r="U132" s="28" t="n">
        <f aca="false">IF(B132=1,MAX(0,-T132),0)</f>
        <v>0</v>
      </c>
      <c r="V132" s="28" t="n">
        <f aca="false">IF(B132=1,MAX(0,T132)*(1+RetRate)+G132,S132)</f>
        <v>0</v>
      </c>
      <c r="W132" s="28" t="n">
        <f aca="false">IF(A132&lt;=MIN('Education Cost Forecast'!$D$49,'Education Cost Forecast'!$D$53),G132*(1+RetRate)^('Education Cost Forecast'!$D$49-A132),0)</f>
        <v>0</v>
      </c>
      <c r="X132" s="28" t="n">
        <f aca="false">IF(B132=1,P132+D132-C132,0)</f>
        <v>0</v>
      </c>
    </row>
    <row r="133" customFormat="false" ht="15" hidden="false" customHeight="false" outlineLevel="0" collapsed="false">
      <c r="A133" s="27" t="n">
        <v>28</v>
      </c>
      <c r="B133" s="27" t="n">
        <f aca="false">'Education Cost Forecast'!B153</f>
        <v>0</v>
      </c>
      <c r="C133" s="28" t="n">
        <f aca="false">'Education Cost Forecast'!Z153</f>
        <v>0</v>
      </c>
      <c r="D133" s="28" t="n">
        <f aca="false">IF(AND(B133=1,'Education Cost Forecast'!F153&gt;0,'Education Cost Forecast'!E153=0),'Education Cost Forecast'!$D$45,0)</f>
        <v>0</v>
      </c>
      <c r="E133" s="27" t="n">
        <f aca="false">IF(AND(B133=1,A133&lt;='Education Cost Forecast'!$D$53),1,0)</f>
        <v>0</v>
      </c>
      <c r="F133" s="40" t="n">
        <f aca="false">(1+Esc)^(A133-1)</f>
        <v>3.73345632234158</v>
      </c>
      <c r="G133" s="28" t="n">
        <f aca="false">E133*('Education Cost Forecast'!$D$41*12*MonthlyFactor+'Education Cost Forecast'!$D$42)*F133</f>
        <v>0</v>
      </c>
      <c r="H133" s="28" t="n">
        <f aca="false">E133*UnitFactor*F133</f>
        <v>0</v>
      </c>
      <c r="I133" s="28" t="n">
        <f aca="false">J132+D133-C133</f>
        <v>-92843966.1643132</v>
      </c>
      <c r="J133" s="28" t="n">
        <f aca="false">IF(B133=1,I133*(1+RetRate)+G133,J132)</f>
        <v>-92843966.1643132</v>
      </c>
      <c r="K133" s="28" t="n">
        <f aca="false">L132</f>
        <v>66.563055414119</v>
      </c>
      <c r="L133" s="28" t="n">
        <f aca="false">IF(B133=1,K133*(1+RetRate)+H133,L132)</f>
        <v>66.563055414119</v>
      </c>
      <c r="M133" s="40" t="n">
        <f aca="false">(1+RetRate)^(A133-1)</f>
        <v>21.3248807916926</v>
      </c>
      <c r="N133" s="28" t="n">
        <f aca="false">IF(AND(B133=1,C133&gt;0,K133&lt;=0.000000000001,I133&lt;0),-I133/M133,0)</f>
        <v>0</v>
      </c>
      <c r="O133" s="28" t="n">
        <f aca="false">IF(AND(B133=1,C133&gt;0,K133&gt;0.000000000001),-(I133+$D$14*M133)/K133,0)</f>
        <v>0</v>
      </c>
      <c r="P133" s="28" t="n">
        <f aca="false">R132</f>
        <v>0</v>
      </c>
      <c r="Q133" s="28" t="n">
        <f aca="false">H133*$D$15</f>
        <v>0</v>
      </c>
      <c r="R133" s="28" t="n">
        <f aca="false">IF(B133=1,(P133+D133-C133)*(1+RetRate)+G133+Q133,P133)</f>
        <v>0</v>
      </c>
      <c r="S133" s="28" t="n">
        <f aca="false">V132</f>
        <v>0</v>
      </c>
      <c r="T133" s="28" t="n">
        <f aca="false">S133+D133-C133</f>
        <v>0</v>
      </c>
      <c r="U133" s="28" t="n">
        <f aca="false">IF(B133=1,MAX(0,-T133),0)</f>
        <v>0</v>
      </c>
      <c r="V133" s="28" t="n">
        <f aca="false">IF(B133=1,MAX(0,T133)*(1+RetRate)+G133,S133)</f>
        <v>0</v>
      </c>
      <c r="W133" s="28" t="n">
        <f aca="false">IF(A133&lt;=MIN('Education Cost Forecast'!$D$49,'Education Cost Forecast'!$D$53),G133*(1+RetRate)^('Education Cost Forecast'!$D$49-A133),0)</f>
        <v>0</v>
      </c>
      <c r="X133" s="28" t="n">
        <f aca="false">IF(B133=1,P133+D133-C133,0)</f>
        <v>0</v>
      </c>
    </row>
    <row r="134" customFormat="false" ht="15" hidden="false" customHeight="false" outlineLevel="0" collapsed="false">
      <c r="A134" s="27" t="n">
        <v>29</v>
      </c>
      <c r="B134" s="27" t="n">
        <f aca="false">'Education Cost Forecast'!B154</f>
        <v>0</v>
      </c>
      <c r="C134" s="28" t="n">
        <f aca="false">'Education Cost Forecast'!Z154</f>
        <v>0</v>
      </c>
      <c r="D134" s="28" t="n">
        <f aca="false">IF(AND(B134=1,'Education Cost Forecast'!F154&gt;0,'Education Cost Forecast'!E154=0),'Education Cost Forecast'!$D$45,0)</f>
        <v>0</v>
      </c>
      <c r="E134" s="27" t="n">
        <f aca="false">IF(AND(B134=1,A134&lt;='Education Cost Forecast'!$D$53),1,0)</f>
        <v>0</v>
      </c>
      <c r="F134" s="40" t="n">
        <f aca="false">(1+Esc)^(A134-1)</f>
        <v>3.92012913845866</v>
      </c>
      <c r="G134" s="28" t="n">
        <f aca="false">E134*('Education Cost Forecast'!$D$41*12*MonthlyFactor+'Education Cost Forecast'!$D$42)*F134</f>
        <v>0</v>
      </c>
      <c r="H134" s="28" t="n">
        <f aca="false">E134*UnitFactor*F134</f>
        <v>0</v>
      </c>
      <c r="I134" s="28" t="n">
        <f aca="false">J133+D134-C134</f>
        <v>-92843966.1643132</v>
      </c>
      <c r="J134" s="28" t="n">
        <f aca="false">IF(B134=1,I134*(1+RetRate)+G134,J133)</f>
        <v>-92843966.1643132</v>
      </c>
      <c r="K134" s="28" t="n">
        <f aca="false">L133</f>
        <v>66.563055414119</v>
      </c>
      <c r="L134" s="28" t="n">
        <f aca="false">IF(B134=1,K134*(1+RetRate)+H134,L133)</f>
        <v>66.563055414119</v>
      </c>
      <c r="M134" s="40" t="n">
        <f aca="false">(1+RetRate)^(A134-1)</f>
        <v>23.8838664866958</v>
      </c>
      <c r="N134" s="28" t="n">
        <f aca="false">IF(AND(B134=1,C134&gt;0,K134&lt;=0.000000000001,I134&lt;0),-I134/M134,0)</f>
        <v>0</v>
      </c>
      <c r="O134" s="28" t="n">
        <f aca="false">IF(AND(B134=1,C134&gt;0,K134&gt;0.000000000001),-(I134+$D$14*M134)/K134,0)</f>
        <v>0</v>
      </c>
      <c r="P134" s="28" t="n">
        <f aca="false">R133</f>
        <v>0</v>
      </c>
      <c r="Q134" s="28" t="n">
        <f aca="false">H134*$D$15</f>
        <v>0</v>
      </c>
      <c r="R134" s="28" t="n">
        <f aca="false">IF(B134=1,(P134+D134-C134)*(1+RetRate)+G134+Q134,P134)</f>
        <v>0</v>
      </c>
      <c r="S134" s="28" t="n">
        <f aca="false">V133</f>
        <v>0</v>
      </c>
      <c r="T134" s="28" t="n">
        <f aca="false">S134+D134-C134</f>
        <v>0</v>
      </c>
      <c r="U134" s="28" t="n">
        <f aca="false">IF(B134=1,MAX(0,-T134),0)</f>
        <v>0</v>
      </c>
      <c r="V134" s="28" t="n">
        <f aca="false">IF(B134=1,MAX(0,T134)*(1+RetRate)+G134,S134)</f>
        <v>0</v>
      </c>
      <c r="W134" s="28" t="n">
        <f aca="false">IF(A134&lt;=MIN('Education Cost Forecast'!$D$49,'Education Cost Forecast'!$D$53),G134*(1+RetRate)^('Education Cost Forecast'!$D$49-A134),0)</f>
        <v>0</v>
      </c>
      <c r="X134" s="28" t="n">
        <f aca="false">IF(B134=1,P134+D134-C134,0)</f>
        <v>0</v>
      </c>
    </row>
    <row r="135" customFormat="false" ht="15" hidden="false" customHeight="false" outlineLevel="0" collapsed="false">
      <c r="A135" s="27" t="n">
        <v>30</v>
      </c>
      <c r="B135" s="27" t="n">
        <f aca="false">'Education Cost Forecast'!B155</f>
        <v>0</v>
      </c>
      <c r="C135" s="28" t="n">
        <f aca="false">'Education Cost Forecast'!Z155</f>
        <v>0</v>
      </c>
      <c r="D135" s="28" t="n">
        <f aca="false">IF(AND(B135=1,'Education Cost Forecast'!F155&gt;0,'Education Cost Forecast'!E155=0),'Education Cost Forecast'!$D$45,0)</f>
        <v>0</v>
      </c>
      <c r="E135" s="27" t="n">
        <f aca="false">IF(AND(B135=1,A135&lt;='Education Cost Forecast'!$D$53),1,0)</f>
        <v>0</v>
      </c>
      <c r="F135" s="40" t="n">
        <f aca="false">(1+Esc)^(A135-1)</f>
        <v>4.11613559538159</v>
      </c>
      <c r="G135" s="28" t="n">
        <f aca="false">E135*('Education Cost Forecast'!$D$41*12*MonthlyFactor+'Education Cost Forecast'!$D$42)*F135</f>
        <v>0</v>
      </c>
      <c r="H135" s="28" t="n">
        <f aca="false">E135*UnitFactor*F135</f>
        <v>0</v>
      </c>
      <c r="I135" s="28" t="n">
        <f aca="false">J134+D135-C135</f>
        <v>-92843966.1643132</v>
      </c>
      <c r="J135" s="28" t="n">
        <f aca="false">IF(B135=1,I135*(1+RetRate)+G135,J134)</f>
        <v>-92843966.1643132</v>
      </c>
      <c r="K135" s="28" t="n">
        <f aca="false">L134</f>
        <v>66.563055414119</v>
      </c>
      <c r="L135" s="28" t="n">
        <f aca="false">IF(B135=1,K135*(1+RetRate)+H135,L134)</f>
        <v>66.563055414119</v>
      </c>
      <c r="M135" s="40" t="n">
        <f aca="false">(1+RetRate)^(A135-1)</f>
        <v>26.7499304650992</v>
      </c>
      <c r="N135" s="28" t="n">
        <f aca="false">IF(AND(B135=1,C135&gt;0,K135&lt;=0.000000000001,I135&lt;0),-I135/M135,0)</f>
        <v>0</v>
      </c>
      <c r="O135" s="28" t="n">
        <f aca="false">IF(AND(B135=1,C135&gt;0,K135&gt;0.000000000001),-(I135+$D$14*M135)/K135,0)</f>
        <v>0</v>
      </c>
      <c r="P135" s="28" t="n">
        <f aca="false">R134</f>
        <v>0</v>
      </c>
      <c r="Q135" s="28" t="n">
        <f aca="false">H135*$D$15</f>
        <v>0</v>
      </c>
      <c r="R135" s="28" t="n">
        <f aca="false">IF(B135=1,(P135+D135-C135)*(1+RetRate)+G135+Q135,P135)</f>
        <v>0</v>
      </c>
      <c r="S135" s="28" t="n">
        <f aca="false">V134</f>
        <v>0</v>
      </c>
      <c r="T135" s="28" t="n">
        <f aca="false">S135+D135-C135</f>
        <v>0</v>
      </c>
      <c r="U135" s="28" t="n">
        <f aca="false">IF(B135=1,MAX(0,-T135),0)</f>
        <v>0</v>
      </c>
      <c r="V135" s="28" t="n">
        <f aca="false">IF(B135=1,MAX(0,T135)*(1+RetRate)+G135,S135)</f>
        <v>0</v>
      </c>
      <c r="W135" s="28" t="n">
        <f aca="false">IF(A135&lt;=MIN('Education Cost Forecast'!$D$49,'Education Cost Forecast'!$D$53),G135*(1+RetRate)^('Education Cost Forecast'!$D$49-A135),0)</f>
        <v>0</v>
      </c>
      <c r="X135" s="28" t="n">
        <f aca="false">IF(B135=1,P135+D135-C135,0)</f>
        <v>0</v>
      </c>
    </row>
    <row r="136" customFormat="false" ht="15" hidden="false" customHeight="false" outlineLevel="0" collapsed="false">
      <c r="A136" s="27" t="n">
        <v>31</v>
      </c>
      <c r="B136" s="27" t="n">
        <f aca="false">'Education Cost Forecast'!B156</f>
        <v>0</v>
      </c>
      <c r="C136" s="28" t="n">
        <f aca="false">'Education Cost Forecast'!Z156</f>
        <v>0</v>
      </c>
      <c r="D136" s="28" t="n">
        <f aca="false">IF(AND(B136=1,'Education Cost Forecast'!F156&gt;0,'Education Cost Forecast'!E156=0),'Education Cost Forecast'!$D$45,0)</f>
        <v>0</v>
      </c>
      <c r="E136" s="27" t="n">
        <f aca="false">IF(AND(B136=1,A136&lt;='Education Cost Forecast'!$D$53),1,0)</f>
        <v>0</v>
      </c>
      <c r="F136" s="40" t="n">
        <f aca="false">(1+Esc)^(A136-1)</f>
        <v>4.32194237515067</v>
      </c>
      <c r="G136" s="28" t="n">
        <f aca="false">E136*('Education Cost Forecast'!$D$41*12*MonthlyFactor+'Education Cost Forecast'!$D$42)*F136</f>
        <v>0</v>
      </c>
      <c r="H136" s="28" t="n">
        <f aca="false">E136*UnitFactor*F136</f>
        <v>0</v>
      </c>
      <c r="I136" s="28" t="n">
        <f aca="false">J135+D136-C136</f>
        <v>-92843966.1643132</v>
      </c>
      <c r="J136" s="28" t="n">
        <f aca="false">IF(B136=1,I136*(1+RetRate)+G136,J135)</f>
        <v>-92843966.1643132</v>
      </c>
      <c r="K136" s="28" t="n">
        <f aca="false">L135</f>
        <v>66.563055414119</v>
      </c>
      <c r="L136" s="28" t="n">
        <f aca="false">IF(B136=1,K136*(1+RetRate)+H136,L135)</f>
        <v>66.563055414119</v>
      </c>
      <c r="M136" s="40" t="n">
        <f aca="false">(1+RetRate)^(A136-1)</f>
        <v>29.9599221209112</v>
      </c>
      <c r="N136" s="28" t="n">
        <f aca="false">IF(AND(B136=1,C136&gt;0,K136&lt;=0.000000000001,I136&lt;0),-I136/M136,0)</f>
        <v>0</v>
      </c>
      <c r="O136" s="28" t="n">
        <f aca="false">IF(AND(B136=1,C136&gt;0,K136&gt;0.000000000001),-(I136+$D$14*M136)/K136,0)</f>
        <v>0</v>
      </c>
      <c r="P136" s="28" t="n">
        <f aca="false">R135</f>
        <v>0</v>
      </c>
      <c r="Q136" s="28" t="n">
        <f aca="false">H136*$D$15</f>
        <v>0</v>
      </c>
      <c r="R136" s="28" t="n">
        <f aca="false">IF(B136=1,(P136+D136-C136)*(1+RetRate)+G136+Q136,P136)</f>
        <v>0</v>
      </c>
      <c r="S136" s="28" t="n">
        <f aca="false">V135</f>
        <v>0</v>
      </c>
      <c r="T136" s="28" t="n">
        <f aca="false">S136+D136-C136</f>
        <v>0</v>
      </c>
      <c r="U136" s="28" t="n">
        <f aca="false">IF(B136=1,MAX(0,-T136),0)</f>
        <v>0</v>
      </c>
      <c r="V136" s="28" t="n">
        <f aca="false">IF(B136=1,MAX(0,T136)*(1+RetRate)+G136,S136)</f>
        <v>0</v>
      </c>
      <c r="W136" s="28" t="n">
        <f aca="false">IF(A136&lt;=MIN('Education Cost Forecast'!$D$49,'Education Cost Forecast'!$D$53),G136*(1+RetRate)^('Education Cost Forecast'!$D$49-A136),0)</f>
        <v>0</v>
      </c>
      <c r="X136" s="28" t="n">
        <f aca="false">IF(B136=1,P136+D136-C136,0)</f>
        <v>0</v>
      </c>
    </row>
    <row r="137" customFormat="false" ht="15" hidden="false" customHeight="false" outlineLevel="0" collapsed="false">
      <c r="A137" s="27" t="n">
        <v>32</v>
      </c>
      <c r="B137" s="27" t="n">
        <f aca="false">'Education Cost Forecast'!B157</f>
        <v>0</v>
      </c>
      <c r="C137" s="28" t="n">
        <f aca="false">'Education Cost Forecast'!Z157</f>
        <v>0</v>
      </c>
      <c r="D137" s="28" t="n">
        <f aca="false">IF(AND(B137=1,'Education Cost Forecast'!F157&gt;0,'Education Cost Forecast'!E157=0),'Education Cost Forecast'!$D$45,0)</f>
        <v>0</v>
      </c>
      <c r="E137" s="27" t="n">
        <f aca="false">IF(AND(B137=1,A137&lt;='Education Cost Forecast'!$D$53),1,0)</f>
        <v>0</v>
      </c>
      <c r="F137" s="40" t="n">
        <f aca="false">(1+Esc)^(A137-1)</f>
        <v>4.5380394939082</v>
      </c>
      <c r="G137" s="28" t="n">
        <f aca="false">E137*('Education Cost Forecast'!$D$41*12*MonthlyFactor+'Education Cost Forecast'!$D$42)*F137</f>
        <v>0</v>
      </c>
      <c r="H137" s="28" t="n">
        <f aca="false">E137*UnitFactor*F137</f>
        <v>0</v>
      </c>
      <c r="I137" s="28" t="n">
        <f aca="false">J136+D137-C137</f>
        <v>-92843966.1643132</v>
      </c>
      <c r="J137" s="28" t="n">
        <f aca="false">IF(B137=1,I137*(1+RetRate)+G137,J136)</f>
        <v>-92843966.1643132</v>
      </c>
      <c r="K137" s="28" t="n">
        <f aca="false">L136</f>
        <v>66.563055414119</v>
      </c>
      <c r="L137" s="28" t="n">
        <f aca="false">IF(B137=1,K137*(1+RetRate)+H137,L136)</f>
        <v>66.563055414119</v>
      </c>
      <c r="M137" s="40" t="n">
        <f aca="false">(1+RetRate)^(A137-1)</f>
        <v>33.5551127754205</v>
      </c>
      <c r="N137" s="28" t="n">
        <f aca="false">IF(AND(B137=1,C137&gt;0,K137&lt;=0.000000000001,I137&lt;0),-I137/M137,0)</f>
        <v>0</v>
      </c>
      <c r="O137" s="28" t="n">
        <f aca="false">IF(AND(B137=1,C137&gt;0,K137&gt;0.000000000001),-(I137+$D$14*M137)/K137,0)</f>
        <v>0</v>
      </c>
      <c r="P137" s="28" t="n">
        <f aca="false">R136</f>
        <v>0</v>
      </c>
      <c r="Q137" s="28" t="n">
        <f aca="false">H137*$D$15</f>
        <v>0</v>
      </c>
      <c r="R137" s="28" t="n">
        <f aca="false">IF(B137=1,(P137+D137-C137)*(1+RetRate)+G137+Q137,P137)</f>
        <v>0</v>
      </c>
      <c r="S137" s="28" t="n">
        <f aca="false">V136</f>
        <v>0</v>
      </c>
      <c r="T137" s="28" t="n">
        <f aca="false">S137+D137-C137</f>
        <v>0</v>
      </c>
      <c r="U137" s="28" t="n">
        <f aca="false">IF(B137=1,MAX(0,-T137),0)</f>
        <v>0</v>
      </c>
      <c r="V137" s="28" t="n">
        <f aca="false">IF(B137=1,MAX(0,T137)*(1+RetRate)+G137,S137)</f>
        <v>0</v>
      </c>
      <c r="W137" s="28" t="n">
        <f aca="false">IF(A137&lt;=MIN('Education Cost Forecast'!$D$49,'Education Cost Forecast'!$D$53),G137*(1+RetRate)^('Education Cost Forecast'!$D$49-A137),0)</f>
        <v>0</v>
      </c>
      <c r="X137" s="28" t="n">
        <f aca="false">IF(B137=1,P137+D137-C137,0)</f>
        <v>0</v>
      </c>
    </row>
    <row r="138" customFormat="false" ht="15" hidden="false" customHeight="false" outlineLevel="0" collapsed="false">
      <c r="A138" s="27" t="n">
        <v>33</v>
      </c>
      <c r="B138" s="27" t="n">
        <f aca="false">'Education Cost Forecast'!B158</f>
        <v>0</v>
      </c>
      <c r="C138" s="28" t="n">
        <f aca="false">'Education Cost Forecast'!Z158</f>
        <v>0</v>
      </c>
      <c r="D138" s="28" t="n">
        <f aca="false">IF(AND(B138=1,'Education Cost Forecast'!F158&gt;0,'Education Cost Forecast'!E158=0),'Education Cost Forecast'!$D$45,0)</f>
        <v>0</v>
      </c>
      <c r="E138" s="27" t="n">
        <f aca="false">IF(AND(B138=1,A138&lt;='Education Cost Forecast'!$D$53),1,0)</f>
        <v>0</v>
      </c>
      <c r="F138" s="40" t="n">
        <f aca="false">(1+Esc)^(A138-1)</f>
        <v>4.76494146860361</v>
      </c>
      <c r="G138" s="28" t="n">
        <f aca="false">E138*('Education Cost Forecast'!$D$41*12*MonthlyFactor+'Education Cost Forecast'!$D$42)*F138</f>
        <v>0</v>
      </c>
      <c r="H138" s="28" t="n">
        <f aca="false">E138*UnitFactor*F138</f>
        <v>0</v>
      </c>
      <c r="I138" s="28" t="n">
        <f aca="false">J137+D138-C138</f>
        <v>-92843966.1643132</v>
      </c>
      <c r="J138" s="28" t="n">
        <f aca="false">IF(B138=1,I138*(1+RetRate)+G138,J137)</f>
        <v>-92843966.1643132</v>
      </c>
      <c r="K138" s="28" t="n">
        <f aca="false">L137</f>
        <v>66.563055414119</v>
      </c>
      <c r="L138" s="28" t="n">
        <f aca="false">IF(B138=1,K138*(1+RetRate)+H138,L137)</f>
        <v>66.563055414119</v>
      </c>
      <c r="M138" s="40" t="n">
        <f aca="false">(1+RetRate)^(A138-1)</f>
        <v>37.581726308471</v>
      </c>
      <c r="N138" s="28" t="n">
        <f aca="false">IF(AND(B138=1,C138&gt;0,K138&lt;=0.000000000001,I138&lt;0),-I138/M138,0)</f>
        <v>0</v>
      </c>
      <c r="O138" s="28" t="n">
        <f aca="false">IF(AND(B138=1,C138&gt;0,K138&gt;0.000000000001),-(I138+$D$14*M138)/K138,0)</f>
        <v>0</v>
      </c>
      <c r="P138" s="28" t="n">
        <f aca="false">R137</f>
        <v>0</v>
      </c>
      <c r="Q138" s="28" t="n">
        <f aca="false">H138*$D$15</f>
        <v>0</v>
      </c>
      <c r="R138" s="28" t="n">
        <f aca="false">IF(B138=1,(P138+D138-C138)*(1+RetRate)+G138+Q138,P138)</f>
        <v>0</v>
      </c>
      <c r="S138" s="28" t="n">
        <f aca="false">V137</f>
        <v>0</v>
      </c>
      <c r="T138" s="28" t="n">
        <f aca="false">S138+D138-C138</f>
        <v>0</v>
      </c>
      <c r="U138" s="28" t="n">
        <f aca="false">IF(B138=1,MAX(0,-T138),0)</f>
        <v>0</v>
      </c>
      <c r="V138" s="28" t="n">
        <f aca="false">IF(B138=1,MAX(0,T138)*(1+RetRate)+G138,S138)</f>
        <v>0</v>
      </c>
      <c r="W138" s="28" t="n">
        <f aca="false">IF(A138&lt;=MIN('Education Cost Forecast'!$D$49,'Education Cost Forecast'!$D$53),G138*(1+RetRate)^('Education Cost Forecast'!$D$49-A138),0)</f>
        <v>0</v>
      </c>
      <c r="X138" s="28" t="n">
        <f aca="false">IF(B138=1,P138+D138-C138,0)</f>
        <v>0</v>
      </c>
    </row>
    <row r="139" customFormat="false" ht="15" hidden="false" customHeight="false" outlineLevel="0" collapsed="false">
      <c r="A139" s="27" t="n">
        <v>34</v>
      </c>
      <c r="B139" s="27" t="n">
        <f aca="false">'Education Cost Forecast'!B159</f>
        <v>0</v>
      </c>
      <c r="C139" s="28" t="n">
        <f aca="false">'Education Cost Forecast'!Z159</f>
        <v>0</v>
      </c>
      <c r="D139" s="28" t="n">
        <f aca="false">IF(AND(B139=1,'Education Cost Forecast'!F159&gt;0,'Education Cost Forecast'!E159=0),'Education Cost Forecast'!$D$45,0)</f>
        <v>0</v>
      </c>
      <c r="E139" s="27" t="n">
        <f aca="false">IF(AND(B139=1,A139&lt;='Education Cost Forecast'!$D$53),1,0)</f>
        <v>0</v>
      </c>
      <c r="F139" s="40" t="n">
        <f aca="false">(1+Esc)^(A139-1)</f>
        <v>5.00318854203379</v>
      </c>
      <c r="G139" s="28" t="n">
        <f aca="false">E139*('Education Cost Forecast'!$D$41*12*MonthlyFactor+'Education Cost Forecast'!$D$42)*F139</f>
        <v>0</v>
      </c>
      <c r="H139" s="28" t="n">
        <f aca="false">E139*UnitFactor*F139</f>
        <v>0</v>
      </c>
      <c r="I139" s="28" t="n">
        <f aca="false">J138+D139-C139</f>
        <v>-92843966.1643132</v>
      </c>
      <c r="J139" s="28" t="n">
        <f aca="false">IF(B139=1,I139*(1+RetRate)+G139,J138)</f>
        <v>-92843966.1643132</v>
      </c>
      <c r="K139" s="28" t="n">
        <f aca="false">L138</f>
        <v>66.563055414119</v>
      </c>
      <c r="L139" s="28" t="n">
        <f aca="false">IF(B139=1,K139*(1+RetRate)+H139,L138)</f>
        <v>66.563055414119</v>
      </c>
      <c r="M139" s="40" t="n">
        <f aca="false">(1+RetRate)^(A139-1)</f>
        <v>42.0915334654875</v>
      </c>
      <c r="N139" s="28" t="n">
        <f aca="false">IF(AND(B139=1,C139&gt;0,K139&lt;=0.000000000001,I139&lt;0),-I139/M139,0)</f>
        <v>0</v>
      </c>
      <c r="O139" s="28" t="n">
        <f aca="false">IF(AND(B139=1,C139&gt;0,K139&gt;0.000000000001),-(I139+$D$14*M139)/K139,0)</f>
        <v>0</v>
      </c>
      <c r="P139" s="28" t="n">
        <f aca="false">R138</f>
        <v>0</v>
      </c>
      <c r="Q139" s="28" t="n">
        <f aca="false">H139*$D$15</f>
        <v>0</v>
      </c>
      <c r="R139" s="28" t="n">
        <f aca="false">IF(B139=1,(P139+D139-C139)*(1+RetRate)+G139+Q139,P139)</f>
        <v>0</v>
      </c>
      <c r="S139" s="28" t="n">
        <f aca="false">V138</f>
        <v>0</v>
      </c>
      <c r="T139" s="28" t="n">
        <f aca="false">S139+D139-C139</f>
        <v>0</v>
      </c>
      <c r="U139" s="28" t="n">
        <f aca="false">IF(B139=1,MAX(0,-T139),0)</f>
        <v>0</v>
      </c>
      <c r="V139" s="28" t="n">
        <f aca="false">IF(B139=1,MAX(0,T139)*(1+RetRate)+G139,S139)</f>
        <v>0</v>
      </c>
      <c r="W139" s="28" t="n">
        <f aca="false">IF(A139&lt;=MIN('Education Cost Forecast'!$D$49,'Education Cost Forecast'!$D$53),G139*(1+RetRate)^('Education Cost Forecast'!$D$49-A139),0)</f>
        <v>0</v>
      </c>
      <c r="X139" s="28" t="n">
        <f aca="false">IF(B139=1,P139+D139-C139,0)</f>
        <v>0</v>
      </c>
    </row>
    <row r="140" customFormat="false" ht="15" hidden="false" customHeight="false" outlineLevel="0" collapsed="false">
      <c r="A140" s="27" t="n">
        <v>35</v>
      </c>
      <c r="B140" s="27" t="n">
        <f aca="false">'Education Cost Forecast'!B160</f>
        <v>0</v>
      </c>
      <c r="C140" s="28" t="n">
        <f aca="false">'Education Cost Forecast'!Z160</f>
        <v>0</v>
      </c>
      <c r="D140" s="28" t="n">
        <f aca="false">IF(AND(B140=1,'Education Cost Forecast'!F160&gt;0,'Education Cost Forecast'!E160=0),'Education Cost Forecast'!$D$45,0)</f>
        <v>0</v>
      </c>
      <c r="E140" s="27" t="n">
        <f aca="false">IF(AND(B140=1,A140&lt;='Education Cost Forecast'!$D$53),1,0)</f>
        <v>0</v>
      </c>
      <c r="F140" s="40" t="n">
        <f aca="false">(1+Esc)^(A140-1)</f>
        <v>5.25334796913548</v>
      </c>
      <c r="G140" s="28" t="n">
        <f aca="false">E140*('Education Cost Forecast'!$D$41*12*MonthlyFactor+'Education Cost Forecast'!$D$42)*F140</f>
        <v>0</v>
      </c>
      <c r="H140" s="28" t="n">
        <f aca="false">E140*UnitFactor*F140</f>
        <v>0</v>
      </c>
      <c r="I140" s="28" t="n">
        <f aca="false">J139+D140-C140</f>
        <v>-92843966.1643132</v>
      </c>
      <c r="J140" s="28" t="n">
        <f aca="false">IF(B140=1,I140*(1+RetRate)+G140,J139)</f>
        <v>-92843966.1643132</v>
      </c>
      <c r="K140" s="28" t="n">
        <f aca="false">L139</f>
        <v>66.563055414119</v>
      </c>
      <c r="L140" s="28" t="n">
        <f aca="false">IF(B140=1,K140*(1+RetRate)+H140,L139)</f>
        <v>66.563055414119</v>
      </c>
      <c r="M140" s="40" t="n">
        <f aca="false">(1+RetRate)^(A140-1)</f>
        <v>47.142517481346</v>
      </c>
      <c r="N140" s="28" t="n">
        <f aca="false">IF(AND(B140=1,C140&gt;0,K140&lt;=0.000000000001,I140&lt;0),-I140/M140,0)</f>
        <v>0</v>
      </c>
      <c r="O140" s="28" t="n">
        <f aca="false">IF(AND(B140=1,C140&gt;0,K140&gt;0.000000000001),-(I140+$D$14*M140)/K140,0)</f>
        <v>0</v>
      </c>
      <c r="P140" s="28" t="n">
        <f aca="false">R139</f>
        <v>0</v>
      </c>
      <c r="Q140" s="28" t="n">
        <f aca="false">H140*$D$15</f>
        <v>0</v>
      </c>
      <c r="R140" s="28" t="n">
        <f aca="false">IF(B140=1,(P140+D140-C140)*(1+RetRate)+G140+Q140,P140)</f>
        <v>0</v>
      </c>
      <c r="S140" s="28" t="n">
        <f aca="false">V139</f>
        <v>0</v>
      </c>
      <c r="T140" s="28" t="n">
        <f aca="false">S140+D140-C140</f>
        <v>0</v>
      </c>
      <c r="U140" s="28" t="n">
        <f aca="false">IF(B140=1,MAX(0,-T140),0)</f>
        <v>0</v>
      </c>
      <c r="V140" s="28" t="n">
        <f aca="false">IF(B140=1,MAX(0,T140)*(1+RetRate)+G140,S140)</f>
        <v>0</v>
      </c>
      <c r="W140" s="28" t="n">
        <f aca="false">IF(A140&lt;=MIN('Education Cost Forecast'!$D$49,'Education Cost Forecast'!$D$53),G140*(1+RetRate)^('Education Cost Forecast'!$D$49-A140),0)</f>
        <v>0</v>
      </c>
      <c r="X140" s="28" t="n">
        <f aca="false">IF(B140=1,P140+D140-C140,0)</f>
        <v>0</v>
      </c>
    </row>
    <row r="141" customFormat="false" ht="15" hidden="false" customHeight="false" outlineLevel="0" collapsed="false">
      <c r="A141" s="27" t="n">
        <v>36</v>
      </c>
      <c r="B141" s="27" t="n">
        <f aca="false">'Education Cost Forecast'!B161</f>
        <v>0</v>
      </c>
      <c r="C141" s="28" t="n">
        <f aca="false">'Education Cost Forecast'!Z161</f>
        <v>0</v>
      </c>
      <c r="D141" s="28" t="n">
        <f aca="false">IF(AND(B141=1,'Education Cost Forecast'!F161&gt;0,'Education Cost Forecast'!E161=0),'Education Cost Forecast'!$D$45,0)</f>
        <v>0</v>
      </c>
      <c r="E141" s="27" t="n">
        <f aca="false">IF(AND(B141=1,A141&lt;='Education Cost Forecast'!$D$53),1,0)</f>
        <v>0</v>
      </c>
      <c r="F141" s="40" t="n">
        <f aca="false">(1+Esc)^(A141-1)</f>
        <v>5.51601536759226</v>
      </c>
      <c r="G141" s="28" t="n">
        <f aca="false">E141*('Education Cost Forecast'!$D$41*12*MonthlyFactor+'Education Cost Forecast'!$D$42)*F141</f>
        <v>0</v>
      </c>
      <c r="H141" s="28" t="n">
        <f aca="false">E141*UnitFactor*F141</f>
        <v>0</v>
      </c>
      <c r="I141" s="28" t="n">
        <f aca="false">J140+D141-C141</f>
        <v>-92843966.1643132</v>
      </c>
      <c r="J141" s="28" t="n">
        <f aca="false">IF(B141=1,I141*(1+RetRate)+G141,J140)</f>
        <v>-92843966.1643132</v>
      </c>
      <c r="K141" s="28" t="n">
        <f aca="false">L140</f>
        <v>66.563055414119</v>
      </c>
      <c r="L141" s="28" t="n">
        <f aca="false">IF(B141=1,K141*(1+RetRate)+H141,L140)</f>
        <v>66.563055414119</v>
      </c>
      <c r="M141" s="40" t="n">
        <f aca="false">(1+RetRate)^(A141-1)</f>
        <v>52.7996195791075</v>
      </c>
      <c r="N141" s="28" t="n">
        <f aca="false">IF(AND(B141=1,C141&gt;0,K141&lt;=0.000000000001,I141&lt;0),-I141/M141,0)</f>
        <v>0</v>
      </c>
      <c r="O141" s="28" t="n">
        <f aca="false">IF(AND(B141=1,C141&gt;0,K141&gt;0.000000000001),-(I141+$D$14*M141)/K141,0)</f>
        <v>0</v>
      </c>
      <c r="P141" s="28" t="n">
        <f aca="false">R140</f>
        <v>0</v>
      </c>
      <c r="Q141" s="28" t="n">
        <f aca="false">H141*$D$15</f>
        <v>0</v>
      </c>
      <c r="R141" s="28" t="n">
        <f aca="false">IF(B141=1,(P141+D141-C141)*(1+RetRate)+G141+Q141,P141)</f>
        <v>0</v>
      </c>
      <c r="S141" s="28" t="n">
        <f aca="false">V140</f>
        <v>0</v>
      </c>
      <c r="T141" s="28" t="n">
        <f aca="false">S141+D141-C141</f>
        <v>0</v>
      </c>
      <c r="U141" s="28" t="n">
        <f aca="false">IF(B141=1,MAX(0,-T141),0)</f>
        <v>0</v>
      </c>
      <c r="V141" s="28" t="n">
        <f aca="false">IF(B141=1,MAX(0,T141)*(1+RetRate)+G141,S141)</f>
        <v>0</v>
      </c>
      <c r="W141" s="28" t="n">
        <f aca="false">IF(A141&lt;=MIN('Education Cost Forecast'!$D$49,'Education Cost Forecast'!$D$53),G141*(1+RetRate)^('Education Cost Forecast'!$D$49-A141),0)</f>
        <v>0</v>
      </c>
      <c r="X141" s="28" t="n">
        <f aca="false">IF(B141=1,P141+D141-C141,0)</f>
        <v>0</v>
      </c>
    </row>
    <row r="142" customFormat="false" ht="15" hidden="false" customHeight="false" outlineLevel="0" collapsed="false">
      <c r="A142" s="27" t="n">
        <v>37</v>
      </c>
      <c r="B142" s="27" t="n">
        <f aca="false">'Education Cost Forecast'!B162</f>
        <v>0</v>
      </c>
      <c r="C142" s="28" t="n">
        <f aca="false">'Education Cost Forecast'!Z162</f>
        <v>0</v>
      </c>
      <c r="D142" s="28" t="n">
        <f aca="false">IF(AND(B142=1,'Education Cost Forecast'!F162&gt;0,'Education Cost Forecast'!E162=0),'Education Cost Forecast'!$D$45,0)</f>
        <v>0</v>
      </c>
      <c r="E142" s="27" t="n">
        <f aca="false">IF(AND(B142=1,A142&lt;='Education Cost Forecast'!$D$53),1,0)</f>
        <v>0</v>
      </c>
      <c r="F142" s="40" t="n">
        <f aca="false">(1+Esc)^(A142-1)</f>
        <v>5.79181613597187</v>
      </c>
      <c r="G142" s="28" t="n">
        <f aca="false">E142*('Education Cost Forecast'!$D$41*12*MonthlyFactor+'Education Cost Forecast'!$D$42)*F142</f>
        <v>0</v>
      </c>
      <c r="H142" s="28" t="n">
        <f aca="false">E142*UnitFactor*F142</f>
        <v>0</v>
      </c>
      <c r="I142" s="28" t="n">
        <f aca="false">J141+D142-C142</f>
        <v>-92843966.1643132</v>
      </c>
      <c r="J142" s="28" t="n">
        <f aca="false">IF(B142=1,I142*(1+RetRate)+G142,J141)</f>
        <v>-92843966.1643132</v>
      </c>
      <c r="K142" s="28" t="n">
        <f aca="false">L141</f>
        <v>66.563055414119</v>
      </c>
      <c r="L142" s="28" t="n">
        <f aca="false">IF(B142=1,K142*(1+RetRate)+H142,L141)</f>
        <v>66.563055414119</v>
      </c>
      <c r="M142" s="40" t="n">
        <f aca="false">(1+RetRate)^(A142-1)</f>
        <v>59.1355739286004</v>
      </c>
      <c r="N142" s="28" t="n">
        <f aca="false">IF(AND(B142=1,C142&gt;0,K142&lt;=0.000000000001,I142&lt;0),-I142/M142,0)</f>
        <v>0</v>
      </c>
      <c r="O142" s="28" t="n">
        <f aca="false">IF(AND(B142=1,C142&gt;0,K142&gt;0.000000000001),-(I142+$D$14*M142)/K142,0)</f>
        <v>0</v>
      </c>
      <c r="P142" s="28" t="n">
        <f aca="false">R141</f>
        <v>0</v>
      </c>
      <c r="Q142" s="28" t="n">
        <f aca="false">H142*$D$15</f>
        <v>0</v>
      </c>
      <c r="R142" s="28" t="n">
        <f aca="false">IF(B142=1,(P142+D142-C142)*(1+RetRate)+G142+Q142,P142)</f>
        <v>0</v>
      </c>
      <c r="S142" s="28" t="n">
        <f aca="false">V141</f>
        <v>0</v>
      </c>
      <c r="T142" s="28" t="n">
        <f aca="false">S142+D142-C142</f>
        <v>0</v>
      </c>
      <c r="U142" s="28" t="n">
        <f aca="false">IF(B142=1,MAX(0,-T142),0)</f>
        <v>0</v>
      </c>
      <c r="V142" s="28" t="n">
        <f aca="false">IF(B142=1,MAX(0,T142)*(1+RetRate)+G142,S142)</f>
        <v>0</v>
      </c>
      <c r="W142" s="28" t="n">
        <f aca="false">IF(A142&lt;=MIN('Education Cost Forecast'!$D$49,'Education Cost Forecast'!$D$53),G142*(1+RetRate)^('Education Cost Forecast'!$D$49-A142),0)</f>
        <v>0</v>
      </c>
      <c r="X142" s="28" t="n">
        <f aca="false">IF(B142=1,P142+D142-C142,0)</f>
        <v>0</v>
      </c>
    </row>
    <row r="143" customFormat="false" ht="15" hidden="false" customHeight="false" outlineLevel="0" collapsed="false">
      <c r="A143" s="27" t="n">
        <v>38</v>
      </c>
      <c r="B143" s="27" t="n">
        <f aca="false">'Education Cost Forecast'!B163</f>
        <v>0</v>
      </c>
      <c r="C143" s="28" t="n">
        <f aca="false">'Education Cost Forecast'!Z163</f>
        <v>0</v>
      </c>
      <c r="D143" s="28" t="n">
        <f aca="false">IF(AND(B143=1,'Education Cost Forecast'!F163&gt;0,'Education Cost Forecast'!E163=0),'Education Cost Forecast'!$D$45,0)</f>
        <v>0</v>
      </c>
      <c r="E143" s="27" t="n">
        <f aca="false">IF(AND(B143=1,A143&lt;='Education Cost Forecast'!$D$53),1,0)</f>
        <v>0</v>
      </c>
      <c r="F143" s="40" t="n">
        <f aca="false">(1+Esc)^(A143-1)</f>
        <v>6.08140694277046</v>
      </c>
      <c r="G143" s="28" t="n">
        <f aca="false">E143*('Education Cost Forecast'!$D$41*12*MonthlyFactor+'Education Cost Forecast'!$D$42)*F143</f>
        <v>0</v>
      </c>
      <c r="H143" s="28" t="n">
        <f aca="false">E143*UnitFactor*F143</f>
        <v>0</v>
      </c>
      <c r="I143" s="28" t="n">
        <f aca="false">J142+D143-C143</f>
        <v>-92843966.1643132</v>
      </c>
      <c r="J143" s="28" t="n">
        <f aca="false">IF(B143=1,I143*(1+RetRate)+G143,J142)</f>
        <v>-92843966.1643132</v>
      </c>
      <c r="K143" s="28" t="n">
        <f aca="false">L142</f>
        <v>66.563055414119</v>
      </c>
      <c r="L143" s="28" t="n">
        <f aca="false">IF(B143=1,K143*(1+RetRate)+H143,L142)</f>
        <v>66.563055414119</v>
      </c>
      <c r="M143" s="40" t="n">
        <f aca="false">(1+RetRate)^(A143-1)</f>
        <v>66.2318428000325</v>
      </c>
      <c r="N143" s="28" t="n">
        <f aca="false">IF(AND(B143=1,C143&gt;0,K143&lt;=0.000000000001,I143&lt;0),-I143/M143,0)</f>
        <v>0</v>
      </c>
      <c r="O143" s="28" t="n">
        <f aca="false">IF(AND(B143=1,C143&gt;0,K143&gt;0.000000000001),-(I143+$D$14*M143)/K143,0)</f>
        <v>0</v>
      </c>
      <c r="P143" s="28" t="n">
        <f aca="false">R142</f>
        <v>0</v>
      </c>
      <c r="Q143" s="28" t="n">
        <f aca="false">H143*$D$15</f>
        <v>0</v>
      </c>
      <c r="R143" s="28" t="n">
        <f aca="false">IF(B143=1,(P143+D143-C143)*(1+RetRate)+G143+Q143,P143)</f>
        <v>0</v>
      </c>
      <c r="S143" s="28" t="n">
        <f aca="false">V142</f>
        <v>0</v>
      </c>
      <c r="T143" s="28" t="n">
        <f aca="false">S143+D143-C143</f>
        <v>0</v>
      </c>
      <c r="U143" s="28" t="n">
        <f aca="false">IF(B143=1,MAX(0,-T143),0)</f>
        <v>0</v>
      </c>
      <c r="V143" s="28" t="n">
        <f aca="false">IF(B143=1,MAX(0,T143)*(1+RetRate)+G143,S143)</f>
        <v>0</v>
      </c>
      <c r="W143" s="28" t="n">
        <f aca="false">IF(A143&lt;=MIN('Education Cost Forecast'!$D$49,'Education Cost Forecast'!$D$53),G143*(1+RetRate)^('Education Cost Forecast'!$D$49-A143),0)</f>
        <v>0</v>
      </c>
      <c r="X143" s="28" t="n">
        <f aca="false">IF(B143=1,P143+D143-C143,0)</f>
        <v>0</v>
      </c>
    </row>
    <row r="144" customFormat="false" ht="15" hidden="false" customHeight="false" outlineLevel="0" collapsed="false">
      <c r="A144" s="27" t="n">
        <v>39</v>
      </c>
      <c r="B144" s="27" t="n">
        <f aca="false">'Education Cost Forecast'!B164</f>
        <v>0</v>
      </c>
      <c r="C144" s="28" t="n">
        <f aca="false">'Education Cost Forecast'!Z164</f>
        <v>0</v>
      </c>
      <c r="D144" s="28" t="n">
        <f aca="false">IF(AND(B144=1,'Education Cost Forecast'!F164&gt;0,'Education Cost Forecast'!E164=0),'Education Cost Forecast'!$D$45,0)</f>
        <v>0</v>
      </c>
      <c r="E144" s="27" t="n">
        <f aca="false">IF(AND(B144=1,A144&lt;='Education Cost Forecast'!$D$53),1,0)</f>
        <v>0</v>
      </c>
      <c r="F144" s="40" t="n">
        <f aca="false">(1+Esc)^(A144-1)</f>
        <v>6.38547728990899</v>
      </c>
      <c r="G144" s="28" t="n">
        <f aca="false">E144*('Education Cost Forecast'!$D$41*12*MonthlyFactor+'Education Cost Forecast'!$D$42)*F144</f>
        <v>0</v>
      </c>
      <c r="H144" s="28" t="n">
        <f aca="false">E144*UnitFactor*F144</f>
        <v>0</v>
      </c>
      <c r="I144" s="28" t="n">
        <f aca="false">J143+D144-C144</f>
        <v>-92843966.1643132</v>
      </c>
      <c r="J144" s="28" t="n">
        <f aca="false">IF(B144=1,I144*(1+RetRate)+G144,J143)</f>
        <v>-92843966.1643132</v>
      </c>
      <c r="K144" s="28" t="n">
        <f aca="false">L143</f>
        <v>66.563055414119</v>
      </c>
      <c r="L144" s="28" t="n">
        <f aca="false">IF(B144=1,K144*(1+RetRate)+H144,L143)</f>
        <v>66.563055414119</v>
      </c>
      <c r="M144" s="40" t="n">
        <f aca="false">(1+RetRate)^(A144-1)</f>
        <v>74.1796639360364</v>
      </c>
      <c r="N144" s="28" t="n">
        <f aca="false">IF(AND(B144=1,C144&gt;0,K144&lt;=0.000000000001,I144&lt;0),-I144/M144,0)</f>
        <v>0</v>
      </c>
      <c r="O144" s="28" t="n">
        <f aca="false">IF(AND(B144=1,C144&gt;0,K144&gt;0.000000000001),-(I144+$D$14*M144)/K144,0)</f>
        <v>0</v>
      </c>
      <c r="P144" s="28" t="n">
        <f aca="false">R143</f>
        <v>0</v>
      </c>
      <c r="Q144" s="28" t="n">
        <f aca="false">H144*$D$15</f>
        <v>0</v>
      </c>
      <c r="R144" s="28" t="n">
        <f aca="false">IF(B144=1,(P144+D144-C144)*(1+RetRate)+G144+Q144,P144)</f>
        <v>0</v>
      </c>
      <c r="S144" s="28" t="n">
        <f aca="false">V143</f>
        <v>0</v>
      </c>
      <c r="T144" s="28" t="n">
        <f aca="false">S144+D144-C144</f>
        <v>0</v>
      </c>
      <c r="U144" s="28" t="n">
        <f aca="false">IF(B144=1,MAX(0,-T144),0)</f>
        <v>0</v>
      </c>
      <c r="V144" s="28" t="n">
        <f aca="false">IF(B144=1,MAX(0,T144)*(1+RetRate)+G144,S144)</f>
        <v>0</v>
      </c>
      <c r="W144" s="28" t="n">
        <f aca="false">IF(A144&lt;=MIN('Education Cost Forecast'!$D$49,'Education Cost Forecast'!$D$53),G144*(1+RetRate)^('Education Cost Forecast'!$D$49-A144),0)</f>
        <v>0</v>
      </c>
      <c r="X144" s="28" t="n">
        <f aca="false">IF(B144=1,P144+D144-C144,0)</f>
        <v>0</v>
      </c>
    </row>
    <row r="145" customFormat="false" ht="15" hidden="false" customHeight="false" outlineLevel="0" collapsed="false">
      <c r="A145" s="27" t="n">
        <v>40</v>
      </c>
      <c r="B145" s="27" t="n">
        <f aca="false">'Education Cost Forecast'!B165</f>
        <v>0</v>
      </c>
      <c r="C145" s="28" t="n">
        <f aca="false">'Education Cost Forecast'!Z165</f>
        <v>0</v>
      </c>
      <c r="D145" s="28" t="n">
        <f aca="false">IF(AND(B145=1,'Education Cost Forecast'!F165&gt;0,'Education Cost Forecast'!E165=0),'Education Cost Forecast'!$D$45,0)</f>
        <v>0</v>
      </c>
      <c r="E145" s="27" t="n">
        <f aca="false">IF(AND(B145=1,A145&lt;='Education Cost Forecast'!$D$53),1,0)</f>
        <v>0</v>
      </c>
      <c r="F145" s="40" t="n">
        <f aca="false">(1+Esc)^(A145-1)</f>
        <v>6.70475115440444</v>
      </c>
      <c r="G145" s="28" t="n">
        <f aca="false">E145*('Education Cost Forecast'!$D$41*12*MonthlyFactor+'Education Cost Forecast'!$D$42)*F145</f>
        <v>0</v>
      </c>
      <c r="H145" s="28" t="n">
        <f aca="false">E145*UnitFactor*F145</f>
        <v>0</v>
      </c>
      <c r="I145" s="28" t="n">
        <f aca="false">J144+D145-C145</f>
        <v>-92843966.1643132</v>
      </c>
      <c r="J145" s="28" t="n">
        <f aca="false">IF(B145=1,I145*(1+RetRate)+G145,J144)</f>
        <v>-92843966.1643132</v>
      </c>
      <c r="K145" s="28" t="n">
        <f aca="false">L144</f>
        <v>66.563055414119</v>
      </c>
      <c r="L145" s="28" t="n">
        <f aca="false">IF(B145=1,K145*(1+RetRate)+H145,L144)</f>
        <v>66.563055414119</v>
      </c>
      <c r="M145" s="40" t="n">
        <f aca="false">(1+RetRate)^(A145-1)</f>
        <v>83.0812236083607</v>
      </c>
      <c r="N145" s="28" t="n">
        <f aca="false">IF(AND(B145=1,C145&gt;0,K145&lt;=0.000000000001,I145&lt;0),-I145/M145,0)</f>
        <v>0</v>
      </c>
      <c r="O145" s="28" t="n">
        <f aca="false">IF(AND(B145=1,C145&gt;0,K145&gt;0.000000000001),-(I145+$D$14*M145)/K145,0)</f>
        <v>0</v>
      </c>
      <c r="P145" s="28" t="n">
        <f aca="false">R144</f>
        <v>0</v>
      </c>
      <c r="Q145" s="28" t="n">
        <f aca="false">H145*$D$15</f>
        <v>0</v>
      </c>
      <c r="R145" s="28" t="n">
        <f aca="false">IF(B145=1,(P145+D145-C145)*(1+RetRate)+G145+Q145,P145)</f>
        <v>0</v>
      </c>
      <c r="S145" s="28" t="n">
        <f aca="false">V144</f>
        <v>0</v>
      </c>
      <c r="T145" s="28" t="n">
        <f aca="false">S145+D145-C145</f>
        <v>0</v>
      </c>
      <c r="U145" s="28" t="n">
        <f aca="false">IF(B145=1,MAX(0,-T145),0)</f>
        <v>0</v>
      </c>
      <c r="V145" s="28" t="n">
        <f aca="false">IF(B145=1,MAX(0,T145)*(1+RetRate)+G145,S145)</f>
        <v>0</v>
      </c>
      <c r="W145" s="28" t="n">
        <f aca="false">IF(A145&lt;=MIN('Education Cost Forecast'!$D$49,'Education Cost Forecast'!$D$53),G145*(1+RetRate)^('Education Cost Forecast'!$D$49-A145),0)</f>
        <v>0</v>
      </c>
      <c r="X145" s="28" t="n">
        <f aca="false">IF(B145=1,P145+D145-C145,0)</f>
        <v>0</v>
      </c>
    </row>
    <row r="146" customFormat="false" ht="15" hidden="false" customHeight="false" outlineLevel="0" collapsed="false">
      <c r="A146" s="27" t="n">
        <v>41</v>
      </c>
      <c r="B146" s="27" t="n">
        <f aca="false">'Education Cost Forecast'!B166</f>
        <v>0</v>
      </c>
      <c r="C146" s="28" t="n">
        <f aca="false">'Education Cost Forecast'!Z166</f>
        <v>0</v>
      </c>
      <c r="D146" s="28" t="n">
        <f aca="false">IF(AND(B146=1,'Education Cost Forecast'!F166&gt;0,'Education Cost Forecast'!E166=0),'Education Cost Forecast'!$D$45,0)</f>
        <v>0</v>
      </c>
      <c r="E146" s="27" t="n">
        <f aca="false">IF(AND(B146=1,A146&lt;='Education Cost Forecast'!$D$53),1,0)</f>
        <v>0</v>
      </c>
      <c r="F146" s="40" t="n">
        <f aca="false">(1+Esc)^(A146-1)</f>
        <v>7.03998871212466</v>
      </c>
      <c r="G146" s="28" t="n">
        <f aca="false">E146*('Education Cost Forecast'!$D$41*12*MonthlyFactor+'Education Cost Forecast'!$D$42)*F146</f>
        <v>0</v>
      </c>
      <c r="H146" s="28" t="n">
        <f aca="false">E146*UnitFactor*F146</f>
        <v>0</v>
      </c>
      <c r="I146" s="28" t="n">
        <f aca="false">J145+D146-C146</f>
        <v>-92843966.1643132</v>
      </c>
      <c r="J146" s="28" t="n">
        <f aca="false">IF(B146=1,I146*(1+RetRate)+G146,J145)</f>
        <v>-92843966.1643132</v>
      </c>
      <c r="K146" s="28" t="n">
        <f aca="false">L145</f>
        <v>66.563055414119</v>
      </c>
      <c r="L146" s="28" t="n">
        <f aca="false">IF(B146=1,K146*(1+RetRate)+H146,L145)</f>
        <v>66.563055414119</v>
      </c>
      <c r="M146" s="40" t="n">
        <f aca="false">(1+RetRate)^(A146-1)</f>
        <v>93.050970441364</v>
      </c>
      <c r="N146" s="28" t="n">
        <f aca="false">IF(AND(B146=1,C146&gt;0,K146&lt;=0.000000000001,I146&lt;0),-I146/M146,0)</f>
        <v>0</v>
      </c>
      <c r="O146" s="28" t="n">
        <f aca="false">IF(AND(B146=1,C146&gt;0,K146&gt;0.000000000001),-(I146+$D$14*M146)/K146,0)</f>
        <v>0</v>
      </c>
      <c r="P146" s="28" t="n">
        <f aca="false">R145</f>
        <v>0</v>
      </c>
      <c r="Q146" s="28" t="n">
        <f aca="false">H146*$D$15</f>
        <v>0</v>
      </c>
      <c r="R146" s="28" t="n">
        <f aca="false">IF(B146=1,(P146+D146-C146)*(1+RetRate)+G146+Q146,P146)</f>
        <v>0</v>
      </c>
      <c r="S146" s="28" t="n">
        <f aca="false">V145</f>
        <v>0</v>
      </c>
      <c r="T146" s="28" t="n">
        <f aca="false">S146+D146-C146</f>
        <v>0</v>
      </c>
      <c r="U146" s="28" t="n">
        <f aca="false">IF(B146=1,MAX(0,-T146),0)</f>
        <v>0</v>
      </c>
      <c r="V146" s="28" t="n">
        <f aca="false">IF(B146=1,MAX(0,T146)*(1+RetRate)+G146,S146)</f>
        <v>0</v>
      </c>
      <c r="W146" s="28" t="n">
        <f aca="false">IF(A146&lt;=MIN('Education Cost Forecast'!$D$49,'Education Cost Forecast'!$D$53),G146*(1+RetRate)^('Education Cost Forecast'!$D$49-A146),0)</f>
        <v>0</v>
      </c>
      <c r="X146" s="28" t="n">
        <f aca="false">IF(B146=1,P146+D146-C146,0)</f>
        <v>0</v>
      </c>
    </row>
    <row r="147" customFormat="false" ht="15" hidden="false" customHeight="false" outlineLevel="0" collapsed="false">
      <c r="A147" s="27" t="n">
        <v>42</v>
      </c>
      <c r="B147" s="27" t="n">
        <f aca="false">'Education Cost Forecast'!B167</f>
        <v>0</v>
      </c>
      <c r="C147" s="28" t="n">
        <f aca="false">'Education Cost Forecast'!Z167</f>
        <v>0</v>
      </c>
      <c r="D147" s="28" t="n">
        <f aca="false">IF(AND(B147=1,'Education Cost Forecast'!F167&gt;0,'Education Cost Forecast'!E167=0),'Education Cost Forecast'!$D$45,0)</f>
        <v>0</v>
      </c>
      <c r="E147" s="27" t="n">
        <f aca="false">IF(AND(B147=1,A147&lt;='Education Cost Forecast'!$D$53),1,0)</f>
        <v>0</v>
      </c>
      <c r="F147" s="40" t="n">
        <f aca="false">(1+Esc)^(A147-1)</f>
        <v>7.39198814773089</v>
      </c>
      <c r="G147" s="28" t="n">
        <f aca="false">E147*('Education Cost Forecast'!$D$41*12*MonthlyFactor+'Education Cost Forecast'!$D$42)*F147</f>
        <v>0</v>
      </c>
      <c r="H147" s="28" t="n">
        <f aca="false">E147*UnitFactor*F147</f>
        <v>0</v>
      </c>
      <c r="I147" s="28" t="n">
        <f aca="false">J146+D147-C147</f>
        <v>-92843966.1643132</v>
      </c>
      <c r="J147" s="28" t="n">
        <f aca="false">IF(B147=1,I147*(1+RetRate)+G147,J146)</f>
        <v>-92843966.1643132</v>
      </c>
      <c r="K147" s="28" t="n">
        <f aca="false">L146</f>
        <v>66.563055414119</v>
      </c>
      <c r="L147" s="28" t="n">
        <f aca="false">IF(B147=1,K147*(1+RetRate)+H147,L146)</f>
        <v>66.563055414119</v>
      </c>
      <c r="M147" s="40" t="n">
        <f aca="false">(1+RetRate)^(A147-1)</f>
        <v>104.217086894328</v>
      </c>
      <c r="N147" s="28" t="n">
        <f aca="false">IF(AND(B147=1,C147&gt;0,K147&lt;=0.000000000001,I147&lt;0),-I147/M147,0)</f>
        <v>0</v>
      </c>
      <c r="O147" s="28" t="n">
        <f aca="false">IF(AND(B147=1,C147&gt;0,K147&gt;0.000000000001),-(I147+$D$14*M147)/K147,0)</f>
        <v>0</v>
      </c>
      <c r="P147" s="28" t="n">
        <f aca="false">R146</f>
        <v>0</v>
      </c>
      <c r="Q147" s="28" t="n">
        <f aca="false">H147*$D$15</f>
        <v>0</v>
      </c>
      <c r="R147" s="28" t="n">
        <f aca="false">IF(B147=1,(P147+D147-C147)*(1+RetRate)+G147+Q147,P147)</f>
        <v>0</v>
      </c>
      <c r="S147" s="28" t="n">
        <f aca="false">V146</f>
        <v>0</v>
      </c>
      <c r="T147" s="28" t="n">
        <f aca="false">S147+D147-C147</f>
        <v>0</v>
      </c>
      <c r="U147" s="28" t="n">
        <f aca="false">IF(B147=1,MAX(0,-T147),0)</f>
        <v>0</v>
      </c>
      <c r="V147" s="28" t="n">
        <f aca="false">IF(B147=1,MAX(0,T147)*(1+RetRate)+G147,S147)</f>
        <v>0</v>
      </c>
      <c r="W147" s="28" t="n">
        <f aca="false">IF(A147&lt;=MIN('Education Cost Forecast'!$D$49,'Education Cost Forecast'!$D$53),G147*(1+RetRate)^('Education Cost Forecast'!$D$49-A147),0)</f>
        <v>0</v>
      </c>
      <c r="X147" s="28" t="n">
        <f aca="false">IF(B147=1,P147+D147-C147,0)</f>
        <v>0</v>
      </c>
    </row>
    <row r="148" customFormat="false" ht="15" hidden="false" customHeight="false" outlineLevel="0" collapsed="false">
      <c r="A148" s="27" t="n">
        <v>43</v>
      </c>
      <c r="B148" s="27" t="n">
        <f aca="false">'Education Cost Forecast'!B168</f>
        <v>0</v>
      </c>
      <c r="C148" s="28" t="n">
        <f aca="false">'Education Cost Forecast'!Z168</f>
        <v>0</v>
      </c>
      <c r="D148" s="28" t="n">
        <f aca="false">IF(AND(B148=1,'Education Cost Forecast'!F168&gt;0,'Education Cost Forecast'!E168=0),'Education Cost Forecast'!$D$45,0)</f>
        <v>0</v>
      </c>
      <c r="E148" s="27" t="n">
        <f aca="false">IF(AND(B148=1,A148&lt;='Education Cost Forecast'!$D$53),1,0)</f>
        <v>0</v>
      </c>
      <c r="F148" s="40" t="n">
        <f aca="false">(1+Esc)^(A148-1)</f>
        <v>7.76158755511744</v>
      </c>
      <c r="G148" s="28" t="n">
        <f aca="false">E148*('Education Cost Forecast'!$D$41*12*MonthlyFactor+'Education Cost Forecast'!$D$42)*F148</f>
        <v>0</v>
      </c>
      <c r="H148" s="28" t="n">
        <f aca="false">E148*UnitFactor*F148</f>
        <v>0</v>
      </c>
      <c r="I148" s="28" t="n">
        <f aca="false">J147+D148-C148</f>
        <v>-92843966.1643132</v>
      </c>
      <c r="J148" s="28" t="n">
        <f aca="false">IF(B148=1,I148*(1+RetRate)+G148,J147)</f>
        <v>-92843966.1643132</v>
      </c>
      <c r="K148" s="28" t="n">
        <f aca="false">L147</f>
        <v>66.563055414119</v>
      </c>
      <c r="L148" s="28" t="n">
        <f aca="false">IF(B148=1,K148*(1+RetRate)+H148,L147)</f>
        <v>66.563055414119</v>
      </c>
      <c r="M148" s="40" t="n">
        <f aca="false">(1+RetRate)^(A148-1)</f>
        <v>116.723137321647</v>
      </c>
      <c r="N148" s="28" t="n">
        <f aca="false">IF(AND(B148=1,C148&gt;0,K148&lt;=0.000000000001,I148&lt;0),-I148/M148,0)</f>
        <v>0</v>
      </c>
      <c r="O148" s="28" t="n">
        <f aca="false">IF(AND(B148=1,C148&gt;0,K148&gt;0.000000000001),-(I148+$D$14*M148)/K148,0)</f>
        <v>0</v>
      </c>
      <c r="P148" s="28" t="n">
        <f aca="false">R147</f>
        <v>0</v>
      </c>
      <c r="Q148" s="28" t="n">
        <f aca="false">H148*$D$15</f>
        <v>0</v>
      </c>
      <c r="R148" s="28" t="n">
        <f aca="false">IF(B148=1,(P148+D148-C148)*(1+RetRate)+G148+Q148,P148)</f>
        <v>0</v>
      </c>
      <c r="S148" s="28" t="n">
        <f aca="false">V147</f>
        <v>0</v>
      </c>
      <c r="T148" s="28" t="n">
        <f aca="false">S148+D148-C148</f>
        <v>0</v>
      </c>
      <c r="U148" s="28" t="n">
        <f aca="false">IF(B148=1,MAX(0,-T148),0)</f>
        <v>0</v>
      </c>
      <c r="V148" s="28" t="n">
        <f aca="false">IF(B148=1,MAX(0,T148)*(1+RetRate)+G148,S148)</f>
        <v>0</v>
      </c>
      <c r="W148" s="28" t="n">
        <f aca="false">IF(A148&lt;=MIN('Education Cost Forecast'!$D$49,'Education Cost Forecast'!$D$53),G148*(1+RetRate)^('Education Cost Forecast'!$D$49-A148),0)</f>
        <v>0</v>
      </c>
      <c r="X148" s="28" t="n">
        <f aca="false">IF(B148=1,P148+D148-C148,0)</f>
        <v>0</v>
      </c>
    </row>
    <row r="149" customFormat="false" ht="15" hidden="false" customHeight="false" outlineLevel="0" collapsed="false">
      <c r="A149" s="27" t="n">
        <v>44</v>
      </c>
      <c r="B149" s="27" t="n">
        <f aca="false">'Education Cost Forecast'!B169</f>
        <v>0</v>
      </c>
      <c r="C149" s="28" t="n">
        <f aca="false">'Education Cost Forecast'!Z169</f>
        <v>0</v>
      </c>
      <c r="D149" s="28" t="n">
        <f aca="false">IF(AND(B149=1,'Education Cost Forecast'!F169&gt;0,'Education Cost Forecast'!E169=0),'Education Cost Forecast'!$D$45,0)</f>
        <v>0</v>
      </c>
      <c r="E149" s="27" t="n">
        <f aca="false">IF(AND(B149=1,A149&lt;='Education Cost Forecast'!$D$53),1,0)</f>
        <v>0</v>
      </c>
      <c r="F149" s="40" t="n">
        <f aca="false">(1+Esc)^(A149-1)</f>
        <v>8.14966693287331</v>
      </c>
      <c r="G149" s="28" t="n">
        <f aca="false">E149*('Education Cost Forecast'!$D$41*12*MonthlyFactor+'Education Cost Forecast'!$D$42)*F149</f>
        <v>0</v>
      </c>
      <c r="H149" s="28" t="n">
        <f aca="false">E149*UnitFactor*F149</f>
        <v>0</v>
      </c>
      <c r="I149" s="28" t="n">
        <f aca="false">J148+D149-C149</f>
        <v>-92843966.1643132</v>
      </c>
      <c r="J149" s="28" t="n">
        <f aca="false">IF(B149=1,I149*(1+RetRate)+G149,J148)</f>
        <v>-92843966.1643132</v>
      </c>
      <c r="K149" s="28" t="n">
        <f aca="false">L148</f>
        <v>66.563055414119</v>
      </c>
      <c r="L149" s="28" t="n">
        <f aca="false">IF(B149=1,K149*(1+RetRate)+H149,L148)</f>
        <v>66.563055414119</v>
      </c>
      <c r="M149" s="40" t="n">
        <f aca="false">(1+RetRate)^(A149-1)</f>
        <v>130.729913800245</v>
      </c>
      <c r="N149" s="28" t="n">
        <f aca="false">IF(AND(B149=1,C149&gt;0,K149&lt;=0.000000000001,I149&lt;0),-I149/M149,0)</f>
        <v>0</v>
      </c>
      <c r="O149" s="28" t="n">
        <f aca="false">IF(AND(B149=1,C149&gt;0,K149&gt;0.000000000001),-(I149+$D$14*M149)/K149,0)</f>
        <v>0</v>
      </c>
      <c r="P149" s="28" t="n">
        <f aca="false">R148</f>
        <v>0</v>
      </c>
      <c r="Q149" s="28" t="n">
        <f aca="false">H149*$D$15</f>
        <v>0</v>
      </c>
      <c r="R149" s="28" t="n">
        <f aca="false">IF(B149=1,(P149+D149-C149)*(1+RetRate)+G149+Q149,P149)</f>
        <v>0</v>
      </c>
      <c r="S149" s="28" t="n">
        <f aca="false">V148</f>
        <v>0</v>
      </c>
      <c r="T149" s="28" t="n">
        <f aca="false">S149+D149-C149</f>
        <v>0</v>
      </c>
      <c r="U149" s="28" t="n">
        <f aca="false">IF(B149=1,MAX(0,-T149),0)</f>
        <v>0</v>
      </c>
      <c r="V149" s="28" t="n">
        <f aca="false">IF(B149=1,MAX(0,T149)*(1+RetRate)+G149,S149)</f>
        <v>0</v>
      </c>
      <c r="W149" s="28" t="n">
        <f aca="false">IF(A149&lt;=MIN('Education Cost Forecast'!$D$49,'Education Cost Forecast'!$D$53),G149*(1+RetRate)^('Education Cost Forecast'!$D$49-A149),0)</f>
        <v>0</v>
      </c>
      <c r="X149" s="28" t="n">
        <f aca="false">IF(B149=1,P149+D149-C149,0)</f>
        <v>0</v>
      </c>
    </row>
    <row r="150" customFormat="false" ht="15" hidden="false" customHeight="false" outlineLevel="0" collapsed="false">
      <c r="A150" s="27" t="n">
        <v>45</v>
      </c>
      <c r="B150" s="27" t="n">
        <f aca="false">'Education Cost Forecast'!B170</f>
        <v>0</v>
      </c>
      <c r="C150" s="28" t="n">
        <f aca="false">'Education Cost Forecast'!Z170</f>
        <v>0</v>
      </c>
      <c r="D150" s="28" t="n">
        <f aca="false">IF(AND(B150=1,'Education Cost Forecast'!F170&gt;0,'Education Cost Forecast'!E170=0),'Education Cost Forecast'!$D$45,0)</f>
        <v>0</v>
      </c>
      <c r="E150" s="27" t="n">
        <f aca="false">IF(AND(B150=1,A150&lt;='Education Cost Forecast'!$D$53),1,0)</f>
        <v>0</v>
      </c>
      <c r="F150" s="40" t="n">
        <f aca="false">(1+Esc)^(A150-1)</f>
        <v>8.55715027951698</v>
      </c>
      <c r="G150" s="28" t="n">
        <f aca="false">E150*('Education Cost Forecast'!$D$41*12*MonthlyFactor+'Education Cost Forecast'!$D$42)*F150</f>
        <v>0</v>
      </c>
      <c r="H150" s="28" t="n">
        <f aca="false">E150*UnitFactor*F150</f>
        <v>0</v>
      </c>
      <c r="I150" s="28" t="n">
        <f aca="false">J149+D150-C150</f>
        <v>-92843966.1643132</v>
      </c>
      <c r="J150" s="28" t="n">
        <f aca="false">IF(B150=1,I150*(1+RetRate)+G150,J149)</f>
        <v>-92843966.1643132</v>
      </c>
      <c r="K150" s="28" t="n">
        <f aca="false">L149</f>
        <v>66.563055414119</v>
      </c>
      <c r="L150" s="28" t="n">
        <f aca="false">IF(B150=1,K150*(1+RetRate)+H150,L149)</f>
        <v>66.563055414119</v>
      </c>
      <c r="M150" s="40" t="n">
        <f aca="false">(1+RetRate)^(A150-1)</f>
        <v>146.417503456274</v>
      </c>
      <c r="N150" s="28" t="n">
        <f aca="false">IF(AND(B150=1,C150&gt;0,K150&lt;=0.000000000001,I150&lt;0),-I150/M150,0)</f>
        <v>0</v>
      </c>
      <c r="O150" s="28" t="n">
        <f aca="false">IF(AND(B150=1,C150&gt;0,K150&gt;0.000000000001),-(I150+$D$14*M150)/K150,0)</f>
        <v>0</v>
      </c>
      <c r="P150" s="28" t="n">
        <f aca="false">R149</f>
        <v>0</v>
      </c>
      <c r="Q150" s="28" t="n">
        <f aca="false">H150*$D$15</f>
        <v>0</v>
      </c>
      <c r="R150" s="28" t="n">
        <f aca="false">IF(B150=1,(P150+D150-C150)*(1+RetRate)+G150+Q150,P150)</f>
        <v>0</v>
      </c>
      <c r="S150" s="28" t="n">
        <f aca="false">V149</f>
        <v>0</v>
      </c>
      <c r="T150" s="28" t="n">
        <f aca="false">S150+D150-C150</f>
        <v>0</v>
      </c>
      <c r="U150" s="28" t="n">
        <f aca="false">IF(B150=1,MAX(0,-T150),0)</f>
        <v>0</v>
      </c>
      <c r="V150" s="28" t="n">
        <f aca="false">IF(B150=1,MAX(0,T150)*(1+RetRate)+G150,S150)</f>
        <v>0</v>
      </c>
      <c r="W150" s="28" t="n">
        <f aca="false">IF(A150&lt;=MIN('Education Cost Forecast'!$D$49,'Education Cost Forecast'!$D$53),G150*(1+RetRate)^('Education Cost Forecast'!$D$49-A150),0)</f>
        <v>0</v>
      </c>
      <c r="X150" s="28" t="n">
        <f aca="false">IF(B150=1,P150+D150-C150,0)</f>
        <v>0</v>
      </c>
    </row>
    <row r="151" customFormat="false" ht="15" hidden="false" customHeight="false" outlineLevel="0" collapsed="false">
      <c r="A151" s="27" t="n">
        <v>46</v>
      </c>
      <c r="B151" s="27" t="n">
        <f aca="false">'Education Cost Forecast'!B171</f>
        <v>0</v>
      </c>
      <c r="C151" s="28" t="n">
        <f aca="false">'Education Cost Forecast'!Z171</f>
        <v>0</v>
      </c>
      <c r="D151" s="28" t="n">
        <f aca="false">IF(AND(B151=1,'Education Cost Forecast'!F171&gt;0,'Education Cost Forecast'!E171=0),'Education Cost Forecast'!$D$45,0)</f>
        <v>0</v>
      </c>
      <c r="E151" s="27" t="n">
        <f aca="false">IF(AND(B151=1,A151&lt;='Education Cost Forecast'!$D$53),1,0)</f>
        <v>0</v>
      </c>
      <c r="F151" s="40" t="n">
        <f aca="false">(1+Esc)^(A151-1)</f>
        <v>8.98500779349282</v>
      </c>
      <c r="G151" s="28" t="n">
        <f aca="false">E151*('Education Cost Forecast'!$D$41*12*MonthlyFactor+'Education Cost Forecast'!$D$42)*F151</f>
        <v>0</v>
      </c>
      <c r="H151" s="28" t="n">
        <f aca="false">E151*UnitFactor*F151</f>
        <v>0</v>
      </c>
      <c r="I151" s="28" t="n">
        <f aca="false">J150+D151-C151</f>
        <v>-92843966.1643132</v>
      </c>
      <c r="J151" s="28" t="n">
        <f aca="false">IF(B151=1,I151*(1+RetRate)+G151,J150)</f>
        <v>-92843966.1643132</v>
      </c>
      <c r="K151" s="28" t="n">
        <f aca="false">L150</f>
        <v>66.563055414119</v>
      </c>
      <c r="L151" s="28" t="n">
        <f aca="false">IF(B151=1,K151*(1+RetRate)+H151,L150)</f>
        <v>66.563055414119</v>
      </c>
      <c r="M151" s="40" t="n">
        <f aca="false">(1+RetRate)^(A151-1)</f>
        <v>163.987603871027</v>
      </c>
      <c r="N151" s="28" t="n">
        <f aca="false">IF(AND(B151=1,C151&gt;0,K151&lt;=0.000000000001,I151&lt;0),-I151/M151,0)</f>
        <v>0</v>
      </c>
      <c r="O151" s="28" t="n">
        <f aca="false">IF(AND(B151=1,C151&gt;0,K151&gt;0.000000000001),-(I151+$D$14*M151)/K151,0)</f>
        <v>0</v>
      </c>
      <c r="P151" s="28" t="n">
        <f aca="false">R150</f>
        <v>0</v>
      </c>
      <c r="Q151" s="28" t="n">
        <f aca="false">H151*$D$15</f>
        <v>0</v>
      </c>
      <c r="R151" s="28" t="n">
        <f aca="false">IF(B151=1,(P151+D151-C151)*(1+RetRate)+G151+Q151,P151)</f>
        <v>0</v>
      </c>
      <c r="S151" s="28" t="n">
        <f aca="false">V150</f>
        <v>0</v>
      </c>
      <c r="T151" s="28" t="n">
        <f aca="false">S151+D151-C151</f>
        <v>0</v>
      </c>
      <c r="U151" s="28" t="n">
        <f aca="false">IF(B151=1,MAX(0,-T151),0)</f>
        <v>0</v>
      </c>
      <c r="V151" s="28" t="n">
        <f aca="false">IF(B151=1,MAX(0,T151)*(1+RetRate)+G151,S151)</f>
        <v>0</v>
      </c>
      <c r="W151" s="28" t="n">
        <f aca="false">IF(A151&lt;=MIN('Education Cost Forecast'!$D$49,'Education Cost Forecast'!$D$53),G151*(1+RetRate)^('Education Cost Forecast'!$D$49-A151),0)</f>
        <v>0</v>
      </c>
      <c r="X151" s="28" t="n">
        <f aca="false">IF(B151=1,P151+D151-C151,0)</f>
        <v>0</v>
      </c>
    </row>
    <row r="152" customFormat="false" ht="15" hidden="false" customHeight="false" outlineLevel="0" collapsed="false">
      <c r="A152" s="27" t="n">
        <v>47</v>
      </c>
      <c r="B152" s="27" t="n">
        <f aca="false">'Education Cost Forecast'!B172</f>
        <v>0</v>
      </c>
      <c r="C152" s="28" t="n">
        <f aca="false">'Education Cost Forecast'!Z172</f>
        <v>0</v>
      </c>
      <c r="D152" s="28" t="n">
        <f aca="false">IF(AND(B152=1,'Education Cost Forecast'!F172&gt;0,'Education Cost Forecast'!E172=0),'Education Cost Forecast'!$D$45,0)</f>
        <v>0</v>
      </c>
      <c r="E152" s="27" t="n">
        <f aca="false">IF(AND(B152=1,A152&lt;='Education Cost Forecast'!$D$53),1,0)</f>
        <v>0</v>
      </c>
      <c r="F152" s="40" t="n">
        <f aca="false">(1+Esc)^(A152-1)</f>
        <v>9.43425818316747</v>
      </c>
      <c r="G152" s="28" t="n">
        <f aca="false">E152*('Education Cost Forecast'!$D$41*12*MonthlyFactor+'Education Cost Forecast'!$D$42)*F152</f>
        <v>0</v>
      </c>
      <c r="H152" s="28" t="n">
        <f aca="false">E152*UnitFactor*F152</f>
        <v>0</v>
      </c>
      <c r="I152" s="28" t="n">
        <f aca="false">J151+D152-C152</f>
        <v>-92843966.1643132</v>
      </c>
      <c r="J152" s="28" t="n">
        <f aca="false">IF(B152=1,I152*(1+RetRate)+G152,J151)</f>
        <v>-92843966.1643132</v>
      </c>
      <c r="K152" s="28" t="n">
        <f aca="false">L151</f>
        <v>66.563055414119</v>
      </c>
      <c r="L152" s="28" t="n">
        <f aca="false">IF(B152=1,K152*(1+RetRate)+H152,L151)</f>
        <v>66.563055414119</v>
      </c>
      <c r="M152" s="40" t="n">
        <f aca="false">(1+RetRate)^(A152-1)</f>
        <v>183.66611633555</v>
      </c>
      <c r="N152" s="28" t="n">
        <f aca="false">IF(AND(B152=1,C152&gt;0,K152&lt;=0.000000000001,I152&lt;0),-I152/M152,0)</f>
        <v>0</v>
      </c>
      <c r="O152" s="28" t="n">
        <f aca="false">IF(AND(B152=1,C152&gt;0,K152&gt;0.000000000001),-(I152+$D$14*M152)/K152,0)</f>
        <v>0</v>
      </c>
      <c r="P152" s="28" t="n">
        <f aca="false">R151</f>
        <v>0</v>
      </c>
      <c r="Q152" s="28" t="n">
        <f aca="false">H152*$D$15</f>
        <v>0</v>
      </c>
      <c r="R152" s="28" t="n">
        <f aca="false">IF(B152=1,(P152+D152-C152)*(1+RetRate)+G152+Q152,P152)</f>
        <v>0</v>
      </c>
      <c r="S152" s="28" t="n">
        <f aca="false">V151</f>
        <v>0</v>
      </c>
      <c r="T152" s="28" t="n">
        <f aca="false">S152+D152-C152</f>
        <v>0</v>
      </c>
      <c r="U152" s="28" t="n">
        <f aca="false">IF(B152=1,MAX(0,-T152),0)</f>
        <v>0</v>
      </c>
      <c r="V152" s="28" t="n">
        <f aca="false">IF(B152=1,MAX(0,T152)*(1+RetRate)+G152,S152)</f>
        <v>0</v>
      </c>
      <c r="W152" s="28" t="n">
        <f aca="false">IF(A152&lt;=MIN('Education Cost Forecast'!$D$49,'Education Cost Forecast'!$D$53),G152*(1+RetRate)^('Education Cost Forecast'!$D$49-A152),0)</f>
        <v>0</v>
      </c>
      <c r="X152" s="28" t="n">
        <f aca="false">IF(B152=1,P152+D152-C152,0)</f>
        <v>0</v>
      </c>
    </row>
    <row r="153" customFormat="false" ht="15" hidden="false" customHeight="false" outlineLevel="0" collapsed="false">
      <c r="A153" s="27" t="n">
        <v>48</v>
      </c>
      <c r="B153" s="27" t="n">
        <f aca="false">'Education Cost Forecast'!B173</f>
        <v>0</v>
      </c>
      <c r="C153" s="28" t="n">
        <f aca="false">'Education Cost Forecast'!Z173</f>
        <v>0</v>
      </c>
      <c r="D153" s="28" t="n">
        <f aca="false">IF(AND(B153=1,'Education Cost Forecast'!F173&gt;0,'Education Cost Forecast'!E173=0),'Education Cost Forecast'!$D$45,0)</f>
        <v>0</v>
      </c>
      <c r="E153" s="27" t="n">
        <f aca="false">IF(AND(B153=1,A153&lt;='Education Cost Forecast'!$D$53),1,0)</f>
        <v>0</v>
      </c>
      <c r="F153" s="40" t="n">
        <f aca="false">(1+Esc)^(A153-1)</f>
        <v>9.90597109232584</v>
      </c>
      <c r="G153" s="28" t="n">
        <f aca="false">E153*('Education Cost Forecast'!$D$41*12*MonthlyFactor+'Education Cost Forecast'!$D$42)*F153</f>
        <v>0</v>
      </c>
      <c r="H153" s="28" t="n">
        <f aca="false">E153*UnitFactor*F153</f>
        <v>0</v>
      </c>
      <c r="I153" s="28" t="n">
        <f aca="false">J152+D153-C153</f>
        <v>-92843966.1643132</v>
      </c>
      <c r="J153" s="28" t="n">
        <f aca="false">IF(B153=1,I153*(1+RetRate)+G153,J152)</f>
        <v>-92843966.1643132</v>
      </c>
      <c r="K153" s="28" t="n">
        <f aca="false">L152</f>
        <v>66.563055414119</v>
      </c>
      <c r="L153" s="28" t="n">
        <f aca="false">IF(B153=1,K153*(1+RetRate)+H153,L152)</f>
        <v>66.563055414119</v>
      </c>
      <c r="M153" s="40" t="n">
        <f aca="false">(1+RetRate)^(A153-1)</f>
        <v>205.706050295816</v>
      </c>
      <c r="N153" s="28" t="n">
        <f aca="false">IF(AND(B153=1,C153&gt;0,K153&lt;=0.000000000001,I153&lt;0),-I153/M153,0)</f>
        <v>0</v>
      </c>
      <c r="O153" s="28" t="n">
        <f aca="false">IF(AND(B153=1,C153&gt;0,K153&gt;0.000000000001),-(I153+$D$14*M153)/K153,0)</f>
        <v>0</v>
      </c>
      <c r="P153" s="28" t="n">
        <f aca="false">R152</f>
        <v>0</v>
      </c>
      <c r="Q153" s="28" t="n">
        <f aca="false">H153*$D$15</f>
        <v>0</v>
      </c>
      <c r="R153" s="28" t="n">
        <f aca="false">IF(B153=1,(P153+D153-C153)*(1+RetRate)+G153+Q153,P153)</f>
        <v>0</v>
      </c>
      <c r="S153" s="28" t="n">
        <f aca="false">V152</f>
        <v>0</v>
      </c>
      <c r="T153" s="28" t="n">
        <f aca="false">S153+D153-C153</f>
        <v>0</v>
      </c>
      <c r="U153" s="28" t="n">
        <f aca="false">IF(B153=1,MAX(0,-T153),0)</f>
        <v>0</v>
      </c>
      <c r="V153" s="28" t="n">
        <f aca="false">IF(B153=1,MAX(0,T153)*(1+RetRate)+G153,S153)</f>
        <v>0</v>
      </c>
      <c r="W153" s="28" t="n">
        <f aca="false">IF(A153&lt;=MIN('Education Cost Forecast'!$D$49,'Education Cost Forecast'!$D$53),G153*(1+RetRate)^('Education Cost Forecast'!$D$49-A153),0)</f>
        <v>0</v>
      </c>
      <c r="X153" s="28" t="n">
        <f aca="false">IF(B153=1,P153+D153-C153,0)</f>
        <v>0</v>
      </c>
    </row>
    <row r="154" customFormat="false" ht="15" hidden="false" customHeight="false" outlineLevel="0" collapsed="false">
      <c r="A154" s="27" t="n">
        <v>49</v>
      </c>
      <c r="B154" s="27" t="n">
        <f aca="false">'Education Cost Forecast'!B174</f>
        <v>0</v>
      </c>
      <c r="C154" s="28" t="n">
        <f aca="false">'Education Cost Forecast'!Z174</f>
        <v>0</v>
      </c>
      <c r="D154" s="28" t="n">
        <f aca="false">IF(AND(B154=1,'Education Cost Forecast'!F174&gt;0,'Education Cost Forecast'!E174=0),'Education Cost Forecast'!$D$45,0)</f>
        <v>0</v>
      </c>
      <c r="E154" s="27" t="n">
        <f aca="false">IF(AND(B154=1,A154&lt;='Education Cost Forecast'!$D$53),1,0)</f>
        <v>0</v>
      </c>
      <c r="F154" s="40" t="n">
        <f aca="false">(1+Esc)^(A154-1)</f>
        <v>10.4012696469421</v>
      </c>
      <c r="G154" s="28" t="n">
        <f aca="false">E154*('Education Cost Forecast'!$D$41*12*MonthlyFactor+'Education Cost Forecast'!$D$42)*F154</f>
        <v>0</v>
      </c>
      <c r="H154" s="28" t="n">
        <f aca="false">E154*UnitFactor*F154</f>
        <v>0</v>
      </c>
      <c r="I154" s="28" t="n">
        <f aca="false">J153+D154-C154</f>
        <v>-92843966.1643132</v>
      </c>
      <c r="J154" s="28" t="n">
        <f aca="false">IF(B154=1,I154*(1+RetRate)+G154,J153)</f>
        <v>-92843966.1643132</v>
      </c>
      <c r="K154" s="28" t="n">
        <f aca="false">L153</f>
        <v>66.563055414119</v>
      </c>
      <c r="L154" s="28" t="n">
        <f aca="false">IF(B154=1,K154*(1+RetRate)+H154,L153)</f>
        <v>66.563055414119</v>
      </c>
      <c r="M154" s="40" t="n">
        <f aca="false">(1+RetRate)^(A154-1)</f>
        <v>230.390776331314</v>
      </c>
      <c r="N154" s="28" t="n">
        <f aca="false">IF(AND(B154=1,C154&gt;0,K154&lt;=0.000000000001,I154&lt;0),-I154/M154,0)</f>
        <v>0</v>
      </c>
      <c r="O154" s="28" t="n">
        <f aca="false">IF(AND(B154=1,C154&gt;0,K154&gt;0.000000000001),-(I154+$D$14*M154)/K154,0)</f>
        <v>0</v>
      </c>
      <c r="P154" s="28" t="n">
        <f aca="false">R153</f>
        <v>0</v>
      </c>
      <c r="Q154" s="28" t="n">
        <f aca="false">H154*$D$15</f>
        <v>0</v>
      </c>
      <c r="R154" s="28" t="n">
        <f aca="false">IF(B154=1,(P154+D154-C154)*(1+RetRate)+G154+Q154,P154)</f>
        <v>0</v>
      </c>
      <c r="S154" s="28" t="n">
        <f aca="false">V153</f>
        <v>0</v>
      </c>
      <c r="T154" s="28" t="n">
        <f aca="false">S154+D154-C154</f>
        <v>0</v>
      </c>
      <c r="U154" s="28" t="n">
        <f aca="false">IF(B154=1,MAX(0,-T154),0)</f>
        <v>0</v>
      </c>
      <c r="V154" s="28" t="n">
        <f aca="false">IF(B154=1,MAX(0,T154)*(1+RetRate)+G154,S154)</f>
        <v>0</v>
      </c>
      <c r="W154" s="28" t="n">
        <f aca="false">IF(A154&lt;=MIN('Education Cost Forecast'!$D$49,'Education Cost Forecast'!$D$53),G154*(1+RetRate)^('Education Cost Forecast'!$D$49-A154),0)</f>
        <v>0</v>
      </c>
      <c r="X154" s="28" t="n">
        <f aca="false">IF(B154=1,P154+D154-C154,0)</f>
        <v>0</v>
      </c>
    </row>
    <row r="155" customFormat="false" ht="15" hidden="false" customHeight="false" outlineLevel="0" collapsed="false">
      <c r="A155" s="27" t="n">
        <v>50</v>
      </c>
      <c r="B155" s="27" t="n">
        <f aca="false">'Education Cost Forecast'!B175</f>
        <v>0</v>
      </c>
      <c r="C155" s="28" t="n">
        <f aca="false">'Education Cost Forecast'!Z175</f>
        <v>0</v>
      </c>
      <c r="D155" s="28" t="n">
        <f aca="false">IF(AND(B155=1,'Education Cost Forecast'!F175&gt;0,'Education Cost Forecast'!E175=0),'Education Cost Forecast'!$D$45,0)</f>
        <v>0</v>
      </c>
      <c r="E155" s="27" t="n">
        <f aca="false">IF(AND(B155=1,A155&lt;='Education Cost Forecast'!$D$53),1,0)</f>
        <v>0</v>
      </c>
      <c r="F155" s="40" t="n">
        <f aca="false">(1+Esc)^(A155-1)</f>
        <v>10.9213331292892</v>
      </c>
      <c r="G155" s="28" t="n">
        <f aca="false">E155*('Education Cost Forecast'!$D$41*12*MonthlyFactor+'Education Cost Forecast'!$D$42)*F155</f>
        <v>0</v>
      </c>
      <c r="H155" s="28" t="n">
        <f aca="false">E155*UnitFactor*F155</f>
        <v>0</v>
      </c>
      <c r="I155" s="28" t="n">
        <f aca="false">J154+D155-C155</f>
        <v>-92843966.1643132</v>
      </c>
      <c r="J155" s="28" t="n">
        <f aca="false">IF(B155=1,I155*(1+RetRate)+G155,J154)</f>
        <v>-92843966.1643132</v>
      </c>
      <c r="K155" s="28" t="n">
        <f aca="false">L154</f>
        <v>66.563055414119</v>
      </c>
      <c r="L155" s="28" t="n">
        <f aca="false">IF(B155=1,K155*(1+RetRate)+H155,L154)</f>
        <v>66.563055414119</v>
      </c>
      <c r="M155" s="40" t="n">
        <f aca="false">(1+RetRate)^(A155-1)</f>
        <v>258.037669491072</v>
      </c>
      <c r="N155" s="28" t="n">
        <f aca="false">IF(AND(B155=1,C155&gt;0,K155&lt;=0.000000000001,I155&lt;0),-I155/M155,0)</f>
        <v>0</v>
      </c>
      <c r="O155" s="28" t="n">
        <f aca="false">IF(AND(B155=1,C155&gt;0,K155&gt;0.000000000001),-(I155+$D$14*M155)/K155,0)</f>
        <v>0</v>
      </c>
      <c r="P155" s="28" t="n">
        <f aca="false">R154</f>
        <v>0</v>
      </c>
      <c r="Q155" s="28" t="n">
        <f aca="false">H155*$D$15</f>
        <v>0</v>
      </c>
      <c r="R155" s="28" t="n">
        <f aca="false">IF(B155=1,(P155+D155-C155)*(1+RetRate)+G155+Q155,P155)</f>
        <v>0</v>
      </c>
      <c r="S155" s="28" t="n">
        <f aca="false">V154</f>
        <v>0</v>
      </c>
      <c r="T155" s="28" t="n">
        <f aca="false">S155+D155-C155</f>
        <v>0</v>
      </c>
      <c r="U155" s="28" t="n">
        <f aca="false">IF(B155=1,MAX(0,-T155),0)</f>
        <v>0</v>
      </c>
      <c r="V155" s="28" t="n">
        <f aca="false">IF(B155=1,MAX(0,T155)*(1+RetRate)+G155,S155)</f>
        <v>0</v>
      </c>
      <c r="W155" s="28" t="n">
        <f aca="false">IF(A155&lt;=MIN('Education Cost Forecast'!$D$49,'Education Cost Forecast'!$D$53),G155*(1+RetRate)^('Education Cost Forecast'!$D$49-A155),0)</f>
        <v>0</v>
      </c>
      <c r="X155" s="28" t="n">
        <f aca="false">IF(B155=1,P155+D155-C155,0)</f>
        <v>0</v>
      </c>
    </row>
    <row r="156" customFormat="false" ht="15" hidden="false" customHeight="false" outlineLevel="0" collapsed="false">
      <c r="A156" s="27" t="n">
        <v>51</v>
      </c>
      <c r="B156" s="27" t="n">
        <f aca="false">'Education Cost Forecast'!B176</f>
        <v>0</v>
      </c>
      <c r="C156" s="28" t="n">
        <f aca="false">'Education Cost Forecast'!Z176</f>
        <v>0</v>
      </c>
      <c r="D156" s="28" t="n">
        <f aca="false">IF(AND(B156=1,'Education Cost Forecast'!F176&gt;0,'Education Cost Forecast'!E176=0),'Education Cost Forecast'!$D$45,0)</f>
        <v>0</v>
      </c>
      <c r="E156" s="27" t="n">
        <f aca="false">IF(AND(B156=1,A156&lt;='Education Cost Forecast'!$D$53),1,0)</f>
        <v>0</v>
      </c>
      <c r="F156" s="40" t="n">
        <f aca="false">(1+Esc)^(A156-1)</f>
        <v>11.4673997857537</v>
      </c>
      <c r="G156" s="28" t="n">
        <f aca="false">E156*('Education Cost Forecast'!$D$41*12*MonthlyFactor+'Education Cost Forecast'!$D$42)*F156</f>
        <v>0</v>
      </c>
      <c r="H156" s="28" t="n">
        <f aca="false">E156*UnitFactor*F156</f>
        <v>0</v>
      </c>
      <c r="I156" s="28" t="n">
        <f aca="false">J155+D156-C156</f>
        <v>-92843966.1643132</v>
      </c>
      <c r="J156" s="28" t="n">
        <f aca="false">IF(B156=1,I156*(1+RetRate)+G156,J155)</f>
        <v>-92843966.1643132</v>
      </c>
      <c r="K156" s="28" t="n">
        <f aca="false">L155</f>
        <v>66.563055414119</v>
      </c>
      <c r="L156" s="28" t="n">
        <f aca="false">IF(B156=1,K156*(1+RetRate)+H156,L155)</f>
        <v>66.563055414119</v>
      </c>
      <c r="M156" s="40" t="n">
        <f aca="false">(1+RetRate)^(A156-1)</f>
        <v>289.002189830001</v>
      </c>
      <c r="N156" s="28" t="n">
        <f aca="false">IF(AND(B156=1,C156&gt;0,K156&lt;=0.000000000001,I156&lt;0),-I156/M156,0)</f>
        <v>0</v>
      </c>
      <c r="O156" s="28" t="n">
        <f aca="false">IF(AND(B156=1,C156&gt;0,K156&gt;0.000000000001),-(I156+$D$14*M156)/K156,0)</f>
        <v>0</v>
      </c>
      <c r="P156" s="28" t="n">
        <f aca="false">R155</f>
        <v>0</v>
      </c>
      <c r="Q156" s="28" t="n">
        <f aca="false">H156*$D$15</f>
        <v>0</v>
      </c>
      <c r="R156" s="28" t="n">
        <f aca="false">IF(B156=1,(P156+D156-C156)*(1+RetRate)+G156+Q156,P156)</f>
        <v>0</v>
      </c>
      <c r="S156" s="28" t="n">
        <f aca="false">V155</f>
        <v>0</v>
      </c>
      <c r="T156" s="28" t="n">
        <f aca="false">S156+D156-C156</f>
        <v>0</v>
      </c>
      <c r="U156" s="28" t="n">
        <f aca="false">IF(B156=1,MAX(0,-T156),0)</f>
        <v>0</v>
      </c>
      <c r="V156" s="28" t="n">
        <f aca="false">IF(B156=1,MAX(0,T156)*(1+RetRate)+G156,S156)</f>
        <v>0</v>
      </c>
      <c r="W156" s="28" t="n">
        <f aca="false">IF(A156&lt;=MIN('Education Cost Forecast'!$D$49,'Education Cost Forecast'!$D$53),G156*(1+RetRate)^('Education Cost Forecast'!$D$49-A156),0)</f>
        <v>0</v>
      </c>
      <c r="X156" s="28" t="n">
        <f aca="false">IF(B156=1,P156+D156-C156,0)</f>
        <v>0</v>
      </c>
    </row>
    <row r="157" customFormat="false" ht="15" hidden="false" customHeight="false" outlineLevel="0" collapsed="false">
      <c r="A157" s="27" t="n">
        <v>52</v>
      </c>
      <c r="B157" s="27" t="n">
        <f aca="false">'Education Cost Forecast'!B177</f>
        <v>0</v>
      </c>
      <c r="C157" s="28" t="n">
        <f aca="false">'Education Cost Forecast'!Z177</f>
        <v>0</v>
      </c>
      <c r="D157" s="28" t="n">
        <f aca="false">IF(AND(B157=1,'Education Cost Forecast'!F177&gt;0,'Education Cost Forecast'!E177=0),'Education Cost Forecast'!$D$45,0)</f>
        <v>0</v>
      </c>
      <c r="E157" s="27" t="n">
        <f aca="false">IF(AND(B157=1,A157&lt;='Education Cost Forecast'!$D$53),1,0)</f>
        <v>0</v>
      </c>
      <c r="F157" s="40" t="n">
        <f aca="false">(1+Esc)^(A157-1)</f>
        <v>12.0407697750414</v>
      </c>
      <c r="G157" s="28" t="n">
        <f aca="false">E157*('Education Cost Forecast'!$D$41*12*MonthlyFactor+'Education Cost Forecast'!$D$42)*F157</f>
        <v>0</v>
      </c>
      <c r="H157" s="28" t="n">
        <f aca="false">E157*UnitFactor*F157</f>
        <v>0</v>
      </c>
      <c r="I157" s="28" t="n">
        <f aca="false">J156+D157-C157</f>
        <v>-92843966.1643132</v>
      </c>
      <c r="J157" s="28" t="n">
        <f aca="false">IF(B157=1,I157*(1+RetRate)+G157,J156)</f>
        <v>-92843966.1643132</v>
      </c>
      <c r="K157" s="28" t="n">
        <f aca="false">L156</f>
        <v>66.563055414119</v>
      </c>
      <c r="L157" s="28" t="n">
        <f aca="false">IF(B157=1,K157*(1+RetRate)+H157,L156)</f>
        <v>66.563055414119</v>
      </c>
      <c r="M157" s="40" t="n">
        <f aca="false">(1+RetRate)^(A157-1)</f>
        <v>323.682452609601</v>
      </c>
      <c r="N157" s="28" t="n">
        <f aca="false">IF(AND(B157=1,C157&gt;0,K157&lt;=0.000000000001,I157&lt;0),-I157/M157,0)</f>
        <v>0</v>
      </c>
      <c r="O157" s="28" t="n">
        <f aca="false">IF(AND(B157=1,C157&gt;0,K157&gt;0.000000000001),-(I157+$D$14*M157)/K157,0)</f>
        <v>0</v>
      </c>
      <c r="P157" s="28" t="n">
        <f aca="false">R156</f>
        <v>0</v>
      </c>
      <c r="Q157" s="28" t="n">
        <f aca="false">H157*$D$15</f>
        <v>0</v>
      </c>
      <c r="R157" s="28" t="n">
        <f aca="false">IF(B157=1,(P157+D157-C157)*(1+RetRate)+G157+Q157,P157)</f>
        <v>0</v>
      </c>
      <c r="S157" s="28" t="n">
        <f aca="false">V156</f>
        <v>0</v>
      </c>
      <c r="T157" s="28" t="n">
        <f aca="false">S157+D157-C157</f>
        <v>0</v>
      </c>
      <c r="U157" s="28" t="n">
        <f aca="false">IF(B157=1,MAX(0,-T157),0)</f>
        <v>0</v>
      </c>
      <c r="V157" s="28" t="n">
        <f aca="false">IF(B157=1,MAX(0,T157)*(1+RetRate)+G157,S157)</f>
        <v>0</v>
      </c>
      <c r="W157" s="28" t="n">
        <f aca="false">IF(A157&lt;=MIN('Education Cost Forecast'!$D$49,'Education Cost Forecast'!$D$53),G157*(1+RetRate)^('Education Cost Forecast'!$D$49-A157),0)</f>
        <v>0</v>
      </c>
      <c r="X157" s="28" t="n">
        <f aca="false">IF(B157=1,P157+D157-C157,0)</f>
        <v>0</v>
      </c>
    </row>
    <row r="158" customFormat="false" ht="15" hidden="false" customHeight="false" outlineLevel="0" collapsed="false">
      <c r="A158" s="27" t="n">
        <v>53</v>
      </c>
      <c r="B158" s="27" t="n">
        <f aca="false">'Education Cost Forecast'!B178</f>
        <v>0</v>
      </c>
      <c r="C158" s="28" t="n">
        <f aca="false">'Education Cost Forecast'!Z178</f>
        <v>0</v>
      </c>
      <c r="D158" s="28" t="n">
        <f aca="false">IF(AND(B158=1,'Education Cost Forecast'!F178&gt;0,'Education Cost Forecast'!E178=0),'Education Cost Forecast'!$D$45,0)</f>
        <v>0</v>
      </c>
      <c r="E158" s="27" t="n">
        <f aca="false">IF(AND(B158=1,A158&lt;='Education Cost Forecast'!$D$53),1,0)</f>
        <v>0</v>
      </c>
      <c r="F158" s="40" t="n">
        <f aca="false">(1+Esc)^(A158-1)</f>
        <v>12.6428082637935</v>
      </c>
      <c r="G158" s="28" t="n">
        <f aca="false">E158*('Education Cost Forecast'!$D$41*12*MonthlyFactor+'Education Cost Forecast'!$D$42)*F158</f>
        <v>0</v>
      </c>
      <c r="H158" s="28" t="n">
        <f aca="false">E158*UnitFactor*F158</f>
        <v>0</v>
      </c>
      <c r="I158" s="28" t="n">
        <f aca="false">J157+D158-C158</f>
        <v>-92843966.1643132</v>
      </c>
      <c r="J158" s="28" t="n">
        <f aca="false">IF(B158=1,I158*(1+RetRate)+G158,J157)</f>
        <v>-92843966.1643132</v>
      </c>
      <c r="K158" s="28" t="n">
        <f aca="false">L157</f>
        <v>66.563055414119</v>
      </c>
      <c r="L158" s="28" t="n">
        <f aca="false">IF(B158=1,K158*(1+RetRate)+H158,L157)</f>
        <v>66.563055414119</v>
      </c>
      <c r="M158" s="40" t="n">
        <f aca="false">(1+RetRate)^(A158-1)</f>
        <v>362.524346922753</v>
      </c>
      <c r="N158" s="28" t="n">
        <f aca="false">IF(AND(B158=1,C158&gt;0,K158&lt;=0.000000000001,I158&lt;0),-I158/M158,0)</f>
        <v>0</v>
      </c>
      <c r="O158" s="28" t="n">
        <f aca="false">IF(AND(B158=1,C158&gt;0,K158&gt;0.000000000001),-(I158+$D$14*M158)/K158,0)</f>
        <v>0</v>
      </c>
      <c r="P158" s="28" t="n">
        <f aca="false">R157</f>
        <v>0</v>
      </c>
      <c r="Q158" s="28" t="n">
        <f aca="false">H158*$D$15</f>
        <v>0</v>
      </c>
      <c r="R158" s="28" t="n">
        <f aca="false">IF(B158=1,(P158+D158-C158)*(1+RetRate)+G158+Q158,P158)</f>
        <v>0</v>
      </c>
      <c r="S158" s="28" t="n">
        <f aca="false">V157</f>
        <v>0</v>
      </c>
      <c r="T158" s="28" t="n">
        <f aca="false">S158+D158-C158</f>
        <v>0</v>
      </c>
      <c r="U158" s="28" t="n">
        <f aca="false">IF(B158=1,MAX(0,-T158),0)</f>
        <v>0</v>
      </c>
      <c r="V158" s="28" t="n">
        <f aca="false">IF(B158=1,MAX(0,T158)*(1+RetRate)+G158,S158)</f>
        <v>0</v>
      </c>
      <c r="W158" s="28" t="n">
        <f aca="false">IF(A158&lt;=MIN('Education Cost Forecast'!$D$49,'Education Cost Forecast'!$D$53),G158*(1+RetRate)^('Education Cost Forecast'!$D$49-A158),0)</f>
        <v>0</v>
      </c>
      <c r="X158" s="28" t="n">
        <f aca="false">IF(B158=1,P158+D158-C158,0)</f>
        <v>0</v>
      </c>
    </row>
    <row r="159" customFormat="false" ht="15" hidden="false" customHeight="false" outlineLevel="0" collapsed="false">
      <c r="A159" s="27" t="n">
        <v>54</v>
      </c>
      <c r="B159" s="27" t="n">
        <f aca="false">'Education Cost Forecast'!B179</f>
        <v>0</v>
      </c>
      <c r="C159" s="28" t="n">
        <f aca="false">'Education Cost Forecast'!Z179</f>
        <v>0</v>
      </c>
      <c r="D159" s="28" t="n">
        <f aca="false">IF(AND(B159=1,'Education Cost Forecast'!F179&gt;0,'Education Cost Forecast'!E179=0),'Education Cost Forecast'!$D$45,0)</f>
        <v>0</v>
      </c>
      <c r="E159" s="27" t="n">
        <f aca="false">IF(AND(B159=1,A159&lt;='Education Cost Forecast'!$D$53),1,0)</f>
        <v>0</v>
      </c>
      <c r="F159" s="40" t="n">
        <f aca="false">(1+Esc)^(A159-1)</f>
        <v>13.2749486769831</v>
      </c>
      <c r="G159" s="28" t="n">
        <f aca="false">E159*('Education Cost Forecast'!$D$41*12*MonthlyFactor+'Education Cost Forecast'!$D$42)*F159</f>
        <v>0</v>
      </c>
      <c r="H159" s="28" t="n">
        <f aca="false">E159*UnitFactor*F159</f>
        <v>0</v>
      </c>
      <c r="I159" s="28" t="n">
        <f aca="false">J158+D159-C159</f>
        <v>-92843966.1643132</v>
      </c>
      <c r="J159" s="28" t="n">
        <f aca="false">IF(B159=1,I159*(1+RetRate)+G159,J158)</f>
        <v>-92843966.1643132</v>
      </c>
      <c r="K159" s="28" t="n">
        <f aca="false">L158</f>
        <v>66.563055414119</v>
      </c>
      <c r="L159" s="28" t="n">
        <f aca="false">IF(B159=1,K159*(1+RetRate)+H159,L158)</f>
        <v>66.563055414119</v>
      </c>
      <c r="M159" s="40" t="n">
        <f aca="false">(1+RetRate)^(A159-1)</f>
        <v>406.027268553483</v>
      </c>
      <c r="N159" s="28" t="n">
        <f aca="false">IF(AND(B159=1,C159&gt;0,K159&lt;=0.000000000001,I159&lt;0),-I159/M159,0)</f>
        <v>0</v>
      </c>
      <c r="O159" s="28" t="n">
        <f aca="false">IF(AND(B159=1,C159&gt;0,K159&gt;0.000000000001),-(I159+$D$14*M159)/K159,0)</f>
        <v>0</v>
      </c>
      <c r="P159" s="28" t="n">
        <f aca="false">R158</f>
        <v>0</v>
      </c>
      <c r="Q159" s="28" t="n">
        <f aca="false">H159*$D$15</f>
        <v>0</v>
      </c>
      <c r="R159" s="28" t="n">
        <f aca="false">IF(B159=1,(P159+D159-C159)*(1+RetRate)+G159+Q159,P159)</f>
        <v>0</v>
      </c>
      <c r="S159" s="28" t="n">
        <f aca="false">V158</f>
        <v>0</v>
      </c>
      <c r="T159" s="28" t="n">
        <f aca="false">S159+D159-C159</f>
        <v>0</v>
      </c>
      <c r="U159" s="28" t="n">
        <f aca="false">IF(B159=1,MAX(0,-T159),0)</f>
        <v>0</v>
      </c>
      <c r="V159" s="28" t="n">
        <f aca="false">IF(B159=1,MAX(0,T159)*(1+RetRate)+G159,S159)</f>
        <v>0</v>
      </c>
      <c r="W159" s="28" t="n">
        <f aca="false">IF(A159&lt;=MIN('Education Cost Forecast'!$D$49,'Education Cost Forecast'!$D$53),G159*(1+RetRate)^('Education Cost Forecast'!$D$49-A159),0)</f>
        <v>0</v>
      </c>
      <c r="X159" s="28" t="n">
        <f aca="false">IF(B159=1,P159+D159-C159,0)</f>
        <v>0</v>
      </c>
    </row>
    <row r="160" customFormat="false" ht="15" hidden="false" customHeight="false" outlineLevel="0" collapsed="false">
      <c r="A160" s="27" t="n">
        <v>55</v>
      </c>
      <c r="B160" s="27" t="n">
        <f aca="false">'Education Cost Forecast'!B180</f>
        <v>0</v>
      </c>
      <c r="C160" s="28" t="n">
        <f aca="false">'Education Cost Forecast'!Z180</f>
        <v>0</v>
      </c>
      <c r="D160" s="28" t="n">
        <f aca="false">IF(AND(B160=1,'Education Cost Forecast'!F180&gt;0,'Education Cost Forecast'!E180=0),'Education Cost Forecast'!$D$45,0)</f>
        <v>0</v>
      </c>
      <c r="E160" s="27" t="n">
        <f aca="false">IF(AND(B160=1,A160&lt;='Education Cost Forecast'!$D$53),1,0)</f>
        <v>0</v>
      </c>
      <c r="F160" s="40" t="n">
        <f aca="false">(1+Esc)^(A160-1)</f>
        <v>13.9386961108323</v>
      </c>
      <c r="G160" s="28" t="n">
        <f aca="false">E160*('Education Cost Forecast'!$D$41*12*MonthlyFactor+'Education Cost Forecast'!$D$42)*F160</f>
        <v>0</v>
      </c>
      <c r="H160" s="28" t="n">
        <f aca="false">E160*UnitFactor*F160</f>
        <v>0</v>
      </c>
      <c r="I160" s="28" t="n">
        <f aca="false">J159+D160-C160</f>
        <v>-92843966.1643132</v>
      </c>
      <c r="J160" s="28" t="n">
        <f aca="false">IF(B160=1,I160*(1+RetRate)+G160,J159)</f>
        <v>-92843966.1643132</v>
      </c>
      <c r="K160" s="28" t="n">
        <f aca="false">L159</f>
        <v>66.563055414119</v>
      </c>
      <c r="L160" s="28" t="n">
        <f aca="false">IF(B160=1,K160*(1+RetRate)+H160,L159)</f>
        <v>66.563055414119</v>
      </c>
      <c r="M160" s="40" t="n">
        <f aca="false">(1+RetRate)^(A160-1)</f>
        <v>454.750540779902</v>
      </c>
      <c r="N160" s="28" t="n">
        <f aca="false">IF(AND(B160=1,C160&gt;0,K160&lt;=0.000000000001,I160&lt;0),-I160/M160,0)</f>
        <v>0</v>
      </c>
      <c r="O160" s="28" t="n">
        <f aca="false">IF(AND(B160=1,C160&gt;0,K160&gt;0.000000000001),-(I160+$D$14*M160)/K160,0)</f>
        <v>0</v>
      </c>
      <c r="P160" s="28" t="n">
        <f aca="false">R159</f>
        <v>0</v>
      </c>
      <c r="Q160" s="28" t="n">
        <f aca="false">H160*$D$15</f>
        <v>0</v>
      </c>
      <c r="R160" s="28" t="n">
        <f aca="false">IF(B160=1,(P160+D160-C160)*(1+RetRate)+G160+Q160,P160)</f>
        <v>0</v>
      </c>
      <c r="S160" s="28" t="n">
        <f aca="false">V159</f>
        <v>0</v>
      </c>
      <c r="T160" s="28" t="n">
        <f aca="false">S160+D160-C160</f>
        <v>0</v>
      </c>
      <c r="U160" s="28" t="n">
        <f aca="false">IF(B160=1,MAX(0,-T160),0)</f>
        <v>0</v>
      </c>
      <c r="V160" s="28" t="n">
        <f aca="false">IF(B160=1,MAX(0,T160)*(1+RetRate)+G160,S160)</f>
        <v>0</v>
      </c>
      <c r="W160" s="28" t="n">
        <f aca="false">IF(A160&lt;=MIN('Education Cost Forecast'!$D$49,'Education Cost Forecast'!$D$53),G160*(1+RetRate)^('Education Cost Forecast'!$D$49-A160),0)</f>
        <v>0</v>
      </c>
      <c r="X160" s="28" t="n">
        <f aca="false">IF(B160=1,P160+D160-C160,0)</f>
        <v>0</v>
      </c>
    </row>
    <row r="161" customFormat="false" ht="15" hidden="false" customHeight="false" outlineLevel="0" collapsed="false">
      <c r="A161" s="27" t="n">
        <v>56</v>
      </c>
      <c r="B161" s="27" t="n">
        <f aca="false">'Education Cost Forecast'!B181</f>
        <v>0</v>
      </c>
      <c r="C161" s="28" t="n">
        <f aca="false">'Education Cost Forecast'!Z181</f>
        <v>0</v>
      </c>
      <c r="D161" s="28" t="n">
        <f aca="false">IF(AND(B161=1,'Education Cost Forecast'!F181&gt;0,'Education Cost Forecast'!E181=0),'Education Cost Forecast'!$D$45,0)</f>
        <v>0</v>
      </c>
      <c r="E161" s="27" t="n">
        <f aca="false">IF(AND(B161=1,A161&lt;='Education Cost Forecast'!$D$53),1,0)</f>
        <v>0</v>
      </c>
      <c r="F161" s="40" t="n">
        <f aca="false">(1+Esc)^(A161-1)</f>
        <v>14.6356309163739</v>
      </c>
      <c r="G161" s="28" t="n">
        <f aca="false">E161*('Education Cost Forecast'!$D$41*12*MonthlyFactor+'Education Cost Forecast'!$D$42)*F161</f>
        <v>0</v>
      </c>
      <c r="H161" s="28" t="n">
        <f aca="false">E161*UnitFactor*F161</f>
        <v>0</v>
      </c>
      <c r="I161" s="28" t="n">
        <f aca="false">J160+D161-C161</f>
        <v>-92843966.1643132</v>
      </c>
      <c r="J161" s="28" t="n">
        <f aca="false">IF(B161=1,I161*(1+RetRate)+G161,J160)</f>
        <v>-92843966.1643132</v>
      </c>
      <c r="K161" s="28" t="n">
        <f aca="false">L160</f>
        <v>66.563055414119</v>
      </c>
      <c r="L161" s="28" t="n">
        <f aca="false">IF(B161=1,K161*(1+RetRate)+H161,L160)</f>
        <v>66.563055414119</v>
      </c>
      <c r="M161" s="40" t="n">
        <f aca="false">(1+RetRate)^(A161-1)</f>
        <v>509.32060567349</v>
      </c>
      <c r="N161" s="28" t="n">
        <f aca="false">IF(AND(B161=1,C161&gt;0,K161&lt;=0.000000000001,I161&lt;0),-I161/M161,0)</f>
        <v>0</v>
      </c>
      <c r="O161" s="28" t="n">
        <f aca="false">IF(AND(B161=1,C161&gt;0,K161&gt;0.000000000001),-(I161+$D$14*M161)/K161,0)</f>
        <v>0</v>
      </c>
      <c r="P161" s="28" t="n">
        <f aca="false">R160</f>
        <v>0</v>
      </c>
      <c r="Q161" s="28" t="n">
        <f aca="false">H161*$D$15</f>
        <v>0</v>
      </c>
      <c r="R161" s="28" t="n">
        <f aca="false">IF(B161=1,(P161+D161-C161)*(1+RetRate)+G161+Q161,P161)</f>
        <v>0</v>
      </c>
      <c r="S161" s="28" t="n">
        <f aca="false">V160</f>
        <v>0</v>
      </c>
      <c r="T161" s="28" t="n">
        <f aca="false">S161+D161-C161</f>
        <v>0</v>
      </c>
      <c r="U161" s="28" t="n">
        <f aca="false">IF(B161=1,MAX(0,-T161),0)</f>
        <v>0</v>
      </c>
      <c r="V161" s="28" t="n">
        <f aca="false">IF(B161=1,MAX(0,T161)*(1+RetRate)+G161,S161)</f>
        <v>0</v>
      </c>
      <c r="W161" s="28" t="n">
        <f aca="false">IF(A161&lt;=MIN('Education Cost Forecast'!$D$49,'Education Cost Forecast'!$D$53),G161*(1+RetRate)^('Education Cost Forecast'!$D$49-A161),0)</f>
        <v>0</v>
      </c>
      <c r="X161" s="28" t="n">
        <f aca="false">IF(B161=1,P161+D161-C161,0)</f>
        <v>0</v>
      </c>
    </row>
    <row r="162" customFormat="false" ht="15" hidden="false" customHeight="false" outlineLevel="0" collapsed="false">
      <c r="A162" s="27" t="n">
        <v>57</v>
      </c>
      <c r="B162" s="27" t="n">
        <f aca="false">'Education Cost Forecast'!B182</f>
        <v>0</v>
      </c>
      <c r="C162" s="28" t="n">
        <f aca="false">'Education Cost Forecast'!Z182</f>
        <v>0</v>
      </c>
      <c r="D162" s="28" t="n">
        <f aca="false">IF(AND(B162=1,'Education Cost Forecast'!F182&gt;0,'Education Cost Forecast'!E182=0),'Education Cost Forecast'!$D$45,0)</f>
        <v>0</v>
      </c>
      <c r="E162" s="27" t="n">
        <f aca="false">IF(AND(B162=1,A162&lt;='Education Cost Forecast'!$D$53),1,0)</f>
        <v>0</v>
      </c>
      <c r="F162" s="40" t="n">
        <f aca="false">(1+Esc)^(A162-1)</f>
        <v>15.3674124621926</v>
      </c>
      <c r="G162" s="28" t="n">
        <f aca="false">E162*('Education Cost Forecast'!$D$41*12*MonthlyFactor+'Education Cost Forecast'!$D$42)*F162</f>
        <v>0</v>
      </c>
      <c r="H162" s="28" t="n">
        <f aca="false">E162*UnitFactor*F162</f>
        <v>0</v>
      </c>
      <c r="I162" s="28" t="n">
        <f aca="false">J161+D162-C162</f>
        <v>-92843966.1643132</v>
      </c>
      <c r="J162" s="28" t="n">
        <f aca="false">IF(B162=1,I162*(1+RetRate)+G162,J161)</f>
        <v>-92843966.1643132</v>
      </c>
      <c r="K162" s="28" t="n">
        <f aca="false">L161</f>
        <v>66.563055414119</v>
      </c>
      <c r="L162" s="28" t="n">
        <f aca="false">IF(B162=1,K162*(1+RetRate)+H162,L161)</f>
        <v>66.563055414119</v>
      </c>
      <c r="M162" s="40" t="n">
        <f aca="false">(1+RetRate)^(A162-1)</f>
        <v>570.439078354309</v>
      </c>
      <c r="N162" s="28" t="n">
        <f aca="false">IF(AND(B162=1,C162&gt;0,K162&lt;=0.000000000001,I162&lt;0),-I162/M162,0)</f>
        <v>0</v>
      </c>
      <c r="O162" s="28" t="n">
        <f aca="false">IF(AND(B162=1,C162&gt;0,K162&gt;0.000000000001),-(I162+$D$14*M162)/K162,0)</f>
        <v>0</v>
      </c>
      <c r="P162" s="28" t="n">
        <f aca="false">R161</f>
        <v>0</v>
      </c>
      <c r="Q162" s="28" t="n">
        <f aca="false">H162*$D$15</f>
        <v>0</v>
      </c>
      <c r="R162" s="28" t="n">
        <f aca="false">IF(B162=1,(P162+D162-C162)*(1+RetRate)+G162+Q162,P162)</f>
        <v>0</v>
      </c>
      <c r="S162" s="28" t="n">
        <f aca="false">V161</f>
        <v>0</v>
      </c>
      <c r="T162" s="28" t="n">
        <f aca="false">S162+D162-C162</f>
        <v>0</v>
      </c>
      <c r="U162" s="28" t="n">
        <f aca="false">IF(B162=1,MAX(0,-T162),0)</f>
        <v>0</v>
      </c>
      <c r="V162" s="28" t="n">
        <f aca="false">IF(B162=1,MAX(0,T162)*(1+RetRate)+G162,S162)</f>
        <v>0</v>
      </c>
      <c r="W162" s="28" t="n">
        <f aca="false">IF(A162&lt;=MIN('Education Cost Forecast'!$D$49,'Education Cost Forecast'!$D$53),G162*(1+RetRate)^('Education Cost Forecast'!$D$49-A162),0)</f>
        <v>0</v>
      </c>
      <c r="X162" s="28" t="n">
        <f aca="false">IF(B162=1,P162+D162-C162,0)</f>
        <v>0</v>
      </c>
    </row>
    <row r="163" customFormat="false" ht="15" hidden="false" customHeight="false" outlineLevel="0" collapsed="false">
      <c r="A163" s="27" t="n">
        <v>58</v>
      </c>
      <c r="B163" s="27" t="n">
        <f aca="false">'Education Cost Forecast'!B183</f>
        <v>0</v>
      </c>
      <c r="C163" s="28" t="n">
        <f aca="false">'Education Cost Forecast'!Z183</f>
        <v>0</v>
      </c>
      <c r="D163" s="28" t="n">
        <f aca="false">IF(AND(B163=1,'Education Cost Forecast'!F183&gt;0,'Education Cost Forecast'!E183=0),'Education Cost Forecast'!$D$45,0)</f>
        <v>0</v>
      </c>
      <c r="E163" s="27" t="n">
        <f aca="false">IF(AND(B163=1,A163&lt;='Education Cost Forecast'!$D$53),1,0)</f>
        <v>0</v>
      </c>
      <c r="F163" s="40" t="n">
        <f aca="false">(1+Esc)^(A163-1)</f>
        <v>16.1357830853022</v>
      </c>
      <c r="G163" s="28" t="n">
        <f aca="false">E163*('Education Cost Forecast'!$D$41*12*MonthlyFactor+'Education Cost Forecast'!$D$42)*F163</f>
        <v>0</v>
      </c>
      <c r="H163" s="28" t="n">
        <f aca="false">E163*UnitFactor*F163</f>
        <v>0</v>
      </c>
      <c r="I163" s="28" t="n">
        <f aca="false">J162+D163-C163</f>
        <v>-92843966.1643132</v>
      </c>
      <c r="J163" s="28" t="n">
        <f aca="false">IF(B163=1,I163*(1+RetRate)+G163,J162)</f>
        <v>-92843966.1643132</v>
      </c>
      <c r="K163" s="28" t="n">
        <f aca="false">L162</f>
        <v>66.563055414119</v>
      </c>
      <c r="L163" s="28" t="n">
        <f aca="false">IF(B163=1,K163*(1+RetRate)+H163,L162)</f>
        <v>66.563055414119</v>
      </c>
      <c r="M163" s="40" t="n">
        <f aca="false">(1+RetRate)^(A163-1)</f>
        <v>638.891767756826</v>
      </c>
      <c r="N163" s="28" t="n">
        <f aca="false">IF(AND(B163=1,C163&gt;0,K163&lt;=0.000000000001,I163&lt;0),-I163/M163,0)</f>
        <v>0</v>
      </c>
      <c r="O163" s="28" t="n">
        <f aca="false">IF(AND(B163=1,C163&gt;0,K163&gt;0.000000000001),-(I163+$D$14*M163)/K163,0)</f>
        <v>0</v>
      </c>
      <c r="P163" s="28" t="n">
        <f aca="false">R162</f>
        <v>0</v>
      </c>
      <c r="Q163" s="28" t="n">
        <f aca="false">H163*$D$15</f>
        <v>0</v>
      </c>
      <c r="R163" s="28" t="n">
        <f aca="false">IF(B163=1,(P163+D163-C163)*(1+RetRate)+G163+Q163,P163)</f>
        <v>0</v>
      </c>
      <c r="S163" s="28" t="n">
        <f aca="false">V162</f>
        <v>0</v>
      </c>
      <c r="T163" s="28" t="n">
        <f aca="false">S163+D163-C163</f>
        <v>0</v>
      </c>
      <c r="U163" s="28" t="n">
        <f aca="false">IF(B163=1,MAX(0,-T163),0)</f>
        <v>0</v>
      </c>
      <c r="V163" s="28" t="n">
        <f aca="false">IF(B163=1,MAX(0,T163)*(1+RetRate)+G163,S163)</f>
        <v>0</v>
      </c>
      <c r="W163" s="28" t="n">
        <f aca="false">IF(A163&lt;=MIN('Education Cost Forecast'!$D$49,'Education Cost Forecast'!$D$53),G163*(1+RetRate)^('Education Cost Forecast'!$D$49-A163),0)</f>
        <v>0</v>
      </c>
      <c r="X163" s="28" t="n">
        <f aca="false">IF(B163=1,P163+D163-C163,0)</f>
        <v>0</v>
      </c>
    </row>
    <row r="164" customFormat="false" ht="15" hidden="false" customHeight="false" outlineLevel="0" collapsed="false">
      <c r="A164" s="27" t="n">
        <v>59</v>
      </c>
      <c r="B164" s="27" t="n">
        <f aca="false">'Education Cost Forecast'!B184</f>
        <v>0</v>
      </c>
      <c r="C164" s="28" t="n">
        <f aca="false">'Education Cost Forecast'!Z184</f>
        <v>0</v>
      </c>
      <c r="D164" s="28" t="n">
        <f aca="false">IF(AND(B164=1,'Education Cost Forecast'!F184&gt;0,'Education Cost Forecast'!E184=0),'Education Cost Forecast'!$D$45,0)</f>
        <v>0</v>
      </c>
      <c r="E164" s="27" t="n">
        <f aca="false">IF(AND(B164=1,A164&lt;='Education Cost Forecast'!$D$53),1,0)</f>
        <v>0</v>
      </c>
      <c r="F164" s="40" t="n">
        <f aca="false">(1+Esc)^(A164-1)</f>
        <v>16.9425722395673</v>
      </c>
      <c r="G164" s="28" t="n">
        <f aca="false">E164*('Education Cost Forecast'!$D$41*12*MonthlyFactor+'Education Cost Forecast'!$D$42)*F164</f>
        <v>0</v>
      </c>
      <c r="H164" s="28" t="n">
        <f aca="false">E164*UnitFactor*F164</f>
        <v>0</v>
      </c>
      <c r="I164" s="28" t="n">
        <f aca="false">J163+D164-C164</f>
        <v>-92843966.1643132</v>
      </c>
      <c r="J164" s="28" t="n">
        <f aca="false">IF(B164=1,I164*(1+RetRate)+G164,J163)</f>
        <v>-92843966.1643132</v>
      </c>
      <c r="K164" s="28" t="n">
        <f aca="false">L163</f>
        <v>66.563055414119</v>
      </c>
      <c r="L164" s="28" t="n">
        <f aca="false">IF(B164=1,K164*(1+RetRate)+H164,L163)</f>
        <v>66.563055414119</v>
      </c>
      <c r="M164" s="40" t="n">
        <f aca="false">(1+RetRate)^(A164-1)</f>
        <v>715.558779887645</v>
      </c>
      <c r="N164" s="28" t="n">
        <f aca="false">IF(AND(B164=1,C164&gt;0,K164&lt;=0.000000000001,I164&lt;0),-I164/M164,0)</f>
        <v>0</v>
      </c>
      <c r="O164" s="28" t="n">
        <f aca="false">IF(AND(B164=1,C164&gt;0,K164&gt;0.000000000001),-(I164+$D$14*M164)/K164,0)</f>
        <v>0</v>
      </c>
      <c r="P164" s="28" t="n">
        <f aca="false">R163</f>
        <v>0</v>
      </c>
      <c r="Q164" s="28" t="n">
        <f aca="false">H164*$D$15</f>
        <v>0</v>
      </c>
      <c r="R164" s="28" t="n">
        <f aca="false">IF(B164=1,(P164+D164-C164)*(1+RetRate)+G164+Q164,P164)</f>
        <v>0</v>
      </c>
      <c r="S164" s="28" t="n">
        <f aca="false">V163</f>
        <v>0</v>
      </c>
      <c r="T164" s="28" t="n">
        <f aca="false">S164+D164-C164</f>
        <v>0</v>
      </c>
      <c r="U164" s="28" t="n">
        <f aca="false">IF(B164=1,MAX(0,-T164),0)</f>
        <v>0</v>
      </c>
      <c r="V164" s="28" t="n">
        <f aca="false">IF(B164=1,MAX(0,T164)*(1+RetRate)+G164,S164)</f>
        <v>0</v>
      </c>
      <c r="W164" s="28" t="n">
        <f aca="false">IF(A164&lt;=MIN('Education Cost Forecast'!$D$49,'Education Cost Forecast'!$D$53),G164*(1+RetRate)^('Education Cost Forecast'!$D$49-A164),0)</f>
        <v>0</v>
      </c>
      <c r="X164" s="28" t="n">
        <f aca="false">IF(B164=1,P164+D164-C164,0)</f>
        <v>0</v>
      </c>
    </row>
    <row r="165" customFormat="false" ht="15" hidden="false" customHeight="false" outlineLevel="0" collapsed="false">
      <c r="A165" s="27" t="n">
        <v>60</v>
      </c>
      <c r="B165" s="27" t="n">
        <f aca="false">'Education Cost Forecast'!B185</f>
        <v>0</v>
      </c>
      <c r="C165" s="28" t="n">
        <f aca="false">'Education Cost Forecast'!Z185</f>
        <v>0</v>
      </c>
      <c r="D165" s="28" t="n">
        <f aca="false">IF(AND(B165=1,'Education Cost Forecast'!F185&gt;0,'Education Cost Forecast'!E185=0),'Education Cost Forecast'!$D$45,0)</f>
        <v>0</v>
      </c>
      <c r="E165" s="27" t="n">
        <f aca="false">IF(AND(B165=1,A165&lt;='Education Cost Forecast'!$D$53),1,0)</f>
        <v>0</v>
      </c>
      <c r="F165" s="40" t="n">
        <f aca="false">(1+Esc)^(A165-1)</f>
        <v>17.7897008515457</v>
      </c>
      <c r="G165" s="28" t="n">
        <f aca="false">E165*('Education Cost Forecast'!$D$41*12*MonthlyFactor+'Education Cost Forecast'!$D$42)*F165</f>
        <v>0</v>
      </c>
      <c r="H165" s="28" t="n">
        <f aca="false">E165*UnitFactor*F165</f>
        <v>0</v>
      </c>
      <c r="I165" s="28" t="n">
        <f aca="false">J164+D165-C165</f>
        <v>-92843966.1643132</v>
      </c>
      <c r="J165" s="28" t="n">
        <f aca="false">IF(B165=1,I165*(1+RetRate)+G165,J164)</f>
        <v>-92843966.1643132</v>
      </c>
      <c r="K165" s="28" t="n">
        <f aca="false">L164</f>
        <v>66.563055414119</v>
      </c>
      <c r="L165" s="28" t="n">
        <f aca="false">IF(B165=1,K165*(1+RetRate)+H165,L164)</f>
        <v>66.563055414119</v>
      </c>
      <c r="M165" s="40" t="n">
        <f aca="false">(1+RetRate)^(A165-1)</f>
        <v>801.425833474162</v>
      </c>
      <c r="N165" s="28" t="n">
        <f aca="false">IF(AND(B165=1,C165&gt;0,K165&lt;=0.000000000001,I165&lt;0),-I165/M165,0)</f>
        <v>0</v>
      </c>
      <c r="O165" s="28" t="n">
        <f aca="false">IF(AND(B165=1,C165&gt;0,K165&gt;0.000000000001),-(I165+$D$14*M165)/K165,0)</f>
        <v>0</v>
      </c>
      <c r="P165" s="28" t="n">
        <f aca="false">R164</f>
        <v>0</v>
      </c>
      <c r="Q165" s="28" t="n">
        <f aca="false">H165*$D$15</f>
        <v>0</v>
      </c>
      <c r="R165" s="28" t="n">
        <f aca="false">IF(B165=1,(P165+D165-C165)*(1+RetRate)+G165+Q165,P165)</f>
        <v>0</v>
      </c>
      <c r="S165" s="28" t="n">
        <f aca="false">V164</f>
        <v>0</v>
      </c>
      <c r="T165" s="28" t="n">
        <f aca="false">S165+D165-C165</f>
        <v>0</v>
      </c>
      <c r="U165" s="28" t="n">
        <f aca="false">IF(B165=1,MAX(0,-T165),0)</f>
        <v>0</v>
      </c>
      <c r="V165" s="28" t="n">
        <f aca="false">IF(B165=1,MAX(0,T165)*(1+RetRate)+G165,S165)</f>
        <v>0</v>
      </c>
      <c r="W165" s="28" t="n">
        <f aca="false">IF(A165&lt;=MIN('Education Cost Forecast'!$D$49,'Education Cost Forecast'!$D$53),G165*(1+RetRate)^('Education Cost Forecast'!$D$49-A165),0)</f>
        <v>0</v>
      </c>
      <c r="X165" s="28" t="n">
        <f aca="false">IF(B165=1,P165+D165-C165,0)</f>
        <v>0</v>
      </c>
    </row>
    <row r="168" customFormat="false" ht="15" hidden="false" customHeight="false" outlineLevel="0" collapsed="false">
      <c r="A168" s="6" t="str">
        <f aca="false">"Child 3: "&amp;'Education Cost Forecast'!$E$6&amp;" — annual cash flow ("&amp;RepCcy&amp;")"</f>
        <v>Child 3: Child 3 — annual cash flow (PKR)</v>
      </c>
    </row>
    <row r="169" customFormat="false" ht="66" hidden="false" customHeight="true" outlineLevel="0" collapsed="false">
      <c r="A169" s="22" t="s">
        <v>581</v>
      </c>
      <c r="B169" s="22" t="s">
        <v>582</v>
      </c>
      <c r="C169" s="22" t="s">
        <v>634</v>
      </c>
      <c r="D169" s="22" t="s">
        <v>635</v>
      </c>
      <c r="E169" s="22" t="s">
        <v>636</v>
      </c>
      <c r="F169" s="22" t="s">
        <v>637</v>
      </c>
      <c r="G169" s="22" t="s">
        <v>638</v>
      </c>
      <c r="H169" s="22" t="s">
        <v>639</v>
      </c>
      <c r="I169" s="22" t="s">
        <v>640</v>
      </c>
      <c r="J169" s="22" t="s">
        <v>641</v>
      </c>
      <c r="K169" s="22" t="s">
        <v>642</v>
      </c>
      <c r="L169" s="22" t="s">
        <v>643</v>
      </c>
      <c r="M169" s="22" t="s">
        <v>644</v>
      </c>
      <c r="N169" s="22" t="s">
        <v>645</v>
      </c>
      <c r="O169" s="22" t="s">
        <v>646</v>
      </c>
      <c r="P169" s="22" t="s">
        <v>647</v>
      </c>
      <c r="Q169" s="22" t="s">
        <v>648</v>
      </c>
      <c r="R169" s="22" t="s">
        <v>649</v>
      </c>
      <c r="S169" s="22" t="s">
        <v>650</v>
      </c>
      <c r="T169" s="22" t="s">
        <v>651</v>
      </c>
      <c r="U169" s="22" t="s">
        <v>652</v>
      </c>
      <c r="V169" s="22" t="s">
        <v>653</v>
      </c>
      <c r="W169" s="22" t="s">
        <v>654</v>
      </c>
      <c r="X169" s="22" t="s">
        <v>655</v>
      </c>
    </row>
    <row r="170" customFormat="false" ht="15" hidden="false" customHeight="false" outlineLevel="0" collapsed="false">
      <c r="A170" s="27" t="n">
        <v>1</v>
      </c>
      <c r="B170" s="27" t="n">
        <f aca="false">'Education Cost Forecast'!B190</f>
        <v>0</v>
      </c>
      <c r="C170" s="28" t="n">
        <f aca="false">'Education Cost Forecast'!Z190</f>
        <v>0</v>
      </c>
      <c r="D170" s="28" t="n">
        <f aca="false">IF(AND(B170=1,'Education Cost Forecast'!F190&gt;0,'Education Cost Forecast'!E190=0),'Education Cost Forecast'!$E$45,0)</f>
        <v>0</v>
      </c>
      <c r="E170" s="27" t="n">
        <f aca="false">IF(AND(B170=1,A170&lt;='Education Cost Forecast'!$E$53),1,0)</f>
        <v>0</v>
      </c>
      <c r="F170" s="40" t="n">
        <f aca="false">(1+Esc)^(A170-1)</f>
        <v>1</v>
      </c>
      <c r="G170" s="28" t="n">
        <f aca="false">E170*('Education Cost Forecast'!$E$41*12*MonthlyFactor+'Education Cost Forecast'!$E$42)*F170</f>
        <v>0</v>
      </c>
      <c r="H170" s="28" t="n">
        <f aca="false">E170*UnitFactor*F170</f>
        <v>0</v>
      </c>
      <c r="I170" s="28" t="n">
        <f aca="false">'Education Cost Forecast'!$E$40*'Education Cost Forecast'!$E$47+D170-C170</f>
        <v>0</v>
      </c>
      <c r="J170" s="28" t="n">
        <f aca="false">IF(B170=1,I170*(1+RetRate)+G170,'Education Cost Forecast'!$E$40*'Education Cost Forecast'!$E$47)</f>
        <v>0</v>
      </c>
      <c r="K170" s="28" t="n">
        <f aca="false">0</f>
        <v>0</v>
      </c>
      <c r="L170" s="28" t="n">
        <f aca="false">IF(B170=1,K170*(1+RetRate)+H170,0)</f>
        <v>0</v>
      </c>
      <c r="M170" s="40" t="n">
        <f aca="false">(1+RetRate)^(A170-1)</f>
        <v>1</v>
      </c>
      <c r="N170" s="28" t="n">
        <f aca="false">IF(AND(B170=1,C170&gt;0,K170&lt;=0.000000000001,I170&lt;0),-I170/M170,0)</f>
        <v>0</v>
      </c>
      <c r="O170" s="28" t="n">
        <f aca="false">IF(AND(B170=1,C170&gt;0,K170&gt;0.000000000001),-(I170+$E$14*M170)/K170,0)</f>
        <v>0</v>
      </c>
      <c r="P170" s="28" t="n">
        <f aca="false">'Education Cost Forecast'!$E$40*'Education Cost Forecast'!$E$47+$E$14</f>
        <v>0</v>
      </c>
      <c r="Q170" s="28" t="n">
        <f aca="false">H170*$E$15</f>
        <v>0</v>
      </c>
      <c r="R170" s="28" t="n">
        <f aca="false">IF(B170=1,(P170+D170-C170)*(1+RetRate)+G170+Q170,P170)</f>
        <v>0</v>
      </c>
      <c r="S170" s="28" t="n">
        <f aca="false">'Education Cost Forecast'!$E$40*'Education Cost Forecast'!$E$47</f>
        <v>0</v>
      </c>
      <c r="T170" s="28" t="n">
        <f aca="false">S170+D170-C170</f>
        <v>0</v>
      </c>
      <c r="U170" s="28" t="n">
        <f aca="false">IF(B170=1,MAX(0,-T170),0)</f>
        <v>0</v>
      </c>
      <c r="V170" s="28" t="n">
        <f aca="false">IF(B170=1,MAX(0,T170)*(1+RetRate)+G170,S170)</f>
        <v>0</v>
      </c>
      <c r="W170" s="28" t="n">
        <f aca="false">IF(A170&lt;=MIN('Education Cost Forecast'!$E$49,'Education Cost Forecast'!$E$53),G170*(1+RetRate)^('Education Cost Forecast'!$E$49-A170),0)</f>
        <v>0</v>
      </c>
      <c r="X170" s="28" t="n">
        <f aca="false">IF(B170=1,P170+D170-C170,0)</f>
        <v>0</v>
      </c>
    </row>
    <row r="171" customFormat="false" ht="15" hidden="false" customHeight="false" outlineLevel="0" collapsed="false">
      <c r="A171" s="27" t="n">
        <v>2</v>
      </c>
      <c r="B171" s="27" t="n">
        <f aca="false">'Education Cost Forecast'!B191</f>
        <v>0</v>
      </c>
      <c r="C171" s="28" t="n">
        <f aca="false">'Education Cost Forecast'!Z191</f>
        <v>0</v>
      </c>
      <c r="D171" s="28" t="n">
        <f aca="false">IF(AND(B171=1,'Education Cost Forecast'!F191&gt;0,'Education Cost Forecast'!E191=0),'Education Cost Forecast'!$E$45,0)</f>
        <v>0</v>
      </c>
      <c r="E171" s="27" t="n">
        <f aca="false">IF(AND(B171=1,A171&lt;='Education Cost Forecast'!$E$53),1,0)</f>
        <v>0</v>
      </c>
      <c r="F171" s="40" t="n">
        <f aca="false">(1+Esc)^(A171-1)</f>
        <v>1.05</v>
      </c>
      <c r="G171" s="28" t="n">
        <f aca="false">E171*('Education Cost Forecast'!$E$41*12*MonthlyFactor+'Education Cost Forecast'!$E$42)*F171</f>
        <v>0</v>
      </c>
      <c r="H171" s="28" t="n">
        <f aca="false">E171*UnitFactor*F171</f>
        <v>0</v>
      </c>
      <c r="I171" s="28" t="n">
        <f aca="false">J170+D171-C171</f>
        <v>0</v>
      </c>
      <c r="J171" s="28" t="n">
        <f aca="false">IF(B171=1,I171*(1+RetRate)+G171,J170)</f>
        <v>0</v>
      </c>
      <c r="K171" s="28" t="n">
        <f aca="false">L170</f>
        <v>0</v>
      </c>
      <c r="L171" s="28" t="n">
        <f aca="false">IF(B171=1,K171*(1+RetRate)+H171,L170)</f>
        <v>0</v>
      </c>
      <c r="M171" s="40" t="n">
        <f aca="false">(1+RetRate)^(A171-1)</f>
        <v>1.12</v>
      </c>
      <c r="N171" s="28" t="n">
        <f aca="false">IF(AND(B171=1,C171&gt;0,K171&lt;=0.000000000001,I171&lt;0),-I171/M171,0)</f>
        <v>0</v>
      </c>
      <c r="O171" s="28" t="n">
        <f aca="false">IF(AND(B171=1,C171&gt;0,K171&gt;0.000000000001),-(I171+$E$14*M171)/K171,0)</f>
        <v>0</v>
      </c>
      <c r="P171" s="28" t="n">
        <f aca="false">R170</f>
        <v>0</v>
      </c>
      <c r="Q171" s="28" t="n">
        <f aca="false">H171*$E$15</f>
        <v>0</v>
      </c>
      <c r="R171" s="28" t="n">
        <f aca="false">IF(B171=1,(P171+D171-C171)*(1+RetRate)+G171+Q171,P171)</f>
        <v>0</v>
      </c>
      <c r="S171" s="28" t="n">
        <f aca="false">V170</f>
        <v>0</v>
      </c>
      <c r="T171" s="28" t="n">
        <f aca="false">S171+D171-C171</f>
        <v>0</v>
      </c>
      <c r="U171" s="28" t="n">
        <f aca="false">IF(B171=1,MAX(0,-T171),0)</f>
        <v>0</v>
      </c>
      <c r="V171" s="28" t="n">
        <f aca="false">IF(B171=1,MAX(0,T171)*(1+RetRate)+G171,S171)</f>
        <v>0</v>
      </c>
      <c r="W171" s="28" t="n">
        <f aca="false">IF(A171&lt;=MIN('Education Cost Forecast'!$E$49,'Education Cost Forecast'!$E$53),G171*(1+RetRate)^('Education Cost Forecast'!$E$49-A171),0)</f>
        <v>0</v>
      </c>
      <c r="X171" s="28" t="n">
        <f aca="false">IF(B171=1,P171+D171-C171,0)</f>
        <v>0</v>
      </c>
    </row>
    <row r="172" customFormat="false" ht="15" hidden="false" customHeight="false" outlineLevel="0" collapsed="false">
      <c r="A172" s="27" t="n">
        <v>3</v>
      </c>
      <c r="B172" s="27" t="n">
        <f aca="false">'Education Cost Forecast'!B192</f>
        <v>0</v>
      </c>
      <c r="C172" s="28" t="n">
        <f aca="false">'Education Cost Forecast'!Z192</f>
        <v>0</v>
      </c>
      <c r="D172" s="28" t="n">
        <f aca="false">IF(AND(B172=1,'Education Cost Forecast'!F192&gt;0,'Education Cost Forecast'!E192=0),'Education Cost Forecast'!$E$45,0)</f>
        <v>0</v>
      </c>
      <c r="E172" s="27" t="n">
        <f aca="false">IF(AND(B172=1,A172&lt;='Education Cost Forecast'!$E$53),1,0)</f>
        <v>0</v>
      </c>
      <c r="F172" s="40" t="n">
        <f aca="false">(1+Esc)^(A172-1)</f>
        <v>1.1025</v>
      </c>
      <c r="G172" s="28" t="n">
        <f aca="false">E172*('Education Cost Forecast'!$E$41*12*MonthlyFactor+'Education Cost Forecast'!$E$42)*F172</f>
        <v>0</v>
      </c>
      <c r="H172" s="28" t="n">
        <f aca="false">E172*UnitFactor*F172</f>
        <v>0</v>
      </c>
      <c r="I172" s="28" t="n">
        <f aca="false">J171+D172-C172</f>
        <v>0</v>
      </c>
      <c r="J172" s="28" t="n">
        <f aca="false">IF(B172=1,I172*(1+RetRate)+G172,J171)</f>
        <v>0</v>
      </c>
      <c r="K172" s="28" t="n">
        <f aca="false">L171</f>
        <v>0</v>
      </c>
      <c r="L172" s="28" t="n">
        <f aca="false">IF(B172=1,K172*(1+RetRate)+H172,L171)</f>
        <v>0</v>
      </c>
      <c r="M172" s="40" t="n">
        <f aca="false">(1+RetRate)^(A172-1)</f>
        <v>1.2544</v>
      </c>
      <c r="N172" s="28" t="n">
        <f aca="false">IF(AND(B172=1,C172&gt;0,K172&lt;=0.000000000001,I172&lt;0),-I172/M172,0)</f>
        <v>0</v>
      </c>
      <c r="O172" s="28" t="n">
        <f aca="false">IF(AND(B172=1,C172&gt;0,K172&gt;0.000000000001),-(I172+$E$14*M172)/K172,0)</f>
        <v>0</v>
      </c>
      <c r="P172" s="28" t="n">
        <f aca="false">R171</f>
        <v>0</v>
      </c>
      <c r="Q172" s="28" t="n">
        <f aca="false">H172*$E$15</f>
        <v>0</v>
      </c>
      <c r="R172" s="28" t="n">
        <f aca="false">IF(B172=1,(P172+D172-C172)*(1+RetRate)+G172+Q172,P172)</f>
        <v>0</v>
      </c>
      <c r="S172" s="28" t="n">
        <f aca="false">V171</f>
        <v>0</v>
      </c>
      <c r="T172" s="28" t="n">
        <f aca="false">S172+D172-C172</f>
        <v>0</v>
      </c>
      <c r="U172" s="28" t="n">
        <f aca="false">IF(B172=1,MAX(0,-T172),0)</f>
        <v>0</v>
      </c>
      <c r="V172" s="28" t="n">
        <f aca="false">IF(B172=1,MAX(0,T172)*(1+RetRate)+G172,S172)</f>
        <v>0</v>
      </c>
      <c r="W172" s="28" t="n">
        <f aca="false">IF(A172&lt;=MIN('Education Cost Forecast'!$E$49,'Education Cost Forecast'!$E$53),G172*(1+RetRate)^('Education Cost Forecast'!$E$49-A172),0)</f>
        <v>0</v>
      </c>
      <c r="X172" s="28" t="n">
        <f aca="false">IF(B172=1,P172+D172-C172,0)</f>
        <v>0</v>
      </c>
    </row>
    <row r="173" customFormat="false" ht="15" hidden="false" customHeight="false" outlineLevel="0" collapsed="false">
      <c r="A173" s="27" t="n">
        <v>4</v>
      </c>
      <c r="B173" s="27" t="n">
        <f aca="false">'Education Cost Forecast'!B193</f>
        <v>0</v>
      </c>
      <c r="C173" s="28" t="n">
        <f aca="false">'Education Cost Forecast'!Z193</f>
        <v>0</v>
      </c>
      <c r="D173" s="28" t="n">
        <f aca="false">IF(AND(B173=1,'Education Cost Forecast'!F193&gt;0,'Education Cost Forecast'!E193=0),'Education Cost Forecast'!$E$45,0)</f>
        <v>0</v>
      </c>
      <c r="E173" s="27" t="n">
        <f aca="false">IF(AND(B173=1,A173&lt;='Education Cost Forecast'!$E$53),1,0)</f>
        <v>0</v>
      </c>
      <c r="F173" s="40" t="n">
        <f aca="false">(1+Esc)^(A173-1)</f>
        <v>1.157625</v>
      </c>
      <c r="G173" s="28" t="n">
        <f aca="false">E173*('Education Cost Forecast'!$E$41*12*MonthlyFactor+'Education Cost Forecast'!$E$42)*F173</f>
        <v>0</v>
      </c>
      <c r="H173" s="28" t="n">
        <f aca="false">E173*UnitFactor*F173</f>
        <v>0</v>
      </c>
      <c r="I173" s="28" t="n">
        <f aca="false">J172+D173-C173</f>
        <v>0</v>
      </c>
      <c r="J173" s="28" t="n">
        <f aca="false">IF(B173=1,I173*(1+RetRate)+G173,J172)</f>
        <v>0</v>
      </c>
      <c r="K173" s="28" t="n">
        <f aca="false">L172</f>
        <v>0</v>
      </c>
      <c r="L173" s="28" t="n">
        <f aca="false">IF(B173=1,K173*(1+RetRate)+H173,L172)</f>
        <v>0</v>
      </c>
      <c r="M173" s="40" t="n">
        <f aca="false">(1+RetRate)^(A173-1)</f>
        <v>1.404928</v>
      </c>
      <c r="N173" s="28" t="n">
        <f aca="false">IF(AND(B173=1,C173&gt;0,K173&lt;=0.000000000001,I173&lt;0),-I173/M173,0)</f>
        <v>0</v>
      </c>
      <c r="O173" s="28" t="n">
        <f aca="false">IF(AND(B173=1,C173&gt;0,K173&gt;0.000000000001),-(I173+$E$14*M173)/K173,0)</f>
        <v>0</v>
      </c>
      <c r="P173" s="28" t="n">
        <f aca="false">R172</f>
        <v>0</v>
      </c>
      <c r="Q173" s="28" t="n">
        <f aca="false">H173*$E$15</f>
        <v>0</v>
      </c>
      <c r="R173" s="28" t="n">
        <f aca="false">IF(B173=1,(P173+D173-C173)*(1+RetRate)+G173+Q173,P173)</f>
        <v>0</v>
      </c>
      <c r="S173" s="28" t="n">
        <f aca="false">V172</f>
        <v>0</v>
      </c>
      <c r="T173" s="28" t="n">
        <f aca="false">S173+D173-C173</f>
        <v>0</v>
      </c>
      <c r="U173" s="28" t="n">
        <f aca="false">IF(B173=1,MAX(0,-T173),0)</f>
        <v>0</v>
      </c>
      <c r="V173" s="28" t="n">
        <f aca="false">IF(B173=1,MAX(0,T173)*(1+RetRate)+G173,S173)</f>
        <v>0</v>
      </c>
      <c r="W173" s="28" t="n">
        <f aca="false">IF(A173&lt;=MIN('Education Cost Forecast'!$E$49,'Education Cost Forecast'!$E$53),G173*(1+RetRate)^('Education Cost Forecast'!$E$49-A173),0)</f>
        <v>0</v>
      </c>
      <c r="X173" s="28" t="n">
        <f aca="false">IF(B173=1,P173+D173-C173,0)</f>
        <v>0</v>
      </c>
    </row>
    <row r="174" customFormat="false" ht="15" hidden="false" customHeight="false" outlineLevel="0" collapsed="false">
      <c r="A174" s="27" t="n">
        <v>5</v>
      </c>
      <c r="B174" s="27" t="n">
        <f aca="false">'Education Cost Forecast'!B194</f>
        <v>0</v>
      </c>
      <c r="C174" s="28" t="n">
        <f aca="false">'Education Cost Forecast'!Z194</f>
        <v>0</v>
      </c>
      <c r="D174" s="28" t="n">
        <f aca="false">IF(AND(B174=1,'Education Cost Forecast'!F194&gt;0,'Education Cost Forecast'!E194=0),'Education Cost Forecast'!$E$45,0)</f>
        <v>0</v>
      </c>
      <c r="E174" s="27" t="n">
        <f aca="false">IF(AND(B174=1,A174&lt;='Education Cost Forecast'!$E$53),1,0)</f>
        <v>0</v>
      </c>
      <c r="F174" s="40" t="n">
        <f aca="false">(1+Esc)^(A174-1)</f>
        <v>1.21550625</v>
      </c>
      <c r="G174" s="28" t="n">
        <f aca="false">E174*('Education Cost Forecast'!$E$41*12*MonthlyFactor+'Education Cost Forecast'!$E$42)*F174</f>
        <v>0</v>
      </c>
      <c r="H174" s="28" t="n">
        <f aca="false">E174*UnitFactor*F174</f>
        <v>0</v>
      </c>
      <c r="I174" s="28" t="n">
        <f aca="false">J173+D174-C174</f>
        <v>0</v>
      </c>
      <c r="J174" s="28" t="n">
        <f aca="false">IF(B174=1,I174*(1+RetRate)+G174,J173)</f>
        <v>0</v>
      </c>
      <c r="K174" s="28" t="n">
        <f aca="false">L173</f>
        <v>0</v>
      </c>
      <c r="L174" s="28" t="n">
        <f aca="false">IF(B174=1,K174*(1+RetRate)+H174,L173)</f>
        <v>0</v>
      </c>
      <c r="M174" s="40" t="n">
        <f aca="false">(1+RetRate)^(A174-1)</f>
        <v>1.57351936</v>
      </c>
      <c r="N174" s="28" t="n">
        <f aca="false">IF(AND(B174=1,C174&gt;0,K174&lt;=0.000000000001,I174&lt;0),-I174/M174,0)</f>
        <v>0</v>
      </c>
      <c r="O174" s="28" t="n">
        <f aca="false">IF(AND(B174=1,C174&gt;0,K174&gt;0.000000000001),-(I174+$E$14*M174)/K174,0)</f>
        <v>0</v>
      </c>
      <c r="P174" s="28" t="n">
        <f aca="false">R173</f>
        <v>0</v>
      </c>
      <c r="Q174" s="28" t="n">
        <f aca="false">H174*$E$15</f>
        <v>0</v>
      </c>
      <c r="R174" s="28" t="n">
        <f aca="false">IF(B174=1,(P174+D174-C174)*(1+RetRate)+G174+Q174,P174)</f>
        <v>0</v>
      </c>
      <c r="S174" s="28" t="n">
        <f aca="false">V173</f>
        <v>0</v>
      </c>
      <c r="T174" s="28" t="n">
        <f aca="false">S174+D174-C174</f>
        <v>0</v>
      </c>
      <c r="U174" s="28" t="n">
        <f aca="false">IF(B174=1,MAX(0,-T174),0)</f>
        <v>0</v>
      </c>
      <c r="V174" s="28" t="n">
        <f aca="false">IF(B174=1,MAX(0,T174)*(1+RetRate)+G174,S174)</f>
        <v>0</v>
      </c>
      <c r="W174" s="28" t="n">
        <f aca="false">IF(A174&lt;=MIN('Education Cost Forecast'!$E$49,'Education Cost Forecast'!$E$53),G174*(1+RetRate)^('Education Cost Forecast'!$E$49-A174),0)</f>
        <v>0</v>
      </c>
      <c r="X174" s="28" t="n">
        <f aca="false">IF(B174=1,P174+D174-C174,0)</f>
        <v>0</v>
      </c>
    </row>
    <row r="175" customFormat="false" ht="15" hidden="false" customHeight="false" outlineLevel="0" collapsed="false">
      <c r="A175" s="27" t="n">
        <v>6</v>
      </c>
      <c r="B175" s="27" t="n">
        <f aca="false">'Education Cost Forecast'!B195</f>
        <v>0</v>
      </c>
      <c r="C175" s="28" t="n">
        <f aca="false">'Education Cost Forecast'!Z195</f>
        <v>0</v>
      </c>
      <c r="D175" s="28" t="n">
        <f aca="false">IF(AND(B175=1,'Education Cost Forecast'!F195&gt;0,'Education Cost Forecast'!E195=0),'Education Cost Forecast'!$E$45,0)</f>
        <v>0</v>
      </c>
      <c r="E175" s="27" t="n">
        <f aca="false">IF(AND(B175=1,A175&lt;='Education Cost Forecast'!$E$53),1,0)</f>
        <v>0</v>
      </c>
      <c r="F175" s="40" t="n">
        <f aca="false">(1+Esc)^(A175-1)</f>
        <v>1.2762815625</v>
      </c>
      <c r="G175" s="28" t="n">
        <f aca="false">E175*('Education Cost Forecast'!$E$41*12*MonthlyFactor+'Education Cost Forecast'!$E$42)*F175</f>
        <v>0</v>
      </c>
      <c r="H175" s="28" t="n">
        <f aca="false">E175*UnitFactor*F175</f>
        <v>0</v>
      </c>
      <c r="I175" s="28" t="n">
        <f aca="false">J174+D175-C175</f>
        <v>0</v>
      </c>
      <c r="J175" s="28" t="n">
        <f aca="false">IF(B175=1,I175*(1+RetRate)+G175,J174)</f>
        <v>0</v>
      </c>
      <c r="K175" s="28" t="n">
        <f aca="false">L174</f>
        <v>0</v>
      </c>
      <c r="L175" s="28" t="n">
        <f aca="false">IF(B175=1,K175*(1+RetRate)+H175,L174)</f>
        <v>0</v>
      </c>
      <c r="M175" s="40" t="n">
        <f aca="false">(1+RetRate)^(A175-1)</f>
        <v>1.7623416832</v>
      </c>
      <c r="N175" s="28" t="n">
        <f aca="false">IF(AND(B175=1,C175&gt;0,K175&lt;=0.000000000001,I175&lt;0),-I175/M175,0)</f>
        <v>0</v>
      </c>
      <c r="O175" s="28" t="n">
        <f aca="false">IF(AND(B175=1,C175&gt;0,K175&gt;0.000000000001),-(I175+$E$14*M175)/K175,0)</f>
        <v>0</v>
      </c>
      <c r="P175" s="28" t="n">
        <f aca="false">R174</f>
        <v>0</v>
      </c>
      <c r="Q175" s="28" t="n">
        <f aca="false">H175*$E$15</f>
        <v>0</v>
      </c>
      <c r="R175" s="28" t="n">
        <f aca="false">IF(B175=1,(P175+D175-C175)*(1+RetRate)+G175+Q175,P175)</f>
        <v>0</v>
      </c>
      <c r="S175" s="28" t="n">
        <f aca="false">V174</f>
        <v>0</v>
      </c>
      <c r="T175" s="28" t="n">
        <f aca="false">S175+D175-C175</f>
        <v>0</v>
      </c>
      <c r="U175" s="28" t="n">
        <f aca="false">IF(B175=1,MAX(0,-T175),0)</f>
        <v>0</v>
      </c>
      <c r="V175" s="28" t="n">
        <f aca="false">IF(B175=1,MAX(0,T175)*(1+RetRate)+G175,S175)</f>
        <v>0</v>
      </c>
      <c r="W175" s="28" t="n">
        <f aca="false">IF(A175&lt;=MIN('Education Cost Forecast'!$E$49,'Education Cost Forecast'!$E$53),G175*(1+RetRate)^('Education Cost Forecast'!$E$49-A175),0)</f>
        <v>0</v>
      </c>
      <c r="X175" s="28" t="n">
        <f aca="false">IF(B175=1,P175+D175-C175,0)</f>
        <v>0</v>
      </c>
    </row>
    <row r="176" customFormat="false" ht="15" hidden="false" customHeight="false" outlineLevel="0" collapsed="false">
      <c r="A176" s="27" t="n">
        <v>7</v>
      </c>
      <c r="B176" s="27" t="n">
        <f aca="false">'Education Cost Forecast'!B196</f>
        <v>0</v>
      </c>
      <c r="C176" s="28" t="n">
        <f aca="false">'Education Cost Forecast'!Z196</f>
        <v>0</v>
      </c>
      <c r="D176" s="28" t="n">
        <f aca="false">IF(AND(B176=1,'Education Cost Forecast'!F196&gt;0,'Education Cost Forecast'!E196=0),'Education Cost Forecast'!$E$45,0)</f>
        <v>0</v>
      </c>
      <c r="E176" s="27" t="n">
        <f aca="false">IF(AND(B176=1,A176&lt;='Education Cost Forecast'!$E$53),1,0)</f>
        <v>0</v>
      </c>
      <c r="F176" s="40" t="n">
        <f aca="false">(1+Esc)^(A176-1)</f>
        <v>1.340095640625</v>
      </c>
      <c r="G176" s="28" t="n">
        <f aca="false">E176*('Education Cost Forecast'!$E$41*12*MonthlyFactor+'Education Cost Forecast'!$E$42)*F176</f>
        <v>0</v>
      </c>
      <c r="H176" s="28" t="n">
        <f aca="false">E176*UnitFactor*F176</f>
        <v>0</v>
      </c>
      <c r="I176" s="28" t="n">
        <f aca="false">J175+D176-C176</f>
        <v>0</v>
      </c>
      <c r="J176" s="28" t="n">
        <f aca="false">IF(B176=1,I176*(1+RetRate)+G176,J175)</f>
        <v>0</v>
      </c>
      <c r="K176" s="28" t="n">
        <f aca="false">L175</f>
        <v>0</v>
      </c>
      <c r="L176" s="28" t="n">
        <f aca="false">IF(B176=1,K176*(1+RetRate)+H176,L175)</f>
        <v>0</v>
      </c>
      <c r="M176" s="40" t="n">
        <f aca="false">(1+RetRate)^(A176-1)</f>
        <v>1.973822685184</v>
      </c>
      <c r="N176" s="28" t="n">
        <f aca="false">IF(AND(B176=1,C176&gt;0,K176&lt;=0.000000000001,I176&lt;0),-I176/M176,0)</f>
        <v>0</v>
      </c>
      <c r="O176" s="28" t="n">
        <f aca="false">IF(AND(B176=1,C176&gt;0,K176&gt;0.000000000001),-(I176+$E$14*M176)/K176,0)</f>
        <v>0</v>
      </c>
      <c r="P176" s="28" t="n">
        <f aca="false">R175</f>
        <v>0</v>
      </c>
      <c r="Q176" s="28" t="n">
        <f aca="false">H176*$E$15</f>
        <v>0</v>
      </c>
      <c r="R176" s="28" t="n">
        <f aca="false">IF(B176=1,(P176+D176-C176)*(1+RetRate)+G176+Q176,P176)</f>
        <v>0</v>
      </c>
      <c r="S176" s="28" t="n">
        <f aca="false">V175</f>
        <v>0</v>
      </c>
      <c r="T176" s="28" t="n">
        <f aca="false">S176+D176-C176</f>
        <v>0</v>
      </c>
      <c r="U176" s="28" t="n">
        <f aca="false">IF(B176=1,MAX(0,-T176),0)</f>
        <v>0</v>
      </c>
      <c r="V176" s="28" t="n">
        <f aca="false">IF(B176=1,MAX(0,T176)*(1+RetRate)+G176,S176)</f>
        <v>0</v>
      </c>
      <c r="W176" s="28" t="n">
        <f aca="false">IF(A176&lt;=MIN('Education Cost Forecast'!$E$49,'Education Cost Forecast'!$E$53),G176*(1+RetRate)^('Education Cost Forecast'!$E$49-A176),0)</f>
        <v>0</v>
      </c>
      <c r="X176" s="28" t="n">
        <f aca="false">IF(B176=1,P176+D176-C176,0)</f>
        <v>0</v>
      </c>
    </row>
    <row r="177" customFormat="false" ht="15" hidden="false" customHeight="false" outlineLevel="0" collapsed="false">
      <c r="A177" s="27" t="n">
        <v>8</v>
      </c>
      <c r="B177" s="27" t="n">
        <f aca="false">'Education Cost Forecast'!B197</f>
        <v>0</v>
      </c>
      <c r="C177" s="28" t="n">
        <f aca="false">'Education Cost Forecast'!Z197</f>
        <v>0</v>
      </c>
      <c r="D177" s="28" t="n">
        <f aca="false">IF(AND(B177=1,'Education Cost Forecast'!F197&gt;0,'Education Cost Forecast'!E197=0),'Education Cost Forecast'!$E$45,0)</f>
        <v>0</v>
      </c>
      <c r="E177" s="27" t="n">
        <f aca="false">IF(AND(B177=1,A177&lt;='Education Cost Forecast'!$E$53),1,0)</f>
        <v>0</v>
      </c>
      <c r="F177" s="40" t="n">
        <f aca="false">(1+Esc)^(A177-1)</f>
        <v>1.40710042265625</v>
      </c>
      <c r="G177" s="28" t="n">
        <f aca="false">E177*('Education Cost Forecast'!$E$41*12*MonthlyFactor+'Education Cost Forecast'!$E$42)*F177</f>
        <v>0</v>
      </c>
      <c r="H177" s="28" t="n">
        <f aca="false">E177*UnitFactor*F177</f>
        <v>0</v>
      </c>
      <c r="I177" s="28" t="n">
        <f aca="false">J176+D177-C177</f>
        <v>0</v>
      </c>
      <c r="J177" s="28" t="n">
        <f aca="false">IF(B177=1,I177*(1+RetRate)+G177,J176)</f>
        <v>0</v>
      </c>
      <c r="K177" s="28" t="n">
        <f aca="false">L176</f>
        <v>0</v>
      </c>
      <c r="L177" s="28" t="n">
        <f aca="false">IF(B177=1,K177*(1+RetRate)+H177,L176)</f>
        <v>0</v>
      </c>
      <c r="M177" s="40" t="n">
        <f aca="false">(1+RetRate)^(A177-1)</f>
        <v>2.21068140740608</v>
      </c>
      <c r="N177" s="28" t="n">
        <f aca="false">IF(AND(B177=1,C177&gt;0,K177&lt;=0.000000000001,I177&lt;0),-I177/M177,0)</f>
        <v>0</v>
      </c>
      <c r="O177" s="28" t="n">
        <f aca="false">IF(AND(B177=1,C177&gt;0,K177&gt;0.000000000001),-(I177+$E$14*M177)/K177,0)</f>
        <v>0</v>
      </c>
      <c r="P177" s="28" t="n">
        <f aca="false">R176</f>
        <v>0</v>
      </c>
      <c r="Q177" s="28" t="n">
        <f aca="false">H177*$E$15</f>
        <v>0</v>
      </c>
      <c r="R177" s="28" t="n">
        <f aca="false">IF(B177=1,(P177+D177-C177)*(1+RetRate)+G177+Q177,P177)</f>
        <v>0</v>
      </c>
      <c r="S177" s="28" t="n">
        <f aca="false">V176</f>
        <v>0</v>
      </c>
      <c r="T177" s="28" t="n">
        <f aca="false">S177+D177-C177</f>
        <v>0</v>
      </c>
      <c r="U177" s="28" t="n">
        <f aca="false">IF(B177=1,MAX(0,-T177),0)</f>
        <v>0</v>
      </c>
      <c r="V177" s="28" t="n">
        <f aca="false">IF(B177=1,MAX(0,T177)*(1+RetRate)+G177,S177)</f>
        <v>0</v>
      </c>
      <c r="W177" s="28" t="n">
        <f aca="false">IF(A177&lt;=MIN('Education Cost Forecast'!$E$49,'Education Cost Forecast'!$E$53),G177*(1+RetRate)^('Education Cost Forecast'!$E$49-A177),0)</f>
        <v>0</v>
      </c>
      <c r="X177" s="28" t="n">
        <f aca="false">IF(B177=1,P177+D177-C177,0)</f>
        <v>0</v>
      </c>
    </row>
    <row r="178" customFormat="false" ht="15" hidden="false" customHeight="false" outlineLevel="0" collapsed="false">
      <c r="A178" s="27" t="n">
        <v>9</v>
      </c>
      <c r="B178" s="27" t="n">
        <f aca="false">'Education Cost Forecast'!B198</f>
        <v>0</v>
      </c>
      <c r="C178" s="28" t="n">
        <f aca="false">'Education Cost Forecast'!Z198</f>
        <v>0</v>
      </c>
      <c r="D178" s="28" t="n">
        <f aca="false">IF(AND(B178=1,'Education Cost Forecast'!F198&gt;0,'Education Cost Forecast'!E198=0),'Education Cost Forecast'!$E$45,0)</f>
        <v>0</v>
      </c>
      <c r="E178" s="27" t="n">
        <f aca="false">IF(AND(B178=1,A178&lt;='Education Cost Forecast'!$E$53),1,0)</f>
        <v>0</v>
      </c>
      <c r="F178" s="40" t="n">
        <f aca="false">(1+Esc)^(A178-1)</f>
        <v>1.47745544378906</v>
      </c>
      <c r="G178" s="28" t="n">
        <f aca="false">E178*('Education Cost Forecast'!$E$41*12*MonthlyFactor+'Education Cost Forecast'!$E$42)*F178</f>
        <v>0</v>
      </c>
      <c r="H178" s="28" t="n">
        <f aca="false">E178*UnitFactor*F178</f>
        <v>0</v>
      </c>
      <c r="I178" s="28" t="n">
        <f aca="false">J177+D178-C178</f>
        <v>0</v>
      </c>
      <c r="J178" s="28" t="n">
        <f aca="false">IF(B178=1,I178*(1+RetRate)+G178,J177)</f>
        <v>0</v>
      </c>
      <c r="K178" s="28" t="n">
        <f aca="false">L177</f>
        <v>0</v>
      </c>
      <c r="L178" s="28" t="n">
        <f aca="false">IF(B178=1,K178*(1+RetRate)+H178,L177)</f>
        <v>0</v>
      </c>
      <c r="M178" s="40" t="n">
        <f aca="false">(1+RetRate)^(A178-1)</f>
        <v>2.47596317629481</v>
      </c>
      <c r="N178" s="28" t="n">
        <f aca="false">IF(AND(B178=1,C178&gt;0,K178&lt;=0.000000000001,I178&lt;0),-I178/M178,0)</f>
        <v>0</v>
      </c>
      <c r="O178" s="28" t="n">
        <f aca="false">IF(AND(B178=1,C178&gt;0,K178&gt;0.000000000001),-(I178+$E$14*M178)/K178,0)</f>
        <v>0</v>
      </c>
      <c r="P178" s="28" t="n">
        <f aca="false">R177</f>
        <v>0</v>
      </c>
      <c r="Q178" s="28" t="n">
        <f aca="false">H178*$E$15</f>
        <v>0</v>
      </c>
      <c r="R178" s="28" t="n">
        <f aca="false">IF(B178=1,(P178+D178-C178)*(1+RetRate)+G178+Q178,P178)</f>
        <v>0</v>
      </c>
      <c r="S178" s="28" t="n">
        <f aca="false">V177</f>
        <v>0</v>
      </c>
      <c r="T178" s="28" t="n">
        <f aca="false">S178+D178-C178</f>
        <v>0</v>
      </c>
      <c r="U178" s="28" t="n">
        <f aca="false">IF(B178=1,MAX(0,-T178),0)</f>
        <v>0</v>
      </c>
      <c r="V178" s="28" t="n">
        <f aca="false">IF(B178=1,MAX(0,T178)*(1+RetRate)+G178,S178)</f>
        <v>0</v>
      </c>
      <c r="W178" s="28" t="n">
        <f aca="false">IF(A178&lt;=MIN('Education Cost Forecast'!$E$49,'Education Cost Forecast'!$E$53),G178*(1+RetRate)^('Education Cost Forecast'!$E$49-A178),0)</f>
        <v>0</v>
      </c>
      <c r="X178" s="28" t="n">
        <f aca="false">IF(B178=1,P178+D178-C178,0)</f>
        <v>0</v>
      </c>
    </row>
    <row r="179" customFormat="false" ht="15" hidden="false" customHeight="false" outlineLevel="0" collapsed="false">
      <c r="A179" s="27" t="n">
        <v>10</v>
      </c>
      <c r="B179" s="27" t="n">
        <f aca="false">'Education Cost Forecast'!B199</f>
        <v>0</v>
      </c>
      <c r="C179" s="28" t="n">
        <f aca="false">'Education Cost Forecast'!Z199</f>
        <v>0</v>
      </c>
      <c r="D179" s="28" t="n">
        <f aca="false">IF(AND(B179=1,'Education Cost Forecast'!F199&gt;0,'Education Cost Forecast'!E199=0),'Education Cost Forecast'!$E$45,0)</f>
        <v>0</v>
      </c>
      <c r="E179" s="27" t="n">
        <f aca="false">IF(AND(B179=1,A179&lt;='Education Cost Forecast'!$E$53),1,0)</f>
        <v>0</v>
      </c>
      <c r="F179" s="40" t="n">
        <f aca="false">(1+Esc)^(A179-1)</f>
        <v>1.55132821597852</v>
      </c>
      <c r="G179" s="28" t="n">
        <f aca="false">E179*('Education Cost Forecast'!$E$41*12*MonthlyFactor+'Education Cost Forecast'!$E$42)*F179</f>
        <v>0</v>
      </c>
      <c r="H179" s="28" t="n">
        <f aca="false">E179*UnitFactor*F179</f>
        <v>0</v>
      </c>
      <c r="I179" s="28" t="n">
        <f aca="false">J178+D179-C179</f>
        <v>0</v>
      </c>
      <c r="J179" s="28" t="n">
        <f aca="false">IF(B179=1,I179*(1+RetRate)+G179,J178)</f>
        <v>0</v>
      </c>
      <c r="K179" s="28" t="n">
        <f aca="false">L178</f>
        <v>0</v>
      </c>
      <c r="L179" s="28" t="n">
        <f aca="false">IF(B179=1,K179*(1+RetRate)+H179,L178)</f>
        <v>0</v>
      </c>
      <c r="M179" s="40" t="n">
        <f aca="false">(1+RetRate)^(A179-1)</f>
        <v>2.77307875745019</v>
      </c>
      <c r="N179" s="28" t="n">
        <f aca="false">IF(AND(B179=1,C179&gt;0,K179&lt;=0.000000000001,I179&lt;0),-I179/M179,0)</f>
        <v>0</v>
      </c>
      <c r="O179" s="28" t="n">
        <f aca="false">IF(AND(B179=1,C179&gt;0,K179&gt;0.000000000001),-(I179+$E$14*M179)/K179,0)</f>
        <v>0</v>
      </c>
      <c r="P179" s="28" t="n">
        <f aca="false">R178</f>
        <v>0</v>
      </c>
      <c r="Q179" s="28" t="n">
        <f aca="false">H179*$E$15</f>
        <v>0</v>
      </c>
      <c r="R179" s="28" t="n">
        <f aca="false">IF(B179=1,(P179+D179-C179)*(1+RetRate)+G179+Q179,P179)</f>
        <v>0</v>
      </c>
      <c r="S179" s="28" t="n">
        <f aca="false">V178</f>
        <v>0</v>
      </c>
      <c r="T179" s="28" t="n">
        <f aca="false">S179+D179-C179</f>
        <v>0</v>
      </c>
      <c r="U179" s="28" t="n">
        <f aca="false">IF(B179=1,MAX(0,-T179),0)</f>
        <v>0</v>
      </c>
      <c r="V179" s="28" t="n">
        <f aca="false">IF(B179=1,MAX(0,T179)*(1+RetRate)+G179,S179)</f>
        <v>0</v>
      </c>
      <c r="W179" s="28" t="n">
        <f aca="false">IF(A179&lt;=MIN('Education Cost Forecast'!$E$49,'Education Cost Forecast'!$E$53),G179*(1+RetRate)^('Education Cost Forecast'!$E$49-A179),0)</f>
        <v>0</v>
      </c>
      <c r="X179" s="28" t="n">
        <f aca="false">IF(B179=1,P179+D179-C179,0)</f>
        <v>0</v>
      </c>
    </row>
    <row r="180" customFormat="false" ht="15" hidden="false" customHeight="false" outlineLevel="0" collapsed="false">
      <c r="A180" s="27" t="n">
        <v>11</v>
      </c>
      <c r="B180" s="27" t="n">
        <f aca="false">'Education Cost Forecast'!B200</f>
        <v>0</v>
      </c>
      <c r="C180" s="28" t="n">
        <f aca="false">'Education Cost Forecast'!Z200</f>
        <v>0</v>
      </c>
      <c r="D180" s="28" t="n">
        <f aca="false">IF(AND(B180=1,'Education Cost Forecast'!F200&gt;0,'Education Cost Forecast'!E200=0),'Education Cost Forecast'!$E$45,0)</f>
        <v>0</v>
      </c>
      <c r="E180" s="27" t="n">
        <f aca="false">IF(AND(B180=1,A180&lt;='Education Cost Forecast'!$E$53),1,0)</f>
        <v>0</v>
      </c>
      <c r="F180" s="40" t="n">
        <f aca="false">(1+Esc)^(A180-1)</f>
        <v>1.62889462677744</v>
      </c>
      <c r="G180" s="28" t="n">
        <f aca="false">E180*('Education Cost Forecast'!$E$41*12*MonthlyFactor+'Education Cost Forecast'!$E$42)*F180</f>
        <v>0</v>
      </c>
      <c r="H180" s="28" t="n">
        <f aca="false">E180*UnitFactor*F180</f>
        <v>0</v>
      </c>
      <c r="I180" s="28" t="n">
        <f aca="false">J179+D180-C180</f>
        <v>0</v>
      </c>
      <c r="J180" s="28" t="n">
        <f aca="false">IF(B180=1,I180*(1+RetRate)+G180,J179)</f>
        <v>0</v>
      </c>
      <c r="K180" s="28" t="n">
        <f aca="false">L179</f>
        <v>0</v>
      </c>
      <c r="L180" s="28" t="n">
        <f aca="false">IF(B180=1,K180*(1+RetRate)+H180,L179)</f>
        <v>0</v>
      </c>
      <c r="M180" s="40" t="n">
        <f aca="false">(1+RetRate)^(A180-1)</f>
        <v>3.10584820834421</v>
      </c>
      <c r="N180" s="28" t="n">
        <f aca="false">IF(AND(B180=1,C180&gt;0,K180&lt;=0.000000000001,I180&lt;0),-I180/M180,0)</f>
        <v>0</v>
      </c>
      <c r="O180" s="28" t="n">
        <f aca="false">IF(AND(B180=1,C180&gt;0,K180&gt;0.000000000001),-(I180+$E$14*M180)/K180,0)</f>
        <v>0</v>
      </c>
      <c r="P180" s="28" t="n">
        <f aca="false">R179</f>
        <v>0</v>
      </c>
      <c r="Q180" s="28" t="n">
        <f aca="false">H180*$E$15</f>
        <v>0</v>
      </c>
      <c r="R180" s="28" t="n">
        <f aca="false">IF(B180=1,(P180+D180-C180)*(1+RetRate)+G180+Q180,P180)</f>
        <v>0</v>
      </c>
      <c r="S180" s="28" t="n">
        <f aca="false">V179</f>
        <v>0</v>
      </c>
      <c r="T180" s="28" t="n">
        <f aca="false">S180+D180-C180</f>
        <v>0</v>
      </c>
      <c r="U180" s="28" t="n">
        <f aca="false">IF(B180=1,MAX(0,-T180),0)</f>
        <v>0</v>
      </c>
      <c r="V180" s="28" t="n">
        <f aca="false">IF(B180=1,MAX(0,T180)*(1+RetRate)+G180,S180)</f>
        <v>0</v>
      </c>
      <c r="W180" s="28" t="n">
        <f aca="false">IF(A180&lt;=MIN('Education Cost Forecast'!$E$49,'Education Cost Forecast'!$E$53),G180*(1+RetRate)^('Education Cost Forecast'!$E$49-A180),0)</f>
        <v>0</v>
      </c>
      <c r="X180" s="28" t="n">
        <f aca="false">IF(B180=1,P180+D180-C180,0)</f>
        <v>0</v>
      </c>
    </row>
    <row r="181" customFormat="false" ht="15" hidden="false" customHeight="false" outlineLevel="0" collapsed="false">
      <c r="A181" s="27" t="n">
        <v>12</v>
      </c>
      <c r="B181" s="27" t="n">
        <f aca="false">'Education Cost Forecast'!B201</f>
        <v>0</v>
      </c>
      <c r="C181" s="28" t="n">
        <f aca="false">'Education Cost Forecast'!Z201</f>
        <v>0</v>
      </c>
      <c r="D181" s="28" t="n">
        <f aca="false">IF(AND(B181=1,'Education Cost Forecast'!F201&gt;0,'Education Cost Forecast'!E201=0),'Education Cost Forecast'!$E$45,0)</f>
        <v>0</v>
      </c>
      <c r="E181" s="27" t="n">
        <f aca="false">IF(AND(B181=1,A181&lt;='Education Cost Forecast'!$E$53),1,0)</f>
        <v>0</v>
      </c>
      <c r="F181" s="40" t="n">
        <f aca="false">(1+Esc)^(A181-1)</f>
        <v>1.71033935811631</v>
      </c>
      <c r="G181" s="28" t="n">
        <f aca="false">E181*('Education Cost Forecast'!$E$41*12*MonthlyFactor+'Education Cost Forecast'!$E$42)*F181</f>
        <v>0</v>
      </c>
      <c r="H181" s="28" t="n">
        <f aca="false">E181*UnitFactor*F181</f>
        <v>0</v>
      </c>
      <c r="I181" s="28" t="n">
        <f aca="false">J180+D181-C181</f>
        <v>0</v>
      </c>
      <c r="J181" s="28" t="n">
        <f aca="false">IF(B181=1,I181*(1+RetRate)+G181,J180)</f>
        <v>0</v>
      </c>
      <c r="K181" s="28" t="n">
        <f aca="false">L180</f>
        <v>0</v>
      </c>
      <c r="L181" s="28" t="n">
        <f aca="false">IF(B181=1,K181*(1+RetRate)+H181,L180)</f>
        <v>0</v>
      </c>
      <c r="M181" s="40" t="n">
        <f aca="false">(1+RetRate)^(A181-1)</f>
        <v>3.47854999334552</v>
      </c>
      <c r="N181" s="28" t="n">
        <f aca="false">IF(AND(B181=1,C181&gt;0,K181&lt;=0.000000000001,I181&lt;0),-I181/M181,0)</f>
        <v>0</v>
      </c>
      <c r="O181" s="28" t="n">
        <f aca="false">IF(AND(B181=1,C181&gt;0,K181&gt;0.000000000001),-(I181+$E$14*M181)/K181,0)</f>
        <v>0</v>
      </c>
      <c r="P181" s="28" t="n">
        <f aca="false">R180</f>
        <v>0</v>
      </c>
      <c r="Q181" s="28" t="n">
        <f aca="false">H181*$E$15</f>
        <v>0</v>
      </c>
      <c r="R181" s="28" t="n">
        <f aca="false">IF(B181=1,(P181+D181-C181)*(1+RetRate)+G181+Q181,P181)</f>
        <v>0</v>
      </c>
      <c r="S181" s="28" t="n">
        <f aca="false">V180</f>
        <v>0</v>
      </c>
      <c r="T181" s="28" t="n">
        <f aca="false">S181+D181-C181</f>
        <v>0</v>
      </c>
      <c r="U181" s="28" t="n">
        <f aca="false">IF(B181=1,MAX(0,-T181),0)</f>
        <v>0</v>
      </c>
      <c r="V181" s="28" t="n">
        <f aca="false">IF(B181=1,MAX(0,T181)*(1+RetRate)+G181,S181)</f>
        <v>0</v>
      </c>
      <c r="W181" s="28" t="n">
        <f aca="false">IF(A181&lt;=MIN('Education Cost Forecast'!$E$49,'Education Cost Forecast'!$E$53),G181*(1+RetRate)^('Education Cost Forecast'!$E$49-A181),0)</f>
        <v>0</v>
      </c>
      <c r="X181" s="28" t="n">
        <f aca="false">IF(B181=1,P181+D181-C181,0)</f>
        <v>0</v>
      </c>
    </row>
    <row r="182" customFormat="false" ht="15" hidden="false" customHeight="false" outlineLevel="0" collapsed="false">
      <c r="A182" s="27" t="n">
        <v>13</v>
      </c>
      <c r="B182" s="27" t="n">
        <f aca="false">'Education Cost Forecast'!B202</f>
        <v>0</v>
      </c>
      <c r="C182" s="28" t="n">
        <f aca="false">'Education Cost Forecast'!Z202</f>
        <v>0</v>
      </c>
      <c r="D182" s="28" t="n">
        <f aca="false">IF(AND(B182=1,'Education Cost Forecast'!F202&gt;0,'Education Cost Forecast'!E202=0),'Education Cost Forecast'!$E$45,0)</f>
        <v>0</v>
      </c>
      <c r="E182" s="27" t="n">
        <f aca="false">IF(AND(B182=1,A182&lt;='Education Cost Forecast'!$E$53),1,0)</f>
        <v>0</v>
      </c>
      <c r="F182" s="40" t="n">
        <f aca="false">(1+Esc)^(A182-1)</f>
        <v>1.79585632602213</v>
      </c>
      <c r="G182" s="28" t="n">
        <f aca="false">E182*('Education Cost Forecast'!$E$41*12*MonthlyFactor+'Education Cost Forecast'!$E$42)*F182</f>
        <v>0</v>
      </c>
      <c r="H182" s="28" t="n">
        <f aca="false">E182*UnitFactor*F182</f>
        <v>0</v>
      </c>
      <c r="I182" s="28" t="n">
        <f aca="false">J181+D182-C182</f>
        <v>0</v>
      </c>
      <c r="J182" s="28" t="n">
        <f aca="false">IF(B182=1,I182*(1+RetRate)+G182,J181)</f>
        <v>0</v>
      </c>
      <c r="K182" s="28" t="n">
        <f aca="false">L181</f>
        <v>0</v>
      </c>
      <c r="L182" s="28" t="n">
        <f aca="false">IF(B182=1,K182*(1+RetRate)+H182,L181)</f>
        <v>0</v>
      </c>
      <c r="M182" s="40" t="n">
        <f aca="false">(1+RetRate)^(A182-1)</f>
        <v>3.89597599254698</v>
      </c>
      <c r="N182" s="28" t="n">
        <f aca="false">IF(AND(B182=1,C182&gt;0,K182&lt;=0.000000000001,I182&lt;0),-I182/M182,0)</f>
        <v>0</v>
      </c>
      <c r="O182" s="28" t="n">
        <f aca="false">IF(AND(B182=1,C182&gt;0,K182&gt;0.000000000001),-(I182+$E$14*M182)/K182,0)</f>
        <v>0</v>
      </c>
      <c r="P182" s="28" t="n">
        <f aca="false">R181</f>
        <v>0</v>
      </c>
      <c r="Q182" s="28" t="n">
        <f aca="false">H182*$E$15</f>
        <v>0</v>
      </c>
      <c r="R182" s="28" t="n">
        <f aca="false">IF(B182=1,(P182+D182-C182)*(1+RetRate)+G182+Q182,P182)</f>
        <v>0</v>
      </c>
      <c r="S182" s="28" t="n">
        <f aca="false">V181</f>
        <v>0</v>
      </c>
      <c r="T182" s="28" t="n">
        <f aca="false">S182+D182-C182</f>
        <v>0</v>
      </c>
      <c r="U182" s="28" t="n">
        <f aca="false">IF(B182=1,MAX(0,-T182),0)</f>
        <v>0</v>
      </c>
      <c r="V182" s="28" t="n">
        <f aca="false">IF(B182=1,MAX(0,T182)*(1+RetRate)+G182,S182)</f>
        <v>0</v>
      </c>
      <c r="W182" s="28" t="n">
        <f aca="false">IF(A182&lt;=MIN('Education Cost Forecast'!$E$49,'Education Cost Forecast'!$E$53),G182*(1+RetRate)^('Education Cost Forecast'!$E$49-A182),0)</f>
        <v>0</v>
      </c>
      <c r="X182" s="28" t="n">
        <f aca="false">IF(B182=1,P182+D182-C182,0)</f>
        <v>0</v>
      </c>
    </row>
    <row r="183" customFormat="false" ht="15" hidden="false" customHeight="false" outlineLevel="0" collapsed="false">
      <c r="A183" s="27" t="n">
        <v>14</v>
      </c>
      <c r="B183" s="27" t="n">
        <f aca="false">'Education Cost Forecast'!B203</f>
        <v>0</v>
      </c>
      <c r="C183" s="28" t="n">
        <f aca="false">'Education Cost Forecast'!Z203</f>
        <v>0</v>
      </c>
      <c r="D183" s="28" t="n">
        <f aca="false">IF(AND(B183=1,'Education Cost Forecast'!F203&gt;0,'Education Cost Forecast'!E203=0),'Education Cost Forecast'!$E$45,0)</f>
        <v>0</v>
      </c>
      <c r="E183" s="27" t="n">
        <f aca="false">IF(AND(B183=1,A183&lt;='Education Cost Forecast'!$E$53),1,0)</f>
        <v>0</v>
      </c>
      <c r="F183" s="40" t="n">
        <f aca="false">(1+Esc)^(A183-1)</f>
        <v>1.88564914232324</v>
      </c>
      <c r="G183" s="28" t="n">
        <f aca="false">E183*('Education Cost Forecast'!$E$41*12*MonthlyFactor+'Education Cost Forecast'!$E$42)*F183</f>
        <v>0</v>
      </c>
      <c r="H183" s="28" t="n">
        <f aca="false">E183*UnitFactor*F183</f>
        <v>0</v>
      </c>
      <c r="I183" s="28" t="n">
        <f aca="false">J182+D183-C183</f>
        <v>0</v>
      </c>
      <c r="J183" s="28" t="n">
        <f aca="false">IF(B183=1,I183*(1+RetRate)+G183,J182)</f>
        <v>0</v>
      </c>
      <c r="K183" s="28" t="n">
        <f aca="false">L182</f>
        <v>0</v>
      </c>
      <c r="L183" s="28" t="n">
        <f aca="false">IF(B183=1,K183*(1+RetRate)+H183,L182)</f>
        <v>0</v>
      </c>
      <c r="M183" s="40" t="n">
        <f aca="false">(1+RetRate)^(A183-1)</f>
        <v>4.36349311165262</v>
      </c>
      <c r="N183" s="28" t="n">
        <f aca="false">IF(AND(B183=1,C183&gt;0,K183&lt;=0.000000000001,I183&lt;0),-I183/M183,0)</f>
        <v>0</v>
      </c>
      <c r="O183" s="28" t="n">
        <f aca="false">IF(AND(B183=1,C183&gt;0,K183&gt;0.000000000001),-(I183+$E$14*M183)/K183,0)</f>
        <v>0</v>
      </c>
      <c r="P183" s="28" t="n">
        <f aca="false">R182</f>
        <v>0</v>
      </c>
      <c r="Q183" s="28" t="n">
        <f aca="false">H183*$E$15</f>
        <v>0</v>
      </c>
      <c r="R183" s="28" t="n">
        <f aca="false">IF(B183=1,(P183+D183-C183)*(1+RetRate)+G183+Q183,P183)</f>
        <v>0</v>
      </c>
      <c r="S183" s="28" t="n">
        <f aca="false">V182</f>
        <v>0</v>
      </c>
      <c r="T183" s="28" t="n">
        <f aca="false">S183+D183-C183</f>
        <v>0</v>
      </c>
      <c r="U183" s="28" t="n">
        <f aca="false">IF(B183=1,MAX(0,-T183),0)</f>
        <v>0</v>
      </c>
      <c r="V183" s="28" t="n">
        <f aca="false">IF(B183=1,MAX(0,T183)*(1+RetRate)+G183,S183)</f>
        <v>0</v>
      </c>
      <c r="W183" s="28" t="n">
        <f aca="false">IF(A183&lt;=MIN('Education Cost Forecast'!$E$49,'Education Cost Forecast'!$E$53),G183*(1+RetRate)^('Education Cost Forecast'!$E$49-A183),0)</f>
        <v>0</v>
      </c>
      <c r="X183" s="28" t="n">
        <f aca="false">IF(B183=1,P183+D183-C183,0)</f>
        <v>0</v>
      </c>
    </row>
    <row r="184" customFormat="false" ht="15" hidden="false" customHeight="false" outlineLevel="0" collapsed="false">
      <c r="A184" s="27" t="n">
        <v>15</v>
      </c>
      <c r="B184" s="27" t="n">
        <f aca="false">'Education Cost Forecast'!B204</f>
        <v>0</v>
      </c>
      <c r="C184" s="28" t="n">
        <f aca="false">'Education Cost Forecast'!Z204</f>
        <v>0</v>
      </c>
      <c r="D184" s="28" t="n">
        <f aca="false">IF(AND(B184=1,'Education Cost Forecast'!F204&gt;0,'Education Cost Forecast'!E204=0),'Education Cost Forecast'!$E$45,0)</f>
        <v>0</v>
      </c>
      <c r="E184" s="27" t="n">
        <f aca="false">IF(AND(B184=1,A184&lt;='Education Cost Forecast'!$E$53),1,0)</f>
        <v>0</v>
      </c>
      <c r="F184" s="40" t="n">
        <f aca="false">(1+Esc)^(A184-1)</f>
        <v>1.9799315994394</v>
      </c>
      <c r="G184" s="28" t="n">
        <f aca="false">E184*('Education Cost Forecast'!$E$41*12*MonthlyFactor+'Education Cost Forecast'!$E$42)*F184</f>
        <v>0</v>
      </c>
      <c r="H184" s="28" t="n">
        <f aca="false">E184*UnitFactor*F184</f>
        <v>0</v>
      </c>
      <c r="I184" s="28" t="n">
        <f aca="false">J183+D184-C184</f>
        <v>0</v>
      </c>
      <c r="J184" s="28" t="n">
        <f aca="false">IF(B184=1,I184*(1+RetRate)+G184,J183)</f>
        <v>0</v>
      </c>
      <c r="K184" s="28" t="n">
        <f aca="false">L183</f>
        <v>0</v>
      </c>
      <c r="L184" s="28" t="n">
        <f aca="false">IF(B184=1,K184*(1+RetRate)+H184,L183)</f>
        <v>0</v>
      </c>
      <c r="M184" s="40" t="n">
        <f aca="false">(1+RetRate)^(A184-1)</f>
        <v>4.88711228505093</v>
      </c>
      <c r="N184" s="28" t="n">
        <f aca="false">IF(AND(B184=1,C184&gt;0,K184&lt;=0.000000000001,I184&lt;0),-I184/M184,0)</f>
        <v>0</v>
      </c>
      <c r="O184" s="28" t="n">
        <f aca="false">IF(AND(B184=1,C184&gt;0,K184&gt;0.000000000001),-(I184+$E$14*M184)/K184,0)</f>
        <v>0</v>
      </c>
      <c r="P184" s="28" t="n">
        <f aca="false">R183</f>
        <v>0</v>
      </c>
      <c r="Q184" s="28" t="n">
        <f aca="false">H184*$E$15</f>
        <v>0</v>
      </c>
      <c r="R184" s="28" t="n">
        <f aca="false">IF(B184=1,(P184+D184-C184)*(1+RetRate)+G184+Q184,P184)</f>
        <v>0</v>
      </c>
      <c r="S184" s="28" t="n">
        <f aca="false">V183</f>
        <v>0</v>
      </c>
      <c r="T184" s="28" t="n">
        <f aca="false">S184+D184-C184</f>
        <v>0</v>
      </c>
      <c r="U184" s="28" t="n">
        <f aca="false">IF(B184=1,MAX(0,-T184),0)</f>
        <v>0</v>
      </c>
      <c r="V184" s="28" t="n">
        <f aca="false">IF(B184=1,MAX(0,T184)*(1+RetRate)+G184,S184)</f>
        <v>0</v>
      </c>
      <c r="W184" s="28" t="n">
        <f aca="false">IF(A184&lt;=MIN('Education Cost Forecast'!$E$49,'Education Cost Forecast'!$E$53),G184*(1+RetRate)^('Education Cost Forecast'!$E$49-A184),0)</f>
        <v>0</v>
      </c>
      <c r="X184" s="28" t="n">
        <f aca="false">IF(B184=1,P184+D184-C184,0)</f>
        <v>0</v>
      </c>
    </row>
    <row r="185" customFormat="false" ht="15" hidden="false" customHeight="false" outlineLevel="0" collapsed="false">
      <c r="A185" s="27" t="n">
        <v>16</v>
      </c>
      <c r="B185" s="27" t="n">
        <f aca="false">'Education Cost Forecast'!B205</f>
        <v>0</v>
      </c>
      <c r="C185" s="28" t="n">
        <f aca="false">'Education Cost Forecast'!Z205</f>
        <v>0</v>
      </c>
      <c r="D185" s="28" t="n">
        <f aca="false">IF(AND(B185=1,'Education Cost Forecast'!F205&gt;0,'Education Cost Forecast'!E205=0),'Education Cost Forecast'!$E$45,0)</f>
        <v>0</v>
      </c>
      <c r="E185" s="27" t="n">
        <f aca="false">IF(AND(B185=1,A185&lt;='Education Cost Forecast'!$E$53),1,0)</f>
        <v>0</v>
      </c>
      <c r="F185" s="40" t="n">
        <f aca="false">(1+Esc)^(A185-1)</f>
        <v>2.07892817941137</v>
      </c>
      <c r="G185" s="28" t="n">
        <f aca="false">E185*('Education Cost Forecast'!$E$41*12*MonthlyFactor+'Education Cost Forecast'!$E$42)*F185</f>
        <v>0</v>
      </c>
      <c r="H185" s="28" t="n">
        <f aca="false">E185*UnitFactor*F185</f>
        <v>0</v>
      </c>
      <c r="I185" s="28" t="n">
        <f aca="false">J184+D185-C185</f>
        <v>0</v>
      </c>
      <c r="J185" s="28" t="n">
        <f aca="false">IF(B185=1,I185*(1+RetRate)+G185,J184)</f>
        <v>0</v>
      </c>
      <c r="K185" s="28" t="n">
        <f aca="false">L184</f>
        <v>0</v>
      </c>
      <c r="L185" s="28" t="n">
        <f aca="false">IF(B185=1,K185*(1+RetRate)+H185,L184)</f>
        <v>0</v>
      </c>
      <c r="M185" s="40" t="n">
        <f aca="false">(1+RetRate)^(A185-1)</f>
        <v>5.47356575925705</v>
      </c>
      <c r="N185" s="28" t="n">
        <f aca="false">IF(AND(B185=1,C185&gt;0,K185&lt;=0.000000000001,I185&lt;0),-I185/M185,0)</f>
        <v>0</v>
      </c>
      <c r="O185" s="28" t="n">
        <f aca="false">IF(AND(B185=1,C185&gt;0,K185&gt;0.000000000001),-(I185+$E$14*M185)/K185,0)</f>
        <v>0</v>
      </c>
      <c r="P185" s="28" t="n">
        <f aca="false">R184</f>
        <v>0</v>
      </c>
      <c r="Q185" s="28" t="n">
        <f aca="false">H185*$E$15</f>
        <v>0</v>
      </c>
      <c r="R185" s="28" t="n">
        <f aca="false">IF(B185=1,(P185+D185-C185)*(1+RetRate)+G185+Q185,P185)</f>
        <v>0</v>
      </c>
      <c r="S185" s="28" t="n">
        <f aca="false">V184</f>
        <v>0</v>
      </c>
      <c r="T185" s="28" t="n">
        <f aca="false">S185+D185-C185</f>
        <v>0</v>
      </c>
      <c r="U185" s="28" t="n">
        <f aca="false">IF(B185=1,MAX(0,-T185),0)</f>
        <v>0</v>
      </c>
      <c r="V185" s="28" t="n">
        <f aca="false">IF(B185=1,MAX(0,T185)*(1+RetRate)+G185,S185)</f>
        <v>0</v>
      </c>
      <c r="W185" s="28" t="n">
        <f aca="false">IF(A185&lt;=MIN('Education Cost Forecast'!$E$49,'Education Cost Forecast'!$E$53),G185*(1+RetRate)^('Education Cost Forecast'!$E$49-A185),0)</f>
        <v>0</v>
      </c>
      <c r="X185" s="28" t="n">
        <f aca="false">IF(B185=1,P185+D185-C185,0)</f>
        <v>0</v>
      </c>
    </row>
    <row r="186" customFormat="false" ht="15" hidden="false" customHeight="false" outlineLevel="0" collapsed="false">
      <c r="A186" s="27" t="n">
        <v>17</v>
      </c>
      <c r="B186" s="27" t="n">
        <f aca="false">'Education Cost Forecast'!B206</f>
        <v>0</v>
      </c>
      <c r="C186" s="28" t="n">
        <f aca="false">'Education Cost Forecast'!Z206</f>
        <v>0</v>
      </c>
      <c r="D186" s="28" t="n">
        <f aca="false">IF(AND(B186=1,'Education Cost Forecast'!F206&gt;0,'Education Cost Forecast'!E206=0),'Education Cost Forecast'!$E$45,0)</f>
        <v>0</v>
      </c>
      <c r="E186" s="27" t="n">
        <f aca="false">IF(AND(B186=1,A186&lt;='Education Cost Forecast'!$E$53),1,0)</f>
        <v>0</v>
      </c>
      <c r="F186" s="40" t="n">
        <f aca="false">(1+Esc)^(A186-1)</f>
        <v>2.18287458838194</v>
      </c>
      <c r="G186" s="28" t="n">
        <f aca="false">E186*('Education Cost Forecast'!$E$41*12*MonthlyFactor+'Education Cost Forecast'!$E$42)*F186</f>
        <v>0</v>
      </c>
      <c r="H186" s="28" t="n">
        <f aca="false">E186*UnitFactor*F186</f>
        <v>0</v>
      </c>
      <c r="I186" s="28" t="n">
        <f aca="false">J185+D186-C186</f>
        <v>0</v>
      </c>
      <c r="J186" s="28" t="n">
        <f aca="false">IF(B186=1,I186*(1+RetRate)+G186,J185)</f>
        <v>0</v>
      </c>
      <c r="K186" s="28" t="n">
        <f aca="false">L185</f>
        <v>0</v>
      </c>
      <c r="L186" s="28" t="n">
        <f aca="false">IF(B186=1,K186*(1+RetRate)+H186,L185)</f>
        <v>0</v>
      </c>
      <c r="M186" s="40" t="n">
        <f aca="false">(1+RetRate)^(A186-1)</f>
        <v>6.13039365036789</v>
      </c>
      <c r="N186" s="28" t="n">
        <f aca="false">IF(AND(B186=1,C186&gt;0,K186&lt;=0.000000000001,I186&lt;0),-I186/M186,0)</f>
        <v>0</v>
      </c>
      <c r="O186" s="28" t="n">
        <f aca="false">IF(AND(B186=1,C186&gt;0,K186&gt;0.000000000001),-(I186+$E$14*M186)/K186,0)</f>
        <v>0</v>
      </c>
      <c r="P186" s="28" t="n">
        <f aca="false">R185</f>
        <v>0</v>
      </c>
      <c r="Q186" s="28" t="n">
        <f aca="false">H186*$E$15</f>
        <v>0</v>
      </c>
      <c r="R186" s="28" t="n">
        <f aca="false">IF(B186=1,(P186+D186-C186)*(1+RetRate)+G186+Q186,P186)</f>
        <v>0</v>
      </c>
      <c r="S186" s="28" t="n">
        <f aca="false">V185</f>
        <v>0</v>
      </c>
      <c r="T186" s="28" t="n">
        <f aca="false">S186+D186-C186</f>
        <v>0</v>
      </c>
      <c r="U186" s="28" t="n">
        <f aca="false">IF(B186=1,MAX(0,-T186),0)</f>
        <v>0</v>
      </c>
      <c r="V186" s="28" t="n">
        <f aca="false">IF(B186=1,MAX(0,T186)*(1+RetRate)+G186,S186)</f>
        <v>0</v>
      </c>
      <c r="W186" s="28" t="n">
        <f aca="false">IF(A186&lt;=MIN('Education Cost Forecast'!$E$49,'Education Cost Forecast'!$E$53),G186*(1+RetRate)^('Education Cost Forecast'!$E$49-A186),0)</f>
        <v>0</v>
      </c>
      <c r="X186" s="28" t="n">
        <f aca="false">IF(B186=1,P186+D186-C186,0)</f>
        <v>0</v>
      </c>
    </row>
    <row r="187" customFormat="false" ht="15" hidden="false" customHeight="false" outlineLevel="0" collapsed="false">
      <c r="A187" s="27" t="n">
        <v>18</v>
      </c>
      <c r="B187" s="27" t="n">
        <f aca="false">'Education Cost Forecast'!B207</f>
        <v>0</v>
      </c>
      <c r="C187" s="28" t="n">
        <f aca="false">'Education Cost Forecast'!Z207</f>
        <v>0</v>
      </c>
      <c r="D187" s="28" t="n">
        <f aca="false">IF(AND(B187=1,'Education Cost Forecast'!F207&gt;0,'Education Cost Forecast'!E207=0),'Education Cost Forecast'!$E$45,0)</f>
        <v>0</v>
      </c>
      <c r="E187" s="27" t="n">
        <f aca="false">IF(AND(B187=1,A187&lt;='Education Cost Forecast'!$E$53),1,0)</f>
        <v>0</v>
      </c>
      <c r="F187" s="40" t="n">
        <f aca="false">(1+Esc)^(A187-1)</f>
        <v>2.29201831780103</v>
      </c>
      <c r="G187" s="28" t="n">
        <f aca="false">E187*('Education Cost Forecast'!$E$41*12*MonthlyFactor+'Education Cost Forecast'!$E$42)*F187</f>
        <v>0</v>
      </c>
      <c r="H187" s="28" t="n">
        <f aca="false">E187*UnitFactor*F187</f>
        <v>0</v>
      </c>
      <c r="I187" s="28" t="n">
        <f aca="false">J186+D187-C187</f>
        <v>0</v>
      </c>
      <c r="J187" s="28" t="n">
        <f aca="false">IF(B187=1,I187*(1+RetRate)+G187,J186)</f>
        <v>0</v>
      </c>
      <c r="K187" s="28" t="n">
        <f aca="false">L186</f>
        <v>0</v>
      </c>
      <c r="L187" s="28" t="n">
        <f aca="false">IF(B187=1,K187*(1+RetRate)+H187,L186)</f>
        <v>0</v>
      </c>
      <c r="M187" s="40" t="n">
        <f aca="false">(1+RetRate)^(A187-1)</f>
        <v>6.86604088841204</v>
      </c>
      <c r="N187" s="28" t="n">
        <f aca="false">IF(AND(B187=1,C187&gt;0,K187&lt;=0.000000000001,I187&lt;0),-I187/M187,0)</f>
        <v>0</v>
      </c>
      <c r="O187" s="28" t="n">
        <f aca="false">IF(AND(B187=1,C187&gt;0,K187&gt;0.000000000001),-(I187+$E$14*M187)/K187,0)</f>
        <v>0</v>
      </c>
      <c r="P187" s="28" t="n">
        <f aca="false">R186</f>
        <v>0</v>
      </c>
      <c r="Q187" s="28" t="n">
        <f aca="false">H187*$E$15</f>
        <v>0</v>
      </c>
      <c r="R187" s="28" t="n">
        <f aca="false">IF(B187=1,(P187+D187-C187)*(1+RetRate)+G187+Q187,P187)</f>
        <v>0</v>
      </c>
      <c r="S187" s="28" t="n">
        <f aca="false">V186</f>
        <v>0</v>
      </c>
      <c r="T187" s="28" t="n">
        <f aca="false">S187+D187-C187</f>
        <v>0</v>
      </c>
      <c r="U187" s="28" t="n">
        <f aca="false">IF(B187=1,MAX(0,-T187),0)</f>
        <v>0</v>
      </c>
      <c r="V187" s="28" t="n">
        <f aca="false">IF(B187=1,MAX(0,T187)*(1+RetRate)+G187,S187)</f>
        <v>0</v>
      </c>
      <c r="W187" s="28" t="n">
        <f aca="false">IF(A187&lt;=MIN('Education Cost Forecast'!$E$49,'Education Cost Forecast'!$E$53),G187*(1+RetRate)^('Education Cost Forecast'!$E$49-A187),0)</f>
        <v>0</v>
      </c>
      <c r="X187" s="28" t="n">
        <f aca="false">IF(B187=1,P187+D187-C187,0)</f>
        <v>0</v>
      </c>
    </row>
    <row r="188" customFormat="false" ht="15" hidden="false" customHeight="false" outlineLevel="0" collapsed="false">
      <c r="A188" s="27" t="n">
        <v>19</v>
      </c>
      <c r="B188" s="27" t="n">
        <f aca="false">'Education Cost Forecast'!B208</f>
        <v>0</v>
      </c>
      <c r="C188" s="28" t="n">
        <f aca="false">'Education Cost Forecast'!Z208</f>
        <v>0</v>
      </c>
      <c r="D188" s="28" t="n">
        <f aca="false">IF(AND(B188=1,'Education Cost Forecast'!F208&gt;0,'Education Cost Forecast'!E208=0),'Education Cost Forecast'!$E$45,0)</f>
        <v>0</v>
      </c>
      <c r="E188" s="27" t="n">
        <f aca="false">IF(AND(B188=1,A188&lt;='Education Cost Forecast'!$E$53),1,0)</f>
        <v>0</v>
      </c>
      <c r="F188" s="40" t="n">
        <f aca="false">(1+Esc)^(A188-1)</f>
        <v>2.40661923369109</v>
      </c>
      <c r="G188" s="28" t="n">
        <f aca="false">E188*('Education Cost Forecast'!$E$41*12*MonthlyFactor+'Education Cost Forecast'!$E$42)*F188</f>
        <v>0</v>
      </c>
      <c r="H188" s="28" t="n">
        <f aca="false">E188*UnitFactor*F188</f>
        <v>0</v>
      </c>
      <c r="I188" s="28" t="n">
        <f aca="false">J187+D188-C188</f>
        <v>0</v>
      </c>
      <c r="J188" s="28" t="n">
        <f aca="false">IF(B188=1,I188*(1+RetRate)+G188,J187)</f>
        <v>0</v>
      </c>
      <c r="K188" s="28" t="n">
        <f aca="false">L187</f>
        <v>0</v>
      </c>
      <c r="L188" s="28" t="n">
        <f aca="false">IF(B188=1,K188*(1+RetRate)+H188,L187)</f>
        <v>0</v>
      </c>
      <c r="M188" s="40" t="n">
        <f aca="false">(1+RetRate)^(A188-1)</f>
        <v>7.68996579502149</v>
      </c>
      <c r="N188" s="28" t="n">
        <f aca="false">IF(AND(B188=1,C188&gt;0,K188&lt;=0.000000000001,I188&lt;0),-I188/M188,0)</f>
        <v>0</v>
      </c>
      <c r="O188" s="28" t="n">
        <f aca="false">IF(AND(B188=1,C188&gt;0,K188&gt;0.000000000001),-(I188+$E$14*M188)/K188,0)</f>
        <v>0</v>
      </c>
      <c r="P188" s="28" t="n">
        <f aca="false">R187</f>
        <v>0</v>
      </c>
      <c r="Q188" s="28" t="n">
        <f aca="false">H188*$E$15</f>
        <v>0</v>
      </c>
      <c r="R188" s="28" t="n">
        <f aca="false">IF(B188=1,(P188+D188-C188)*(1+RetRate)+G188+Q188,P188)</f>
        <v>0</v>
      </c>
      <c r="S188" s="28" t="n">
        <f aca="false">V187</f>
        <v>0</v>
      </c>
      <c r="T188" s="28" t="n">
        <f aca="false">S188+D188-C188</f>
        <v>0</v>
      </c>
      <c r="U188" s="28" t="n">
        <f aca="false">IF(B188=1,MAX(0,-T188),0)</f>
        <v>0</v>
      </c>
      <c r="V188" s="28" t="n">
        <f aca="false">IF(B188=1,MAX(0,T188)*(1+RetRate)+G188,S188)</f>
        <v>0</v>
      </c>
      <c r="W188" s="28" t="n">
        <f aca="false">IF(A188&lt;=MIN('Education Cost Forecast'!$E$49,'Education Cost Forecast'!$E$53),G188*(1+RetRate)^('Education Cost Forecast'!$E$49-A188),0)</f>
        <v>0</v>
      </c>
      <c r="X188" s="28" t="n">
        <f aca="false">IF(B188=1,P188+D188-C188,0)</f>
        <v>0</v>
      </c>
    </row>
    <row r="189" customFormat="false" ht="15" hidden="false" customHeight="false" outlineLevel="0" collapsed="false">
      <c r="A189" s="27" t="n">
        <v>20</v>
      </c>
      <c r="B189" s="27" t="n">
        <f aca="false">'Education Cost Forecast'!B209</f>
        <v>0</v>
      </c>
      <c r="C189" s="28" t="n">
        <f aca="false">'Education Cost Forecast'!Z209</f>
        <v>0</v>
      </c>
      <c r="D189" s="28" t="n">
        <f aca="false">IF(AND(B189=1,'Education Cost Forecast'!F209&gt;0,'Education Cost Forecast'!E209=0),'Education Cost Forecast'!$E$45,0)</f>
        <v>0</v>
      </c>
      <c r="E189" s="27" t="n">
        <f aca="false">IF(AND(B189=1,A189&lt;='Education Cost Forecast'!$E$53),1,0)</f>
        <v>0</v>
      </c>
      <c r="F189" s="40" t="n">
        <f aca="false">(1+Esc)^(A189-1)</f>
        <v>2.52695019537564</v>
      </c>
      <c r="G189" s="28" t="n">
        <f aca="false">E189*('Education Cost Forecast'!$E$41*12*MonthlyFactor+'Education Cost Forecast'!$E$42)*F189</f>
        <v>0</v>
      </c>
      <c r="H189" s="28" t="n">
        <f aca="false">E189*UnitFactor*F189</f>
        <v>0</v>
      </c>
      <c r="I189" s="28" t="n">
        <f aca="false">J188+D189-C189</f>
        <v>0</v>
      </c>
      <c r="J189" s="28" t="n">
        <f aca="false">IF(B189=1,I189*(1+RetRate)+G189,J188)</f>
        <v>0</v>
      </c>
      <c r="K189" s="28" t="n">
        <f aca="false">L188</f>
        <v>0</v>
      </c>
      <c r="L189" s="28" t="n">
        <f aca="false">IF(B189=1,K189*(1+RetRate)+H189,L188)</f>
        <v>0</v>
      </c>
      <c r="M189" s="40" t="n">
        <f aca="false">(1+RetRate)^(A189-1)</f>
        <v>8.61276169042406</v>
      </c>
      <c r="N189" s="28" t="n">
        <f aca="false">IF(AND(B189=1,C189&gt;0,K189&lt;=0.000000000001,I189&lt;0),-I189/M189,0)</f>
        <v>0</v>
      </c>
      <c r="O189" s="28" t="n">
        <f aca="false">IF(AND(B189=1,C189&gt;0,K189&gt;0.000000000001),-(I189+$E$14*M189)/K189,0)</f>
        <v>0</v>
      </c>
      <c r="P189" s="28" t="n">
        <f aca="false">R188</f>
        <v>0</v>
      </c>
      <c r="Q189" s="28" t="n">
        <f aca="false">H189*$E$15</f>
        <v>0</v>
      </c>
      <c r="R189" s="28" t="n">
        <f aca="false">IF(B189=1,(P189+D189-C189)*(1+RetRate)+G189+Q189,P189)</f>
        <v>0</v>
      </c>
      <c r="S189" s="28" t="n">
        <f aca="false">V188</f>
        <v>0</v>
      </c>
      <c r="T189" s="28" t="n">
        <f aca="false">S189+D189-C189</f>
        <v>0</v>
      </c>
      <c r="U189" s="28" t="n">
        <f aca="false">IF(B189=1,MAX(0,-T189),0)</f>
        <v>0</v>
      </c>
      <c r="V189" s="28" t="n">
        <f aca="false">IF(B189=1,MAX(0,T189)*(1+RetRate)+G189,S189)</f>
        <v>0</v>
      </c>
      <c r="W189" s="28" t="n">
        <f aca="false">IF(A189&lt;=MIN('Education Cost Forecast'!$E$49,'Education Cost Forecast'!$E$53),G189*(1+RetRate)^('Education Cost Forecast'!$E$49-A189),0)</f>
        <v>0</v>
      </c>
      <c r="X189" s="28" t="n">
        <f aca="false">IF(B189=1,P189+D189-C189,0)</f>
        <v>0</v>
      </c>
    </row>
    <row r="190" customFormat="false" ht="15" hidden="false" customHeight="false" outlineLevel="0" collapsed="false">
      <c r="A190" s="27" t="n">
        <v>21</v>
      </c>
      <c r="B190" s="27" t="n">
        <f aca="false">'Education Cost Forecast'!B210</f>
        <v>0</v>
      </c>
      <c r="C190" s="28" t="n">
        <f aca="false">'Education Cost Forecast'!Z210</f>
        <v>0</v>
      </c>
      <c r="D190" s="28" t="n">
        <f aca="false">IF(AND(B190=1,'Education Cost Forecast'!F210&gt;0,'Education Cost Forecast'!E210=0),'Education Cost Forecast'!$E$45,0)</f>
        <v>0</v>
      </c>
      <c r="E190" s="27" t="n">
        <f aca="false">IF(AND(B190=1,A190&lt;='Education Cost Forecast'!$E$53),1,0)</f>
        <v>0</v>
      </c>
      <c r="F190" s="40" t="n">
        <f aca="false">(1+Esc)^(A190-1)</f>
        <v>2.65329770514442</v>
      </c>
      <c r="G190" s="28" t="n">
        <f aca="false">E190*('Education Cost Forecast'!$E$41*12*MonthlyFactor+'Education Cost Forecast'!$E$42)*F190</f>
        <v>0</v>
      </c>
      <c r="H190" s="28" t="n">
        <f aca="false">E190*UnitFactor*F190</f>
        <v>0</v>
      </c>
      <c r="I190" s="28" t="n">
        <f aca="false">J189+D190-C190</f>
        <v>0</v>
      </c>
      <c r="J190" s="28" t="n">
        <f aca="false">IF(B190=1,I190*(1+RetRate)+G190,J189)</f>
        <v>0</v>
      </c>
      <c r="K190" s="28" t="n">
        <f aca="false">L189</f>
        <v>0</v>
      </c>
      <c r="L190" s="28" t="n">
        <f aca="false">IF(B190=1,K190*(1+RetRate)+H190,L189)</f>
        <v>0</v>
      </c>
      <c r="M190" s="40" t="n">
        <f aca="false">(1+RetRate)^(A190-1)</f>
        <v>9.64629309327495</v>
      </c>
      <c r="N190" s="28" t="n">
        <f aca="false">IF(AND(B190=1,C190&gt;0,K190&lt;=0.000000000001,I190&lt;0),-I190/M190,0)</f>
        <v>0</v>
      </c>
      <c r="O190" s="28" t="n">
        <f aca="false">IF(AND(B190=1,C190&gt;0,K190&gt;0.000000000001),-(I190+$E$14*M190)/K190,0)</f>
        <v>0</v>
      </c>
      <c r="P190" s="28" t="n">
        <f aca="false">R189</f>
        <v>0</v>
      </c>
      <c r="Q190" s="28" t="n">
        <f aca="false">H190*$E$15</f>
        <v>0</v>
      </c>
      <c r="R190" s="28" t="n">
        <f aca="false">IF(B190=1,(P190+D190-C190)*(1+RetRate)+G190+Q190,P190)</f>
        <v>0</v>
      </c>
      <c r="S190" s="28" t="n">
        <f aca="false">V189</f>
        <v>0</v>
      </c>
      <c r="T190" s="28" t="n">
        <f aca="false">S190+D190-C190</f>
        <v>0</v>
      </c>
      <c r="U190" s="28" t="n">
        <f aca="false">IF(B190=1,MAX(0,-T190),0)</f>
        <v>0</v>
      </c>
      <c r="V190" s="28" t="n">
        <f aca="false">IF(B190=1,MAX(0,T190)*(1+RetRate)+G190,S190)</f>
        <v>0</v>
      </c>
      <c r="W190" s="28" t="n">
        <f aca="false">IF(A190&lt;=MIN('Education Cost Forecast'!$E$49,'Education Cost Forecast'!$E$53),G190*(1+RetRate)^('Education Cost Forecast'!$E$49-A190),0)</f>
        <v>0</v>
      </c>
      <c r="X190" s="28" t="n">
        <f aca="false">IF(B190=1,P190+D190-C190,0)</f>
        <v>0</v>
      </c>
    </row>
    <row r="191" customFormat="false" ht="15" hidden="false" customHeight="false" outlineLevel="0" collapsed="false">
      <c r="A191" s="27" t="n">
        <v>22</v>
      </c>
      <c r="B191" s="27" t="n">
        <f aca="false">'Education Cost Forecast'!B211</f>
        <v>0</v>
      </c>
      <c r="C191" s="28" t="n">
        <f aca="false">'Education Cost Forecast'!Z211</f>
        <v>0</v>
      </c>
      <c r="D191" s="28" t="n">
        <f aca="false">IF(AND(B191=1,'Education Cost Forecast'!F211&gt;0,'Education Cost Forecast'!E211=0),'Education Cost Forecast'!$E$45,0)</f>
        <v>0</v>
      </c>
      <c r="E191" s="27" t="n">
        <f aca="false">IF(AND(B191=1,A191&lt;='Education Cost Forecast'!$E$53),1,0)</f>
        <v>0</v>
      </c>
      <c r="F191" s="40" t="n">
        <f aca="false">(1+Esc)^(A191-1)</f>
        <v>2.78596259040164</v>
      </c>
      <c r="G191" s="28" t="n">
        <f aca="false">E191*('Education Cost Forecast'!$E$41*12*MonthlyFactor+'Education Cost Forecast'!$E$42)*F191</f>
        <v>0</v>
      </c>
      <c r="H191" s="28" t="n">
        <f aca="false">E191*UnitFactor*F191</f>
        <v>0</v>
      </c>
      <c r="I191" s="28" t="n">
        <f aca="false">J190+D191-C191</f>
        <v>0</v>
      </c>
      <c r="J191" s="28" t="n">
        <f aca="false">IF(B191=1,I191*(1+RetRate)+G191,J190)</f>
        <v>0</v>
      </c>
      <c r="K191" s="28" t="n">
        <f aca="false">L190</f>
        <v>0</v>
      </c>
      <c r="L191" s="28" t="n">
        <f aca="false">IF(B191=1,K191*(1+RetRate)+H191,L190)</f>
        <v>0</v>
      </c>
      <c r="M191" s="40" t="n">
        <f aca="false">(1+RetRate)^(A191-1)</f>
        <v>10.8038482644679</v>
      </c>
      <c r="N191" s="28" t="n">
        <f aca="false">IF(AND(B191=1,C191&gt;0,K191&lt;=0.000000000001,I191&lt;0),-I191/M191,0)</f>
        <v>0</v>
      </c>
      <c r="O191" s="28" t="n">
        <f aca="false">IF(AND(B191=1,C191&gt;0,K191&gt;0.000000000001),-(I191+$E$14*M191)/K191,0)</f>
        <v>0</v>
      </c>
      <c r="P191" s="28" t="n">
        <f aca="false">R190</f>
        <v>0</v>
      </c>
      <c r="Q191" s="28" t="n">
        <f aca="false">H191*$E$15</f>
        <v>0</v>
      </c>
      <c r="R191" s="28" t="n">
        <f aca="false">IF(B191=1,(P191+D191-C191)*(1+RetRate)+G191+Q191,P191)</f>
        <v>0</v>
      </c>
      <c r="S191" s="28" t="n">
        <f aca="false">V190</f>
        <v>0</v>
      </c>
      <c r="T191" s="28" t="n">
        <f aca="false">S191+D191-C191</f>
        <v>0</v>
      </c>
      <c r="U191" s="28" t="n">
        <f aca="false">IF(B191=1,MAX(0,-T191),0)</f>
        <v>0</v>
      </c>
      <c r="V191" s="28" t="n">
        <f aca="false">IF(B191=1,MAX(0,T191)*(1+RetRate)+G191,S191)</f>
        <v>0</v>
      </c>
      <c r="W191" s="28" t="n">
        <f aca="false">IF(A191&lt;=MIN('Education Cost Forecast'!$E$49,'Education Cost Forecast'!$E$53),G191*(1+RetRate)^('Education Cost Forecast'!$E$49-A191),0)</f>
        <v>0</v>
      </c>
      <c r="X191" s="28" t="n">
        <f aca="false">IF(B191=1,P191+D191-C191,0)</f>
        <v>0</v>
      </c>
    </row>
    <row r="192" customFormat="false" ht="15" hidden="false" customHeight="false" outlineLevel="0" collapsed="false">
      <c r="A192" s="27" t="n">
        <v>23</v>
      </c>
      <c r="B192" s="27" t="n">
        <f aca="false">'Education Cost Forecast'!B212</f>
        <v>0</v>
      </c>
      <c r="C192" s="28" t="n">
        <f aca="false">'Education Cost Forecast'!Z212</f>
        <v>0</v>
      </c>
      <c r="D192" s="28" t="n">
        <f aca="false">IF(AND(B192=1,'Education Cost Forecast'!F212&gt;0,'Education Cost Forecast'!E212=0),'Education Cost Forecast'!$E$45,0)</f>
        <v>0</v>
      </c>
      <c r="E192" s="27" t="n">
        <f aca="false">IF(AND(B192=1,A192&lt;='Education Cost Forecast'!$E$53),1,0)</f>
        <v>0</v>
      </c>
      <c r="F192" s="40" t="n">
        <f aca="false">(1+Esc)^(A192-1)</f>
        <v>2.92526071992173</v>
      </c>
      <c r="G192" s="28" t="n">
        <f aca="false">E192*('Education Cost Forecast'!$E$41*12*MonthlyFactor+'Education Cost Forecast'!$E$42)*F192</f>
        <v>0</v>
      </c>
      <c r="H192" s="28" t="n">
        <f aca="false">E192*UnitFactor*F192</f>
        <v>0</v>
      </c>
      <c r="I192" s="28" t="n">
        <f aca="false">J191+D192-C192</f>
        <v>0</v>
      </c>
      <c r="J192" s="28" t="n">
        <f aca="false">IF(B192=1,I192*(1+RetRate)+G192,J191)</f>
        <v>0</v>
      </c>
      <c r="K192" s="28" t="n">
        <f aca="false">L191</f>
        <v>0</v>
      </c>
      <c r="L192" s="28" t="n">
        <f aca="false">IF(B192=1,K192*(1+RetRate)+H192,L191)</f>
        <v>0</v>
      </c>
      <c r="M192" s="40" t="n">
        <f aca="false">(1+RetRate)^(A192-1)</f>
        <v>12.1003100562041</v>
      </c>
      <c r="N192" s="28" t="n">
        <f aca="false">IF(AND(B192=1,C192&gt;0,K192&lt;=0.000000000001,I192&lt;0),-I192/M192,0)</f>
        <v>0</v>
      </c>
      <c r="O192" s="28" t="n">
        <f aca="false">IF(AND(B192=1,C192&gt;0,K192&gt;0.000000000001),-(I192+$E$14*M192)/K192,0)</f>
        <v>0</v>
      </c>
      <c r="P192" s="28" t="n">
        <f aca="false">R191</f>
        <v>0</v>
      </c>
      <c r="Q192" s="28" t="n">
        <f aca="false">H192*$E$15</f>
        <v>0</v>
      </c>
      <c r="R192" s="28" t="n">
        <f aca="false">IF(B192=1,(P192+D192-C192)*(1+RetRate)+G192+Q192,P192)</f>
        <v>0</v>
      </c>
      <c r="S192" s="28" t="n">
        <f aca="false">V191</f>
        <v>0</v>
      </c>
      <c r="T192" s="28" t="n">
        <f aca="false">S192+D192-C192</f>
        <v>0</v>
      </c>
      <c r="U192" s="28" t="n">
        <f aca="false">IF(B192=1,MAX(0,-T192),0)</f>
        <v>0</v>
      </c>
      <c r="V192" s="28" t="n">
        <f aca="false">IF(B192=1,MAX(0,T192)*(1+RetRate)+G192,S192)</f>
        <v>0</v>
      </c>
      <c r="W192" s="28" t="n">
        <f aca="false">IF(A192&lt;=MIN('Education Cost Forecast'!$E$49,'Education Cost Forecast'!$E$53),G192*(1+RetRate)^('Education Cost Forecast'!$E$49-A192),0)</f>
        <v>0</v>
      </c>
      <c r="X192" s="28" t="n">
        <f aca="false">IF(B192=1,P192+D192-C192,0)</f>
        <v>0</v>
      </c>
    </row>
    <row r="193" customFormat="false" ht="15" hidden="false" customHeight="false" outlineLevel="0" collapsed="false">
      <c r="A193" s="27" t="n">
        <v>24</v>
      </c>
      <c r="B193" s="27" t="n">
        <f aca="false">'Education Cost Forecast'!B213</f>
        <v>0</v>
      </c>
      <c r="C193" s="28" t="n">
        <f aca="false">'Education Cost Forecast'!Z213</f>
        <v>0</v>
      </c>
      <c r="D193" s="28" t="n">
        <f aca="false">IF(AND(B193=1,'Education Cost Forecast'!F213&gt;0,'Education Cost Forecast'!E213=0),'Education Cost Forecast'!$E$45,0)</f>
        <v>0</v>
      </c>
      <c r="E193" s="27" t="n">
        <f aca="false">IF(AND(B193=1,A193&lt;='Education Cost Forecast'!$E$53),1,0)</f>
        <v>0</v>
      </c>
      <c r="F193" s="40" t="n">
        <f aca="false">(1+Esc)^(A193-1)</f>
        <v>3.07152375591781</v>
      </c>
      <c r="G193" s="28" t="n">
        <f aca="false">E193*('Education Cost Forecast'!$E$41*12*MonthlyFactor+'Education Cost Forecast'!$E$42)*F193</f>
        <v>0</v>
      </c>
      <c r="H193" s="28" t="n">
        <f aca="false">E193*UnitFactor*F193</f>
        <v>0</v>
      </c>
      <c r="I193" s="28" t="n">
        <f aca="false">J192+D193-C193</f>
        <v>0</v>
      </c>
      <c r="J193" s="28" t="n">
        <f aca="false">IF(B193=1,I193*(1+RetRate)+G193,J192)</f>
        <v>0</v>
      </c>
      <c r="K193" s="28" t="n">
        <f aca="false">L192</f>
        <v>0</v>
      </c>
      <c r="L193" s="28" t="n">
        <f aca="false">IF(B193=1,K193*(1+RetRate)+H193,L192)</f>
        <v>0</v>
      </c>
      <c r="M193" s="40" t="n">
        <f aca="false">(1+RetRate)^(A193-1)</f>
        <v>13.5523472629486</v>
      </c>
      <c r="N193" s="28" t="n">
        <f aca="false">IF(AND(B193=1,C193&gt;0,K193&lt;=0.000000000001,I193&lt;0),-I193/M193,0)</f>
        <v>0</v>
      </c>
      <c r="O193" s="28" t="n">
        <f aca="false">IF(AND(B193=1,C193&gt;0,K193&gt;0.000000000001),-(I193+$E$14*M193)/K193,0)</f>
        <v>0</v>
      </c>
      <c r="P193" s="28" t="n">
        <f aca="false">R192</f>
        <v>0</v>
      </c>
      <c r="Q193" s="28" t="n">
        <f aca="false">H193*$E$15</f>
        <v>0</v>
      </c>
      <c r="R193" s="28" t="n">
        <f aca="false">IF(B193=1,(P193+D193-C193)*(1+RetRate)+G193+Q193,P193)</f>
        <v>0</v>
      </c>
      <c r="S193" s="28" t="n">
        <f aca="false">V192</f>
        <v>0</v>
      </c>
      <c r="T193" s="28" t="n">
        <f aca="false">S193+D193-C193</f>
        <v>0</v>
      </c>
      <c r="U193" s="28" t="n">
        <f aca="false">IF(B193=1,MAX(0,-T193),0)</f>
        <v>0</v>
      </c>
      <c r="V193" s="28" t="n">
        <f aca="false">IF(B193=1,MAX(0,T193)*(1+RetRate)+G193,S193)</f>
        <v>0</v>
      </c>
      <c r="W193" s="28" t="n">
        <f aca="false">IF(A193&lt;=MIN('Education Cost Forecast'!$E$49,'Education Cost Forecast'!$E$53),G193*(1+RetRate)^('Education Cost Forecast'!$E$49-A193),0)</f>
        <v>0</v>
      </c>
      <c r="X193" s="28" t="n">
        <f aca="false">IF(B193=1,P193+D193-C193,0)</f>
        <v>0</v>
      </c>
    </row>
    <row r="194" customFormat="false" ht="15" hidden="false" customHeight="false" outlineLevel="0" collapsed="false">
      <c r="A194" s="27" t="n">
        <v>25</v>
      </c>
      <c r="B194" s="27" t="n">
        <f aca="false">'Education Cost Forecast'!B214</f>
        <v>0</v>
      </c>
      <c r="C194" s="28" t="n">
        <f aca="false">'Education Cost Forecast'!Z214</f>
        <v>0</v>
      </c>
      <c r="D194" s="28" t="n">
        <f aca="false">IF(AND(B194=1,'Education Cost Forecast'!F214&gt;0,'Education Cost Forecast'!E214=0),'Education Cost Forecast'!$E$45,0)</f>
        <v>0</v>
      </c>
      <c r="E194" s="27" t="n">
        <f aca="false">IF(AND(B194=1,A194&lt;='Education Cost Forecast'!$E$53),1,0)</f>
        <v>0</v>
      </c>
      <c r="F194" s="40" t="n">
        <f aca="false">(1+Esc)^(A194-1)</f>
        <v>3.2250999437137</v>
      </c>
      <c r="G194" s="28" t="n">
        <f aca="false">E194*('Education Cost Forecast'!$E$41*12*MonthlyFactor+'Education Cost Forecast'!$E$42)*F194</f>
        <v>0</v>
      </c>
      <c r="H194" s="28" t="n">
        <f aca="false">E194*UnitFactor*F194</f>
        <v>0</v>
      </c>
      <c r="I194" s="28" t="n">
        <f aca="false">J193+D194-C194</f>
        <v>0</v>
      </c>
      <c r="J194" s="28" t="n">
        <f aca="false">IF(B194=1,I194*(1+RetRate)+G194,J193)</f>
        <v>0</v>
      </c>
      <c r="K194" s="28" t="n">
        <f aca="false">L193</f>
        <v>0</v>
      </c>
      <c r="L194" s="28" t="n">
        <f aca="false">IF(B194=1,K194*(1+RetRate)+H194,L193)</f>
        <v>0</v>
      </c>
      <c r="M194" s="40" t="n">
        <f aca="false">(1+RetRate)^(A194-1)</f>
        <v>15.1786289345024</v>
      </c>
      <c r="N194" s="28" t="n">
        <f aca="false">IF(AND(B194=1,C194&gt;0,K194&lt;=0.000000000001,I194&lt;0),-I194/M194,0)</f>
        <v>0</v>
      </c>
      <c r="O194" s="28" t="n">
        <f aca="false">IF(AND(B194=1,C194&gt;0,K194&gt;0.000000000001),-(I194+$E$14*M194)/K194,0)</f>
        <v>0</v>
      </c>
      <c r="P194" s="28" t="n">
        <f aca="false">R193</f>
        <v>0</v>
      </c>
      <c r="Q194" s="28" t="n">
        <f aca="false">H194*$E$15</f>
        <v>0</v>
      </c>
      <c r="R194" s="28" t="n">
        <f aca="false">IF(B194=1,(P194+D194-C194)*(1+RetRate)+G194+Q194,P194)</f>
        <v>0</v>
      </c>
      <c r="S194" s="28" t="n">
        <f aca="false">V193</f>
        <v>0</v>
      </c>
      <c r="T194" s="28" t="n">
        <f aca="false">S194+D194-C194</f>
        <v>0</v>
      </c>
      <c r="U194" s="28" t="n">
        <f aca="false">IF(B194=1,MAX(0,-T194),0)</f>
        <v>0</v>
      </c>
      <c r="V194" s="28" t="n">
        <f aca="false">IF(B194=1,MAX(0,T194)*(1+RetRate)+G194,S194)</f>
        <v>0</v>
      </c>
      <c r="W194" s="28" t="n">
        <f aca="false">IF(A194&lt;=MIN('Education Cost Forecast'!$E$49,'Education Cost Forecast'!$E$53),G194*(1+RetRate)^('Education Cost Forecast'!$E$49-A194),0)</f>
        <v>0</v>
      </c>
      <c r="X194" s="28" t="n">
        <f aca="false">IF(B194=1,P194+D194-C194,0)</f>
        <v>0</v>
      </c>
    </row>
    <row r="195" customFormat="false" ht="15" hidden="false" customHeight="false" outlineLevel="0" collapsed="false">
      <c r="A195" s="27" t="n">
        <v>26</v>
      </c>
      <c r="B195" s="27" t="n">
        <f aca="false">'Education Cost Forecast'!B215</f>
        <v>0</v>
      </c>
      <c r="C195" s="28" t="n">
        <f aca="false">'Education Cost Forecast'!Z215</f>
        <v>0</v>
      </c>
      <c r="D195" s="28" t="n">
        <f aca="false">IF(AND(B195=1,'Education Cost Forecast'!F215&gt;0,'Education Cost Forecast'!E215=0),'Education Cost Forecast'!$E$45,0)</f>
        <v>0</v>
      </c>
      <c r="E195" s="27" t="n">
        <f aca="false">IF(AND(B195=1,A195&lt;='Education Cost Forecast'!$E$53),1,0)</f>
        <v>0</v>
      </c>
      <c r="F195" s="40" t="n">
        <f aca="false">(1+Esc)^(A195-1)</f>
        <v>3.38635494089939</v>
      </c>
      <c r="G195" s="28" t="n">
        <f aca="false">E195*('Education Cost Forecast'!$E$41*12*MonthlyFactor+'Education Cost Forecast'!$E$42)*F195</f>
        <v>0</v>
      </c>
      <c r="H195" s="28" t="n">
        <f aca="false">E195*UnitFactor*F195</f>
        <v>0</v>
      </c>
      <c r="I195" s="28" t="n">
        <f aca="false">J194+D195-C195</f>
        <v>0</v>
      </c>
      <c r="J195" s="28" t="n">
        <f aca="false">IF(B195=1,I195*(1+RetRate)+G195,J194)</f>
        <v>0</v>
      </c>
      <c r="K195" s="28" t="n">
        <f aca="false">L194</f>
        <v>0</v>
      </c>
      <c r="L195" s="28" t="n">
        <f aca="false">IF(B195=1,K195*(1+RetRate)+H195,L194)</f>
        <v>0</v>
      </c>
      <c r="M195" s="40" t="n">
        <f aca="false">(1+RetRate)^(A195-1)</f>
        <v>17.0000644066427</v>
      </c>
      <c r="N195" s="28" t="n">
        <f aca="false">IF(AND(B195=1,C195&gt;0,K195&lt;=0.000000000001,I195&lt;0),-I195/M195,0)</f>
        <v>0</v>
      </c>
      <c r="O195" s="28" t="n">
        <f aca="false">IF(AND(B195=1,C195&gt;0,K195&gt;0.000000000001),-(I195+$E$14*M195)/K195,0)</f>
        <v>0</v>
      </c>
      <c r="P195" s="28" t="n">
        <f aca="false">R194</f>
        <v>0</v>
      </c>
      <c r="Q195" s="28" t="n">
        <f aca="false">H195*$E$15</f>
        <v>0</v>
      </c>
      <c r="R195" s="28" t="n">
        <f aca="false">IF(B195=1,(P195+D195-C195)*(1+RetRate)+G195+Q195,P195)</f>
        <v>0</v>
      </c>
      <c r="S195" s="28" t="n">
        <f aca="false">V194</f>
        <v>0</v>
      </c>
      <c r="T195" s="28" t="n">
        <f aca="false">S195+D195-C195</f>
        <v>0</v>
      </c>
      <c r="U195" s="28" t="n">
        <f aca="false">IF(B195=1,MAX(0,-T195),0)</f>
        <v>0</v>
      </c>
      <c r="V195" s="28" t="n">
        <f aca="false">IF(B195=1,MAX(0,T195)*(1+RetRate)+G195,S195)</f>
        <v>0</v>
      </c>
      <c r="W195" s="28" t="n">
        <f aca="false">IF(A195&lt;=MIN('Education Cost Forecast'!$E$49,'Education Cost Forecast'!$E$53),G195*(1+RetRate)^('Education Cost Forecast'!$E$49-A195),0)</f>
        <v>0</v>
      </c>
      <c r="X195" s="28" t="n">
        <f aca="false">IF(B195=1,P195+D195-C195,0)</f>
        <v>0</v>
      </c>
    </row>
    <row r="196" customFormat="false" ht="15" hidden="false" customHeight="false" outlineLevel="0" collapsed="false">
      <c r="A196" s="27" t="n">
        <v>27</v>
      </c>
      <c r="B196" s="27" t="n">
        <f aca="false">'Education Cost Forecast'!B216</f>
        <v>0</v>
      </c>
      <c r="C196" s="28" t="n">
        <f aca="false">'Education Cost Forecast'!Z216</f>
        <v>0</v>
      </c>
      <c r="D196" s="28" t="n">
        <f aca="false">IF(AND(B196=1,'Education Cost Forecast'!F216&gt;0,'Education Cost Forecast'!E216=0),'Education Cost Forecast'!$E$45,0)</f>
        <v>0</v>
      </c>
      <c r="E196" s="27" t="n">
        <f aca="false">IF(AND(B196=1,A196&lt;='Education Cost Forecast'!$E$53),1,0)</f>
        <v>0</v>
      </c>
      <c r="F196" s="40" t="n">
        <f aca="false">(1+Esc)^(A196-1)</f>
        <v>3.55567268794436</v>
      </c>
      <c r="G196" s="28" t="n">
        <f aca="false">E196*('Education Cost Forecast'!$E$41*12*MonthlyFactor+'Education Cost Forecast'!$E$42)*F196</f>
        <v>0</v>
      </c>
      <c r="H196" s="28" t="n">
        <f aca="false">E196*UnitFactor*F196</f>
        <v>0</v>
      </c>
      <c r="I196" s="28" t="n">
        <f aca="false">J195+D196-C196</f>
        <v>0</v>
      </c>
      <c r="J196" s="28" t="n">
        <f aca="false">IF(B196=1,I196*(1+RetRate)+G196,J195)</f>
        <v>0</v>
      </c>
      <c r="K196" s="28" t="n">
        <f aca="false">L195</f>
        <v>0</v>
      </c>
      <c r="L196" s="28" t="n">
        <f aca="false">IF(B196=1,K196*(1+RetRate)+H196,L195)</f>
        <v>0</v>
      </c>
      <c r="M196" s="40" t="n">
        <f aca="false">(1+RetRate)^(A196-1)</f>
        <v>19.0400721354399</v>
      </c>
      <c r="N196" s="28" t="n">
        <f aca="false">IF(AND(B196=1,C196&gt;0,K196&lt;=0.000000000001,I196&lt;0),-I196/M196,0)</f>
        <v>0</v>
      </c>
      <c r="O196" s="28" t="n">
        <f aca="false">IF(AND(B196=1,C196&gt;0,K196&gt;0.000000000001),-(I196+$E$14*M196)/K196,0)</f>
        <v>0</v>
      </c>
      <c r="P196" s="28" t="n">
        <f aca="false">R195</f>
        <v>0</v>
      </c>
      <c r="Q196" s="28" t="n">
        <f aca="false">H196*$E$15</f>
        <v>0</v>
      </c>
      <c r="R196" s="28" t="n">
        <f aca="false">IF(B196=1,(P196+D196-C196)*(1+RetRate)+G196+Q196,P196)</f>
        <v>0</v>
      </c>
      <c r="S196" s="28" t="n">
        <f aca="false">V195</f>
        <v>0</v>
      </c>
      <c r="T196" s="28" t="n">
        <f aca="false">S196+D196-C196</f>
        <v>0</v>
      </c>
      <c r="U196" s="28" t="n">
        <f aca="false">IF(B196=1,MAX(0,-T196),0)</f>
        <v>0</v>
      </c>
      <c r="V196" s="28" t="n">
        <f aca="false">IF(B196=1,MAX(0,T196)*(1+RetRate)+G196,S196)</f>
        <v>0</v>
      </c>
      <c r="W196" s="28" t="n">
        <f aca="false">IF(A196&lt;=MIN('Education Cost Forecast'!$E$49,'Education Cost Forecast'!$E$53),G196*(1+RetRate)^('Education Cost Forecast'!$E$49-A196),0)</f>
        <v>0</v>
      </c>
      <c r="X196" s="28" t="n">
        <f aca="false">IF(B196=1,P196+D196-C196,0)</f>
        <v>0</v>
      </c>
    </row>
    <row r="197" customFormat="false" ht="15" hidden="false" customHeight="false" outlineLevel="0" collapsed="false">
      <c r="A197" s="27" t="n">
        <v>28</v>
      </c>
      <c r="B197" s="27" t="n">
        <f aca="false">'Education Cost Forecast'!B217</f>
        <v>0</v>
      </c>
      <c r="C197" s="28" t="n">
        <f aca="false">'Education Cost Forecast'!Z217</f>
        <v>0</v>
      </c>
      <c r="D197" s="28" t="n">
        <f aca="false">IF(AND(B197=1,'Education Cost Forecast'!F217&gt;0,'Education Cost Forecast'!E217=0),'Education Cost Forecast'!$E$45,0)</f>
        <v>0</v>
      </c>
      <c r="E197" s="27" t="n">
        <f aca="false">IF(AND(B197=1,A197&lt;='Education Cost Forecast'!$E$53),1,0)</f>
        <v>0</v>
      </c>
      <c r="F197" s="40" t="n">
        <f aca="false">(1+Esc)^(A197-1)</f>
        <v>3.73345632234158</v>
      </c>
      <c r="G197" s="28" t="n">
        <f aca="false">E197*('Education Cost Forecast'!$E$41*12*MonthlyFactor+'Education Cost Forecast'!$E$42)*F197</f>
        <v>0</v>
      </c>
      <c r="H197" s="28" t="n">
        <f aca="false">E197*UnitFactor*F197</f>
        <v>0</v>
      </c>
      <c r="I197" s="28" t="n">
        <f aca="false">J196+D197-C197</f>
        <v>0</v>
      </c>
      <c r="J197" s="28" t="n">
        <f aca="false">IF(B197=1,I197*(1+RetRate)+G197,J196)</f>
        <v>0</v>
      </c>
      <c r="K197" s="28" t="n">
        <f aca="false">L196</f>
        <v>0</v>
      </c>
      <c r="L197" s="28" t="n">
        <f aca="false">IF(B197=1,K197*(1+RetRate)+H197,L196)</f>
        <v>0</v>
      </c>
      <c r="M197" s="40" t="n">
        <f aca="false">(1+RetRate)^(A197-1)</f>
        <v>21.3248807916926</v>
      </c>
      <c r="N197" s="28" t="n">
        <f aca="false">IF(AND(B197=1,C197&gt;0,K197&lt;=0.000000000001,I197&lt;0),-I197/M197,0)</f>
        <v>0</v>
      </c>
      <c r="O197" s="28" t="n">
        <f aca="false">IF(AND(B197=1,C197&gt;0,K197&gt;0.000000000001),-(I197+$E$14*M197)/K197,0)</f>
        <v>0</v>
      </c>
      <c r="P197" s="28" t="n">
        <f aca="false">R196</f>
        <v>0</v>
      </c>
      <c r="Q197" s="28" t="n">
        <f aca="false">H197*$E$15</f>
        <v>0</v>
      </c>
      <c r="R197" s="28" t="n">
        <f aca="false">IF(B197=1,(P197+D197-C197)*(1+RetRate)+G197+Q197,P197)</f>
        <v>0</v>
      </c>
      <c r="S197" s="28" t="n">
        <f aca="false">V196</f>
        <v>0</v>
      </c>
      <c r="T197" s="28" t="n">
        <f aca="false">S197+D197-C197</f>
        <v>0</v>
      </c>
      <c r="U197" s="28" t="n">
        <f aca="false">IF(B197=1,MAX(0,-T197),0)</f>
        <v>0</v>
      </c>
      <c r="V197" s="28" t="n">
        <f aca="false">IF(B197=1,MAX(0,T197)*(1+RetRate)+G197,S197)</f>
        <v>0</v>
      </c>
      <c r="W197" s="28" t="n">
        <f aca="false">IF(A197&lt;=MIN('Education Cost Forecast'!$E$49,'Education Cost Forecast'!$E$53),G197*(1+RetRate)^('Education Cost Forecast'!$E$49-A197),0)</f>
        <v>0</v>
      </c>
      <c r="X197" s="28" t="n">
        <f aca="false">IF(B197=1,P197+D197-C197,0)</f>
        <v>0</v>
      </c>
    </row>
    <row r="198" customFormat="false" ht="15" hidden="false" customHeight="false" outlineLevel="0" collapsed="false">
      <c r="A198" s="27" t="n">
        <v>29</v>
      </c>
      <c r="B198" s="27" t="n">
        <f aca="false">'Education Cost Forecast'!B218</f>
        <v>0</v>
      </c>
      <c r="C198" s="28" t="n">
        <f aca="false">'Education Cost Forecast'!Z218</f>
        <v>0</v>
      </c>
      <c r="D198" s="28" t="n">
        <f aca="false">IF(AND(B198=1,'Education Cost Forecast'!F218&gt;0,'Education Cost Forecast'!E218=0),'Education Cost Forecast'!$E$45,0)</f>
        <v>0</v>
      </c>
      <c r="E198" s="27" t="n">
        <f aca="false">IF(AND(B198=1,A198&lt;='Education Cost Forecast'!$E$53),1,0)</f>
        <v>0</v>
      </c>
      <c r="F198" s="40" t="n">
        <f aca="false">(1+Esc)^(A198-1)</f>
        <v>3.92012913845866</v>
      </c>
      <c r="G198" s="28" t="n">
        <f aca="false">E198*('Education Cost Forecast'!$E$41*12*MonthlyFactor+'Education Cost Forecast'!$E$42)*F198</f>
        <v>0</v>
      </c>
      <c r="H198" s="28" t="n">
        <f aca="false">E198*UnitFactor*F198</f>
        <v>0</v>
      </c>
      <c r="I198" s="28" t="n">
        <f aca="false">J197+D198-C198</f>
        <v>0</v>
      </c>
      <c r="J198" s="28" t="n">
        <f aca="false">IF(B198=1,I198*(1+RetRate)+G198,J197)</f>
        <v>0</v>
      </c>
      <c r="K198" s="28" t="n">
        <f aca="false">L197</f>
        <v>0</v>
      </c>
      <c r="L198" s="28" t="n">
        <f aca="false">IF(B198=1,K198*(1+RetRate)+H198,L197)</f>
        <v>0</v>
      </c>
      <c r="M198" s="40" t="n">
        <f aca="false">(1+RetRate)^(A198-1)</f>
        <v>23.8838664866958</v>
      </c>
      <c r="N198" s="28" t="n">
        <f aca="false">IF(AND(B198=1,C198&gt;0,K198&lt;=0.000000000001,I198&lt;0),-I198/M198,0)</f>
        <v>0</v>
      </c>
      <c r="O198" s="28" t="n">
        <f aca="false">IF(AND(B198=1,C198&gt;0,K198&gt;0.000000000001),-(I198+$E$14*M198)/K198,0)</f>
        <v>0</v>
      </c>
      <c r="P198" s="28" t="n">
        <f aca="false">R197</f>
        <v>0</v>
      </c>
      <c r="Q198" s="28" t="n">
        <f aca="false">H198*$E$15</f>
        <v>0</v>
      </c>
      <c r="R198" s="28" t="n">
        <f aca="false">IF(B198=1,(P198+D198-C198)*(1+RetRate)+G198+Q198,P198)</f>
        <v>0</v>
      </c>
      <c r="S198" s="28" t="n">
        <f aca="false">V197</f>
        <v>0</v>
      </c>
      <c r="T198" s="28" t="n">
        <f aca="false">S198+D198-C198</f>
        <v>0</v>
      </c>
      <c r="U198" s="28" t="n">
        <f aca="false">IF(B198=1,MAX(0,-T198),0)</f>
        <v>0</v>
      </c>
      <c r="V198" s="28" t="n">
        <f aca="false">IF(B198=1,MAX(0,T198)*(1+RetRate)+G198,S198)</f>
        <v>0</v>
      </c>
      <c r="W198" s="28" t="n">
        <f aca="false">IF(A198&lt;=MIN('Education Cost Forecast'!$E$49,'Education Cost Forecast'!$E$53),G198*(1+RetRate)^('Education Cost Forecast'!$E$49-A198),0)</f>
        <v>0</v>
      </c>
      <c r="X198" s="28" t="n">
        <f aca="false">IF(B198=1,P198+D198-C198,0)</f>
        <v>0</v>
      </c>
    </row>
    <row r="199" customFormat="false" ht="15" hidden="false" customHeight="false" outlineLevel="0" collapsed="false">
      <c r="A199" s="27" t="n">
        <v>30</v>
      </c>
      <c r="B199" s="27" t="n">
        <f aca="false">'Education Cost Forecast'!B219</f>
        <v>0</v>
      </c>
      <c r="C199" s="28" t="n">
        <f aca="false">'Education Cost Forecast'!Z219</f>
        <v>0</v>
      </c>
      <c r="D199" s="28" t="n">
        <f aca="false">IF(AND(B199=1,'Education Cost Forecast'!F219&gt;0,'Education Cost Forecast'!E219=0),'Education Cost Forecast'!$E$45,0)</f>
        <v>0</v>
      </c>
      <c r="E199" s="27" t="n">
        <f aca="false">IF(AND(B199=1,A199&lt;='Education Cost Forecast'!$E$53),1,0)</f>
        <v>0</v>
      </c>
      <c r="F199" s="40" t="n">
        <f aca="false">(1+Esc)^(A199-1)</f>
        <v>4.11613559538159</v>
      </c>
      <c r="G199" s="28" t="n">
        <f aca="false">E199*('Education Cost Forecast'!$E$41*12*MonthlyFactor+'Education Cost Forecast'!$E$42)*F199</f>
        <v>0</v>
      </c>
      <c r="H199" s="28" t="n">
        <f aca="false">E199*UnitFactor*F199</f>
        <v>0</v>
      </c>
      <c r="I199" s="28" t="n">
        <f aca="false">J198+D199-C199</f>
        <v>0</v>
      </c>
      <c r="J199" s="28" t="n">
        <f aca="false">IF(B199=1,I199*(1+RetRate)+G199,J198)</f>
        <v>0</v>
      </c>
      <c r="K199" s="28" t="n">
        <f aca="false">L198</f>
        <v>0</v>
      </c>
      <c r="L199" s="28" t="n">
        <f aca="false">IF(B199=1,K199*(1+RetRate)+H199,L198)</f>
        <v>0</v>
      </c>
      <c r="M199" s="40" t="n">
        <f aca="false">(1+RetRate)^(A199-1)</f>
        <v>26.7499304650992</v>
      </c>
      <c r="N199" s="28" t="n">
        <f aca="false">IF(AND(B199=1,C199&gt;0,K199&lt;=0.000000000001,I199&lt;0),-I199/M199,0)</f>
        <v>0</v>
      </c>
      <c r="O199" s="28" t="n">
        <f aca="false">IF(AND(B199=1,C199&gt;0,K199&gt;0.000000000001),-(I199+$E$14*M199)/K199,0)</f>
        <v>0</v>
      </c>
      <c r="P199" s="28" t="n">
        <f aca="false">R198</f>
        <v>0</v>
      </c>
      <c r="Q199" s="28" t="n">
        <f aca="false">H199*$E$15</f>
        <v>0</v>
      </c>
      <c r="R199" s="28" t="n">
        <f aca="false">IF(B199=1,(P199+D199-C199)*(1+RetRate)+G199+Q199,P199)</f>
        <v>0</v>
      </c>
      <c r="S199" s="28" t="n">
        <f aca="false">V198</f>
        <v>0</v>
      </c>
      <c r="T199" s="28" t="n">
        <f aca="false">S199+D199-C199</f>
        <v>0</v>
      </c>
      <c r="U199" s="28" t="n">
        <f aca="false">IF(B199=1,MAX(0,-T199),0)</f>
        <v>0</v>
      </c>
      <c r="V199" s="28" t="n">
        <f aca="false">IF(B199=1,MAX(0,T199)*(1+RetRate)+G199,S199)</f>
        <v>0</v>
      </c>
      <c r="W199" s="28" t="n">
        <f aca="false">IF(A199&lt;=MIN('Education Cost Forecast'!$E$49,'Education Cost Forecast'!$E$53),G199*(1+RetRate)^('Education Cost Forecast'!$E$49-A199),0)</f>
        <v>0</v>
      </c>
      <c r="X199" s="28" t="n">
        <f aca="false">IF(B199=1,P199+D199-C199,0)</f>
        <v>0</v>
      </c>
    </row>
    <row r="200" customFormat="false" ht="15" hidden="false" customHeight="false" outlineLevel="0" collapsed="false">
      <c r="A200" s="27" t="n">
        <v>31</v>
      </c>
      <c r="B200" s="27" t="n">
        <f aca="false">'Education Cost Forecast'!B220</f>
        <v>0</v>
      </c>
      <c r="C200" s="28" t="n">
        <f aca="false">'Education Cost Forecast'!Z220</f>
        <v>0</v>
      </c>
      <c r="D200" s="28" t="n">
        <f aca="false">IF(AND(B200=1,'Education Cost Forecast'!F220&gt;0,'Education Cost Forecast'!E220=0),'Education Cost Forecast'!$E$45,0)</f>
        <v>0</v>
      </c>
      <c r="E200" s="27" t="n">
        <f aca="false">IF(AND(B200=1,A200&lt;='Education Cost Forecast'!$E$53),1,0)</f>
        <v>0</v>
      </c>
      <c r="F200" s="40" t="n">
        <f aca="false">(1+Esc)^(A200-1)</f>
        <v>4.32194237515067</v>
      </c>
      <c r="G200" s="28" t="n">
        <f aca="false">E200*('Education Cost Forecast'!$E$41*12*MonthlyFactor+'Education Cost Forecast'!$E$42)*F200</f>
        <v>0</v>
      </c>
      <c r="H200" s="28" t="n">
        <f aca="false">E200*UnitFactor*F200</f>
        <v>0</v>
      </c>
      <c r="I200" s="28" t="n">
        <f aca="false">J199+D200-C200</f>
        <v>0</v>
      </c>
      <c r="J200" s="28" t="n">
        <f aca="false">IF(B200=1,I200*(1+RetRate)+G200,J199)</f>
        <v>0</v>
      </c>
      <c r="K200" s="28" t="n">
        <f aca="false">L199</f>
        <v>0</v>
      </c>
      <c r="L200" s="28" t="n">
        <f aca="false">IF(B200=1,K200*(1+RetRate)+H200,L199)</f>
        <v>0</v>
      </c>
      <c r="M200" s="40" t="n">
        <f aca="false">(1+RetRate)^(A200-1)</f>
        <v>29.9599221209112</v>
      </c>
      <c r="N200" s="28" t="n">
        <f aca="false">IF(AND(B200=1,C200&gt;0,K200&lt;=0.000000000001,I200&lt;0),-I200/M200,0)</f>
        <v>0</v>
      </c>
      <c r="O200" s="28" t="n">
        <f aca="false">IF(AND(B200=1,C200&gt;0,K200&gt;0.000000000001),-(I200+$E$14*M200)/K200,0)</f>
        <v>0</v>
      </c>
      <c r="P200" s="28" t="n">
        <f aca="false">R199</f>
        <v>0</v>
      </c>
      <c r="Q200" s="28" t="n">
        <f aca="false">H200*$E$15</f>
        <v>0</v>
      </c>
      <c r="R200" s="28" t="n">
        <f aca="false">IF(B200=1,(P200+D200-C200)*(1+RetRate)+G200+Q200,P200)</f>
        <v>0</v>
      </c>
      <c r="S200" s="28" t="n">
        <f aca="false">V199</f>
        <v>0</v>
      </c>
      <c r="T200" s="28" t="n">
        <f aca="false">S200+D200-C200</f>
        <v>0</v>
      </c>
      <c r="U200" s="28" t="n">
        <f aca="false">IF(B200=1,MAX(0,-T200),0)</f>
        <v>0</v>
      </c>
      <c r="V200" s="28" t="n">
        <f aca="false">IF(B200=1,MAX(0,T200)*(1+RetRate)+G200,S200)</f>
        <v>0</v>
      </c>
      <c r="W200" s="28" t="n">
        <f aca="false">IF(A200&lt;=MIN('Education Cost Forecast'!$E$49,'Education Cost Forecast'!$E$53),G200*(1+RetRate)^('Education Cost Forecast'!$E$49-A200),0)</f>
        <v>0</v>
      </c>
      <c r="X200" s="28" t="n">
        <f aca="false">IF(B200=1,P200+D200-C200,0)</f>
        <v>0</v>
      </c>
    </row>
    <row r="201" customFormat="false" ht="15" hidden="false" customHeight="false" outlineLevel="0" collapsed="false">
      <c r="A201" s="27" t="n">
        <v>32</v>
      </c>
      <c r="B201" s="27" t="n">
        <f aca="false">'Education Cost Forecast'!B221</f>
        <v>0</v>
      </c>
      <c r="C201" s="28" t="n">
        <f aca="false">'Education Cost Forecast'!Z221</f>
        <v>0</v>
      </c>
      <c r="D201" s="28" t="n">
        <f aca="false">IF(AND(B201=1,'Education Cost Forecast'!F221&gt;0,'Education Cost Forecast'!E221=0),'Education Cost Forecast'!$E$45,0)</f>
        <v>0</v>
      </c>
      <c r="E201" s="27" t="n">
        <f aca="false">IF(AND(B201=1,A201&lt;='Education Cost Forecast'!$E$53),1,0)</f>
        <v>0</v>
      </c>
      <c r="F201" s="40" t="n">
        <f aca="false">(1+Esc)^(A201-1)</f>
        <v>4.5380394939082</v>
      </c>
      <c r="G201" s="28" t="n">
        <f aca="false">E201*('Education Cost Forecast'!$E$41*12*MonthlyFactor+'Education Cost Forecast'!$E$42)*F201</f>
        <v>0</v>
      </c>
      <c r="H201" s="28" t="n">
        <f aca="false">E201*UnitFactor*F201</f>
        <v>0</v>
      </c>
      <c r="I201" s="28" t="n">
        <f aca="false">J200+D201-C201</f>
        <v>0</v>
      </c>
      <c r="J201" s="28" t="n">
        <f aca="false">IF(B201=1,I201*(1+RetRate)+G201,J200)</f>
        <v>0</v>
      </c>
      <c r="K201" s="28" t="n">
        <f aca="false">L200</f>
        <v>0</v>
      </c>
      <c r="L201" s="28" t="n">
        <f aca="false">IF(B201=1,K201*(1+RetRate)+H201,L200)</f>
        <v>0</v>
      </c>
      <c r="M201" s="40" t="n">
        <f aca="false">(1+RetRate)^(A201-1)</f>
        <v>33.5551127754205</v>
      </c>
      <c r="N201" s="28" t="n">
        <f aca="false">IF(AND(B201=1,C201&gt;0,K201&lt;=0.000000000001,I201&lt;0),-I201/M201,0)</f>
        <v>0</v>
      </c>
      <c r="O201" s="28" t="n">
        <f aca="false">IF(AND(B201=1,C201&gt;0,K201&gt;0.000000000001),-(I201+$E$14*M201)/K201,0)</f>
        <v>0</v>
      </c>
      <c r="P201" s="28" t="n">
        <f aca="false">R200</f>
        <v>0</v>
      </c>
      <c r="Q201" s="28" t="n">
        <f aca="false">H201*$E$15</f>
        <v>0</v>
      </c>
      <c r="R201" s="28" t="n">
        <f aca="false">IF(B201=1,(P201+D201-C201)*(1+RetRate)+G201+Q201,P201)</f>
        <v>0</v>
      </c>
      <c r="S201" s="28" t="n">
        <f aca="false">V200</f>
        <v>0</v>
      </c>
      <c r="T201" s="28" t="n">
        <f aca="false">S201+D201-C201</f>
        <v>0</v>
      </c>
      <c r="U201" s="28" t="n">
        <f aca="false">IF(B201=1,MAX(0,-T201),0)</f>
        <v>0</v>
      </c>
      <c r="V201" s="28" t="n">
        <f aca="false">IF(B201=1,MAX(0,T201)*(1+RetRate)+G201,S201)</f>
        <v>0</v>
      </c>
      <c r="W201" s="28" t="n">
        <f aca="false">IF(A201&lt;=MIN('Education Cost Forecast'!$E$49,'Education Cost Forecast'!$E$53),G201*(1+RetRate)^('Education Cost Forecast'!$E$49-A201),0)</f>
        <v>0</v>
      </c>
      <c r="X201" s="28" t="n">
        <f aca="false">IF(B201=1,P201+D201-C201,0)</f>
        <v>0</v>
      </c>
    </row>
    <row r="202" customFormat="false" ht="15" hidden="false" customHeight="false" outlineLevel="0" collapsed="false">
      <c r="A202" s="27" t="n">
        <v>33</v>
      </c>
      <c r="B202" s="27" t="n">
        <f aca="false">'Education Cost Forecast'!B222</f>
        <v>0</v>
      </c>
      <c r="C202" s="28" t="n">
        <f aca="false">'Education Cost Forecast'!Z222</f>
        <v>0</v>
      </c>
      <c r="D202" s="28" t="n">
        <f aca="false">IF(AND(B202=1,'Education Cost Forecast'!F222&gt;0,'Education Cost Forecast'!E222=0),'Education Cost Forecast'!$E$45,0)</f>
        <v>0</v>
      </c>
      <c r="E202" s="27" t="n">
        <f aca="false">IF(AND(B202=1,A202&lt;='Education Cost Forecast'!$E$53),1,0)</f>
        <v>0</v>
      </c>
      <c r="F202" s="40" t="n">
        <f aca="false">(1+Esc)^(A202-1)</f>
        <v>4.76494146860361</v>
      </c>
      <c r="G202" s="28" t="n">
        <f aca="false">E202*('Education Cost Forecast'!$E$41*12*MonthlyFactor+'Education Cost Forecast'!$E$42)*F202</f>
        <v>0</v>
      </c>
      <c r="H202" s="28" t="n">
        <f aca="false">E202*UnitFactor*F202</f>
        <v>0</v>
      </c>
      <c r="I202" s="28" t="n">
        <f aca="false">J201+D202-C202</f>
        <v>0</v>
      </c>
      <c r="J202" s="28" t="n">
        <f aca="false">IF(B202=1,I202*(1+RetRate)+G202,J201)</f>
        <v>0</v>
      </c>
      <c r="K202" s="28" t="n">
        <f aca="false">L201</f>
        <v>0</v>
      </c>
      <c r="L202" s="28" t="n">
        <f aca="false">IF(B202=1,K202*(1+RetRate)+H202,L201)</f>
        <v>0</v>
      </c>
      <c r="M202" s="40" t="n">
        <f aca="false">(1+RetRate)^(A202-1)</f>
        <v>37.581726308471</v>
      </c>
      <c r="N202" s="28" t="n">
        <f aca="false">IF(AND(B202=1,C202&gt;0,K202&lt;=0.000000000001,I202&lt;0),-I202/M202,0)</f>
        <v>0</v>
      </c>
      <c r="O202" s="28" t="n">
        <f aca="false">IF(AND(B202=1,C202&gt;0,K202&gt;0.000000000001),-(I202+$E$14*M202)/K202,0)</f>
        <v>0</v>
      </c>
      <c r="P202" s="28" t="n">
        <f aca="false">R201</f>
        <v>0</v>
      </c>
      <c r="Q202" s="28" t="n">
        <f aca="false">H202*$E$15</f>
        <v>0</v>
      </c>
      <c r="R202" s="28" t="n">
        <f aca="false">IF(B202=1,(P202+D202-C202)*(1+RetRate)+G202+Q202,P202)</f>
        <v>0</v>
      </c>
      <c r="S202" s="28" t="n">
        <f aca="false">V201</f>
        <v>0</v>
      </c>
      <c r="T202" s="28" t="n">
        <f aca="false">S202+D202-C202</f>
        <v>0</v>
      </c>
      <c r="U202" s="28" t="n">
        <f aca="false">IF(B202=1,MAX(0,-T202),0)</f>
        <v>0</v>
      </c>
      <c r="V202" s="28" t="n">
        <f aca="false">IF(B202=1,MAX(0,T202)*(1+RetRate)+G202,S202)</f>
        <v>0</v>
      </c>
      <c r="W202" s="28" t="n">
        <f aca="false">IF(A202&lt;=MIN('Education Cost Forecast'!$E$49,'Education Cost Forecast'!$E$53),G202*(1+RetRate)^('Education Cost Forecast'!$E$49-A202),0)</f>
        <v>0</v>
      </c>
      <c r="X202" s="28" t="n">
        <f aca="false">IF(B202=1,P202+D202-C202,0)</f>
        <v>0</v>
      </c>
    </row>
    <row r="203" customFormat="false" ht="15" hidden="false" customHeight="false" outlineLevel="0" collapsed="false">
      <c r="A203" s="27" t="n">
        <v>34</v>
      </c>
      <c r="B203" s="27" t="n">
        <f aca="false">'Education Cost Forecast'!B223</f>
        <v>0</v>
      </c>
      <c r="C203" s="28" t="n">
        <f aca="false">'Education Cost Forecast'!Z223</f>
        <v>0</v>
      </c>
      <c r="D203" s="28" t="n">
        <f aca="false">IF(AND(B203=1,'Education Cost Forecast'!F223&gt;0,'Education Cost Forecast'!E223=0),'Education Cost Forecast'!$E$45,0)</f>
        <v>0</v>
      </c>
      <c r="E203" s="27" t="n">
        <f aca="false">IF(AND(B203=1,A203&lt;='Education Cost Forecast'!$E$53),1,0)</f>
        <v>0</v>
      </c>
      <c r="F203" s="40" t="n">
        <f aca="false">(1+Esc)^(A203-1)</f>
        <v>5.00318854203379</v>
      </c>
      <c r="G203" s="28" t="n">
        <f aca="false">E203*('Education Cost Forecast'!$E$41*12*MonthlyFactor+'Education Cost Forecast'!$E$42)*F203</f>
        <v>0</v>
      </c>
      <c r="H203" s="28" t="n">
        <f aca="false">E203*UnitFactor*F203</f>
        <v>0</v>
      </c>
      <c r="I203" s="28" t="n">
        <f aca="false">J202+D203-C203</f>
        <v>0</v>
      </c>
      <c r="J203" s="28" t="n">
        <f aca="false">IF(B203=1,I203*(1+RetRate)+G203,J202)</f>
        <v>0</v>
      </c>
      <c r="K203" s="28" t="n">
        <f aca="false">L202</f>
        <v>0</v>
      </c>
      <c r="L203" s="28" t="n">
        <f aca="false">IF(B203=1,K203*(1+RetRate)+H203,L202)</f>
        <v>0</v>
      </c>
      <c r="M203" s="40" t="n">
        <f aca="false">(1+RetRate)^(A203-1)</f>
        <v>42.0915334654875</v>
      </c>
      <c r="N203" s="28" t="n">
        <f aca="false">IF(AND(B203=1,C203&gt;0,K203&lt;=0.000000000001,I203&lt;0),-I203/M203,0)</f>
        <v>0</v>
      </c>
      <c r="O203" s="28" t="n">
        <f aca="false">IF(AND(B203=1,C203&gt;0,K203&gt;0.000000000001),-(I203+$E$14*M203)/K203,0)</f>
        <v>0</v>
      </c>
      <c r="P203" s="28" t="n">
        <f aca="false">R202</f>
        <v>0</v>
      </c>
      <c r="Q203" s="28" t="n">
        <f aca="false">H203*$E$15</f>
        <v>0</v>
      </c>
      <c r="R203" s="28" t="n">
        <f aca="false">IF(B203=1,(P203+D203-C203)*(1+RetRate)+G203+Q203,P203)</f>
        <v>0</v>
      </c>
      <c r="S203" s="28" t="n">
        <f aca="false">V202</f>
        <v>0</v>
      </c>
      <c r="T203" s="28" t="n">
        <f aca="false">S203+D203-C203</f>
        <v>0</v>
      </c>
      <c r="U203" s="28" t="n">
        <f aca="false">IF(B203=1,MAX(0,-T203),0)</f>
        <v>0</v>
      </c>
      <c r="V203" s="28" t="n">
        <f aca="false">IF(B203=1,MAX(0,T203)*(1+RetRate)+G203,S203)</f>
        <v>0</v>
      </c>
      <c r="W203" s="28" t="n">
        <f aca="false">IF(A203&lt;=MIN('Education Cost Forecast'!$E$49,'Education Cost Forecast'!$E$53),G203*(1+RetRate)^('Education Cost Forecast'!$E$49-A203),0)</f>
        <v>0</v>
      </c>
      <c r="X203" s="28" t="n">
        <f aca="false">IF(B203=1,P203+D203-C203,0)</f>
        <v>0</v>
      </c>
    </row>
    <row r="204" customFormat="false" ht="15" hidden="false" customHeight="false" outlineLevel="0" collapsed="false">
      <c r="A204" s="27" t="n">
        <v>35</v>
      </c>
      <c r="B204" s="27" t="n">
        <f aca="false">'Education Cost Forecast'!B224</f>
        <v>0</v>
      </c>
      <c r="C204" s="28" t="n">
        <f aca="false">'Education Cost Forecast'!Z224</f>
        <v>0</v>
      </c>
      <c r="D204" s="28" t="n">
        <f aca="false">IF(AND(B204=1,'Education Cost Forecast'!F224&gt;0,'Education Cost Forecast'!E224=0),'Education Cost Forecast'!$E$45,0)</f>
        <v>0</v>
      </c>
      <c r="E204" s="27" t="n">
        <f aca="false">IF(AND(B204=1,A204&lt;='Education Cost Forecast'!$E$53),1,0)</f>
        <v>0</v>
      </c>
      <c r="F204" s="40" t="n">
        <f aca="false">(1+Esc)^(A204-1)</f>
        <v>5.25334796913548</v>
      </c>
      <c r="G204" s="28" t="n">
        <f aca="false">E204*('Education Cost Forecast'!$E$41*12*MonthlyFactor+'Education Cost Forecast'!$E$42)*F204</f>
        <v>0</v>
      </c>
      <c r="H204" s="28" t="n">
        <f aca="false">E204*UnitFactor*F204</f>
        <v>0</v>
      </c>
      <c r="I204" s="28" t="n">
        <f aca="false">J203+D204-C204</f>
        <v>0</v>
      </c>
      <c r="J204" s="28" t="n">
        <f aca="false">IF(B204=1,I204*(1+RetRate)+G204,J203)</f>
        <v>0</v>
      </c>
      <c r="K204" s="28" t="n">
        <f aca="false">L203</f>
        <v>0</v>
      </c>
      <c r="L204" s="28" t="n">
        <f aca="false">IF(B204=1,K204*(1+RetRate)+H204,L203)</f>
        <v>0</v>
      </c>
      <c r="M204" s="40" t="n">
        <f aca="false">(1+RetRate)^(A204-1)</f>
        <v>47.142517481346</v>
      </c>
      <c r="N204" s="28" t="n">
        <f aca="false">IF(AND(B204=1,C204&gt;0,K204&lt;=0.000000000001,I204&lt;0),-I204/M204,0)</f>
        <v>0</v>
      </c>
      <c r="O204" s="28" t="n">
        <f aca="false">IF(AND(B204=1,C204&gt;0,K204&gt;0.000000000001),-(I204+$E$14*M204)/K204,0)</f>
        <v>0</v>
      </c>
      <c r="P204" s="28" t="n">
        <f aca="false">R203</f>
        <v>0</v>
      </c>
      <c r="Q204" s="28" t="n">
        <f aca="false">H204*$E$15</f>
        <v>0</v>
      </c>
      <c r="R204" s="28" t="n">
        <f aca="false">IF(B204=1,(P204+D204-C204)*(1+RetRate)+G204+Q204,P204)</f>
        <v>0</v>
      </c>
      <c r="S204" s="28" t="n">
        <f aca="false">V203</f>
        <v>0</v>
      </c>
      <c r="T204" s="28" t="n">
        <f aca="false">S204+D204-C204</f>
        <v>0</v>
      </c>
      <c r="U204" s="28" t="n">
        <f aca="false">IF(B204=1,MAX(0,-T204),0)</f>
        <v>0</v>
      </c>
      <c r="V204" s="28" t="n">
        <f aca="false">IF(B204=1,MAX(0,T204)*(1+RetRate)+G204,S204)</f>
        <v>0</v>
      </c>
      <c r="W204" s="28" t="n">
        <f aca="false">IF(A204&lt;=MIN('Education Cost Forecast'!$E$49,'Education Cost Forecast'!$E$53),G204*(1+RetRate)^('Education Cost Forecast'!$E$49-A204),0)</f>
        <v>0</v>
      </c>
      <c r="X204" s="28" t="n">
        <f aca="false">IF(B204=1,P204+D204-C204,0)</f>
        <v>0</v>
      </c>
    </row>
    <row r="205" customFormat="false" ht="15" hidden="false" customHeight="false" outlineLevel="0" collapsed="false">
      <c r="A205" s="27" t="n">
        <v>36</v>
      </c>
      <c r="B205" s="27" t="n">
        <f aca="false">'Education Cost Forecast'!B225</f>
        <v>0</v>
      </c>
      <c r="C205" s="28" t="n">
        <f aca="false">'Education Cost Forecast'!Z225</f>
        <v>0</v>
      </c>
      <c r="D205" s="28" t="n">
        <f aca="false">IF(AND(B205=1,'Education Cost Forecast'!F225&gt;0,'Education Cost Forecast'!E225=0),'Education Cost Forecast'!$E$45,0)</f>
        <v>0</v>
      </c>
      <c r="E205" s="27" t="n">
        <f aca="false">IF(AND(B205=1,A205&lt;='Education Cost Forecast'!$E$53),1,0)</f>
        <v>0</v>
      </c>
      <c r="F205" s="40" t="n">
        <f aca="false">(1+Esc)^(A205-1)</f>
        <v>5.51601536759226</v>
      </c>
      <c r="G205" s="28" t="n">
        <f aca="false">E205*('Education Cost Forecast'!$E$41*12*MonthlyFactor+'Education Cost Forecast'!$E$42)*F205</f>
        <v>0</v>
      </c>
      <c r="H205" s="28" t="n">
        <f aca="false">E205*UnitFactor*F205</f>
        <v>0</v>
      </c>
      <c r="I205" s="28" t="n">
        <f aca="false">J204+D205-C205</f>
        <v>0</v>
      </c>
      <c r="J205" s="28" t="n">
        <f aca="false">IF(B205=1,I205*(1+RetRate)+G205,J204)</f>
        <v>0</v>
      </c>
      <c r="K205" s="28" t="n">
        <f aca="false">L204</f>
        <v>0</v>
      </c>
      <c r="L205" s="28" t="n">
        <f aca="false">IF(B205=1,K205*(1+RetRate)+H205,L204)</f>
        <v>0</v>
      </c>
      <c r="M205" s="40" t="n">
        <f aca="false">(1+RetRate)^(A205-1)</f>
        <v>52.7996195791075</v>
      </c>
      <c r="N205" s="28" t="n">
        <f aca="false">IF(AND(B205=1,C205&gt;0,K205&lt;=0.000000000001,I205&lt;0),-I205/M205,0)</f>
        <v>0</v>
      </c>
      <c r="O205" s="28" t="n">
        <f aca="false">IF(AND(B205=1,C205&gt;0,K205&gt;0.000000000001),-(I205+$E$14*M205)/K205,0)</f>
        <v>0</v>
      </c>
      <c r="P205" s="28" t="n">
        <f aca="false">R204</f>
        <v>0</v>
      </c>
      <c r="Q205" s="28" t="n">
        <f aca="false">H205*$E$15</f>
        <v>0</v>
      </c>
      <c r="R205" s="28" t="n">
        <f aca="false">IF(B205=1,(P205+D205-C205)*(1+RetRate)+G205+Q205,P205)</f>
        <v>0</v>
      </c>
      <c r="S205" s="28" t="n">
        <f aca="false">V204</f>
        <v>0</v>
      </c>
      <c r="T205" s="28" t="n">
        <f aca="false">S205+D205-C205</f>
        <v>0</v>
      </c>
      <c r="U205" s="28" t="n">
        <f aca="false">IF(B205=1,MAX(0,-T205),0)</f>
        <v>0</v>
      </c>
      <c r="V205" s="28" t="n">
        <f aca="false">IF(B205=1,MAX(0,T205)*(1+RetRate)+G205,S205)</f>
        <v>0</v>
      </c>
      <c r="W205" s="28" t="n">
        <f aca="false">IF(A205&lt;=MIN('Education Cost Forecast'!$E$49,'Education Cost Forecast'!$E$53),G205*(1+RetRate)^('Education Cost Forecast'!$E$49-A205),0)</f>
        <v>0</v>
      </c>
      <c r="X205" s="28" t="n">
        <f aca="false">IF(B205=1,P205+D205-C205,0)</f>
        <v>0</v>
      </c>
    </row>
    <row r="206" customFormat="false" ht="15" hidden="false" customHeight="false" outlineLevel="0" collapsed="false">
      <c r="A206" s="27" t="n">
        <v>37</v>
      </c>
      <c r="B206" s="27" t="n">
        <f aca="false">'Education Cost Forecast'!B226</f>
        <v>0</v>
      </c>
      <c r="C206" s="28" t="n">
        <f aca="false">'Education Cost Forecast'!Z226</f>
        <v>0</v>
      </c>
      <c r="D206" s="28" t="n">
        <f aca="false">IF(AND(B206=1,'Education Cost Forecast'!F226&gt;0,'Education Cost Forecast'!E226=0),'Education Cost Forecast'!$E$45,0)</f>
        <v>0</v>
      </c>
      <c r="E206" s="27" t="n">
        <f aca="false">IF(AND(B206=1,A206&lt;='Education Cost Forecast'!$E$53),1,0)</f>
        <v>0</v>
      </c>
      <c r="F206" s="40" t="n">
        <f aca="false">(1+Esc)^(A206-1)</f>
        <v>5.79181613597187</v>
      </c>
      <c r="G206" s="28" t="n">
        <f aca="false">E206*('Education Cost Forecast'!$E$41*12*MonthlyFactor+'Education Cost Forecast'!$E$42)*F206</f>
        <v>0</v>
      </c>
      <c r="H206" s="28" t="n">
        <f aca="false">E206*UnitFactor*F206</f>
        <v>0</v>
      </c>
      <c r="I206" s="28" t="n">
        <f aca="false">J205+D206-C206</f>
        <v>0</v>
      </c>
      <c r="J206" s="28" t="n">
        <f aca="false">IF(B206=1,I206*(1+RetRate)+G206,J205)</f>
        <v>0</v>
      </c>
      <c r="K206" s="28" t="n">
        <f aca="false">L205</f>
        <v>0</v>
      </c>
      <c r="L206" s="28" t="n">
        <f aca="false">IF(B206=1,K206*(1+RetRate)+H206,L205)</f>
        <v>0</v>
      </c>
      <c r="M206" s="40" t="n">
        <f aca="false">(1+RetRate)^(A206-1)</f>
        <v>59.1355739286004</v>
      </c>
      <c r="N206" s="28" t="n">
        <f aca="false">IF(AND(B206=1,C206&gt;0,K206&lt;=0.000000000001,I206&lt;0),-I206/M206,0)</f>
        <v>0</v>
      </c>
      <c r="O206" s="28" t="n">
        <f aca="false">IF(AND(B206=1,C206&gt;0,K206&gt;0.000000000001),-(I206+$E$14*M206)/K206,0)</f>
        <v>0</v>
      </c>
      <c r="P206" s="28" t="n">
        <f aca="false">R205</f>
        <v>0</v>
      </c>
      <c r="Q206" s="28" t="n">
        <f aca="false">H206*$E$15</f>
        <v>0</v>
      </c>
      <c r="R206" s="28" t="n">
        <f aca="false">IF(B206=1,(P206+D206-C206)*(1+RetRate)+G206+Q206,P206)</f>
        <v>0</v>
      </c>
      <c r="S206" s="28" t="n">
        <f aca="false">V205</f>
        <v>0</v>
      </c>
      <c r="T206" s="28" t="n">
        <f aca="false">S206+D206-C206</f>
        <v>0</v>
      </c>
      <c r="U206" s="28" t="n">
        <f aca="false">IF(B206=1,MAX(0,-T206),0)</f>
        <v>0</v>
      </c>
      <c r="V206" s="28" t="n">
        <f aca="false">IF(B206=1,MAX(0,T206)*(1+RetRate)+G206,S206)</f>
        <v>0</v>
      </c>
      <c r="W206" s="28" t="n">
        <f aca="false">IF(A206&lt;=MIN('Education Cost Forecast'!$E$49,'Education Cost Forecast'!$E$53),G206*(1+RetRate)^('Education Cost Forecast'!$E$49-A206),0)</f>
        <v>0</v>
      </c>
      <c r="X206" s="28" t="n">
        <f aca="false">IF(B206=1,P206+D206-C206,0)</f>
        <v>0</v>
      </c>
    </row>
    <row r="207" customFormat="false" ht="15" hidden="false" customHeight="false" outlineLevel="0" collapsed="false">
      <c r="A207" s="27" t="n">
        <v>38</v>
      </c>
      <c r="B207" s="27" t="n">
        <f aca="false">'Education Cost Forecast'!B227</f>
        <v>0</v>
      </c>
      <c r="C207" s="28" t="n">
        <f aca="false">'Education Cost Forecast'!Z227</f>
        <v>0</v>
      </c>
      <c r="D207" s="28" t="n">
        <f aca="false">IF(AND(B207=1,'Education Cost Forecast'!F227&gt;0,'Education Cost Forecast'!E227=0),'Education Cost Forecast'!$E$45,0)</f>
        <v>0</v>
      </c>
      <c r="E207" s="27" t="n">
        <f aca="false">IF(AND(B207=1,A207&lt;='Education Cost Forecast'!$E$53),1,0)</f>
        <v>0</v>
      </c>
      <c r="F207" s="40" t="n">
        <f aca="false">(1+Esc)^(A207-1)</f>
        <v>6.08140694277046</v>
      </c>
      <c r="G207" s="28" t="n">
        <f aca="false">E207*('Education Cost Forecast'!$E$41*12*MonthlyFactor+'Education Cost Forecast'!$E$42)*F207</f>
        <v>0</v>
      </c>
      <c r="H207" s="28" t="n">
        <f aca="false">E207*UnitFactor*F207</f>
        <v>0</v>
      </c>
      <c r="I207" s="28" t="n">
        <f aca="false">J206+D207-C207</f>
        <v>0</v>
      </c>
      <c r="J207" s="28" t="n">
        <f aca="false">IF(B207=1,I207*(1+RetRate)+G207,J206)</f>
        <v>0</v>
      </c>
      <c r="K207" s="28" t="n">
        <f aca="false">L206</f>
        <v>0</v>
      </c>
      <c r="L207" s="28" t="n">
        <f aca="false">IF(B207=1,K207*(1+RetRate)+H207,L206)</f>
        <v>0</v>
      </c>
      <c r="M207" s="40" t="n">
        <f aca="false">(1+RetRate)^(A207-1)</f>
        <v>66.2318428000325</v>
      </c>
      <c r="N207" s="28" t="n">
        <f aca="false">IF(AND(B207=1,C207&gt;0,K207&lt;=0.000000000001,I207&lt;0),-I207/M207,0)</f>
        <v>0</v>
      </c>
      <c r="O207" s="28" t="n">
        <f aca="false">IF(AND(B207=1,C207&gt;0,K207&gt;0.000000000001),-(I207+$E$14*M207)/K207,0)</f>
        <v>0</v>
      </c>
      <c r="P207" s="28" t="n">
        <f aca="false">R206</f>
        <v>0</v>
      </c>
      <c r="Q207" s="28" t="n">
        <f aca="false">H207*$E$15</f>
        <v>0</v>
      </c>
      <c r="R207" s="28" t="n">
        <f aca="false">IF(B207=1,(P207+D207-C207)*(1+RetRate)+G207+Q207,P207)</f>
        <v>0</v>
      </c>
      <c r="S207" s="28" t="n">
        <f aca="false">V206</f>
        <v>0</v>
      </c>
      <c r="T207" s="28" t="n">
        <f aca="false">S207+D207-C207</f>
        <v>0</v>
      </c>
      <c r="U207" s="28" t="n">
        <f aca="false">IF(B207=1,MAX(0,-T207),0)</f>
        <v>0</v>
      </c>
      <c r="V207" s="28" t="n">
        <f aca="false">IF(B207=1,MAX(0,T207)*(1+RetRate)+G207,S207)</f>
        <v>0</v>
      </c>
      <c r="W207" s="28" t="n">
        <f aca="false">IF(A207&lt;=MIN('Education Cost Forecast'!$E$49,'Education Cost Forecast'!$E$53),G207*(1+RetRate)^('Education Cost Forecast'!$E$49-A207),0)</f>
        <v>0</v>
      </c>
      <c r="X207" s="28" t="n">
        <f aca="false">IF(B207=1,P207+D207-C207,0)</f>
        <v>0</v>
      </c>
    </row>
    <row r="208" customFormat="false" ht="15" hidden="false" customHeight="false" outlineLevel="0" collapsed="false">
      <c r="A208" s="27" t="n">
        <v>39</v>
      </c>
      <c r="B208" s="27" t="n">
        <f aca="false">'Education Cost Forecast'!B228</f>
        <v>0</v>
      </c>
      <c r="C208" s="28" t="n">
        <f aca="false">'Education Cost Forecast'!Z228</f>
        <v>0</v>
      </c>
      <c r="D208" s="28" t="n">
        <f aca="false">IF(AND(B208=1,'Education Cost Forecast'!F228&gt;0,'Education Cost Forecast'!E228=0),'Education Cost Forecast'!$E$45,0)</f>
        <v>0</v>
      </c>
      <c r="E208" s="27" t="n">
        <f aca="false">IF(AND(B208=1,A208&lt;='Education Cost Forecast'!$E$53),1,0)</f>
        <v>0</v>
      </c>
      <c r="F208" s="40" t="n">
        <f aca="false">(1+Esc)^(A208-1)</f>
        <v>6.38547728990899</v>
      </c>
      <c r="G208" s="28" t="n">
        <f aca="false">E208*('Education Cost Forecast'!$E$41*12*MonthlyFactor+'Education Cost Forecast'!$E$42)*F208</f>
        <v>0</v>
      </c>
      <c r="H208" s="28" t="n">
        <f aca="false">E208*UnitFactor*F208</f>
        <v>0</v>
      </c>
      <c r="I208" s="28" t="n">
        <f aca="false">J207+D208-C208</f>
        <v>0</v>
      </c>
      <c r="J208" s="28" t="n">
        <f aca="false">IF(B208=1,I208*(1+RetRate)+G208,J207)</f>
        <v>0</v>
      </c>
      <c r="K208" s="28" t="n">
        <f aca="false">L207</f>
        <v>0</v>
      </c>
      <c r="L208" s="28" t="n">
        <f aca="false">IF(B208=1,K208*(1+RetRate)+H208,L207)</f>
        <v>0</v>
      </c>
      <c r="M208" s="40" t="n">
        <f aca="false">(1+RetRate)^(A208-1)</f>
        <v>74.1796639360364</v>
      </c>
      <c r="N208" s="28" t="n">
        <f aca="false">IF(AND(B208=1,C208&gt;0,K208&lt;=0.000000000001,I208&lt;0),-I208/M208,0)</f>
        <v>0</v>
      </c>
      <c r="O208" s="28" t="n">
        <f aca="false">IF(AND(B208=1,C208&gt;0,K208&gt;0.000000000001),-(I208+$E$14*M208)/K208,0)</f>
        <v>0</v>
      </c>
      <c r="P208" s="28" t="n">
        <f aca="false">R207</f>
        <v>0</v>
      </c>
      <c r="Q208" s="28" t="n">
        <f aca="false">H208*$E$15</f>
        <v>0</v>
      </c>
      <c r="R208" s="28" t="n">
        <f aca="false">IF(B208=1,(P208+D208-C208)*(1+RetRate)+G208+Q208,P208)</f>
        <v>0</v>
      </c>
      <c r="S208" s="28" t="n">
        <f aca="false">V207</f>
        <v>0</v>
      </c>
      <c r="T208" s="28" t="n">
        <f aca="false">S208+D208-C208</f>
        <v>0</v>
      </c>
      <c r="U208" s="28" t="n">
        <f aca="false">IF(B208=1,MAX(0,-T208),0)</f>
        <v>0</v>
      </c>
      <c r="V208" s="28" t="n">
        <f aca="false">IF(B208=1,MAX(0,T208)*(1+RetRate)+G208,S208)</f>
        <v>0</v>
      </c>
      <c r="W208" s="28" t="n">
        <f aca="false">IF(A208&lt;=MIN('Education Cost Forecast'!$E$49,'Education Cost Forecast'!$E$53),G208*(1+RetRate)^('Education Cost Forecast'!$E$49-A208),0)</f>
        <v>0</v>
      </c>
      <c r="X208" s="28" t="n">
        <f aca="false">IF(B208=1,P208+D208-C208,0)</f>
        <v>0</v>
      </c>
    </row>
    <row r="209" customFormat="false" ht="15" hidden="false" customHeight="false" outlineLevel="0" collapsed="false">
      <c r="A209" s="27" t="n">
        <v>40</v>
      </c>
      <c r="B209" s="27" t="n">
        <f aca="false">'Education Cost Forecast'!B229</f>
        <v>0</v>
      </c>
      <c r="C209" s="28" t="n">
        <f aca="false">'Education Cost Forecast'!Z229</f>
        <v>0</v>
      </c>
      <c r="D209" s="28" t="n">
        <f aca="false">IF(AND(B209=1,'Education Cost Forecast'!F229&gt;0,'Education Cost Forecast'!E229=0),'Education Cost Forecast'!$E$45,0)</f>
        <v>0</v>
      </c>
      <c r="E209" s="27" t="n">
        <f aca="false">IF(AND(B209=1,A209&lt;='Education Cost Forecast'!$E$53),1,0)</f>
        <v>0</v>
      </c>
      <c r="F209" s="40" t="n">
        <f aca="false">(1+Esc)^(A209-1)</f>
        <v>6.70475115440444</v>
      </c>
      <c r="G209" s="28" t="n">
        <f aca="false">E209*('Education Cost Forecast'!$E$41*12*MonthlyFactor+'Education Cost Forecast'!$E$42)*F209</f>
        <v>0</v>
      </c>
      <c r="H209" s="28" t="n">
        <f aca="false">E209*UnitFactor*F209</f>
        <v>0</v>
      </c>
      <c r="I209" s="28" t="n">
        <f aca="false">J208+D209-C209</f>
        <v>0</v>
      </c>
      <c r="J209" s="28" t="n">
        <f aca="false">IF(B209=1,I209*(1+RetRate)+G209,J208)</f>
        <v>0</v>
      </c>
      <c r="K209" s="28" t="n">
        <f aca="false">L208</f>
        <v>0</v>
      </c>
      <c r="L209" s="28" t="n">
        <f aca="false">IF(B209=1,K209*(1+RetRate)+H209,L208)</f>
        <v>0</v>
      </c>
      <c r="M209" s="40" t="n">
        <f aca="false">(1+RetRate)^(A209-1)</f>
        <v>83.0812236083607</v>
      </c>
      <c r="N209" s="28" t="n">
        <f aca="false">IF(AND(B209=1,C209&gt;0,K209&lt;=0.000000000001,I209&lt;0),-I209/M209,0)</f>
        <v>0</v>
      </c>
      <c r="O209" s="28" t="n">
        <f aca="false">IF(AND(B209=1,C209&gt;0,K209&gt;0.000000000001),-(I209+$E$14*M209)/K209,0)</f>
        <v>0</v>
      </c>
      <c r="P209" s="28" t="n">
        <f aca="false">R208</f>
        <v>0</v>
      </c>
      <c r="Q209" s="28" t="n">
        <f aca="false">H209*$E$15</f>
        <v>0</v>
      </c>
      <c r="R209" s="28" t="n">
        <f aca="false">IF(B209=1,(P209+D209-C209)*(1+RetRate)+G209+Q209,P209)</f>
        <v>0</v>
      </c>
      <c r="S209" s="28" t="n">
        <f aca="false">V208</f>
        <v>0</v>
      </c>
      <c r="T209" s="28" t="n">
        <f aca="false">S209+D209-C209</f>
        <v>0</v>
      </c>
      <c r="U209" s="28" t="n">
        <f aca="false">IF(B209=1,MAX(0,-T209),0)</f>
        <v>0</v>
      </c>
      <c r="V209" s="28" t="n">
        <f aca="false">IF(B209=1,MAX(0,T209)*(1+RetRate)+G209,S209)</f>
        <v>0</v>
      </c>
      <c r="W209" s="28" t="n">
        <f aca="false">IF(A209&lt;=MIN('Education Cost Forecast'!$E$49,'Education Cost Forecast'!$E$53),G209*(1+RetRate)^('Education Cost Forecast'!$E$49-A209),0)</f>
        <v>0</v>
      </c>
      <c r="X209" s="28" t="n">
        <f aca="false">IF(B209=1,P209+D209-C209,0)</f>
        <v>0</v>
      </c>
    </row>
    <row r="210" customFormat="false" ht="15" hidden="false" customHeight="false" outlineLevel="0" collapsed="false">
      <c r="A210" s="27" t="n">
        <v>41</v>
      </c>
      <c r="B210" s="27" t="n">
        <f aca="false">'Education Cost Forecast'!B230</f>
        <v>0</v>
      </c>
      <c r="C210" s="28" t="n">
        <f aca="false">'Education Cost Forecast'!Z230</f>
        <v>0</v>
      </c>
      <c r="D210" s="28" t="n">
        <f aca="false">IF(AND(B210=1,'Education Cost Forecast'!F230&gt;0,'Education Cost Forecast'!E230=0),'Education Cost Forecast'!$E$45,0)</f>
        <v>0</v>
      </c>
      <c r="E210" s="27" t="n">
        <f aca="false">IF(AND(B210=1,A210&lt;='Education Cost Forecast'!$E$53),1,0)</f>
        <v>0</v>
      </c>
      <c r="F210" s="40" t="n">
        <f aca="false">(1+Esc)^(A210-1)</f>
        <v>7.03998871212466</v>
      </c>
      <c r="G210" s="28" t="n">
        <f aca="false">E210*('Education Cost Forecast'!$E$41*12*MonthlyFactor+'Education Cost Forecast'!$E$42)*F210</f>
        <v>0</v>
      </c>
      <c r="H210" s="28" t="n">
        <f aca="false">E210*UnitFactor*F210</f>
        <v>0</v>
      </c>
      <c r="I210" s="28" t="n">
        <f aca="false">J209+D210-C210</f>
        <v>0</v>
      </c>
      <c r="J210" s="28" t="n">
        <f aca="false">IF(B210=1,I210*(1+RetRate)+G210,J209)</f>
        <v>0</v>
      </c>
      <c r="K210" s="28" t="n">
        <f aca="false">L209</f>
        <v>0</v>
      </c>
      <c r="L210" s="28" t="n">
        <f aca="false">IF(B210=1,K210*(1+RetRate)+H210,L209)</f>
        <v>0</v>
      </c>
      <c r="M210" s="40" t="n">
        <f aca="false">(1+RetRate)^(A210-1)</f>
        <v>93.050970441364</v>
      </c>
      <c r="N210" s="28" t="n">
        <f aca="false">IF(AND(B210=1,C210&gt;0,K210&lt;=0.000000000001,I210&lt;0),-I210/M210,0)</f>
        <v>0</v>
      </c>
      <c r="O210" s="28" t="n">
        <f aca="false">IF(AND(B210=1,C210&gt;0,K210&gt;0.000000000001),-(I210+$E$14*M210)/K210,0)</f>
        <v>0</v>
      </c>
      <c r="P210" s="28" t="n">
        <f aca="false">R209</f>
        <v>0</v>
      </c>
      <c r="Q210" s="28" t="n">
        <f aca="false">H210*$E$15</f>
        <v>0</v>
      </c>
      <c r="R210" s="28" t="n">
        <f aca="false">IF(B210=1,(P210+D210-C210)*(1+RetRate)+G210+Q210,P210)</f>
        <v>0</v>
      </c>
      <c r="S210" s="28" t="n">
        <f aca="false">V209</f>
        <v>0</v>
      </c>
      <c r="T210" s="28" t="n">
        <f aca="false">S210+D210-C210</f>
        <v>0</v>
      </c>
      <c r="U210" s="28" t="n">
        <f aca="false">IF(B210=1,MAX(0,-T210),0)</f>
        <v>0</v>
      </c>
      <c r="V210" s="28" t="n">
        <f aca="false">IF(B210=1,MAX(0,T210)*(1+RetRate)+G210,S210)</f>
        <v>0</v>
      </c>
      <c r="W210" s="28" t="n">
        <f aca="false">IF(A210&lt;=MIN('Education Cost Forecast'!$E$49,'Education Cost Forecast'!$E$53),G210*(1+RetRate)^('Education Cost Forecast'!$E$49-A210),0)</f>
        <v>0</v>
      </c>
      <c r="X210" s="28" t="n">
        <f aca="false">IF(B210=1,P210+D210-C210,0)</f>
        <v>0</v>
      </c>
    </row>
    <row r="211" customFormat="false" ht="15" hidden="false" customHeight="false" outlineLevel="0" collapsed="false">
      <c r="A211" s="27" t="n">
        <v>42</v>
      </c>
      <c r="B211" s="27" t="n">
        <f aca="false">'Education Cost Forecast'!B231</f>
        <v>0</v>
      </c>
      <c r="C211" s="28" t="n">
        <f aca="false">'Education Cost Forecast'!Z231</f>
        <v>0</v>
      </c>
      <c r="D211" s="28" t="n">
        <f aca="false">IF(AND(B211=1,'Education Cost Forecast'!F231&gt;0,'Education Cost Forecast'!E231=0),'Education Cost Forecast'!$E$45,0)</f>
        <v>0</v>
      </c>
      <c r="E211" s="27" t="n">
        <f aca="false">IF(AND(B211=1,A211&lt;='Education Cost Forecast'!$E$53),1,0)</f>
        <v>0</v>
      </c>
      <c r="F211" s="40" t="n">
        <f aca="false">(1+Esc)^(A211-1)</f>
        <v>7.39198814773089</v>
      </c>
      <c r="G211" s="28" t="n">
        <f aca="false">E211*('Education Cost Forecast'!$E$41*12*MonthlyFactor+'Education Cost Forecast'!$E$42)*F211</f>
        <v>0</v>
      </c>
      <c r="H211" s="28" t="n">
        <f aca="false">E211*UnitFactor*F211</f>
        <v>0</v>
      </c>
      <c r="I211" s="28" t="n">
        <f aca="false">J210+D211-C211</f>
        <v>0</v>
      </c>
      <c r="J211" s="28" t="n">
        <f aca="false">IF(B211=1,I211*(1+RetRate)+G211,J210)</f>
        <v>0</v>
      </c>
      <c r="K211" s="28" t="n">
        <f aca="false">L210</f>
        <v>0</v>
      </c>
      <c r="L211" s="28" t="n">
        <f aca="false">IF(B211=1,K211*(1+RetRate)+H211,L210)</f>
        <v>0</v>
      </c>
      <c r="M211" s="40" t="n">
        <f aca="false">(1+RetRate)^(A211-1)</f>
        <v>104.217086894328</v>
      </c>
      <c r="N211" s="28" t="n">
        <f aca="false">IF(AND(B211=1,C211&gt;0,K211&lt;=0.000000000001,I211&lt;0),-I211/M211,0)</f>
        <v>0</v>
      </c>
      <c r="O211" s="28" t="n">
        <f aca="false">IF(AND(B211=1,C211&gt;0,K211&gt;0.000000000001),-(I211+$E$14*M211)/K211,0)</f>
        <v>0</v>
      </c>
      <c r="P211" s="28" t="n">
        <f aca="false">R210</f>
        <v>0</v>
      </c>
      <c r="Q211" s="28" t="n">
        <f aca="false">H211*$E$15</f>
        <v>0</v>
      </c>
      <c r="R211" s="28" t="n">
        <f aca="false">IF(B211=1,(P211+D211-C211)*(1+RetRate)+G211+Q211,P211)</f>
        <v>0</v>
      </c>
      <c r="S211" s="28" t="n">
        <f aca="false">V210</f>
        <v>0</v>
      </c>
      <c r="T211" s="28" t="n">
        <f aca="false">S211+D211-C211</f>
        <v>0</v>
      </c>
      <c r="U211" s="28" t="n">
        <f aca="false">IF(B211=1,MAX(0,-T211),0)</f>
        <v>0</v>
      </c>
      <c r="V211" s="28" t="n">
        <f aca="false">IF(B211=1,MAX(0,T211)*(1+RetRate)+G211,S211)</f>
        <v>0</v>
      </c>
      <c r="W211" s="28" t="n">
        <f aca="false">IF(A211&lt;=MIN('Education Cost Forecast'!$E$49,'Education Cost Forecast'!$E$53),G211*(1+RetRate)^('Education Cost Forecast'!$E$49-A211),0)</f>
        <v>0</v>
      </c>
      <c r="X211" s="28" t="n">
        <f aca="false">IF(B211=1,P211+D211-C211,0)</f>
        <v>0</v>
      </c>
    </row>
    <row r="212" customFormat="false" ht="15" hidden="false" customHeight="false" outlineLevel="0" collapsed="false">
      <c r="A212" s="27" t="n">
        <v>43</v>
      </c>
      <c r="B212" s="27" t="n">
        <f aca="false">'Education Cost Forecast'!B232</f>
        <v>0</v>
      </c>
      <c r="C212" s="28" t="n">
        <f aca="false">'Education Cost Forecast'!Z232</f>
        <v>0</v>
      </c>
      <c r="D212" s="28" t="n">
        <f aca="false">IF(AND(B212=1,'Education Cost Forecast'!F232&gt;0,'Education Cost Forecast'!E232=0),'Education Cost Forecast'!$E$45,0)</f>
        <v>0</v>
      </c>
      <c r="E212" s="27" t="n">
        <f aca="false">IF(AND(B212=1,A212&lt;='Education Cost Forecast'!$E$53),1,0)</f>
        <v>0</v>
      </c>
      <c r="F212" s="40" t="n">
        <f aca="false">(1+Esc)^(A212-1)</f>
        <v>7.76158755511744</v>
      </c>
      <c r="G212" s="28" t="n">
        <f aca="false">E212*('Education Cost Forecast'!$E$41*12*MonthlyFactor+'Education Cost Forecast'!$E$42)*F212</f>
        <v>0</v>
      </c>
      <c r="H212" s="28" t="n">
        <f aca="false">E212*UnitFactor*F212</f>
        <v>0</v>
      </c>
      <c r="I212" s="28" t="n">
        <f aca="false">J211+D212-C212</f>
        <v>0</v>
      </c>
      <c r="J212" s="28" t="n">
        <f aca="false">IF(B212=1,I212*(1+RetRate)+G212,J211)</f>
        <v>0</v>
      </c>
      <c r="K212" s="28" t="n">
        <f aca="false">L211</f>
        <v>0</v>
      </c>
      <c r="L212" s="28" t="n">
        <f aca="false">IF(B212=1,K212*(1+RetRate)+H212,L211)</f>
        <v>0</v>
      </c>
      <c r="M212" s="40" t="n">
        <f aca="false">(1+RetRate)^(A212-1)</f>
        <v>116.723137321647</v>
      </c>
      <c r="N212" s="28" t="n">
        <f aca="false">IF(AND(B212=1,C212&gt;0,K212&lt;=0.000000000001,I212&lt;0),-I212/M212,0)</f>
        <v>0</v>
      </c>
      <c r="O212" s="28" t="n">
        <f aca="false">IF(AND(B212=1,C212&gt;0,K212&gt;0.000000000001),-(I212+$E$14*M212)/K212,0)</f>
        <v>0</v>
      </c>
      <c r="P212" s="28" t="n">
        <f aca="false">R211</f>
        <v>0</v>
      </c>
      <c r="Q212" s="28" t="n">
        <f aca="false">H212*$E$15</f>
        <v>0</v>
      </c>
      <c r="R212" s="28" t="n">
        <f aca="false">IF(B212=1,(P212+D212-C212)*(1+RetRate)+G212+Q212,P212)</f>
        <v>0</v>
      </c>
      <c r="S212" s="28" t="n">
        <f aca="false">V211</f>
        <v>0</v>
      </c>
      <c r="T212" s="28" t="n">
        <f aca="false">S212+D212-C212</f>
        <v>0</v>
      </c>
      <c r="U212" s="28" t="n">
        <f aca="false">IF(B212=1,MAX(0,-T212),0)</f>
        <v>0</v>
      </c>
      <c r="V212" s="28" t="n">
        <f aca="false">IF(B212=1,MAX(0,T212)*(1+RetRate)+G212,S212)</f>
        <v>0</v>
      </c>
      <c r="W212" s="28" t="n">
        <f aca="false">IF(A212&lt;=MIN('Education Cost Forecast'!$E$49,'Education Cost Forecast'!$E$53),G212*(1+RetRate)^('Education Cost Forecast'!$E$49-A212),0)</f>
        <v>0</v>
      </c>
      <c r="X212" s="28" t="n">
        <f aca="false">IF(B212=1,P212+D212-C212,0)</f>
        <v>0</v>
      </c>
    </row>
    <row r="213" customFormat="false" ht="15" hidden="false" customHeight="false" outlineLevel="0" collapsed="false">
      <c r="A213" s="27" t="n">
        <v>44</v>
      </c>
      <c r="B213" s="27" t="n">
        <f aca="false">'Education Cost Forecast'!B233</f>
        <v>0</v>
      </c>
      <c r="C213" s="28" t="n">
        <f aca="false">'Education Cost Forecast'!Z233</f>
        <v>0</v>
      </c>
      <c r="D213" s="28" t="n">
        <f aca="false">IF(AND(B213=1,'Education Cost Forecast'!F233&gt;0,'Education Cost Forecast'!E233=0),'Education Cost Forecast'!$E$45,0)</f>
        <v>0</v>
      </c>
      <c r="E213" s="27" t="n">
        <f aca="false">IF(AND(B213=1,A213&lt;='Education Cost Forecast'!$E$53),1,0)</f>
        <v>0</v>
      </c>
      <c r="F213" s="40" t="n">
        <f aca="false">(1+Esc)^(A213-1)</f>
        <v>8.14966693287331</v>
      </c>
      <c r="G213" s="28" t="n">
        <f aca="false">E213*('Education Cost Forecast'!$E$41*12*MonthlyFactor+'Education Cost Forecast'!$E$42)*F213</f>
        <v>0</v>
      </c>
      <c r="H213" s="28" t="n">
        <f aca="false">E213*UnitFactor*F213</f>
        <v>0</v>
      </c>
      <c r="I213" s="28" t="n">
        <f aca="false">J212+D213-C213</f>
        <v>0</v>
      </c>
      <c r="J213" s="28" t="n">
        <f aca="false">IF(B213=1,I213*(1+RetRate)+G213,J212)</f>
        <v>0</v>
      </c>
      <c r="K213" s="28" t="n">
        <f aca="false">L212</f>
        <v>0</v>
      </c>
      <c r="L213" s="28" t="n">
        <f aca="false">IF(B213=1,K213*(1+RetRate)+H213,L212)</f>
        <v>0</v>
      </c>
      <c r="M213" s="40" t="n">
        <f aca="false">(1+RetRate)^(A213-1)</f>
        <v>130.729913800245</v>
      </c>
      <c r="N213" s="28" t="n">
        <f aca="false">IF(AND(B213=1,C213&gt;0,K213&lt;=0.000000000001,I213&lt;0),-I213/M213,0)</f>
        <v>0</v>
      </c>
      <c r="O213" s="28" t="n">
        <f aca="false">IF(AND(B213=1,C213&gt;0,K213&gt;0.000000000001),-(I213+$E$14*M213)/K213,0)</f>
        <v>0</v>
      </c>
      <c r="P213" s="28" t="n">
        <f aca="false">R212</f>
        <v>0</v>
      </c>
      <c r="Q213" s="28" t="n">
        <f aca="false">H213*$E$15</f>
        <v>0</v>
      </c>
      <c r="R213" s="28" t="n">
        <f aca="false">IF(B213=1,(P213+D213-C213)*(1+RetRate)+G213+Q213,P213)</f>
        <v>0</v>
      </c>
      <c r="S213" s="28" t="n">
        <f aca="false">V212</f>
        <v>0</v>
      </c>
      <c r="T213" s="28" t="n">
        <f aca="false">S213+D213-C213</f>
        <v>0</v>
      </c>
      <c r="U213" s="28" t="n">
        <f aca="false">IF(B213=1,MAX(0,-T213),0)</f>
        <v>0</v>
      </c>
      <c r="V213" s="28" t="n">
        <f aca="false">IF(B213=1,MAX(0,T213)*(1+RetRate)+G213,S213)</f>
        <v>0</v>
      </c>
      <c r="W213" s="28" t="n">
        <f aca="false">IF(A213&lt;=MIN('Education Cost Forecast'!$E$49,'Education Cost Forecast'!$E$53),G213*(1+RetRate)^('Education Cost Forecast'!$E$49-A213),0)</f>
        <v>0</v>
      </c>
      <c r="X213" s="28" t="n">
        <f aca="false">IF(B213=1,P213+D213-C213,0)</f>
        <v>0</v>
      </c>
    </row>
    <row r="214" customFormat="false" ht="15" hidden="false" customHeight="false" outlineLevel="0" collapsed="false">
      <c r="A214" s="27" t="n">
        <v>45</v>
      </c>
      <c r="B214" s="27" t="n">
        <f aca="false">'Education Cost Forecast'!B234</f>
        <v>0</v>
      </c>
      <c r="C214" s="28" t="n">
        <f aca="false">'Education Cost Forecast'!Z234</f>
        <v>0</v>
      </c>
      <c r="D214" s="28" t="n">
        <f aca="false">IF(AND(B214=1,'Education Cost Forecast'!F234&gt;0,'Education Cost Forecast'!E234=0),'Education Cost Forecast'!$E$45,0)</f>
        <v>0</v>
      </c>
      <c r="E214" s="27" t="n">
        <f aca="false">IF(AND(B214=1,A214&lt;='Education Cost Forecast'!$E$53),1,0)</f>
        <v>0</v>
      </c>
      <c r="F214" s="40" t="n">
        <f aca="false">(1+Esc)^(A214-1)</f>
        <v>8.55715027951698</v>
      </c>
      <c r="G214" s="28" t="n">
        <f aca="false">E214*('Education Cost Forecast'!$E$41*12*MonthlyFactor+'Education Cost Forecast'!$E$42)*F214</f>
        <v>0</v>
      </c>
      <c r="H214" s="28" t="n">
        <f aca="false">E214*UnitFactor*F214</f>
        <v>0</v>
      </c>
      <c r="I214" s="28" t="n">
        <f aca="false">J213+D214-C214</f>
        <v>0</v>
      </c>
      <c r="J214" s="28" t="n">
        <f aca="false">IF(B214=1,I214*(1+RetRate)+G214,J213)</f>
        <v>0</v>
      </c>
      <c r="K214" s="28" t="n">
        <f aca="false">L213</f>
        <v>0</v>
      </c>
      <c r="L214" s="28" t="n">
        <f aca="false">IF(B214=1,K214*(1+RetRate)+H214,L213)</f>
        <v>0</v>
      </c>
      <c r="M214" s="40" t="n">
        <f aca="false">(1+RetRate)^(A214-1)</f>
        <v>146.417503456274</v>
      </c>
      <c r="N214" s="28" t="n">
        <f aca="false">IF(AND(B214=1,C214&gt;0,K214&lt;=0.000000000001,I214&lt;0),-I214/M214,0)</f>
        <v>0</v>
      </c>
      <c r="O214" s="28" t="n">
        <f aca="false">IF(AND(B214=1,C214&gt;0,K214&gt;0.000000000001),-(I214+$E$14*M214)/K214,0)</f>
        <v>0</v>
      </c>
      <c r="P214" s="28" t="n">
        <f aca="false">R213</f>
        <v>0</v>
      </c>
      <c r="Q214" s="28" t="n">
        <f aca="false">H214*$E$15</f>
        <v>0</v>
      </c>
      <c r="R214" s="28" t="n">
        <f aca="false">IF(B214=1,(P214+D214-C214)*(1+RetRate)+G214+Q214,P214)</f>
        <v>0</v>
      </c>
      <c r="S214" s="28" t="n">
        <f aca="false">V213</f>
        <v>0</v>
      </c>
      <c r="T214" s="28" t="n">
        <f aca="false">S214+D214-C214</f>
        <v>0</v>
      </c>
      <c r="U214" s="28" t="n">
        <f aca="false">IF(B214=1,MAX(0,-T214),0)</f>
        <v>0</v>
      </c>
      <c r="V214" s="28" t="n">
        <f aca="false">IF(B214=1,MAX(0,T214)*(1+RetRate)+G214,S214)</f>
        <v>0</v>
      </c>
      <c r="W214" s="28" t="n">
        <f aca="false">IF(A214&lt;=MIN('Education Cost Forecast'!$E$49,'Education Cost Forecast'!$E$53),G214*(1+RetRate)^('Education Cost Forecast'!$E$49-A214),0)</f>
        <v>0</v>
      </c>
      <c r="X214" s="28" t="n">
        <f aca="false">IF(B214=1,P214+D214-C214,0)</f>
        <v>0</v>
      </c>
    </row>
    <row r="215" customFormat="false" ht="15" hidden="false" customHeight="false" outlineLevel="0" collapsed="false">
      <c r="A215" s="27" t="n">
        <v>46</v>
      </c>
      <c r="B215" s="27" t="n">
        <f aca="false">'Education Cost Forecast'!B235</f>
        <v>0</v>
      </c>
      <c r="C215" s="28" t="n">
        <f aca="false">'Education Cost Forecast'!Z235</f>
        <v>0</v>
      </c>
      <c r="D215" s="28" t="n">
        <f aca="false">IF(AND(B215=1,'Education Cost Forecast'!F235&gt;0,'Education Cost Forecast'!E235=0),'Education Cost Forecast'!$E$45,0)</f>
        <v>0</v>
      </c>
      <c r="E215" s="27" t="n">
        <f aca="false">IF(AND(B215=1,A215&lt;='Education Cost Forecast'!$E$53),1,0)</f>
        <v>0</v>
      </c>
      <c r="F215" s="40" t="n">
        <f aca="false">(1+Esc)^(A215-1)</f>
        <v>8.98500779349282</v>
      </c>
      <c r="G215" s="28" t="n">
        <f aca="false">E215*('Education Cost Forecast'!$E$41*12*MonthlyFactor+'Education Cost Forecast'!$E$42)*F215</f>
        <v>0</v>
      </c>
      <c r="H215" s="28" t="n">
        <f aca="false">E215*UnitFactor*F215</f>
        <v>0</v>
      </c>
      <c r="I215" s="28" t="n">
        <f aca="false">J214+D215-C215</f>
        <v>0</v>
      </c>
      <c r="J215" s="28" t="n">
        <f aca="false">IF(B215=1,I215*(1+RetRate)+G215,J214)</f>
        <v>0</v>
      </c>
      <c r="K215" s="28" t="n">
        <f aca="false">L214</f>
        <v>0</v>
      </c>
      <c r="L215" s="28" t="n">
        <f aca="false">IF(B215=1,K215*(1+RetRate)+H215,L214)</f>
        <v>0</v>
      </c>
      <c r="M215" s="40" t="n">
        <f aca="false">(1+RetRate)^(A215-1)</f>
        <v>163.987603871027</v>
      </c>
      <c r="N215" s="28" t="n">
        <f aca="false">IF(AND(B215=1,C215&gt;0,K215&lt;=0.000000000001,I215&lt;0),-I215/M215,0)</f>
        <v>0</v>
      </c>
      <c r="O215" s="28" t="n">
        <f aca="false">IF(AND(B215=1,C215&gt;0,K215&gt;0.000000000001),-(I215+$E$14*M215)/K215,0)</f>
        <v>0</v>
      </c>
      <c r="P215" s="28" t="n">
        <f aca="false">R214</f>
        <v>0</v>
      </c>
      <c r="Q215" s="28" t="n">
        <f aca="false">H215*$E$15</f>
        <v>0</v>
      </c>
      <c r="R215" s="28" t="n">
        <f aca="false">IF(B215=1,(P215+D215-C215)*(1+RetRate)+G215+Q215,P215)</f>
        <v>0</v>
      </c>
      <c r="S215" s="28" t="n">
        <f aca="false">V214</f>
        <v>0</v>
      </c>
      <c r="T215" s="28" t="n">
        <f aca="false">S215+D215-C215</f>
        <v>0</v>
      </c>
      <c r="U215" s="28" t="n">
        <f aca="false">IF(B215=1,MAX(0,-T215),0)</f>
        <v>0</v>
      </c>
      <c r="V215" s="28" t="n">
        <f aca="false">IF(B215=1,MAX(0,T215)*(1+RetRate)+G215,S215)</f>
        <v>0</v>
      </c>
      <c r="W215" s="28" t="n">
        <f aca="false">IF(A215&lt;=MIN('Education Cost Forecast'!$E$49,'Education Cost Forecast'!$E$53),G215*(1+RetRate)^('Education Cost Forecast'!$E$49-A215),0)</f>
        <v>0</v>
      </c>
      <c r="X215" s="28" t="n">
        <f aca="false">IF(B215=1,P215+D215-C215,0)</f>
        <v>0</v>
      </c>
    </row>
    <row r="216" customFormat="false" ht="15" hidden="false" customHeight="false" outlineLevel="0" collapsed="false">
      <c r="A216" s="27" t="n">
        <v>47</v>
      </c>
      <c r="B216" s="27" t="n">
        <f aca="false">'Education Cost Forecast'!B236</f>
        <v>0</v>
      </c>
      <c r="C216" s="28" t="n">
        <f aca="false">'Education Cost Forecast'!Z236</f>
        <v>0</v>
      </c>
      <c r="D216" s="28" t="n">
        <f aca="false">IF(AND(B216=1,'Education Cost Forecast'!F236&gt;0,'Education Cost Forecast'!E236=0),'Education Cost Forecast'!$E$45,0)</f>
        <v>0</v>
      </c>
      <c r="E216" s="27" t="n">
        <f aca="false">IF(AND(B216=1,A216&lt;='Education Cost Forecast'!$E$53),1,0)</f>
        <v>0</v>
      </c>
      <c r="F216" s="40" t="n">
        <f aca="false">(1+Esc)^(A216-1)</f>
        <v>9.43425818316747</v>
      </c>
      <c r="G216" s="28" t="n">
        <f aca="false">E216*('Education Cost Forecast'!$E$41*12*MonthlyFactor+'Education Cost Forecast'!$E$42)*F216</f>
        <v>0</v>
      </c>
      <c r="H216" s="28" t="n">
        <f aca="false">E216*UnitFactor*F216</f>
        <v>0</v>
      </c>
      <c r="I216" s="28" t="n">
        <f aca="false">J215+D216-C216</f>
        <v>0</v>
      </c>
      <c r="J216" s="28" t="n">
        <f aca="false">IF(B216=1,I216*(1+RetRate)+G216,J215)</f>
        <v>0</v>
      </c>
      <c r="K216" s="28" t="n">
        <f aca="false">L215</f>
        <v>0</v>
      </c>
      <c r="L216" s="28" t="n">
        <f aca="false">IF(B216=1,K216*(1+RetRate)+H216,L215)</f>
        <v>0</v>
      </c>
      <c r="M216" s="40" t="n">
        <f aca="false">(1+RetRate)^(A216-1)</f>
        <v>183.66611633555</v>
      </c>
      <c r="N216" s="28" t="n">
        <f aca="false">IF(AND(B216=1,C216&gt;0,K216&lt;=0.000000000001,I216&lt;0),-I216/M216,0)</f>
        <v>0</v>
      </c>
      <c r="O216" s="28" t="n">
        <f aca="false">IF(AND(B216=1,C216&gt;0,K216&gt;0.000000000001),-(I216+$E$14*M216)/K216,0)</f>
        <v>0</v>
      </c>
      <c r="P216" s="28" t="n">
        <f aca="false">R215</f>
        <v>0</v>
      </c>
      <c r="Q216" s="28" t="n">
        <f aca="false">H216*$E$15</f>
        <v>0</v>
      </c>
      <c r="R216" s="28" t="n">
        <f aca="false">IF(B216=1,(P216+D216-C216)*(1+RetRate)+G216+Q216,P216)</f>
        <v>0</v>
      </c>
      <c r="S216" s="28" t="n">
        <f aca="false">V215</f>
        <v>0</v>
      </c>
      <c r="T216" s="28" t="n">
        <f aca="false">S216+D216-C216</f>
        <v>0</v>
      </c>
      <c r="U216" s="28" t="n">
        <f aca="false">IF(B216=1,MAX(0,-T216),0)</f>
        <v>0</v>
      </c>
      <c r="V216" s="28" t="n">
        <f aca="false">IF(B216=1,MAX(0,T216)*(1+RetRate)+G216,S216)</f>
        <v>0</v>
      </c>
      <c r="W216" s="28" t="n">
        <f aca="false">IF(A216&lt;=MIN('Education Cost Forecast'!$E$49,'Education Cost Forecast'!$E$53),G216*(1+RetRate)^('Education Cost Forecast'!$E$49-A216),0)</f>
        <v>0</v>
      </c>
      <c r="X216" s="28" t="n">
        <f aca="false">IF(B216=1,P216+D216-C216,0)</f>
        <v>0</v>
      </c>
    </row>
    <row r="217" customFormat="false" ht="15" hidden="false" customHeight="false" outlineLevel="0" collapsed="false">
      <c r="A217" s="27" t="n">
        <v>48</v>
      </c>
      <c r="B217" s="27" t="n">
        <f aca="false">'Education Cost Forecast'!B237</f>
        <v>0</v>
      </c>
      <c r="C217" s="28" t="n">
        <f aca="false">'Education Cost Forecast'!Z237</f>
        <v>0</v>
      </c>
      <c r="D217" s="28" t="n">
        <f aca="false">IF(AND(B217=1,'Education Cost Forecast'!F237&gt;0,'Education Cost Forecast'!E237=0),'Education Cost Forecast'!$E$45,0)</f>
        <v>0</v>
      </c>
      <c r="E217" s="27" t="n">
        <f aca="false">IF(AND(B217=1,A217&lt;='Education Cost Forecast'!$E$53),1,0)</f>
        <v>0</v>
      </c>
      <c r="F217" s="40" t="n">
        <f aca="false">(1+Esc)^(A217-1)</f>
        <v>9.90597109232584</v>
      </c>
      <c r="G217" s="28" t="n">
        <f aca="false">E217*('Education Cost Forecast'!$E$41*12*MonthlyFactor+'Education Cost Forecast'!$E$42)*F217</f>
        <v>0</v>
      </c>
      <c r="H217" s="28" t="n">
        <f aca="false">E217*UnitFactor*F217</f>
        <v>0</v>
      </c>
      <c r="I217" s="28" t="n">
        <f aca="false">J216+D217-C217</f>
        <v>0</v>
      </c>
      <c r="J217" s="28" t="n">
        <f aca="false">IF(B217=1,I217*(1+RetRate)+G217,J216)</f>
        <v>0</v>
      </c>
      <c r="K217" s="28" t="n">
        <f aca="false">L216</f>
        <v>0</v>
      </c>
      <c r="L217" s="28" t="n">
        <f aca="false">IF(B217=1,K217*(1+RetRate)+H217,L216)</f>
        <v>0</v>
      </c>
      <c r="M217" s="40" t="n">
        <f aca="false">(1+RetRate)^(A217-1)</f>
        <v>205.706050295816</v>
      </c>
      <c r="N217" s="28" t="n">
        <f aca="false">IF(AND(B217=1,C217&gt;0,K217&lt;=0.000000000001,I217&lt;0),-I217/M217,0)</f>
        <v>0</v>
      </c>
      <c r="O217" s="28" t="n">
        <f aca="false">IF(AND(B217=1,C217&gt;0,K217&gt;0.000000000001),-(I217+$E$14*M217)/K217,0)</f>
        <v>0</v>
      </c>
      <c r="P217" s="28" t="n">
        <f aca="false">R216</f>
        <v>0</v>
      </c>
      <c r="Q217" s="28" t="n">
        <f aca="false">H217*$E$15</f>
        <v>0</v>
      </c>
      <c r="R217" s="28" t="n">
        <f aca="false">IF(B217=1,(P217+D217-C217)*(1+RetRate)+G217+Q217,P217)</f>
        <v>0</v>
      </c>
      <c r="S217" s="28" t="n">
        <f aca="false">V216</f>
        <v>0</v>
      </c>
      <c r="T217" s="28" t="n">
        <f aca="false">S217+D217-C217</f>
        <v>0</v>
      </c>
      <c r="U217" s="28" t="n">
        <f aca="false">IF(B217=1,MAX(0,-T217),0)</f>
        <v>0</v>
      </c>
      <c r="V217" s="28" t="n">
        <f aca="false">IF(B217=1,MAX(0,T217)*(1+RetRate)+G217,S217)</f>
        <v>0</v>
      </c>
      <c r="W217" s="28" t="n">
        <f aca="false">IF(A217&lt;=MIN('Education Cost Forecast'!$E$49,'Education Cost Forecast'!$E$53),G217*(1+RetRate)^('Education Cost Forecast'!$E$49-A217),0)</f>
        <v>0</v>
      </c>
      <c r="X217" s="28" t="n">
        <f aca="false">IF(B217=1,P217+D217-C217,0)</f>
        <v>0</v>
      </c>
    </row>
    <row r="218" customFormat="false" ht="15" hidden="false" customHeight="false" outlineLevel="0" collapsed="false">
      <c r="A218" s="27" t="n">
        <v>49</v>
      </c>
      <c r="B218" s="27" t="n">
        <f aca="false">'Education Cost Forecast'!B238</f>
        <v>0</v>
      </c>
      <c r="C218" s="28" t="n">
        <f aca="false">'Education Cost Forecast'!Z238</f>
        <v>0</v>
      </c>
      <c r="D218" s="28" t="n">
        <f aca="false">IF(AND(B218=1,'Education Cost Forecast'!F238&gt;0,'Education Cost Forecast'!E238=0),'Education Cost Forecast'!$E$45,0)</f>
        <v>0</v>
      </c>
      <c r="E218" s="27" t="n">
        <f aca="false">IF(AND(B218=1,A218&lt;='Education Cost Forecast'!$E$53),1,0)</f>
        <v>0</v>
      </c>
      <c r="F218" s="40" t="n">
        <f aca="false">(1+Esc)^(A218-1)</f>
        <v>10.4012696469421</v>
      </c>
      <c r="G218" s="28" t="n">
        <f aca="false">E218*('Education Cost Forecast'!$E$41*12*MonthlyFactor+'Education Cost Forecast'!$E$42)*F218</f>
        <v>0</v>
      </c>
      <c r="H218" s="28" t="n">
        <f aca="false">E218*UnitFactor*F218</f>
        <v>0</v>
      </c>
      <c r="I218" s="28" t="n">
        <f aca="false">J217+D218-C218</f>
        <v>0</v>
      </c>
      <c r="J218" s="28" t="n">
        <f aca="false">IF(B218=1,I218*(1+RetRate)+G218,J217)</f>
        <v>0</v>
      </c>
      <c r="K218" s="28" t="n">
        <f aca="false">L217</f>
        <v>0</v>
      </c>
      <c r="L218" s="28" t="n">
        <f aca="false">IF(B218=1,K218*(1+RetRate)+H218,L217)</f>
        <v>0</v>
      </c>
      <c r="M218" s="40" t="n">
        <f aca="false">(1+RetRate)^(A218-1)</f>
        <v>230.390776331314</v>
      </c>
      <c r="N218" s="28" t="n">
        <f aca="false">IF(AND(B218=1,C218&gt;0,K218&lt;=0.000000000001,I218&lt;0),-I218/M218,0)</f>
        <v>0</v>
      </c>
      <c r="O218" s="28" t="n">
        <f aca="false">IF(AND(B218=1,C218&gt;0,K218&gt;0.000000000001),-(I218+$E$14*M218)/K218,0)</f>
        <v>0</v>
      </c>
      <c r="P218" s="28" t="n">
        <f aca="false">R217</f>
        <v>0</v>
      </c>
      <c r="Q218" s="28" t="n">
        <f aca="false">H218*$E$15</f>
        <v>0</v>
      </c>
      <c r="R218" s="28" t="n">
        <f aca="false">IF(B218=1,(P218+D218-C218)*(1+RetRate)+G218+Q218,P218)</f>
        <v>0</v>
      </c>
      <c r="S218" s="28" t="n">
        <f aca="false">V217</f>
        <v>0</v>
      </c>
      <c r="T218" s="28" t="n">
        <f aca="false">S218+D218-C218</f>
        <v>0</v>
      </c>
      <c r="U218" s="28" t="n">
        <f aca="false">IF(B218=1,MAX(0,-T218),0)</f>
        <v>0</v>
      </c>
      <c r="V218" s="28" t="n">
        <f aca="false">IF(B218=1,MAX(0,T218)*(1+RetRate)+G218,S218)</f>
        <v>0</v>
      </c>
      <c r="W218" s="28" t="n">
        <f aca="false">IF(A218&lt;=MIN('Education Cost Forecast'!$E$49,'Education Cost Forecast'!$E$53),G218*(1+RetRate)^('Education Cost Forecast'!$E$49-A218),0)</f>
        <v>0</v>
      </c>
      <c r="X218" s="28" t="n">
        <f aca="false">IF(B218=1,P218+D218-C218,0)</f>
        <v>0</v>
      </c>
    </row>
    <row r="219" customFormat="false" ht="15" hidden="false" customHeight="false" outlineLevel="0" collapsed="false">
      <c r="A219" s="27" t="n">
        <v>50</v>
      </c>
      <c r="B219" s="27" t="n">
        <f aca="false">'Education Cost Forecast'!B239</f>
        <v>0</v>
      </c>
      <c r="C219" s="28" t="n">
        <f aca="false">'Education Cost Forecast'!Z239</f>
        <v>0</v>
      </c>
      <c r="D219" s="28" t="n">
        <f aca="false">IF(AND(B219=1,'Education Cost Forecast'!F239&gt;0,'Education Cost Forecast'!E239=0),'Education Cost Forecast'!$E$45,0)</f>
        <v>0</v>
      </c>
      <c r="E219" s="27" t="n">
        <f aca="false">IF(AND(B219=1,A219&lt;='Education Cost Forecast'!$E$53),1,0)</f>
        <v>0</v>
      </c>
      <c r="F219" s="40" t="n">
        <f aca="false">(1+Esc)^(A219-1)</f>
        <v>10.9213331292892</v>
      </c>
      <c r="G219" s="28" t="n">
        <f aca="false">E219*('Education Cost Forecast'!$E$41*12*MonthlyFactor+'Education Cost Forecast'!$E$42)*F219</f>
        <v>0</v>
      </c>
      <c r="H219" s="28" t="n">
        <f aca="false">E219*UnitFactor*F219</f>
        <v>0</v>
      </c>
      <c r="I219" s="28" t="n">
        <f aca="false">J218+D219-C219</f>
        <v>0</v>
      </c>
      <c r="J219" s="28" t="n">
        <f aca="false">IF(B219=1,I219*(1+RetRate)+G219,J218)</f>
        <v>0</v>
      </c>
      <c r="K219" s="28" t="n">
        <f aca="false">L218</f>
        <v>0</v>
      </c>
      <c r="L219" s="28" t="n">
        <f aca="false">IF(B219=1,K219*(1+RetRate)+H219,L218)</f>
        <v>0</v>
      </c>
      <c r="M219" s="40" t="n">
        <f aca="false">(1+RetRate)^(A219-1)</f>
        <v>258.037669491072</v>
      </c>
      <c r="N219" s="28" t="n">
        <f aca="false">IF(AND(B219=1,C219&gt;0,K219&lt;=0.000000000001,I219&lt;0),-I219/M219,0)</f>
        <v>0</v>
      </c>
      <c r="O219" s="28" t="n">
        <f aca="false">IF(AND(B219=1,C219&gt;0,K219&gt;0.000000000001),-(I219+$E$14*M219)/K219,0)</f>
        <v>0</v>
      </c>
      <c r="P219" s="28" t="n">
        <f aca="false">R218</f>
        <v>0</v>
      </c>
      <c r="Q219" s="28" t="n">
        <f aca="false">H219*$E$15</f>
        <v>0</v>
      </c>
      <c r="R219" s="28" t="n">
        <f aca="false">IF(B219=1,(P219+D219-C219)*(1+RetRate)+G219+Q219,P219)</f>
        <v>0</v>
      </c>
      <c r="S219" s="28" t="n">
        <f aca="false">V218</f>
        <v>0</v>
      </c>
      <c r="T219" s="28" t="n">
        <f aca="false">S219+D219-C219</f>
        <v>0</v>
      </c>
      <c r="U219" s="28" t="n">
        <f aca="false">IF(B219=1,MAX(0,-T219),0)</f>
        <v>0</v>
      </c>
      <c r="V219" s="28" t="n">
        <f aca="false">IF(B219=1,MAX(0,T219)*(1+RetRate)+G219,S219)</f>
        <v>0</v>
      </c>
      <c r="W219" s="28" t="n">
        <f aca="false">IF(A219&lt;=MIN('Education Cost Forecast'!$E$49,'Education Cost Forecast'!$E$53),G219*(1+RetRate)^('Education Cost Forecast'!$E$49-A219),0)</f>
        <v>0</v>
      </c>
      <c r="X219" s="28" t="n">
        <f aca="false">IF(B219=1,P219+D219-C219,0)</f>
        <v>0</v>
      </c>
    </row>
    <row r="220" customFormat="false" ht="15" hidden="false" customHeight="false" outlineLevel="0" collapsed="false">
      <c r="A220" s="27" t="n">
        <v>51</v>
      </c>
      <c r="B220" s="27" t="n">
        <f aca="false">'Education Cost Forecast'!B240</f>
        <v>0</v>
      </c>
      <c r="C220" s="28" t="n">
        <f aca="false">'Education Cost Forecast'!Z240</f>
        <v>0</v>
      </c>
      <c r="D220" s="28" t="n">
        <f aca="false">IF(AND(B220=1,'Education Cost Forecast'!F240&gt;0,'Education Cost Forecast'!E240=0),'Education Cost Forecast'!$E$45,0)</f>
        <v>0</v>
      </c>
      <c r="E220" s="27" t="n">
        <f aca="false">IF(AND(B220=1,A220&lt;='Education Cost Forecast'!$E$53),1,0)</f>
        <v>0</v>
      </c>
      <c r="F220" s="40" t="n">
        <f aca="false">(1+Esc)^(A220-1)</f>
        <v>11.4673997857537</v>
      </c>
      <c r="G220" s="28" t="n">
        <f aca="false">E220*('Education Cost Forecast'!$E$41*12*MonthlyFactor+'Education Cost Forecast'!$E$42)*F220</f>
        <v>0</v>
      </c>
      <c r="H220" s="28" t="n">
        <f aca="false">E220*UnitFactor*F220</f>
        <v>0</v>
      </c>
      <c r="I220" s="28" t="n">
        <f aca="false">J219+D220-C220</f>
        <v>0</v>
      </c>
      <c r="J220" s="28" t="n">
        <f aca="false">IF(B220=1,I220*(1+RetRate)+G220,J219)</f>
        <v>0</v>
      </c>
      <c r="K220" s="28" t="n">
        <f aca="false">L219</f>
        <v>0</v>
      </c>
      <c r="L220" s="28" t="n">
        <f aca="false">IF(B220=1,K220*(1+RetRate)+H220,L219)</f>
        <v>0</v>
      </c>
      <c r="M220" s="40" t="n">
        <f aca="false">(1+RetRate)^(A220-1)</f>
        <v>289.002189830001</v>
      </c>
      <c r="N220" s="28" t="n">
        <f aca="false">IF(AND(B220=1,C220&gt;0,K220&lt;=0.000000000001,I220&lt;0),-I220/M220,0)</f>
        <v>0</v>
      </c>
      <c r="O220" s="28" t="n">
        <f aca="false">IF(AND(B220=1,C220&gt;0,K220&gt;0.000000000001),-(I220+$E$14*M220)/K220,0)</f>
        <v>0</v>
      </c>
      <c r="P220" s="28" t="n">
        <f aca="false">R219</f>
        <v>0</v>
      </c>
      <c r="Q220" s="28" t="n">
        <f aca="false">H220*$E$15</f>
        <v>0</v>
      </c>
      <c r="R220" s="28" t="n">
        <f aca="false">IF(B220=1,(P220+D220-C220)*(1+RetRate)+G220+Q220,P220)</f>
        <v>0</v>
      </c>
      <c r="S220" s="28" t="n">
        <f aca="false">V219</f>
        <v>0</v>
      </c>
      <c r="T220" s="28" t="n">
        <f aca="false">S220+D220-C220</f>
        <v>0</v>
      </c>
      <c r="U220" s="28" t="n">
        <f aca="false">IF(B220=1,MAX(0,-T220),0)</f>
        <v>0</v>
      </c>
      <c r="V220" s="28" t="n">
        <f aca="false">IF(B220=1,MAX(0,T220)*(1+RetRate)+G220,S220)</f>
        <v>0</v>
      </c>
      <c r="W220" s="28" t="n">
        <f aca="false">IF(A220&lt;=MIN('Education Cost Forecast'!$E$49,'Education Cost Forecast'!$E$53),G220*(1+RetRate)^('Education Cost Forecast'!$E$49-A220),0)</f>
        <v>0</v>
      </c>
      <c r="X220" s="28" t="n">
        <f aca="false">IF(B220=1,P220+D220-C220,0)</f>
        <v>0</v>
      </c>
    </row>
    <row r="221" customFormat="false" ht="15" hidden="false" customHeight="false" outlineLevel="0" collapsed="false">
      <c r="A221" s="27" t="n">
        <v>52</v>
      </c>
      <c r="B221" s="27" t="n">
        <f aca="false">'Education Cost Forecast'!B241</f>
        <v>0</v>
      </c>
      <c r="C221" s="28" t="n">
        <f aca="false">'Education Cost Forecast'!Z241</f>
        <v>0</v>
      </c>
      <c r="D221" s="28" t="n">
        <f aca="false">IF(AND(B221=1,'Education Cost Forecast'!F241&gt;0,'Education Cost Forecast'!E241=0),'Education Cost Forecast'!$E$45,0)</f>
        <v>0</v>
      </c>
      <c r="E221" s="27" t="n">
        <f aca="false">IF(AND(B221=1,A221&lt;='Education Cost Forecast'!$E$53),1,0)</f>
        <v>0</v>
      </c>
      <c r="F221" s="40" t="n">
        <f aca="false">(1+Esc)^(A221-1)</f>
        <v>12.0407697750414</v>
      </c>
      <c r="G221" s="28" t="n">
        <f aca="false">E221*('Education Cost Forecast'!$E$41*12*MonthlyFactor+'Education Cost Forecast'!$E$42)*F221</f>
        <v>0</v>
      </c>
      <c r="H221" s="28" t="n">
        <f aca="false">E221*UnitFactor*F221</f>
        <v>0</v>
      </c>
      <c r="I221" s="28" t="n">
        <f aca="false">J220+D221-C221</f>
        <v>0</v>
      </c>
      <c r="J221" s="28" t="n">
        <f aca="false">IF(B221=1,I221*(1+RetRate)+G221,J220)</f>
        <v>0</v>
      </c>
      <c r="K221" s="28" t="n">
        <f aca="false">L220</f>
        <v>0</v>
      </c>
      <c r="L221" s="28" t="n">
        <f aca="false">IF(B221=1,K221*(1+RetRate)+H221,L220)</f>
        <v>0</v>
      </c>
      <c r="M221" s="40" t="n">
        <f aca="false">(1+RetRate)^(A221-1)</f>
        <v>323.682452609601</v>
      </c>
      <c r="N221" s="28" t="n">
        <f aca="false">IF(AND(B221=1,C221&gt;0,K221&lt;=0.000000000001,I221&lt;0),-I221/M221,0)</f>
        <v>0</v>
      </c>
      <c r="O221" s="28" t="n">
        <f aca="false">IF(AND(B221=1,C221&gt;0,K221&gt;0.000000000001),-(I221+$E$14*M221)/K221,0)</f>
        <v>0</v>
      </c>
      <c r="P221" s="28" t="n">
        <f aca="false">R220</f>
        <v>0</v>
      </c>
      <c r="Q221" s="28" t="n">
        <f aca="false">H221*$E$15</f>
        <v>0</v>
      </c>
      <c r="R221" s="28" t="n">
        <f aca="false">IF(B221=1,(P221+D221-C221)*(1+RetRate)+G221+Q221,P221)</f>
        <v>0</v>
      </c>
      <c r="S221" s="28" t="n">
        <f aca="false">V220</f>
        <v>0</v>
      </c>
      <c r="T221" s="28" t="n">
        <f aca="false">S221+D221-C221</f>
        <v>0</v>
      </c>
      <c r="U221" s="28" t="n">
        <f aca="false">IF(B221=1,MAX(0,-T221),0)</f>
        <v>0</v>
      </c>
      <c r="V221" s="28" t="n">
        <f aca="false">IF(B221=1,MAX(0,T221)*(1+RetRate)+G221,S221)</f>
        <v>0</v>
      </c>
      <c r="W221" s="28" t="n">
        <f aca="false">IF(A221&lt;=MIN('Education Cost Forecast'!$E$49,'Education Cost Forecast'!$E$53),G221*(1+RetRate)^('Education Cost Forecast'!$E$49-A221),0)</f>
        <v>0</v>
      </c>
      <c r="X221" s="28" t="n">
        <f aca="false">IF(B221=1,P221+D221-C221,0)</f>
        <v>0</v>
      </c>
    </row>
    <row r="222" customFormat="false" ht="15" hidden="false" customHeight="false" outlineLevel="0" collapsed="false">
      <c r="A222" s="27" t="n">
        <v>53</v>
      </c>
      <c r="B222" s="27" t="n">
        <f aca="false">'Education Cost Forecast'!B242</f>
        <v>0</v>
      </c>
      <c r="C222" s="28" t="n">
        <f aca="false">'Education Cost Forecast'!Z242</f>
        <v>0</v>
      </c>
      <c r="D222" s="28" t="n">
        <f aca="false">IF(AND(B222=1,'Education Cost Forecast'!F242&gt;0,'Education Cost Forecast'!E242=0),'Education Cost Forecast'!$E$45,0)</f>
        <v>0</v>
      </c>
      <c r="E222" s="27" t="n">
        <f aca="false">IF(AND(B222=1,A222&lt;='Education Cost Forecast'!$E$53),1,0)</f>
        <v>0</v>
      </c>
      <c r="F222" s="40" t="n">
        <f aca="false">(1+Esc)^(A222-1)</f>
        <v>12.6428082637935</v>
      </c>
      <c r="G222" s="28" t="n">
        <f aca="false">E222*('Education Cost Forecast'!$E$41*12*MonthlyFactor+'Education Cost Forecast'!$E$42)*F222</f>
        <v>0</v>
      </c>
      <c r="H222" s="28" t="n">
        <f aca="false">E222*UnitFactor*F222</f>
        <v>0</v>
      </c>
      <c r="I222" s="28" t="n">
        <f aca="false">J221+D222-C222</f>
        <v>0</v>
      </c>
      <c r="J222" s="28" t="n">
        <f aca="false">IF(B222=1,I222*(1+RetRate)+G222,J221)</f>
        <v>0</v>
      </c>
      <c r="K222" s="28" t="n">
        <f aca="false">L221</f>
        <v>0</v>
      </c>
      <c r="L222" s="28" t="n">
        <f aca="false">IF(B222=1,K222*(1+RetRate)+H222,L221)</f>
        <v>0</v>
      </c>
      <c r="M222" s="40" t="n">
        <f aca="false">(1+RetRate)^(A222-1)</f>
        <v>362.524346922753</v>
      </c>
      <c r="N222" s="28" t="n">
        <f aca="false">IF(AND(B222=1,C222&gt;0,K222&lt;=0.000000000001,I222&lt;0),-I222/M222,0)</f>
        <v>0</v>
      </c>
      <c r="O222" s="28" t="n">
        <f aca="false">IF(AND(B222=1,C222&gt;0,K222&gt;0.000000000001),-(I222+$E$14*M222)/K222,0)</f>
        <v>0</v>
      </c>
      <c r="P222" s="28" t="n">
        <f aca="false">R221</f>
        <v>0</v>
      </c>
      <c r="Q222" s="28" t="n">
        <f aca="false">H222*$E$15</f>
        <v>0</v>
      </c>
      <c r="R222" s="28" t="n">
        <f aca="false">IF(B222=1,(P222+D222-C222)*(1+RetRate)+G222+Q222,P222)</f>
        <v>0</v>
      </c>
      <c r="S222" s="28" t="n">
        <f aca="false">V221</f>
        <v>0</v>
      </c>
      <c r="T222" s="28" t="n">
        <f aca="false">S222+D222-C222</f>
        <v>0</v>
      </c>
      <c r="U222" s="28" t="n">
        <f aca="false">IF(B222=1,MAX(0,-T222),0)</f>
        <v>0</v>
      </c>
      <c r="V222" s="28" t="n">
        <f aca="false">IF(B222=1,MAX(0,T222)*(1+RetRate)+G222,S222)</f>
        <v>0</v>
      </c>
      <c r="W222" s="28" t="n">
        <f aca="false">IF(A222&lt;=MIN('Education Cost Forecast'!$E$49,'Education Cost Forecast'!$E$53),G222*(1+RetRate)^('Education Cost Forecast'!$E$49-A222),0)</f>
        <v>0</v>
      </c>
      <c r="X222" s="28" t="n">
        <f aca="false">IF(B222=1,P222+D222-C222,0)</f>
        <v>0</v>
      </c>
    </row>
    <row r="223" customFormat="false" ht="15" hidden="false" customHeight="false" outlineLevel="0" collapsed="false">
      <c r="A223" s="27" t="n">
        <v>54</v>
      </c>
      <c r="B223" s="27" t="n">
        <f aca="false">'Education Cost Forecast'!B243</f>
        <v>0</v>
      </c>
      <c r="C223" s="28" t="n">
        <f aca="false">'Education Cost Forecast'!Z243</f>
        <v>0</v>
      </c>
      <c r="D223" s="28" t="n">
        <f aca="false">IF(AND(B223=1,'Education Cost Forecast'!F243&gt;0,'Education Cost Forecast'!E243=0),'Education Cost Forecast'!$E$45,0)</f>
        <v>0</v>
      </c>
      <c r="E223" s="27" t="n">
        <f aca="false">IF(AND(B223=1,A223&lt;='Education Cost Forecast'!$E$53),1,0)</f>
        <v>0</v>
      </c>
      <c r="F223" s="40" t="n">
        <f aca="false">(1+Esc)^(A223-1)</f>
        <v>13.2749486769831</v>
      </c>
      <c r="G223" s="28" t="n">
        <f aca="false">E223*('Education Cost Forecast'!$E$41*12*MonthlyFactor+'Education Cost Forecast'!$E$42)*F223</f>
        <v>0</v>
      </c>
      <c r="H223" s="28" t="n">
        <f aca="false">E223*UnitFactor*F223</f>
        <v>0</v>
      </c>
      <c r="I223" s="28" t="n">
        <f aca="false">J222+D223-C223</f>
        <v>0</v>
      </c>
      <c r="J223" s="28" t="n">
        <f aca="false">IF(B223=1,I223*(1+RetRate)+G223,J222)</f>
        <v>0</v>
      </c>
      <c r="K223" s="28" t="n">
        <f aca="false">L222</f>
        <v>0</v>
      </c>
      <c r="L223" s="28" t="n">
        <f aca="false">IF(B223=1,K223*(1+RetRate)+H223,L222)</f>
        <v>0</v>
      </c>
      <c r="M223" s="40" t="n">
        <f aca="false">(1+RetRate)^(A223-1)</f>
        <v>406.027268553483</v>
      </c>
      <c r="N223" s="28" t="n">
        <f aca="false">IF(AND(B223=1,C223&gt;0,K223&lt;=0.000000000001,I223&lt;0),-I223/M223,0)</f>
        <v>0</v>
      </c>
      <c r="O223" s="28" t="n">
        <f aca="false">IF(AND(B223=1,C223&gt;0,K223&gt;0.000000000001),-(I223+$E$14*M223)/K223,0)</f>
        <v>0</v>
      </c>
      <c r="P223" s="28" t="n">
        <f aca="false">R222</f>
        <v>0</v>
      </c>
      <c r="Q223" s="28" t="n">
        <f aca="false">H223*$E$15</f>
        <v>0</v>
      </c>
      <c r="R223" s="28" t="n">
        <f aca="false">IF(B223=1,(P223+D223-C223)*(1+RetRate)+G223+Q223,P223)</f>
        <v>0</v>
      </c>
      <c r="S223" s="28" t="n">
        <f aca="false">V222</f>
        <v>0</v>
      </c>
      <c r="T223" s="28" t="n">
        <f aca="false">S223+D223-C223</f>
        <v>0</v>
      </c>
      <c r="U223" s="28" t="n">
        <f aca="false">IF(B223=1,MAX(0,-T223),0)</f>
        <v>0</v>
      </c>
      <c r="V223" s="28" t="n">
        <f aca="false">IF(B223=1,MAX(0,T223)*(1+RetRate)+G223,S223)</f>
        <v>0</v>
      </c>
      <c r="W223" s="28" t="n">
        <f aca="false">IF(A223&lt;=MIN('Education Cost Forecast'!$E$49,'Education Cost Forecast'!$E$53),G223*(1+RetRate)^('Education Cost Forecast'!$E$49-A223),0)</f>
        <v>0</v>
      </c>
      <c r="X223" s="28" t="n">
        <f aca="false">IF(B223=1,P223+D223-C223,0)</f>
        <v>0</v>
      </c>
    </row>
    <row r="224" customFormat="false" ht="15" hidden="false" customHeight="false" outlineLevel="0" collapsed="false">
      <c r="A224" s="27" t="n">
        <v>55</v>
      </c>
      <c r="B224" s="27" t="n">
        <f aca="false">'Education Cost Forecast'!B244</f>
        <v>0</v>
      </c>
      <c r="C224" s="28" t="n">
        <f aca="false">'Education Cost Forecast'!Z244</f>
        <v>0</v>
      </c>
      <c r="D224" s="28" t="n">
        <f aca="false">IF(AND(B224=1,'Education Cost Forecast'!F244&gt;0,'Education Cost Forecast'!E244=0),'Education Cost Forecast'!$E$45,0)</f>
        <v>0</v>
      </c>
      <c r="E224" s="27" t="n">
        <f aca="false">IF(AND(B224=1,A224&lt;='Education Cost Forecast'!$E$53),1,0)</f>
        <v>0</v>
      </c>
      <c r="F224" s="40" t="n">
        <f aca="false">(1+Esc)^(A224-1)</f>
        <v>13.9386961108323</v>
      </c>
      <c r="G224" s="28" t="n">
        <f aca="false">E224*('Education Cost Forecast'!$E$41*12*MonthlyFactor+'Education Cost Forecast'!$E$42)*F224</f>
        <v>0</v>
      </c>
      <c r="H224" s="28" t="n">
        <f aca="false">E224*UnitFactor*F224</f>
        <v>0</v>
      </c>
      <c r="I224" s="28" t="n">
        <f aca="false">J223+D224-C224</f>
        <v>0</v>
      </c>
      <c r="J224" s="28" t="n">
        <f aca="false">IF(B224=1,I224*(1+RetRate)+G224,J223)</f>
        <v>0</v>
      </c>
      <c r="K224" s="28" t="n">
        <f aca="false">L223</f>
        <v>0</v>
      </c>
      <c r="L224" s="28" t="n">
        <f aca="false">IF(B224=1,K224*(1+RetRate)+H224,L223)</f>
        <v>0</v>
      </c>
      <c r="M224" s="40" t="n">
        <f aca="false">(1+RetRate)^(A224-1)</f>
        <v>454.750540779902</v>
      </c>
      <c r="N224" s="28" t="n">
        <f aca="false">IF(AND(B224=1,C224&gt;0,K224&lt;=0.000000000001,I224&lt;0),-I224/M224,0)</f>
        <v>0</v>
      </c>
      <c r="O224" s="28" t="n">
        <f aca="false">IF(AND(B224=1,C224&gt;0,K224&gt;0.000000000001),-(I224+$E$14*M224)/K224,0)</f>
        <v>0</v>
      </c>
      <c r="P224" s="28" t="n">
        <f aca="false">R223</f>
        <v>0</v>
      </c>
      <c r="Q224" s="28" t="n">
        <f aca="false">H224*$E$15</f>
        <v>0</v>
      </c>
      <c r="R224" s="28" t="n">
        <f aca="false">IF(B224=1,(P224+D224-C224)*(1+RetRate)+G224+Q224,P224)</f>
        <v>0</v>
      </c>
      <c r="S224" s="28" t="n">
        <f aca="false">V223</f>
        <v>0</v>
      </c>
      <c r="T224" s="28" t="n">
        <f aca="false">S224+D224-C224</f>
        <v>0</v>
      </c>
      <c r="U224" s="28" t="n">
        <f aca="false">IF(B224=1,MAX(0,-T224),0)</f>
        <v>0</v>
      </c>
      <c r="V224" s="28" t="n">
        <f aca="false">IF(B224=1,MAX(0,T224)*(1+RetRate)+G224,S224)</f>
        <v>0</v>
      </c>
      <c r="W224" s="28" t="n">
        <f aca="false">IF(A224&lt;=MIN('Education Cost Forecast'!$E$49,'Education Cost Forecast'!$E$53),G224*(1+RetRate)^('Education Cost Forecast'!$E$49-A224),0)</f>
        <v>0</v>
      </c>
      <c r="X224" s="28" t="n">
        <f aca="false">IF(B224=1,P224+D224-C224,0)</f>
        <v>0</v>
      </c>
    </row>
    <row r="225" customFormat="false" ht="15" hidden="false" customHeight="false" outlineLevel="0" collapsed="false">
      <c r="A225" s="27" t="n">
        <v>56</v>
      </c>
      <c r="B225" s="27" t="n">
        <f aca="false">'Education Cost Forecast'!B245</f>
        <v>0</v>
      </c>
      <c r="C225" s="28" t="n">
        <f aca="false">'Education Cost Forecast'!Z245</f>
        <v>0</v>
      </c>
      <c r="D225" s="28" t="n">
        <f aca="false">IF(AND(B225=1,'Education Cost Forecast'!F245&gt;0,'Education Cost Forecast'!E245=0),'Education Cost Forecast'!$E$45,0)</f>
        <v>0</v>
      </c>
      <c r="E225" s="27" t="n">
        <f aca="false">IF(AND(B225=1,A225&lt;='Education Cost Forecast'!$E$53),1,0)</f>
        <v>0</v>
      </c>
      <c r="F225" s="40" t="n">
        <f aca="false">(1+Esc)^(A225-1)</f>
        <v>14.6356309163739</v>
      </c>
      <c r="G225" s="28" t="n">
        <f aca="false">E225*('Education Cost Forecast'!$E$41*12*MonthlyFactor+'Education Cost Forecast'!$E$42)*F225</f>
        <v>0</v>
      </c>
      <c r="H225" s="28" t="n">
        <f aca="false">E225*UnitFactor*F225</f>
        <v>0</v>
      </c>
      <c r="I225" s="28" t="n">
        <f aca="false">J224+D225-C225</f>
        <v>0</v>
      </c>
      <c r="J225" s="28" t="n">
        <f aca="false">IF(B225=1,I225*(1+RetRate)+G225,J224)</f>
        <v>0</v>
      </c>
      <c r="K225" s="28" t="n">
        <f aca="false">L224</f>
        <v>0</v>
      </c>
      <c r="L225" s="28" t="n">
        <f aca="false">IF(B225=1,K225*(1+RetRate)+H225,L224)</f>
        <v>0</v>
      </c>
      <c r="M225" s="40" t="n">
        <f aca="false">(1+RetRate)^(A225-1)</f>
        <v>509.32060567349</v>
      </c>
      <c r="N225" s="28" t="n">
        <f aca="false">IF(AND(B225=1,C225&gt;0,K225&lt;=0.000000000001,I225&lt;0),-I225/M225,0)</f>
        <v>0</v>
      </c>
      <c r="O225" s="28" t="n">
        <f aca="false">IF(AND(B225=1,C225&gt;0,K225&gt;0.000000000001),-(I225+$E$14*M225)/K225,0)</f>
        <v>0</v>
      </c>
      <c r="P225" s="28" t="n">
        <f aca="false">R224</f>
        <v>0</v>
      </c>
      <c r="Q225" s="28" t="n">
        <f aca="false">H225*$E$15</f>
        <v>0</v>
      </c>
      <c r="R225" s="28" t="n">
        <f aca="false">IF(B225=1,(P225+D225-C225)*(1+RetRate)+G225+Q225,P225)</f>
        <v>0</v>
      </c>
      <c r="S225" s="28" t="n">
        <f aca="false">V224</f>
        <v>0</v>
      </c>
      <c r="T225" s="28" t="n">
        <f aca="false">S225+D225-C225</f>
        <v>0</v>
      </c>
      <c r="U225" s="28" t="n">
        <f aca="false">IF(B225=1,MAX(0,-T225),0)</f>
        <v>0</v>
      </c>
      <c r="V225" s="28" t="n">
        <f aca="false">IF(B225=1,MAX(0,T225)*(1+RetRate)+G225,S225)</f>
        <v>0</v>
      </c>
      <c r="W225" s="28" t="n">
        <f aca="false">IF(A225&lt;=MIN('Education Cost Forecast'!$E$49,'Education Cost Forecast'!$E$53),G225*(1+RetRate)^('Education Cost Forecast'!$E$49-A225),0)</f>
        <v>0</v>
      </c>
      <c r="X225" s="28" t="n">
        <f aca="false">IF(B225=1,P225+D225-C225,0)</f>
        <v>0</v>
      </c>
    </row>
    <row r="226" customFormat="false" ht="15" hidden="false" customHeight="false" outlineLevel="0" collapsed="false">
      <c r="A226" s="27" t="n">
        <v>57</v>
      </c>
      <c r="B226" s="27" t="n">
        <f aca="false">'Education Cost Forecast'!B246</f>
        <v>0</v>
      </c>
      <c r="C226" s="28" t="n">
        <f aca="false">'Education Cost Forecast'!Z246</f>
        <v>0</v>
      </c>
      <c r="D226" s="28" t="n">
        <f aca="false">IF(AND(B226=1,'Education Cost Forecast'!F246&gt;0,'Education Cost Forecast'!E246=0),'Education Cost Forecast'!$E$45,0)</f>
        <v>0</v>
      </c>
      <c r="E226" s="27" t="n">
        <f aca="false">IF(AND(B226=1,A226&lt;='Education Cost Forecast'!$E$53),1,0)</f>
        <v>0</v>
      </c>
      <c r="F226" s="40" t="n">
        <f aca="false">(1+Esc)^(A226-1)</f>
        <v>15.3674124621926</v>
      </c>
      <c r="G226" s="28" t="n">
        <f aca="false">E226*('Education Cost Forecast'!$E$41*12*MonthlyFactor+'Education Cost Forecast'!$E$42)*F226</f>
        <v>0</v>
      </c>
      <c r="H226" s="28" t="n">
        <f aca="false">E226*UnitFactor*F226</f>
        <v>0</v>
      </c>
      <c r="I226" s="28" t="n">
        <f aca="false">J225+D226-C226</f>
        <v>0</v>
      </c>
      <c r="J226" s="28" t="n">
        <f aca="false">IF(B226=1,I226*(1+RetRate)+G226,J225)</f>
        <v>0</v>
      </c>
      <c r="K226" s="28" t="n">
        <f aca="false">L225</f>
        <v>0</v>
      </c>
      <c r="L226" s="28" t="n">
        <f aca="false">IF(B226=1,K226*(1+RetRate)+H226,L225)</f>
        <v>0</v>
      </c>
      <c r="M226" s="40" t="n">
        <f aca="false">(1+RetRate)^(A226-1)</f>
        <v>570.439078354309</v>
      </c>
      <c r="N226" s="28" t="n">
        <f aca="false">IF(AND(B226=1,C226&gt;0,K226&lt;=0.000000000001,I226&lt;0),-I226/M226,0)</f>
        <v>0</v>
      </c>
      <c r="O226" s="28" t="n">
        <f aca="false">IF(AND(B226=1,C226&gt;0,K226&gt;0.000000000001),-(I226+$E$14*M226)/K226,0)</f>
        <v>0</v>
      </c>
      <c r="P226" s="28" t="n">
        <f aca="false">R225</f>
        <v>0</v>
      </c>
      <c r="Q226" s="28" t="n">
        <f aca="false">H226*$E$15</f>
        <v>0</v>
      </c>
      <c r="R226" s="28" t="n">
        <f aca="false">IF(B226=1,(P226+D226-C226)*(1+RetRate)+G226+Q226,P226)</f>
        <v>0</v>
      </c>
      <c r="S226" s="28" t="n">
        <f aca="false">V225</f>
        <v>0</v>
      </c>
      <c r="T226" s="28" t="n">
        <f aca="false">S226+D226-C226</f>
        <v>0</v>
      </c>
      <c r="U226" s="28" t="n">
        <f aca="false">IF(B226=1,MAX(0,-T226),0)</f>
        <v>0</v>
      </c>
      <c r="V226" s="28" t="n">
        <f aca="false">IF(B226=1,MAX(0,T226)*(1+RetRate)+G226,S226)</f>
        <v>0</v>
      </c>
      <c r="W226" s="28" t="n">
        <f aca="false">IF(A226&lt;=MIN('Education Cost Forecast'!$E$49,'Education Cost Forecast'!$E$53),G226*(1+RetRate)^('Education Cost Forecast'!$E$49-A226),0)</f>
        <v>0</v>
      </c>
      <c r="X226" s="28" t="n">
        <f aca="false">IF(B226=1,P226+D226-C226,0)</f>
        <v>0</v>
      </c>
    </row>
    <row r="227" customFormat="false" ht="15" hidden="false" customHeight="false" outlineLevel="0" collapsed="false">
      <c r="A227" s="27" t="n">
        <v>58</v>
      </c>
      <c r="B227" s="27" t="n">
        <f aca="false">'Education Cost Forecast'!B247</f>
        <v>0</v>
      </c>
      <c r="C227" s="28" t="n">
        <f aca="false">'Education Cost Forecast'!Z247</f>
        <v>0</v>
      </c>
      <c r="D227" s="28" t="n">
        <f aca="false">IF(AND(B227=1,'Education Cost Forecast'!F247&gt;0,'Education Cost Forecast'!E247=0),'Education Cost Forecast'!$E$45,0)</f>
        <v>0</v>
      </c>
      <c r="E227" s="27" t="n">
        <f aca="false">IF(AND(B227=1,A227&lt;='Education Cost Forecast'!$E$53),1,0)</f>
        <v>0</v>
      </c>
      <c r="F227" s="40" t="n">
        <f aca="false">(1+Esc)^(A227-1)</f>
        <v>16.1357830853022</v>
      </c>
      <c r="G227" s="28" t="n">
        <f aca="false">E227*('Education Cost Forecast'!$E$41*12*MonthlyFactor+'Education Cost Forecast'!$E$42)*F227</f>
        <v>0</v>
      </c>
      <c r="H227" s="28" t="n">
        <f aca="false">E227*UnitFactor*F227</f>
        <v>0</v>
      </c>
      <c r="I227" s="28" t="n">
        <f aca="false">J226+D227-C227</f>
        <v>0</v>
      </c>
      <c r="J227" s="28" t="n">
        <f aca="false">IF(B227=1,I227*(1+RetRate)+G227,J226)</f>
        <v>0</v>
      </c>
      <c r="K227" s="28" t="n">
        <f aca="false">L226</f>
        <v>0</v>
      </c>
      <c r="L227" s="28" t="n">
        <f aca="false">IF(B227=1,K227*(1+RetRate)+H227,L226)</f>
        <v>0</v>
      </c>
      <c r="M227" s="40" t="n">
        <f aca="false">(1+RetRate)^(A227-1)</f>
        <v>638.891767756826</v>
      </c>
      <c r="N227" s="28" t="n">
        <f aca="false">IF(AND(B227=1,C227&gt;0,K227&lt;=0.000000000001,I227&lt;0),-I227/M227,0)</f>
        <v>0</v>
      </c>
      <c r="O227" s="28" t="n">
        <f aca="false">IF(AND(B227=1,C227&gt;0,K227&gt;0.000000000001),-(I227+$E$14*M227)/K227,0)</f>
        <v>0</v>
      </c>
      <c r="P227" s="28" t="n">
        <f aca="false">R226</f>
        <v>0</v>
      </c>
      <c r="Q227" s="28" t="n">
        <f aca="false">H227*$E$15</f>
        <v>0</v>
      </c>
      <c r="R227" s="28" t="n">
        <f aca="false">IF(B227=1,(P227+D227-C227)*(1+RetRate)+G227+Q227,P227)</f>
        <v>0</v>
      </c>
      <c r="S227" s="28" t="n">
        <f aca="false">V226</f>
        <v>0</v>
      </c>
      <c r="T227" s="28" t="n">
        <f aca="false">S227+D227-C227</f>
        <v>0</v>
      </c>
      <c r="U227" s="28" t="n">
        <f aca="false">IF(B227=1,MAX(0,-T227),0)</f>
        <v>0</v>
      </c>
      <c r="V227" s="28" t="n">
        <f aca="false">IF(B227=1,MAX(0,T227)*(1+RetRate)+G227,S227)</f>
        <v>0</v>
      </c>
      <c r="W227" s="28" t="n">
        <f aca="false">IF(A227&lt;=MIN('Education Cost Forecast'!$E$49,'Education Cost Forecast'!$E$53),G227*(1+RetRate)^('Education Cost Forecast'!$E$49-A227),0)</f>
        <v>0</v>
      </c>
      <c r="X227" s="28" t="n">
        <f aca="false">IF(B227=1,P227+D227-C227,0)</f>
        <v>0</v>
      </c>
    </row>
    <row r="228" customFormat="false" ht="15" hidden="false" customHeight="false" outlineLevel="0" collapsed="false">
      <c r="A228" s="27" t="n">
        <v>59</v>
      </c>
      <c r="B228" s="27" t="n">
        <f aca="false">'Education Cost Forecast'!B248</f>
        <v>0</v>
      </c>
      <c r="C228" s="28" t="n">
        <f aca="false">'Education Cost Forecast'!Z248</f>
        <v>0</v>
      </c>
      <c r="D228" s="28" t="n">
        <f aca="false">IF(AND(B228=1,'Education Cost Forecast'!F248&gt;0,'Education Cost Forecast'!E248=0),'Education Cost Forecast'!$E$45,0)</f>
        <v>0</v>
      </c>
      <c r="E228" s="27" t="n">
        <f aca="false">IF(AND(B228=1,A228&lt;='Education Cost Forecast'!$E$53),1,0)</f>
        <v>0</v>
      </c>
      <c r="F228" s="40" t="n">
        <f aca="false">(1+Esc)^(A228-1)</f>
        <v>16.9425722395673</v>
      </c>
      <c r="G228" s="28" t="n">
        <f aca="false">E228*('Education Cost Forecast'!$E$41*12*MonthlyFactor+'Education Cost Forecast'!$E$42)*F228</f>
        <v>0</v>
      </c>
      <c r="H228" s="28" t="n">
        <f aca="false">E228*UnitFactor*F228</f>
        <v>0</v>
      </c>
      <c r="I228" s="28" t="n">
        <f aca="false">J227+D228-C228</f>
        <v>0</v>
      </c>
      <c r="J228" s="28" t="n">
        <f aca="false">IF(B228=1,I228*(1+RetRate)+G228,J227)</f>
        <v>0</v>
      </c>
      <c r="K228" s="28" t="n">
        <f aca="false">L227</f>
        <v>0</v>
      </c>
      <c r="L228" s="28" t="n">
        <f aca="false">IF(B228=1,K228*(1+RetRate)+H228,L227)</f>
        <v>0</v>
      </c>
      <c r="M228" s="40" t="n">
        <f aca="false">(1+RetRate)^(A228-1)</f>
        <v>715.558779887645</v>
      </c>
      <c r="N228" s="28" t="n">
        <f aca="false">IF(AND(B228=1,C228&gt;0,K228&lt;=0.000000000001,I228&lt;0),-I228/M228,0)</f>
        <v>0</v>
      </c>
      <c r="O228" s="28" t="n">
        <f aca="false">IF(AND(B228=1,C228&gt;0,K228&gt;0.000000000001),-(I228+$E$14*M228)/K228,0)</f>
        <v>0</v>
      </c>
      <c r="P228" s="28" t="n">
        <f aca="false">R227</f>
        <v>0</v>
      </c>
      <c r="Q228" s="28" t="n">
        <f aca="false">H228*$E$15</f>
        <v>0</v>
      </c>
      <c r="R228" s="28" t="n">
        <f aca="false">IF(B228=1,(P228+D228-C228)*(1+RetRate)+G228+Q228,P228)</f>
        <v>0</v>
      </c>
      <c r="S228" s="28" t="n">
        <f aca="false">V227</f>
        <v>0</v>
      </c>
      <c r="T228" s="28" t="n">
        <f aca="false">S228+D228-C228</f>
        <v>0</v>
      </c>
      <c r="U228" s="28" t="n">
        <f aca="false">IF(B228=1,MAX(0,-T228),0)</f>
        <v>0</v>
      </c>
      <c r="V228" s="28" t="n">
        <f aca="false">IF(B228=1,MAX(0,T228)*(1+RetRate)+G228,S228)</f>
        <v>0</v>
      </c>
      <c r="W228" s="28" t="n">
        <f aca="false">IF(A228&lt;=MIN('Education Cost Forecast'!$E$49,'Education Cost Forecast'!$E$53),G228*(1+RetRate)^('Education Cost Forecast'!$E$49-A228),0)</f>
        <v>0</v>
      </c>
      <c r="X228" s="28" t="n">
        <f aca="false">IF(B228=1,P228+D228-C228,0)</f>
        <v>0</v>
      </c>
    </row>
    <row r="229" customFormat="false" ht="15" hidden="false" customHeight="false" outlineLevel="0" collapsed="false">
      <c r="A229" s="27" t="n">
        <v>60</v>
      </c>
      <c r="B229" s="27" t="n">
        <f aca="false">'Education Cost Forecast'!B249</f>
        <v>0</v>
      </c>
      <c r="C229" s="28" t="n">
        <f aca="false">'Education Cost Forecast'!Z249</f>
        <v>0</v>
      </c>
      <c r="D229" s="28" t="n">
        <f aca="false">IF(AND(B229=1,'Education Cost Forecast'!F249&gt;0,'Education Cost Forecast'!E249=0),'Education Cost Forecast'!$E$45,0)</f>
        <v>0</v>
      </c>
      <c r="E229" s="27" t="n">
        <f aca="false">IF(AND(B229=1,A229&lt;='Education Cost Forecast'!$E$53),1,0)</f>
        <v>0</v>
      </c>
      <c r="F229" s="40" t="n">
        <f aca="false">(1+Esc)^(A229-1)</f>
        <v>17.7897008515457</v>
      </c>
      <c r="G229" s="28" t="n">
        <f aca="false">E229*('Education Cost Forecast'!$E$41*12*MonthlyFactor+'Education Cost Forecast'!$E$42)*F229</f>
        <v>0</v>
      </c>
      <c r="H229" s="28" t="n">
        <f aca="false">E229*UnitFactor*F229</f>
        <v>0</v>
      </c>
      <c r="I229" s="28" t="n">
        <f aca="false">J228+D229-C229</f>
        <v>0</v>
      </c>
      <c r="J229" s="28" t="n">
        <f aca="false">IF(B229=1,I229*(1+RetRate)+G229,J228)</f>
        <v>0</v>
      </c>
      <c r="K229" s="28" t="n">
        <f aca="false">L228</f>
        <v>0</v>
      </c>
      <c r="L229" s="28" t="n">
        <f aca="false">IF(B229=1,K229*(1+RetRate)+H229,L228)</f>
        <v>0</v>
      </c>
      <c r="M229" s="40" t="n">
        <f aca="false">(1+RetRate)^(A229-1)</f>
        <v>801.425833474162</v>
      </c>
      <c r="N229" s="28" t="n">
        <f aca="false">IF(AND(B229=1,C229&gt;0,K229&lt;=0.000000000001,I229&lt;0),-I229/M229,0)</f>
        <v>0</v>
      </c>
      <c r="O229" s="28" t="n">
        <f aca="false">IF(AND(B229=1,C229&gt;0,K229&gt;0.000000000001),-(I229+$E$14*M229)/K229,0)</f>
        <v>0</v>
      </c>
      <c r="P229" s="28" t="n">
        <f aca="false">R228</f>
        <v>0</v>
      </c>
      <c r="Q229" s="28" t="n">
        <f aca="false">H229*$E$15</f>
        <v>0</v>
      </c>
      <c r="R229" s="28" t="n">
        <f aca="false">IF(B229=1,(P229+D229-C229)*(1+RetRate)+G229+Q229,P229)</f>
        <v>0</v>
      </c>
      <c r="S229" s="28" t="n">
        <f aca="false">V228</f>
        <v>0</v>
      </c>
      <c r="T229" s="28" t="n">
        <f aca="false">S229+D229-C229</f>
        <v>0</v>
      </c>
      <c r="U229" s="28" t="n">
        <f aca="false">IF(B229=1,MAX(0,-T229),0)</f>
        <v>0</v>
      </c>
      <c r="V229" s="28" t="n">
        <f aca="false">IF(B229=1,MAX(0,T229)*(1+RetRate)+G229,S229)</f>
        <v>0</v>
      </c>
      <c r="W229" s="28" t="n">
        <f aca="false">IF(A229&lt;=MIN('Education Cost Forecast'!$E$49,'Education Cost Forecast'!$E$53),G229*(1+RetRate)^('Education Cost Forecast'!$E$49-A229),0)</f>
        <v>0</v>
      </c>
      <c r="X229" s="28" t="n">
        <f aca="false">IF(B229=1,P229+D229-C229,0)</f>
        <v>0</v>
      </c>
    </row>
    <row r="232" customFormat="false" ht="15" hidden="false" customHeight="false" outlineLevel="0" collapsed="false">
      <c r="A232" s="6" t="str">
        <f aca="false">"Child 4: "&amp;'Education Cost Forecast'!$F$6&amp;" — annual cash flow ("&amp;RepCcy&amp;")"</f>
        <v>Child 4: Child 4 — annual cash flow (PKR)</v>
      </c>
    </row>
    <row r="233" customFormat="false" ht="66" hidden="false" customHeight="true" outlineLevel="0" collapsed="false">
      <c r="A233" s="22" t="s">
        <v>581</v>
      </c>
      <c r="B233" s="22" t="s">
        <v>582</v>
      </c>
      <c r="C233" s="22" t="s">
        <v>634</v>
      </c>
      <c r="D233" s="22" t="s">
        <v>635</v>
      </c>
      <c r="E233" s="22" t="s">
        <v>636</v>
      </c>
      <c r="F233" s="22" t="s">
        <v>637</v>
      </c>
      <c r="G233" s="22" t="s">
        <v>638</v>
      </c>
      <c r="H233" s="22" t="s">
        <v>639</v>
      </c>
      <c r="I233" s="22" t="s">
        <v>640</v>
      </c>
      <c r="J233" s="22" t="s">
        <v>641</v>
      </c>
      <c r="K233" s="22" t="s">
        <v>642</v>
      </c>
      <c r="L233" s="22" t="s">
        <v>643</v>
      </c>
      <c r="M233" s="22" t="s">
        <v>644</v>
      </c>
      <c r="N233" s="22" t="s">
        <v>645</v>
      </c>
      <c r="O233" s="22" t="s">
        <v>646</v>
      </c>
      <c r="P233" s="22" t="s">
        <v>647</v>
      </c>
      <c r="Q233" s="22" t="s">
        <v>648</v>
      </c>
      <c r="R233" s="22" t="s">
        <v>649</v>
      </c>
      <c r="S233" s="22" t="s">
        <v>650</v>
      </c>
      <c r="T233" s="22" t="s">
        <v>651</v>
      </c>
      <c r="U233" s="22" t="s">
        <v>652</v>
      </c>
      <c r="V233" s="22" t="s">
        <v>653</v>
      </c>
      <c r="W233" s="22" t="s">
        <v>654</v>
      </c>
      <c r="X233" s="22" t="s">
        <v>655</v>
      </c>
    </row>
    <row r="234" customFormat="false" ht="15" hidden="false" customHeight="false" outlineLevel="0" collapsed="false">
      <c r="A234" s="27" t="n">
        <v>1</v>
      </c>
      <c r="B234" s="27" t="n">
        <f aca="false">'Education Cost Forecast'!B254</f>
        <v>0</v>
      </c>
      <c r="C234" s="28" t="n">
        <f aca="false">'Education Cost Forecast'!Z254</f>
        <v>0</v>
      </c>
      <c r="D234" s="28" t="n">
        <f aca="false">IF(AND(B234=1,'Education Cost Forecast'!F254&gt;0,'Education Cost Forecast'!E254=0),'Education Cost Forecast'!$F$45,0)</f>
        <v>0</v>
      </c>
      <c r="E234" s="27" t="n">
        <f aca="false">IF(AND(B234=1,A234&lt;='Education Cost Forecast'!$F$53),1,0)</f>
        <v>0</v>
      </c>
      <c r="F234" s="40" t="n">
        <f aca="false">(1+Esc)^(A234-1)</f>
        <v>1</v>
      </c>
      <c r="G234" s="28" t="n">
        <f aca="false">E234*('Education Cost Forecast'!$F$41*12*MonthlyFactor+'Education Cost Forecast'!$F$42)*F234</f>
        <v>0</v>
      </c>
      <c r="H234" s="28" t="n">
        <f aca="false">E234*UnitFactor*F234</f>
        <v>0</v>
      </c>
      <c r="I234" s="28" t="n">
        <f aca="false">'Education Cost Forecast'!$F$40*'Education Cost Forecast'!$F$47+D234-C234</f>
        <v>0</v>
      </c>
      <c r="J234" s="28" t="n">
        <f aca="false">IF(B234=1,I234*(1+RetRate)+G234,'Education Cost Forecast'!$F$40*'Education Cost Forecast'!$F$47)</f>
        <v>0</v>
      </c>
      <c r="K234" s="28" t="n">
        <f aca="false">0</f>
        <v>0</v>
      </c>
      <c r="L234" s="28" t="n">
        <f aca="false">IF(B234=1,K234*(1+RetRate)+H234,0)</f>
        <v>0</v>
      </c>
      <c r="M234" s="40" t="n">
        <f aca="false">(1+RetRate)^(A234-1)</f>
        <v>1</v>
      </c>
      <c r="N234" s="28" t="n">
        <f aca="false">IF(AND(B234=1,C234&gt;0,K234&lt;=0.000000000001,I234&lt;0),-I234/M234,0)</f>
        <v>0</v>
      </c>
      <c r="O234" s="28" t="n">
        <f aca="false">IF(AND(B234=1,C234&gt;0,K234&gt;0.000000000001),-(I234+$F$14*M234)/K234,0)</f>
        <v>0</v>
      </c>
      <c r="P234" s="28" t="n">
        <f aca="false">'Education Cost Forecast'!$F$40*'Education Cost Forecast'!$F$47+$F$14</f>
        <v>0</v>
      </c>
      <c r="Q234" s="28" t="n">
        <f aca="false">H234*$F$15</f>
        <v>0</v>
      </c>
      <c r="R234" s="28" t="n">
        <f aca="false">IF(B234=1,(P234+D234-C234)*(1+RetRate)+G234+Q234,P234)</f>
        <v>0</v>
      </c>
      <c r="S234" s="28" t="n">
        <f aca="false">'Education Cost Forecast'!$F$40*'Education Cost Forecast'!$F$47</f>
        <v>0</v>
      </c>
      <c r="T234" s="28" t="n">
        <f aca="false">S234+D234-C234</f>
        <v>0</v>
      </c>
      <c r="U234" s="28" t="n">
        <f aca="false">IF(B234=1,MAX(0,-T234),0)</f>
        <v>0</v>
      </c>
      <c r="V234" s="28" t="n">
        <f aca="false">IF(B234=1,MAX(0,T234)*(1+RetRate)+G234,S234)</f>
        <v>0</v>
      </c>
      <c r="W234" s="28" t="n">
        <f aca="false">IF(A234&lt;=MIN('Education Cost Forecast'!$F$49,'Education Cost Forecast'!$F$53),G234*(1+RetRate)^('Education Cost Forecast'!$F$49-A234),0)</f>
        <v>0</v>
      </c>
      <c r="X234" s="28" t="n">
        <f aca="false">IF(B234=1,P234+D234-C234,0)</f>
        <v>0</v>
      </c>
    </row>
    <row r="235" customFormat="false" ht="15" hidden="false" customHeight="false" outlineLevel="0" collapsed="false">
      <c r="A235" s="27" t="n">
        <v>2</v>
      </c>
      <c r="B235" s="27" t="n">
        <f aca="false">'Education Cost Forecast'!B255</f>
        <v>0</v>
      </c>
      <c r="C235" s="28" t="n">
        <f aca="false">'Education Cost Forecast'!Z255</f>
        <v>0</v>
      </c>
      <c r="D235" s="28" t="n">
        <f aca="false">IF(AND(B235=1,'Education Cost Forecast'!F255&gt;0,'Education Cost Forecast'!E255=0),'Education Cost Forecast'!$F$45,0)</f>
        <v>0</v>
      </c>
      <c r="E235" s="27" t="n">
        <f aca="false">IF(AND(B235=1,A235&lt;='Education Cost Forecast'!$F$53),1,0)</f>
        <v>0</v>
      </c>
      <c r="F235" s="40" t="n">
        <f aca="false">(1+Esc)^(A235-1)</f>
        <v>1.05</v>
      </c>
      <c r="G235" s="28" t="n">
        <f aca="false">E235*('Education Cost Forecast'!$F$41*12*MonthlyFactor+'Education Cost Forecast'!$F$42)*F235</f>
        <v>0</v>
      </c>
      <c r="H235" s="28" t="n">
        <f aca="false">E235*UnitFactor*F235</f>
        <v>0</v>
      </c>
      <c r="I235" s="28" t="n">
        <f aca="false">J234+D235-C235</f>
        <v>0</v>
      </c>
      <c r="J235" s="28" t="n">
        <f aca="false">IF(B235=1,I235*(1+RetRate)+G235,J234)</f>
        <v>0</v>
      </c>
      <c r="K235" s="28" t="n">
        <f aca="false">L234</f>
        <v>0</v>
      </c>
      <c r="L235" s="28" t="n">
        <f aca="false">IF(B235=1,K235*(1+RetRate)+H235,L234)</f>
        <v>0</v>
      </c>
      <c r="M235" s="40" t="n">
        <f aca="false">(1+RetRate)^(A235-1)</f>
        <v>1.12</v>
      </c>
      <c r="N235" s="28" t="n">
        <f aca="false">IF(AND(B235=1,C235&gt;0,K235&lt;=0.000000000001,I235&lt;0),-I235/M235,0)</f>
        <v>0</v>
      </c>
      <c r="O235" s="28" t="n">
        <f aca="false">IF(AND(B235=1,C235&gt;0,K235&gt;0.000000000001),-(I235+$F$14*M235)/K235,0)</f>
        <v>0</v>
      </c>
      <c r="P235" s="28" t="n">
        <f aca="false">R234</f>
        <v>0</v>
      </c>
      <c r="Q235" s="28" t="n">
        <f aca="false">H235*$F$15</f>
        <v>0</v>
      </c>
      <c r="R235" s="28" t="n">
        <f aca="false">IF(B235=1,(P235+D235-C235)*(1+RetRate)+G235+Q235,P235)</f>
        <v>0</v>
      </c>
      <c r="S235" s="28" t="n">
        <f aca="false">V234</f>
        <v>0</v>
      </c>
      <c r="T235" s="28" t="n">
        <f aca="false">S235+D235-C235</f>
        <v>0</v>
      </c>
      <c r="U235" s="28" t="n">
        <f aca="false">IF(B235=1,MAX(0,-T235),0)</f>
        <v>0</v>
      </c>
      <c r="V235" s="28" t="n">
        <f aca="false">IF(B235=1,MAX(0,T235)*(1+RetRate)+G235,S235)</f>
        <v>0</v>
      </c>
      <c r="W235" s="28" t="n">
        <f aca="false">IF(A235&lt;=MIN('Education Cost Forecast'!$F$49,'Education Cost Forecast'!$F$53),G235*(1+RetRate)^('Education Cost Forecast'!$F$49-A235),0)</f>
        <v>0</v>
      </c>
      <c r="X235" s="28" t="n">
        <f aca="false">IF(B235=1,P235+D235-C235,0)</f>
        <v>0</v>
      </c>
    </row>
    <row r="236" customFormat="false" ht="15" hidden="false" customHeight="false" outlineLevel="0" collapsed="false">
      <c r="A236" s="27" t="n">
        <v>3</v>
      </c>
      <c r="B236" s="27" t="n">
        <f aca="false">'Education Cost Forecast'!B256</f>
        <v>0</v>
      </c>
      <c r="C236" s="28" t="n">
        <f aca="false">'Education Cost Forecast'!Z256</f>
        <v>0</v>
      </c>
      <c r="D236" s="28" t="n">
        <f aca="false">IF(AND(B236=1,'Education Cost Forecast'!F256&gt;0,'Education Cost Forecast'!E256=0),'Education Cost Forecast'!$F$45,0)</f>
        <v>0</v>
      </c>
      <c r="E236" s="27" t="n">
        <f aca="false">IF(AND(B236=1,A236&lt;='Education Cost Forecast'!$F$53),1,0)</f>
        <v>0</v>
      </c>
      <c r="F236" s="40" t="n">
        <f aca="false">(1+Esc)^(A236-1)</f>
        <v>1.1025</v>
      </c>
      <c r="G236" s="28" t="n">
        <f aca="false">E236*('Education Cost Forecast'!$F$41*12*MonthlyFactor+'Education Cost Forecast'!$F$42)*F236</f>
        <v>0</v>
      </c>
      <c r="H236" s="28" t="n">
        <f aca="false">E236*UnitFactor*F236</f>
        <v>0</v>
      </c>
      <c r="I236" s="28" t="n">
        <f aca="false">J235+D236-C236</f>
        <v>0</v>
      </c>
      <c r="J236" s="28" t="n">
        <f aca="false">IF(B236=1,I236*(1+RetRate)+G236,J235)</f>
        <v>0</v>
      </c>
      <c r="K236" s="28" t="n">
        <f aca="false">L235</f>
        <v>0</v>
      </c>
      <c r="L236" s="28" t="n">
        <f aca="false">IF(B236=1,K236*(1+RetRate)+H236,L235)</f>
        <v>0</v>
      </c>
      <c r="M236" s="40" t="n">
        <f aca="false">(1+RetRate)^(A236-1)</f>
        <v>1.2544</v>
      </c>
      <c r="N236" s="28" t="n">
        <f aca="false">IF(AND(B236=1,C236&gt;0,K236&lt;=0.000000000001,I236&lt;0),-I236/M236,0)</f>
        <v>0</v>
      </c>
      <c r="O236" s="28" t="n">
        <f aca="false">IF(AND(B236=1,C236&gt;0,K236&gt;0.000000000001),-(I236+$F$14*M236)/K236,0)</f>
        <v>0</v>
      </c>
      <c r="P236" s="28" t="n">
        <f aca="false">R235</f>
        <v>0</v>
      </c>
      <c r="Q236" s="28" t="n">
        <f aca="false">H236*$F$15</f>
        <v>0</v>
      </c>
      <c r="R236" s="28" t="n">
        <f aca="false">IF(B236=1,(P236+D236-C236)*(1+RetRate)+G236+Q236,P236)</f>
        <v>0</v>
      </c>
      <c r="S236" s="28" t="n">
        <f aca="false">V235</f>
        <v>0</v>
      </c>
      <c r="T236" s="28" t="n">
        <f aca="false">S236+D236-C236</f>
        <v>0</v>
      </c>
      <c r="U236" s="28" t="n">
        <f aca="false">IF(B236=1,MAX(0,-T236),0)</f>
        <v>0</v>
      </c>
      <c r="V236" s="28" t="n">
        <f aca="false">IF(B236=1,MAX(0,T236)*(1+RetRate)+G236,S236)</f>
        <v>0</v>
      </c>
      <c r="W236" s="28" t="n">
        <f aca="false">IF(A236&lt;=MIN('Education Cost Forecast'!$F$49,'Education Cost Forecast'!$F$53),G236*(1+RetRate)^('Education Cost Forecast'!$F$49-A236),0)</f>
        <v>0</v>
      </c>
      <c r="X236" s="28" t="n">
        <f aca="false">IF(B236=1,P236+D236-C236,0)</f>
        <v>0</v>
      </c>
    </row>
    <row r="237" customFormat="false" ht="15" hidden="false" customHeight="false" outlineLevel="0" collapsed="false">
      <c r="A237" s="27" t="n">
        <v>4</v>
      </c>
      <c r="B237" s="27" t="n">
        <f aca="false">'Education Cost Forecast'!B257</f>
        <v>0</v>
      </c>
      <c r="C237" s="28" t="n">
        <f aca="false">'Education Cost Forecast'!Z257</f>
        <v>0</v>
      </c>
      <c r="D237" s="28" t="n">
        <f aca="false">IF(AND(B237=1,'Education Cost Forecast'!F257&gt;0,'Education Cost Forecast'!E257=0),'Education Cost Forecast'!$F$45,0)</f>
        <v>0</v>
      </c>
      <c r="E237" s="27" t="n">
        <f aca="false">IF(AND(B237=1,A237&lt;='Education Cost Forecast'!$F$53),1,0)</f>
        <v>0</v>
      </c>
      <c r="F237" s="40" t="n">
        <f aca="false">(1+Esc)^(A237-1)</f>
        <v>1.157625</v>
      </c>
      <c r="G237" s="28" t="n">
        <f aca="false">E237*('Education Cost Forecast'!$F$41*12*MonthlyFactor+'Education Cost Forecast'!$F$42)*F237</f>
        <v>0</v>
      </c>
      <c r="H237" s="28" t="n">
        <f aca="false">E237*UnitFactor*F237</f>
        <v>0</v>
      </c>
      <c r="I237" s="28" t="n">
        <f aca="false">J236+D237-C237</f>
        <v>0</v>
      </c>
      <c r="J237" s="28" t="n">
        <f aca="false">IF(B237=1,I237*(1+RetRate)+G237,J236)</f>
        <v>0</v>
      </c>
      <c r="K237" s="28" t="n">
        <f aca="false">L236</f>
        <v>0</v>
      </c>
      <c r="L237" s="28" t="n">
        <f aca="false">IF(B237=1,K237*(1+RetRate)+H237,L236)</f>
        <v>0</v>
      </c>
      <c r="M237" s="40" t="n">
        <f aca="false">(1+RetRate)^(A237-1)</f>
        <v>1.404928</v>
      </c>
      <c r="N237" s="28" t="n">
        <f aca="false">IF(AND(B237=1,C237&gt;0,K237&lt;=0.000000000001,I237&lt;0),-I237/M237,0)</f>
        <v>0</v>
      </c>
      <c r="O237" s="28" t="n">
        <f aca="false">IF(AND(B237=1,C237&gt;0,K237&gt;0.000000000001),-(I237+$F$14*M237)/K237,0)</f>
        <v>0</v>
      </c>
      <c r="P237" s="28" t="n">
        <f aca="false">R236</f>
        <v>0</v>
      </c>
      <c r="Q237" s="28" t="n">
        <f aca="false">H237*$F$15</f>
        <v>0</v>
      </c>
      <c r="R237" s="28" t="n">
        <f aca="false">IF(B237=1,(P237+D237-C237)*(1+RetRate)+G237+Q237,P237)</f>
        <v>0</v>
      </c>
      <c r="S237" s="28" t="n">
        <f aca="false">V236</f>
        <v>0</v>
      </c>
      <c r="T237" s="28" t="n">
        <f aca="false">S237+D237-C237</f>
        <v>0</v>
      </c>
      <c r="U237" s="28" t="n">
        <f aca="false">IF(B237=1,MAX(0,-T237),0)</f>
        <v>0</v>
      </c>
      <c r="V237" s="28" t="n">
        <f aca="false">IF(B237=1,MAX(0,T237)*(1+RetRate)+G237,S237)</f>
        <v>0</v>
      </c>
      <c r="W237" s="28" t="n">
        <f aca="false">IF(A237&lt;=MIN('Education Cost Forecast'!$F$49,'Education Cost Forecast'!$F$53),G237*(1+RetRate)^('Education Cost Forecast'!$F$49-A237),0)</f>
        <v>0</v>
      </c>
      <c r="X237" s="28" t="n">
        <f aca="false">IF(B237=1,P237+D237-C237,0)</f>
        <v>0</v>
      </c>
    </row>
    <row r="238" customFormat="false" ht="15" hidden="false" customHeight="false" outlineLevel="0" collapsed="false">
      <c r="A238" s="27" t="n">
        <v>5</v>
      </c>
      <c r="B238" s="27" t="n">
        <f aca="false">'Education Cost Forecast'!B258</f>
        <v>0</v>
      </c>
      <c r="C238" s="28" t="n">
        <f aca="false">'Education Cost Forecast'!Z258</f>
        <v>0</v>
      </c>
      <c r="D238" s="28" t="n">
        <f aca="false">IF(AND(B238=1,'Education Cost Forecast'!F258&gt;0,'Education Cost Forecast'!E258=0),'Education Cost Forecast'!$F$45,0)</f>
        <v>0</v>
      </c>
      <c r="E238" s="27" t="n">
        <f aca="false">IF(AND(B238=1,A238&lt;='Education Cost Forecast'!$F$53),1,0)</f>
        <v>0</v>
      </c>
      <c r="F238" s="40" t="n">
        <f aca="false">(1+Esc)^(A238-1)</f>
        <v>1.21550625</v>
      </c>
      <c r="G238" s="28" t="n">
        <f aca="false">E238*('Education Cost Forecast'!$F$41*12*MonthlyFactor+'Education Cost Forecast'!$F$42)*F238</f>
        <v>0</v>
      </c>
      <c r="H238" s="28" t="n">
        <f aca="false">E238*UnitFactor*F238</f>
        <v>0</v>
      </c>
      <c r="I238" s="28" t="n">
        <f aca="false">J237+D238-C238</f>
        <v>0</v>
      </c>
      <c r="J238" s="28" t="n">
        <f aca="false">IF(B238=1,I238*(1+RetRate)+G238,J237)</f>
        <v>0</v>
      </c>
      <c r="K238" s="28" t="n">
        <f aca="false">L237</f>
        <v>0</v>
      </c>
      <c r="L238" s="28" t="n">
        <f aca="false">IF(B238=1,K238*(1+RetRate)+H238,L237)</f>
        <v>0</v>
      </c>
      <c r="M238" s="40" t="n">
        <f aca="false">(1+RetRate)^(A238-1)</f>
        <v>1.57351936</v>
      </c>
      <c r="N238" s="28" t="n">
        <f aca="false">IF(AND(B238=1,C238&gt;0,K238&lt;=0.000000000001,I238&lt;0),-I238/M238,0)</f>
        <v>0</v>
      </c>
      <c r="O238" s="28" t="n">
        <f aca="false">IF(AND(B238=1,C238&gt;0,K238&gt;0.000000000001),-(I238+$F$14*M238)/K238,0)</f>
        <v>0</v>
      </c>
      <c r="P238" s="28" t="n">
        <f aca="false">R237</f>
        <v>0</v>
      </c>
      <c r="Q238" s="28" t="n">
        <f aca="false">H238*$F$15</f>
        <v>0</v>
      </c>
      <c r="R238" s="28" t="n">
        <f aca="false">IF(B238=1,(P238+D238-C238)*(1+RetRate)+G238+Q238,P238)</f>
        <v>0</v>
      </c>
      <c r="S238" s="28" t="n">
        <f aca="false">V237</f>
        <v>0</v>
      </c>
      <c r="T238" s="28" t="n">
        <f aca="false">S238+D238-C238</f>
        <v>0</v>
      </c>
      <c r="U238" s="28" t="n">
        <f aca="false">IF(B238=1,MAX(0,-T238),0)</f>
        <v>0</v>
      </c>
      <c r="V238" s="28" t="n">
        <f aca="false">IF(B238=1,MAX(0,T238)*(1+RetRate)+G238,S238)</f>
        <v>0</v>
      </c>
      <c r="W238" s="28" t="n">
        <f aca="false">IF(A238&lt;=MIN('Education Cost Forecast'!$F$49,'Education Cost Forecast'!$F$53),G238*(1+RetRate)^('Education Cost Forecast'!$F$49-A238),0)</f>
        <v>0</v>
      </c>
      <c r="X238" s="28" t="n">
        <f aca="false">IF(B238=1,P238+D238-C238,0)</f>
        <v>0</v>
      </c>
    </row>
    <row r="239" customFormat="false" ht="15" hidden="false" customHeight="false" outlineLevel="0" collapsed="false">
      <c r="A239" s="27" t="n">
        <v>6</v>
      </c>
      <c r="B239" s="27" t="n">
        <f aca="false">'Education Cost Forecast'!B259</f>
        <v>0</v>
      </c>
      <c r="C239" s="28" t="n">
        <f aca="false">'Education Cost Forecast'!Z259</f>
        <v>0</v>
      </c>
      <c r="D239" s="28" t="n">
        <f aca="false">IF(AND(B239=1,'Education Cost Forecast'!F259&gt;0,'Education Cost Forecast'!E259=0),'Education Cost Forecast'!$F$45,0)</f>
        <v>0</v>
      </c>
      <c r="E239" s="27" t="n">
        <f aca="false">IF(AND(B239=1,A239&lt;='Education Cost Forecast'!$F$53),1,0)</f>
        <v>0</v>
      </c>
      <c r="F239" s="40" t="n">
        <f aca="false">(1+Esc)^(A239-1)</f>
        <v>1.2762815625</v>
      </c>
      <c r="G239" s="28" t="n">
        <f aca="false">E239*('Education Cost Forecast'!$F$41*12*MonthlyFactor+'Education Cost Forecast'!$F$42)*F239</f>
        <v>0</v>
      </c>
      <c r="H239" s="28" t="n">
        <f aca="false">E239*UnitFactor*F239</f>
        <v>0</v>
      </c>
      <c r="I239" s="28" t="n">
        <f aca="false">J238+D239-C239</f>
        <v>0</v>
      </c>
      <c r="J239" s="28" t="n">
        <f aca="false">IF(B239=1,I239*(1+RetRate)+G239,J238)</f>
        <v>0</v>
      </c>
      <c r="K239" s="28" t="n">
        <f aca="false">L238</f>
        <v>0</v>
      </c>
      <c r="L239" s="28" t="n">
        <f aca="false">IF(B239=1,K239*(1+RetRate)+H239,L238)</f>
        <v>0</v>
      </c>
      <c r="M239" s="40" t="n">
        <f aca="false">(1+RetRate)^(A239-1)</f>
        <v>1.7623416832</v>
      </c>
      <c r="N239" s="28" t="n">
        <f aca="false">IF(AND(B239=1,C239&gt;0,K239&lt;=0.000000000001,I239&lt;0),-I239/M239,0)</f>
        <v>0</v>
      </c>
      <c r="O239" s="28" t="n">
        <f aca="false">IF(AND(B239=1,C239&gt;0,K239&gt;0.000000000001),-(I239+$F$14*M239)/K239,0)</f>
        <v>0</v>
      </c>
      <c r="P239" s="28" t="n">
        <f aca="false">R238</f>
        <v>0</v>
      </c>
      <c r="Q239" s="28" t="n">
        <f aca="false">H239*$F$15</f>
        <v>0</v>
      </c>
      <c r="R239" s="28" t="n">
        <f aca="false">IF(B239=1,(P239+D239-C239)*(1+RetRate)+G239+Q239,P239)</f>
        <v>0</v>
      </c>
      <c r="S239" s="28" t="n">
        <f aca="false">V238</f>
        <v>0</v>
      </c>
      <c r="T239" s="28" t="n">
        <f aca="false">S239+D239-C239</f>
        <v>0</v>
      </c>
      <c r="U239" s="28" t="n">
        <f aca="false">IF(B239=1,MAX(0,-T239),0)</f>
        <v>0</v>
      </c>
      <c r="V239" s="28" t="n">
        <f aca="false">IF(B239=1,MAX(0,T239)*(1+RetRate)+G239,S239)</f>
        <v>0</v>
      </c>
      <c r="W239" s="28" t="n">
        <f aca="false">IF(A239&lt;=MIN('Education Cost Forecast'!$F$49,'Education Cost Forecast'!$F$53),G239*(1+RetRate)^('Education Cost Forecast'!$F$49-A239),0)</f>
        <v>0</v>
      </c>
      <c r="X239" s="28" t="n">
        <f aca="false">IF(B239=1,P239+D239-C239,0)</f>
        <v>0</v>
      </c>
    </row>
    <row r="240" customFormat="false" ht="15" hidden="false" customHeight="false" outlineLevel="0" collapsed="false">
      <c r="A240" s="27" t="n">
        <v>7</v>
      </c>
      <c r="B240" s="27" t="n">
        <f aca="false">'Education Cost Forecast'!B260</f>
        <v>0</v>
      </c>
      <c r="C240" s="28" t="n">
        <f aca="false">'Education Cost Forecast'!Z260</f>
        <v>0</v>
      </c>
      <c r="D240" s="28" t="n">
        <f aca="false">IF(AND(B240=1,'Education Cost Forecast'!F260&gt;0,'Education Cost Forecast'!E260=0),'Education Cost Forecast'!$F$45,0)</f>
        <v>0</v>
      </c>
      <c r="E240" s="27" t="n">
        <f aca="false">IF(AND(B240=1,A240&lt;='Education Cost Forecast'!$F$53),1,0)</f>
        <v>0</v>
      </c>
      <c r="F240" s="40" t="n">
        <f aca="false">(1+Esc)^(A240-1)</f>
        <v>1.340095640625</v>
      </c>
      <c r="G240" s="28" t="n">
        <f aca="false">E240*('Education Cost Forecast'!$F$41*12*MonthlyFactor+'Education Cost Forecast'!$F$42)*F240</f>
        <v>0</v>
      </c>
      <c r="H240" s="28" t="n">
        <f aca="false">E240*UnitFactor*F240</f>
        <v>0</v>
      </c>
      <c r="I240" s="28" t="n">
        <f aca="false">J239+D240-C240</f>
        <v>0</v>
      </c>
      <c r="J240" s="28" t="n">
        <f aca="false">IF(B240=1,I240*(1+RetRate)+G240,J239)</f>
        <v>0</v>
      </c>
      <c r="K240" s="28" t="n">
        <f aca="false">L239</f>
        <v>0</v>
      </c>
      <c r="L240" s="28" t="n">
        <f aca="false">IF(B240=1,K240*(1+RetRate)+H240,L239)</f>
        <v>0</v>
      </c>
      <c r="M240" s="40" t="n">
        <f aca="false">(1+RetRate)^(A240-1)</f>
        <v>1.973822685184</v>
      </c>
      <c r="N240" s="28" t="n">
        <f aca="false">IF(AND(B240=1,C240&gt;0,K240&lt;=0.000000000001,I240&lt;0),-I240/M240,0)</f>
        <v>0</v>
      </c>
      <c r="O240" s="28" t="n">
        <f aca="false">IF(AND(B240=1,C240&gt;0,K240&gt;0.000000000001),-(I240+$F$14*M240)/K240,0)</f>
        <v>0</v>
      </c>
      <c r="P240" s="28" t="n">
        <f aca="false">R239</f>
        <v>0</v>
      </c>
      <c r="Q240" s="28" t="n">
        <f aca="false">H240*$F$15</f>
        <v>0</v>
      </c>
      <c r="R240" s="28" t="n">
        <f aca="false">IF(B240=1,(P240+D240-C240)*(1+RetRate)+G240+Q240,P240)</f>
        <v>0</v>
      </c>
      <c r="S240" s="28" t="n">
        <f aca="false">V239</f>
        <v>0</v>
      </c>
      <c r="T240" s="28" t="n">
        <f aca="false">S240+D240-C240</f>
        <v>0</v>
      </c>
      <c r="U240" s="28" t="n">
        <f aca="false">IF(B240=1,MAX(0,-T240),0)</f>
        <v>0</v>
      </c>
      <c r="V240" s="28" t="n">
        <f aca="false">IF(B240=1,MAX(0,T240)*(1+RetRate)+G240,S240)</f>
        <v>0</v>
      </c>
      <c r="W240" s="28" t="n">
        <f aca="false">IF(A240&lt;=MIN('Education Cost Forecast'!$F$49,'Education Cost Forecast'!$F$53),G240*(1+RetRate)^('Education Cost Forecast'!$F$49-A240),0)</f>
        <v>0</v>
      </c>
      <c r="X240" s="28" t="n">
        <f aca="false">IF(B240=1,P240+D240-C240,0)</f>
        <v>0</v>
      </c>
    </row>
    <row r="241" customFormat="false" ht="15" hidden="false" customHeight="false" outlineLevel="0" collapsed="false">
      <c r="A241" s="27" t="n">
        <v>8</v>
      </c>
      <c r="B241" s="27" t="n">
        <f aca="false">'Education Cost Forecast'!B261</f>
        <v>0</v>
      </c>
      <c r="C241" s="28" t="n">
        <f aca="false">'Education Cost Forecast'!Z261</f>
        <v>0</v>
      </c>
      <c r="D241" s="28" t="n">
        <f aca="false">IF(AND(B241=1,'Education Cost Forecast'!F261&gt;0,'Education Cost Forecast'!E261=0),'Education Cost Forecast'!$F$45,0)</f>
        <v>0</v>
      </c>
      <c r="E241" s="27" t="n">
        <f aca="false">IF(AND(B241=1,A241&lt;='Education Cost Forecast'!$F$53),1,0)</f>
        <v>0</v>
      </c>
      <c r="F241" s="40" t="n">
        <f aca="false">(1+Esc)^(A241-1)</f>
        <v>1.40710042265625</v>
      </c>
      <c r="G241" s="28" t="n">
        <f aca="false">E241*('Education Cost Forecast'!$F$41*12*MonthlyFactor+'Education Cost Forecast'!$F$42)*F241</f>
        <v>0</v>
      </c>
      <c r="H241" s="28" t="n">
        <f aca="false">E241*UnitFactor*F241</f>
        <v>0</v>
      </c>
      <c r="I241" s="28" t="n">
        <f aca="false">J240+D241-C241</f>
        <v>0</v>
      </c>
      <c r="J241" s="28" t="n">
        <f aca="false">IF(B241=1,I241*(1+RetRate)+G241,J240)</f>
        <v>0</v>
      </c>
      <c r="K241" s="28" t="n">
        <f aca="false">L240</f>
        <v>0</v>
      </c>
      <c r="L241" s="28" t="n">
        <f aca="false">IF(B241=1,K241*(1+RetRate)+H241,L240)</f>
        <v>0</v>
      </c>
      <c r="M241" s="40" t="n">
        <f aca="false">(1+RetRate)^(A241-1)</f>
        <v>2.21068140740608</v>
      </c>
      <c r="N241" s="28" t="n">
        <f aca="false">IF(AND(B241=1,C241&gt;0,K241&lt;=0.000000000001,I241&lt;0),-I241/M241,0)</f>
        <v>0</v>
      </c>
      <c r="O241" s="28" t="n">
        <f aca="false">IF(AND(B241=1,C241&gt;0,K241&gt;0.000000000001),-(I241+$F$14*M241)/K241,0)</f>
        <v>0</v>
      </c>
      <c r="P241" s="28" t="n">
        <f aca="false">R240</f>
        <v>0</v>
      </c>
      <c r="Q241" s="28" t="n">
        <f aca="false">H241*$F$15</f>
        <v>0</v>
      </c>
      <c r="R241" s="28" t="n">
        <f aca="false">IF(B241=1,(P241+D241-C241)*(1+RetRate)+G241+Q241,P241)</f>
        <v>0</v>
      </c>
      <c r="S241" s="28" t="n">
        <f aca="false">V240</f>
        <v>0</v>
      </c>
      <c r="T241" s="28" t="n">
        <f aca="false">S241+D241-C241</f>
        <v>0</v>
      </c>
      <c r="U241" s="28" t="n">
        <f aca="false">IF(B241=1,MAX(0,-T241),0)</f>
        <v>0</v>
      </c>
      <c r="V241" s="28" t="n">
        <f aca="false">IF(B241=1,MAX(0,T241)*(1+RetRate)+G241,S241)</f>
        <v>0</v>
      </c>
      <c r="W241" s="28" t="n">
        <f aca="false">IF(A241&lt;=MIN('Education Cost Forecast'!$F$49,'Education Cost Forecast'!$F$53),G241*(1+RetRate)^('Education Cost Forecast'!$F$49-A241),0)</f>
        <v>0</v>
      </c>
      <c r="X241" s="28" t="n">
        <f aca="false">IF(B241=1,P241+D241-C241,0)</f>
        <v>0</v>
      </c>
    </row>
    <row r="242" customFormat="false" ht="15" hidden="false" customHeight="false" outlineLevel="0" collapsed="false">
      <c r="A242" s="27" t="n">
        <v>9</v>
      </c>
      <c r="B242" s="27" t="n">
        <f aca="false">'Education Cost Forecast'!B262</f>
        <v>0</v>
      </c>
      <c r="C242" s="28" t="n">
        <f aca="false">'Education Cost Forecast'!Z262</f>
        <v>0</v>
      </c>
      <c r="D242" s="28" t="n">
        <f aca="false">IF(AND(B242=1,'Education Cost Forecast'!F262&gt;0,'Education Cost Forecast'!E262=0),'Education Cost Forecast'!$F$45,0)</f>
        <v>0</v>
      </c>
      <c r="E242" s="27" t="n">
        <f aca="false">IF(AND(B242=1,A242&lt;='Education Cost Forecast'!$F$53),1,0)</f>
        <v>0</v>
      </c>
      <c r="F242" s="40" t="n">
        <f aca="false">(1+Esc)^(A242-1)</f>
        <v>1.47745544378906</v>
      </c>
      <c r="G242" s="28" t="n">
        <f aca="false">E242*('Education Cost Forecast'!$F$41*12*MonthlyFactor+'Education Cost Forecast'!$F$42)*F242</f>
        <v>0</v>
      </c>
      <c r="H242" s="28" t="n">
        <f aca="false">E242*UnitFactor*F242</f>
        <v>0</v>
      </c>
      <c r="I242" s="28" t="n">
        <f aca="false">J241+D242-C242</f>
        <v>0</v>
      </c>
      <c r="J242" s="28" t="n">
        <f aca="false">IF(B242=1,I242*(1+RetRate)+G242,J241)</f>
        <v>0</v>
      </c>
      <c r="K242" s="28" t="n">
        <f aca="false">L241</f>
        <v>0</v>
      </c>
      <c r="L242" s="28" t="n">
        <f aca="false">IF(B242=1,K242*(1+RetRate)+H242,L241)</f>
        <v>0</v>
      </c>
      <c r="M242" s="40" t="n">
        <f aca="false">(1+RetRate)^(A242-1)</f>
        <v>2.47596317629481</v>
      </c>
      <c r="N242" s="28" t="n">
        <f aca="false">IF(AND(B242=1,C242&gt;0,K242&lt;=0.000000000001,I242&lt;0),-I242/M242,0)</f>
        <v>0</v>
      </c>
      <c r="O242" s="28" t="n">
        <f aca="false">IF(AND(B242=1,C242&gt;0,K242&gt;0.000000000001),-(I242+$F$14*M242)/K242,0)</f>
        <v>0</v>
      </c>
      <c r="P242" s="28" t="n">
        <f aca="false">R241</f>
        <v>0</v>
      </c>
      <c r="Q242" s="28" t="n">
        <f aca="false">H242*$F$15</f>
        <v>0</v>
      </c>
      <c r="R242" s="28" t="n">
        <f aca="false">IF(B242=1,(P242+D242-C242)*(1+RetRate)+G242+Q242,P242)</f>
        <v>0</v>
      </c>
      <c r="S242" s="28" t="n">
        <f aca="false">V241</f>
        <v>0</v>
      </c>
      <c r="T242" s="28" t="n">
        <f aca="false">S242+D242-C242</f>
        <v>0</v>
      </c>
      <c r="U242" s="28" t="n">
        <f aca="false">IF(B242=1,MAX(0,-T242),0)</f>
        <v>0</v>
      </c>
      <c r="V242" s="28" t="n">
        <f aca="false">IF(B242=1,MAX(0,T242)*(1+RetRate)+G242,S242)</f>
        <v>0</v>
      </c>
      <c r="W242" s="28" t="n">
        <f aca="false">IF(A242&lt;=MIN('Education Cost Forecast'!$F$49,'Education Cost Forecast'!$F$53),G242*(1+RetRate)^('Education Cost Forecast'!$F$49-A242),0)</f>
        <v>0</v>
      </c>
      <c r="X242" s="28" t="n">
        <f aca="false">IF(B242=1,P242+D242-C242,0)</f>
        <v>0</v>
      </c>
    </row>
    <row r="243" customFormat="false" ht="15" hidden="false" customHeight="false" outlineLevel="0" collapsed="false">
      <c r="A243" s="27" t="n">
        <v>10</v>
      </c>
      <c r="B243" s="27" t="n">
        <f aca="false">'Education Cost Forecast'!B263</f>
        <v>0</v>
      </c>
      <c r="C243" s="28" t="n">
        <f aca="false">'Education Cost Forecast'!Z263</f>
        <v>0</v>
      </c>
      <c r="D243" s="28" t="n">
        <f aca="false">IF(AND(B243=1,'Education Cost Forecast'!F263&gt;0,'Education Cost Forecast'!E263=0),'Education Cost Forecast'!$F$45,0)</f>
        <v>0</v>
      </c>
      <c r="E243" s="27" t="n">
        <f aca="false">IF(AND(B243=1,A243&lt;='Education Cost Forecast'!$F$53),1,0)</f>
        <v>0</v>
      </c>
      <c r="F243" s="40" t="n">
        <f aca="false">(1+Esc)^(A243-1)</f>
        <v>1.55132821597852</v>
      </c>
      <c r="G243" s="28" t="n">
        <f aca="false">E243*('Education Cost Forecast'!$F$41*12*MonthlyFactor+'Education Cost Forecast'!$F$42)*F243</f>
        <v>0</v>
      </c>
      <c r="H243" s="28" t="n">
        <f aca="false">E243*UnitFactor*F243</f>
        <v>0</v>
      </c>
      <c r="I243" s="28" t="n">
        <f aca="false">J242+D243-C243</f>
        <v>0</v>
      </c>
      <c r="J243" s="28" t="n">
        <f aca="false">IF(B243=1,I243*(1+RetRate)+G243,J242)</f>
        <v>0</v>
      </c>
      <c r="K243" s="28" t="n">
        <f aca="false">L242</f>
        <v>0</v>
      </c>
      <c r="L243" s="28" t="n">
        <f aca="false">IF(B243=1,K243*(1+RetRate)+H243,L242)</f>
        <v>0</v>
      </c>
      <c r="M243" s="40" t="n">
        <f aca="false">(1+RetRate)^(A243-1)</f>
        <v>2.77307875745019</v>
      </c>
      <c r="N243" s="28" t="n">
        <f aca="false">IF(AND(B243=1,C243&gt;0,K243&lt;=0.000000000001,I243&lt;0),-I243/M243,0)</f>
        <v>0</v>
      </c>
      <c r="O243" s="28" t="n">
        <f aca="false">IF(AND(B243=1,C243&gt;0,K243&gt;0.000000000001),-(I243+$F$14*M243)/K243,0)</f>
        <v>0</v>
      </c>
      <c r="P243" s="28" t="n">
        <f aca="false">R242</f>
        <v>0</v>
      </c>
      <c r="Q243" s="28" t="n">
        <f aca="false">H243*$F$15</f>
        <v>0</v>
      </c>
      <c r="R243" s="28" t="n">
        <f aca="false">IF(B243=1,(P243+D243-C243)*(1+RetRate)+G243+Q243,P243)</f>
        <v>0</v>
      </c>
      <c r="S243" s="28" t="n">
        <f aca="false">V242</f>
        <v>0</v>
      </c>
      <c r="T243" s="28" t="n">
        <f aca="false">S243+D243-C243</f>
        <v>0</v>
      </c>
      <c r="U243" s="28" t="n">
        <f aca="false">IF(B243=1,MAX(0,-T243),0)</f>
        <v>0</v>
      </c>
      <c r="V243" s="28" t="n">
        <f aca="false">IF(B243=1,MAX(0,T243)*(1+RetRate)+G243,S243)</f>
        <v>0</v>
      </c>
      <c r="W243" s="28" t="n">
        <f aca="false">IF(A243&lt;=MIN('Education Cost Forecast'!$F$49,'Education Cost Forecast'!$F$53),G243*(1+RetRate)^('Education Cost Forecast'!$F$49-A243),0)</f>
        <v>0</v>
      </c>
      <c r="X243" s="28" t="n">
        <f aca="false">IF(B243=1,P243+D243-C243,0)</f>
        <v>0</v>
      </c>
    </row>
    <row r="244" customFormat="false" ht="15" hidden="false" customHeight="false" outlineLevel="0" collapsed="false">
      <c r="A244" s="27" t="n">
        <v>11</v>
      </c>
      <c r="B244" s="27" t="n">
        <f aca="false">'Education Cost Forecast'!B264</f>
        <v>0</v>
      </c>
      <c r="C244" s="28" t="n">
        <f aca="false">'Education Cost Forecast'!Z264</f>
        <v>0</v>
      </c>
      <c r="D244" s="28" t="n">
        <f aca="false">IF(AND(B244=1,'Education Cost Forecast'!F264&gt;0,'Education Cost Forecast'!E264=0),'Education Cost Forecast'!$F$45,0)</f>
        <v>0</v>
      </c>
      <c r="E244" s="27" t="n">
        <f aca="false">IF(AND(B244=1,A244&lt;='Education Cost Forecast'!$F$53),1,0)</f>
        <v>0</v>
      </c>
      <c r="F244" s="40" t="n">
        <f aca="false">(1+Esc)^(A244-1)</f>
        <v>1.62889462677744</v>
      </c>
      <c r="G244" s="28" t="n">
        <f aca="false">E244*('Education Cost Forecast'!$F$41*12*MonthlyFactor+'Education Cost Forecast'!$F$42)*F244</f>
        <v>0</v>
      </c>
      <c r="H244" s="28" t="n">
        <f aca="false">E244*UnitFactor*F244</f>
        <v>0</v>
      </c>
      <c r="I244" s="28" t="n">
        <f aca="false">J243+D244-C244</f>
        <v>0</v>
      </c>
      <c r="J244" s="28" t="n">
        <f aca="false">IF(B244=1,I244*(1+RetRate)+G244,J243)</f>
        <v>0</v>
      </c>
      <c r="K244" s="28" t="n">
        <f aca="false">L243</f>
        <v>0</v>
      </c>
      <c r="L244" s="28" t="n">
        <f aca="false">IF(B244=1,K244*(1+RetRate)+H244,L243)</f>
        <v>0</v>
      </c>
      <c r="M244" s="40" t="n">
        <f aca="false">(1+RetRate)^(A244-1)</f>
        <v>3.10584820834421</v>
      </c>
      <c r="N244" s="28" t="n">
        <f aca="false">IF(AND(B244=1,C244&gt;0,K244&lt;=0.000000000001,I244&lt;0),-I244/M244,0)</f>
        <v>0</v>
      </c>
      <c r="O244" s="28" t="n">
        <f aca="false">IF(AND(B244=1,C244&gt;0,K244&gt;0.000000000001),-(I244+$F$14*M244)/K244,0)</f>
        <v>0</v>
      </c>
      <c r="P244" s="28" t="n">
        <f aca="false">R243</f>
        <v>0</v>
      </c>
      <c r="Q244" s="28" t="n">
        <f aca="false">H244*$F$15</f>
        <v>0</v>
      </c>
      <c r="R244" s="28" t="n">
        <f aca="false">IF(B244=1,(P244+D244-C244)*(1+RetRate)+G244+Q244,P244)</f>
        <v>0</v>
      </c>
      <c r="S244" s="28" t="n">
        <f aca="false">V243</f>
        <v>0</v>
      </c>
      <c r="T244" s="28" t="n">
        <f aca="false">S244+D244-C244</f>
        <v>0</v>
      </c>
      <c r="U244" s="28" t="n">
        <f aca="false">IF(B244=1,MAX(0,-T244),0)</f>
        <v>0</v>
      </c>
      <c r="V244" s="28" t="n">
        <f aca="false">IF(B244=1,MAX(0,T244)*(1+RetRate)+G244,S244)</f>
        <v>0</v>
      </c>
      <c r="W244" s="28" t="n">
        <f aca="false">IF(A244&lt;=MIN('Education Cost Forecast'!$F$49,'Education Cost Forecast'!$F$53),G244*(1+RetRate)^('Education Cost Forecast'!$F$49-A244),0)</f>
        <v>0</v>
      </c>
      <c r="X244" s="28" t="n">
        <f aca="false">IF(B244=1,P244+D244-C244,0)</f>
        <v>0</v>
      </c>
    </row>
    <row r="245" customFormat="false" ht="15" hidden="false" customHeight="false" outlineLevel="0" collapsed="false">
      <c r="A245" s="27" t="n">
        <v>12</v>
      </c>
      <c r="B245" s="27" t="n">
        <f aca="false">'Education Cost Forecast'!B265</f>
        <v>0</v>
      </c>
      <c r="C245" s="28" t="n">
        <f aca="false">'Education Cost Forecast'!Z265</f>
        <v>0</v>
      </c>
      <c r="D245" s="28" t="n">
        <f aca="false">IF(AND(B245=1,'Education Cost Forecast'!F265&gt;0,'Education Cost Forecast'!E265=0),'Education Cost Forecast'!$F$45,0)</f>
        <v>0</v>
      </c>
      <c r="E245" s="27" t="n">
        <f aca="false">IF(AND(B245=1,A245&lt;='Education Cost Forecast'!$F$53),1,0)</f>
        <v>0</v>
      </c>
      <c r="F245" s="40" t="n">
        <f aca="false">(1+Esc)^(A245-1)</f>
        <v>1.71033935811631</v>
      </c>
      <c r="G245" s="28" t="n">
        <f aca="false">E245*('Education Cost Forecast'!$F$41*12*MonthlyFactor+'Education Cost Forecast'!$F$42)*F245</f>
        <v>0</v>
      </c>
      <c r="H245" s="28" t="n">
        <f aca="false">E245*UnitFactor*F245</f>
        <v>0</v>
      </c>
      <c r="I245" s="28" t="n">
        <f aca="false">J244+D245-C245</f>
        <v>0</v>
      </c>
      <c r="J245" s="28" t="n">
        <f aca="false">IF(B245=1,I245*(1+RetRate)+G245,J244)</f>
        <v>0</v>
      </c>
      <c r="K245" s="28" t="n">
        <f aca="false">L244</f>
        <v>0</v>
      </c>
      <c r="L245" s="28" t="n">
        <f aca="false">IF(B245=1,K245*(1+RetRate)+H245,L244)</f>
        <v>0</v>
      </c>
      <c r="M245" s="40" t="n">
        <f aca="false">(1+RetRate)^(A245-1)</f>
        <v>3.47854999334552</v>
      </c>
      <c r="N245" s="28" t="n">
        <f aca="false">IF(AND(B245=1,C245&gt;0,K245&lt;=0.000000000001,I245&lt;0),-I245/M245,0)</f>
        <v>0</v>
      </c>
      <c r="O245" s="28" t="n">
        <f aca="false">IF(AND(B245=1,C245&gt;0,K245&gt;0.000000000001),-(I245+$F$14*M245)/K245,0)</f>
        <v>0</v>
      </c>
      <c r="P245" s="28" t="n">
        <f aca="false">R244</f>
        <v>0</v>
      </c>
      <c r="Q245" s="28" t="n">
        <f aca="false">H245*$F$15</f>
        <v>0</v>
      </c>
      <c r="R245" s="28" t="n">
        <f aca="false">IF(B245=1,(P245+D245-C245)*(1+RetRate)+G245+Q245,P245)</f>
        <v>0</v>
      </c>
      <c r="S245" s="28" t="n">
        <f aca="false">V244</f>
        <v>0</v>
      </c>
      <c r="T245" s="28" t="n">
        <f aca="false">S245+D245-C245</f>
        <v>0</v>
      </c>
      <c r="U245" s="28" t="n">
        <f aca="false">IF(B245=1,MAX(0,-T245),0)</f>
        <v>0</v>
      </c>
      <c r="V245" s="28" t="n">
        <f aca="false">IF(B245=1,MAX(0,T245)*(1+RetRate)+G245,S245)</f>
        <v>0</v>
      </c>
      <c r="W245" s="28" t="n">
        <f aca="false">IF(A245&lt;=MIN('Education Cost Forecast'!$F$49,'Education Cost Forecast'!$F$53),G245*(1+RetRate)^('Education Cost Forecast'!$F$49-A245),0)</f>
        <v>0</v>
      </c>
      <c r="X245" s="28" t="n">
        <f aca="false">IF(B245=1,P245+D245-C245,0)</f>
        <v>0</v>
      </c>
    </row>
    <row r="246" customFormat="false" ht="15" hidden="false" customHeight="false" outlineLevel="0" collapsed="false">
      <c r="A246" s="27" t="n">
        <v>13</v>
      </c>
      <c r="B246" s="27" t="n">
        <f aca="false">'Education Cost Forecast'!B266</f>
        <v>0</v>
      </c>
      <c r="C246" s="28" t="n">
        <f aca="false">'Education Cost Forecast'!Z266</f>
        <v>0</v>
      </c>
      <c r="D246" s="28" t="n">
        <f aca="false">IF(AND(B246=1,'Education Cost Forecast'!F266&gt;0,'Education Cost Forecast'!E266=0),'Education Cost Forecast'!$F$45,0)</f>
        <v>0</v>
      </c>
      <c r="E246" s="27" t="n">
        <f aca="false">IF(AND(B246=1,A246&lt;='Education Cost Forecast'!$F$53),1,0)</f>
        <v>0</v>
      </c>
      <c r="F246" s="40" t="n">
        <f aca="false">(1+Esc)^(A246-1)</f>
        <v>1.79585632602213</v>
      </c>
      <c r="G246" s="28" t="n">
        <f aca="false">E246*('Education Cost Forecast'!$F$41*12*MonthlyFactor+'Education Cost Forecast'!$F$42)*F246</f>
        <v>0</v>
      </c>
      <c r="H246" s="28" t="n">
        <f aca="false">E246*UnitFactor*F246</f>
        <v>0</v>
      </c>
      <c r="I246" s="28" t="n">
        <f aca="false">J245+D246-C246</f>
        <v>0</v>
      </c>
      <c r="J246" s="28" t="n">
        <f aca="false">IF(B246=1,I246*(1+RetRate)+G246,J245)</f>
        <v>0</v>
      </c>
      <c r="K246" s="28" t="n">
        <f aca="false">L245</f>
        <v>0</v>
      </c>
      <c r="L246" s="28" t="n">
        <f aca="false">IF(B246=1,K246*(1+RetRate)+H246,L245)</f>
        <v>0</v>
      </c>
      <c r="M246" s="40" t="n">
        <f aca="false">(1+RetRate)^(A246-1)</f>
        <v>3.89597599254698</v>
      </c>
      <c r="N246" s="28" t="n">
        <f aca="false">IF(AND(B246=1,C246&gt;0,K246&lt;=0.000000000001,I246&lt;0),-I246/M246,0)</f>
        <v>0</v>
      </c>
      <c r="O246" s="28" t="n">
        <f aca="false">IF(AND(B246=1,C246&gt;0,K246&gt;0.000000000001),-(I246+$F$14*M246)/K246,0)</f>
        <v>0</v>
      </c>
      <c r="P246" s="28" t="n">
        <f aca="false">R245</f>
        <v>0</v>
      </c>
      <c r="Q246" s="28" t="n">
        <f aca="false">H246*$F$15</f>
        <v>0</v>
      </c>
      <c r="R246" s="28" t="n">
        <f aca="false">IF(B246=1,(P246+D246-C246)*(1+RetRate)+G246+Q246,P246)</f>
        <v>0</v>
      </c>
      <c r="S246" s="28" t="n">
        <f aca="false">V245</f>
        <v>0</v>
      </c>
      <c r="T246" s="28" t="n">
        <f aca="false">S246+D246-C246</f>
        <v>0</v>
      </c>
      <c r="U246" s="28" t="n">
        <f aca="false">IF(B246=1,MAX(0,-T246),0)</f>
        <v>0</v>
      </c>
      <c r="V246" s="28" t="n">
        <f aca="false">IF(B246=1,MAX(0,T246)*(1+RetRate)+G246,S246)</f>
        <v>0</v>
      </c>
      <c r="W246" s="28" t="n">
        <f aca="false">IF(A246&lt;=MIN('Education Cost Forecast'!$F$49,'Education Cost Forecast'!$F$53),G246*(1+RetRate)^('Education Cost Forecast'!$F$49-A246),0)</f>
        <v>0</v>
      </c>
      <c r="X246" s="28" t="n">
        <f aca="false">IF(B246=1,P246+D246-C246,0)</f>
        <v>0</v>
      </c>
    </row>
    <row r="247" customFormat="false" ht="15" hidden="false" customHeight="false" outlineLevel="0" collapsed="false">
      <c r="A247" s="27" t="n">
        <v>14</v>
      </c>
      <c r="B247" s="27" t="n">
        <f aca="false">'Education Cost Forecast'!B267</f>
        <v>0</v>
      </c>
      <c r="C247" s="28" t="n">
        <f aca="false">'Education Cost Forecast'!Z267</f>
        <v>0</v>
      </c>
      <c r="D247" s="28" t="n">
        <f aca="false">IF(AND(B247=1,'Education Cost Forecast'!F267&gt;0,'Education Cost Forecast'!E267=0),'Education Cost Forecast'!$F$45,0)</f>
        <v>0</v>
      </c>
      <c r="E247" s="27" t="n">
        <f aca="false">IF(AND(B247=1,A247&lt;='Education Cost Forecast'!$F$53),1,0)</f>
        <v>0</v>
      </c>
      <c r="F247" s="40" t="n">
        <f aca="false">(1+Esc)^(A247-1)</f>
        <v>1.88564914232324</v>
      </c>
      <c r="G247" s="28" t="n">
        <f aca="false">E247*('Education Cost Forecast'!$F$41*12*MonthlyFactor+'Education Cost Forecast'!$F$42)*F247</f>
        <v>0</v>
      </c>
      <c r="H247" s="28" t="n">
        <f aca="false">E247*UnitFactor*F247</f>
        <v>0</v>
      </c>
      <c r="I247" s="28" t="n">
        <f aca="false">J246+D247-C247</f>
        <v>0</v>
      </c>
      <c r="J247" s="28" t="n">
        <f aca="false">IF(B247=1,I247*(1+RetRate)+G247,J246)</f>
        <v>0</v>
      </c>
      <c r="K247" s="28" t="n">
        <f aca="false">L246</f>
        <v>0</v>
      </c>
      <c r="L247" s="28" t="n">
        <f aca="false">IF(B247=1,K247*(1+RetRate)+H247,L246)</f>
        <v>0</v>
      </c>
      <c r="M247" s="40" t="n">
        <f aca="false">(1+RetRate)^(A247-1)</f>
        <v>4.36349311165262</v>
      </c>
      <c r="N247" s="28" t="n">
        <f aca="false">IF(AND(B247=1,C247&gt;0,K247&lt;=0.000000000001,I247&lt;0),-I247/M247,0)</f>
        <v>0</v>
      </c>
      <c r="O247" s="28" t="n">
        <f aca="false">IF(AND(B247=1,C247&gt;0,K247&gt;0.000000000001),-(I247+$F$14*M247)/K247,0)</f>
        <v>0</v>
      </c>
      <c r="P247" s="28" t="n">
        <f aca="false">R246</f>
        <v>0</v>
      </c>
      <c r="Q247" s="28" t="n">
        <f aca="false">H247*$F$15</f>
        <v>0</v>
      </c>
      <c r="R247" s="28" t="n">
        <f aca="false">IF(B247=1,(P247+D247-C247)*(1+RetRate)+G247+Q247,P247)</f>
        <v>0</v>
      </c>
      <c r="S247" s="28" t="n">
        <f aca="false">V246</f>
        <v>0</v>
      </c>
      <c r="T247" s="28" t="n">
        <f aca="false">S247+D247-C247</f>
        <v>0</v>
      </c>
      <c r="U247" s="28" t="n">
        <f aca="false">IF(B247=1,MAX(0,-T247),0)</f>
        <v>0</v>
      </c>
      <c r="V247" s="28" t="n">
        <f aca="false">IF(B247=1,MAX(0,T247)*(1+RetRate)+G247,S247)</f>
        <v>0</v>
      </c>
      <c r="W247" s="28" t="n">
        <f aca="false">IF(A247&lt;=MIN('Education Cost Forecast'!$F$49,'Education Cost Forecast'!$F$53),G247*(1+RetRate)^('Education Cost Forecast'!$F$49-A247),0)</f>
        <v>0</v>
      </c>
      <c r="X247" s="28" t="n">
        <f aca="false">IF(B247=1,P247+D247-C247,0)</f>
        <v>0</v>
      </c>
    </row>
    <row r="248" customFormat="false" ht="15" hidden="false" customHeight="false" outlineLevel="0" collapsed="false">
      <c r="A248" s="27" t="n">
        <v>15</v>
      </c>
      <c r="B248" s="27" t="n">
        <f aca="false">'Education Cost Forecast'!B268</f>
        <v>0</v>
      </c>
      <c r="C248" s="28" t="n">
        <f aca="false">'Education Cost Forecast'!Z268</f>
        <v>0</v>
      </c>
      <c r="D248" s="28" t="n">
        <f aca="false">IF(AND(B248=1,'Education Cost Forecast'!F268&gt;0,'Education Cost Forecast'!E268=0),'Education Cost Forecast'!$F$45,0)</f>
        <v>0</v>
      </c>
      <c r="E248" s="27" t="n">
        <f aca="false">IF(AND(B248=1,A248&lt;='Education Cost Forecast'!$F$53),1,0)</f>
        <v>0</v>
      </c>
      <c r="F248" s="40" t="n">
        <f aca="false">(1+Esc)^(A248-1)</f>
        <v>1.9799315994394</v>
      </c>
      <c r="G248" s="28" t="n">
        <f aca="false">E248*('Education Cost Forecast'!$F$41*12*MonthlyFactor+'Education Cost Forecast'!$F$42)*F248</f>
        <v>0</v>
      </c>
      <c r="H248" s="28" t="n">
        <f aca="false">E248*UnitFactor*F248</f>
        <v>0</v>
      </c>
      <c r="I248" s="28" t="n">
        <f aca="false">J247+D248-C248</f>
        <v>0</v>
      </c>
      <c r="J248" s="28" t="n">
        <f aca="false">IF(B248=1,I248*(1+RetRate)+G248,J247)</f>
        <v>0</v>
      </c>
      <c r="K248" s="28" t="n">
        <f aca="false">L247</f>
        <v>0</v>
      </c>
      <c r="L248" s="28" t="n">
        <f aca="false">IF(B248=1,K248*(1+RetRate)+H248,L247)</f>
        <v>0</v>
      </c>
      <c r="M248" s="40" t="n">
        <f aca="false">(1+RetRate)^(A248-1)</f>
        <v>4.88711228505093</v>
      </c>
      <c r="N248" s="28" t="n">
        <f aca="false">IF(AND(B248=1,C248&gt;0,K248&lt;=0.000000000001,I248&lt;0),-I248/M248,0)</f>
        <v>0</v>
      </c>
      <c r="O248" s="28" t="n">
        <f aca="false">IF(AND(B248=1,C248&gt;0,K248&gt;0.000000000001),-(I248+$F$14*M248)/K248,0)</f>
        <v>0</v>
      </c>
      <c r="P248" s="28" t="n">
        <f aca="false">R247</f>
        <v>0</v>
      </c>
      <c r="Q248" s="28" t="n">
        <f aca="false">H248*$F$15</f>
        <v>0</v>
      </c>
      <c r="R248" s="28" t="n">
        <f aca="false">IF(B248=1,(P248+D248-C248)*(1+RetRate)+G248+Q248,P248)</f>
        <v>0</v>
      </c>
      <c r="S248" s="28" t="n">
        <f aca="false">V247</f>
        <v>0</v>
      </c>
      <c r="T248" s="28" t="n">
        <f aca="false">S248+D248-C248</f>
        <v>0</v>
      </c>
      <c r="U248" s="28" t="n">
        <f aca="false">IF(B248=1,MAX(0,-T248),0)</f>
        <v>0</v>
      </c>
      <c r="V248" s="28" t="n">
        <f aca="false">IF(B248=1,MAX(0,T248)*(1+RetRate)+G248,S248)</f>
        <v>0</v>
      </c>
      <c r="W248" s="28" t="n">
        <f aca="false">IF(A248&lt;=MIN('Education Cost Forecast'!$F$49,'Education Cost Forecast'!$F$53),G248*(1+RetRate)^('Education Cost Forecast'!$F$49-A248),0)</f>
        <v>0</v>
      </c>
      <c r="X248" s="28" t="n">
        <f aca="false">IF(B248=1,P248+D248-C248,0)</f>
        <v>0</v>
      </c>
    </row>
    <row r="249" customFormat="false" ht="15" hidden="false" customHeight="false" outlineLevel="0" collapsed="false">
      <c r="A249" s="27" t="n">
        <v>16</v>
      </c>
      <c r="B249" s="27" t="n">
        <f aca="false">'Education Cost Forecast'!B269</f>
        <v>0</v>
      </c>
      <c r="C249" s="28" t="n">
        <f aca="false">'Education Cost Forecast'!Z269</f>
        <v>0</v>
      </c>
      <c r="D249" s="28" t="n">
        <f aca="false">IF(AND(B249=1,'Education Cost Forecast'!F269&gt;0,'Education Cost Forecast'!E269=0),'Education Cost Forecast'!$F$45,0)</f>
        <v>0</v>
      </c>
      <c r="E249" s="27" t="n">
        <f aca="false">IF(AND(B249=1,A249&lt;='Education Cost Forecast'!$F$53),1,0)</f>
        <v>0</v>
      </c>
      <c r="F249" s="40" t="n">
        <f aca="false">(1+Esc)^(A249-1)</f>
        <v>2.07892817941137</v>
      </c>
      <c r="G249" s="28" t="n">
        <f aca="false">E249*('Education Cost Forecast'!$F$41*12*MonthlyFactor+'Education Cost Forecast'!$F$42)*F249</f>
        <v>0</v>
      </c>
      <c r="H249" s="28" t="n">
        <f aca="false">E249*UnitFactor*F249</f>
        <v>0</v>
      </c>
      <c r="I249" s="28" t="n">
        <f aca="false">J248+D249-C249</f>
        <v>0</v>
      </c>
      <c r="J249" s="28" t="n">
        <f aca="false">IF(B249=1,I249*(1+RetRate)+G249,J248)</f>
        <v>0</v>
      </c>
      <c r="K249" s="28" t="n">
        <f aca="false">L248</f>
        <v>0</v>
      </c>
      <c r="L249" s="28" t="n">
        <f aca="false">IF(B249=1,K249*(1+RetRate)+H249,L248)</f>
        <v>0</v>
      </c>
      <c r="M249" s="40" t="n">
        <f aca="false">(1+RetRate)^(A249-1)</f>
        <v>5.47356575925705</v>
      </c>
      <c r="N249" s="28" t="n">
        <f aca="false">IF(AND(B249=1,C249&gt;0,K249&lt;=0.000000000001,I249&lt;0),-I249/M249,0)</f>
        <v>0</v>
      </c>
      <c r="O249" s="28" t="n">
        <f aca="false">IF(AND(B249=1,C249&gt;0,K249&gt;0.000000000001),-(I249+$F$14*M249)/K249,0)</f>
        <v>0</v>
      </c>
      <c r="P249" s="28" t="n">
        <f aca="false">R248</f>
        <v>0</v>
      </c>
      <c r="Q249" s="28" t="n">
        <f aca="false">H249*$F$15</f>
        <v>0</v>
      </c>
      <c r="R249" s="28" t="n">
        <f aca="false">IF(B249=1,(P249+D249-C249)*(1+RetRate)+G249+Q249,P249)</f>
        <v>0</v>
      </c>
      <c r="S249" s="28" t="n">
        <f aca="false">V248</f>
        <v>0</v>
      </c>
      <c r="T249" s="28" t="n">
        <f aca="false">S249+D249-C249</f>
        <v>0</v>
      </c>
      <c r="U249" s="28" t="n">
        <f aca="false">IF(B249=1,MAX(0,-T249),0)</f>
        <v>0</v>
      </c>
      <c r="V249" s="28" t="n">
        <f aca="false">IF(B249=1,MAX(0,T249)*(1+RetRate)+G249,S249)</f>
        <v>0</v>
      </c>
      <c r="W249" s="28" t="n">
        <f aca="false">IF(A249&lt;=MIN('Education Cost Forecast'!$F$49,'Education Cost Forecast'!$F$53),G249*(1+RetRate)^('Education Cost Forecast'!$F$49-A249),0)</f>
        <v>0</v>
      </c>
      <c r="X249" s="28" t="n">
        <f aca="false">IF(B249=1,P249+D249-C249,0)</f>
        <v>0</v>
      </c>
    </row>
    <row r="250" customFormat="false" ht="15" hidden="false" customHeight="false" outlineLevel="0" collapsed="false">
      <c r="A250" s="27" t="n">
        <v>17</v>
      </c>
      <c r="B250" s="27" t="n">
        <f aca="false">'Education Cost Forecast'!B270</f>
        <v>0</v>
      </c>
      <c r="C250" s="28" t="n">
        <f aca="false">'Education Cost Forecast'!Z270</f>
        <v>0</v>
      </c>
      <c r="D250" s="28" t="n">
        <f aca="false">IF(AND(B250=1,'Education Cost Forecast'!F270&gt;0,'Education Cost Forecast'!E270=0),'Education Cost Forecast'!$F$45,0)</f>
        <v>0</v>
      </c>
      <c r="E250" s="27" t="n">
        <f aca="false">IF(AND(B250=1,A250&lt;='Education Cost Forecast'!$F$53),1,0)</f>
        <v>0</v>
      </c>
      <c r="F250" s="40" t="n">
        <f aca="false">(1+Esc)^(A250-1)</f>
        <v>2.18287458838194</v>
      </c>
      <c r="G250" s="28" t="n">
        <f aca="false">E250*('Education Cost Forecast'!$F$41*12*MonthlyFactor+'Education Cost Forecast'!$F$42)*F250</f>
        <v>0</v>
      </c>
      <c r="H250" s="28" t="n">
        <f aca="false">E250*UnitFactor*F250</f>
        <v>0</v>
      </c>
      <c r="I250" s="28" t="n">
        <f aca="false">J249+D250-C250</f>
        <v>0</v>
      </c>
      <c r="J250" s="28" t="n">
        <f aca="false">IF(B250=1,I250*(1+RetRate)+G250,J249)</f>
        <v>0</v>
      </c>
      <c r="K250" s="28" t="n">
        <f aca="false">L249</f>
        <v>0</v>
      </c>
      <c r="L250" s="28" t="n">
        <f aca="false">IF(B250=1,K250*(1+RetRate)+H250,L249)</f>
        <v>0</v>
      </c>
      <c r="M250" s="40" t="n">
        <f aca="false">(1+RetRate)^(A250-1)</f>
        <v>6.13039365036789</v>
      </c>
      <c r="N250" s="28" t="n">
        <f aca="false">IF(AND(B250=1,C250&gt;0,K250&lt;=0.000000000001,I250&lt;0),-I250/M250,0)</f>
        <v>0</v>
      </c>
      <c r="O250" s="28" t="n">
        <f aca="false">IF(AND(B250=1,C250&gt;0,K250&gt;0.000000000001),-(I250+$F$14*M250)/K250,0)</f>
        <v>0</v>
      </c>
      <c r="P250" s="28" t="n">
        <f aca="false">R249</f>
        <v>0</v>
      </c>
      <c r="Q250" s="28" t="n">
        <f aca="false">H250*$F$15</f>
        <v>0</v>
      </c>
      <c r="R250" s="28" t="n">
        <f aca="false">IF(B250=1,(P250+D250-C250)*(1+RetRate)+G250+Q250,P250)</f>
        <v>0</v>
      </c>
      <c r="S250" s="28" t="n">
        <f aca="false">V249</f>
        <v>0</v>
      </c>
      <c r="T250" s="28" t="n">
        <f aca="false">S250+D250-C250</f>
        <v>0</v>
      </c>
      <c r="U250" s="28" t="n">
        <f aca="false">IF(B250=1,MAX(0,-T250),0)</f>
        <v>0</v>
      </c>
      <c r="V250" s="28" t="n">
        <f aca="false">IF(B250=1,MAX(0,T250)*(1+RetRate)+G250,S250)</f>
        <v>0</v>
      </c>
      <c r="W250" s="28" t="n">
        <f aca="false">IF(A250&lt;=MIN('Education Cost Forecast'!$F$49,'Education Cost Forecast'!$F$53),G250*(1+RetRate)^('Education Cost Forecast'!$F$49-A250),0)</f>
        <v>0</v>
      </c>
      <c r="X250" s="28" t="n">
        <f aca="false">IF(B250=1,P250+D250-C250,0)</f>
        <v>0</v>
      </c>
    </row>
    <row r="251" customFormat="false" ht="15" hidden="false" customHeight="false" outlineLevel="0" collapsed="false">
      <c r="A251" s="27" t="n">
        <v>18</v>
      </c>
      <c r="B251" s="27" t="n">
        <f aca="false">'Education Cost Forecast'!B271</f>
        <v>0</v>
      </c>
      <c r="C251" s="28" t="n">
        <f aca="false">'Education Cost Forecast'!Z271</f>
        <v>0</v>
      </c>
      <c r="D251" s="28" t="n">
        <f aca="false">IF(AND(B251=1,'Education Cost Forecast'!F271&gt;0,'Education Cost Forecast'!E271=0),'Education Cost Forecast'!$F$45,0)</f>
        <v>0</v>
      </c>
      <c r="E251" s="27" t="n">
        <f aca="false">IF(AND(B251=1,A251&lt;='Education Cost Forecast'!$F$53),1,0)</f>
        <v>0</v>
      </c>
      <c r="F251" s="40" t="n">
        <f aca="false">(1+Esc)^(A251-1)</f>
        <v>2.29201831780103</v>
      </c>
      <c r="G251" s="28" t="n">
        <f aca="false">E251*('Education Cost Forecast'!$F$41*12*MonthlyFactor+'Education Cost Forecast'!$F$42)*F251</f>
        <v>0</v>
      </c>
      <c r="H251" s="28" t="n">
        <f aca="false">E251*UnitFactor*F251</f>
        <v>0</v>
      </c>
      <c r="I251" s="28" t="n">
        <f aca="false">J250+D251-C251</f>
        <v>0</v>
      </c>
      <c r="J251" s="28" t="n">
        <f aca="false">IF(B251=1,I251*(1+RetRate)+G251,J250)</f>
        <v>0</v>
      </c>
      <c r="K251" s="28" t="n">
        <f aca="false">L250</f>
        <v>0</v>
      </c>
      <c r="L251" s="28" t="n">
        <f aca="false">IF(B251=1,K251*(1+RetRate)+H251,L250)</f>
        <v>0</v>
      </c>
      <c r="M251" s="40" t="n">
        <f aca="false">(1+RetRate)^(A251-1)</f>
        <v>6.86604088841204</v>
      </c>
      <c r="N251" s="28" t="n">
        <f aca="false">IF(AND(B251=1,C251&gt;0,K251&lt;=0.000000000001,I251&lt;0),-I251/M251,0)</f>
        <v>0</v>
      </c>
      <c r="O251" s="28" t="n">
        <f aca="false">IF(AND(B251=1,C251&gt;0,K251&gt;0.000000000001),-(I251+$F$14*M251)/K251,0)</f>
        <v>0</v>
      </c>
      <c r="P251" s="28" t="n">
        <f aca="false">R250</f>
        <v>0</v>
      </c>
      <c r="Q251" s="28" t="n">
        <f aca="false">H251*$F$15</f>
        <v>0</v>
      </c>
      <c r="R251" s="28" t="n">
        <f aca="false">IF(B251=1,(P251+D251-C251)*(1+RetRate)+G251+Q251,P251)</f>
        <v>0</v>
      </c>
      <c r="S251" s="28" t="n">
        <f aca="false">V250</f>
        <v>0</v>
      </c>
      <c r="T251" s="28" t="n">
        <f aca="false">S251+D251-C251</f>
        <v>0</v>
      </c>
      <c r="U251" s="28" t="n">
        <f aca="false">IF(B251=1,MAX(0,-T251),0)</f>
        <v>0</v>
      </c>
      <c r="V251" s="28" t="n">
        <f aca="false">IF(B251=1,MAX(0,T251)*(1+RetRate)+G251,S251)</f>
        <v>0</v>
      </c>
      <c r="W251" s="28" t="n">
        <f aca="false">IF(A251&lt;=MIN('Education Cost Forecast'!$F$49,'Education Cost Forecast'!$F$53),G251*(1+RetRate)^('Education Cost Forecast'!$F$49-A251),0)</f>
        <v>0</v>
      </c>
      <c r="X251" s="28" t="n">
        <f aca="false">IF(B251=1,P251+D251-C251,0)</f>
        <v>0</v>
      </c>
    </row>
    <row r="252" customFormat="false" ht="15" hidden="false" customHeight="false" outlineLevel="0" collapsed="false">
      <c r="A252" s="27" t="n">
        <v>19</v>
      </c>
      <c r="B252" s="27" t="n">
        <f aca="false">'Education Cost Forecast'!B272</f>
        <v>0</v>
      </c>
      <c r="C252" s="28" t="n">
        <f aca="false">'Education Cost Forecast'!Z272</f>
        <v>0</v>
      </c>
      <c r="D252" s="28" t="n">
        <f aca="false">IF(AND(B252=1,'Education Cost Forecast'!F272&gt;0,'Education Cost Forecast'!E272=0),'Education Cost Forecast'!$F$45,0)</f>
        <v>0</v>
      </c>
      <c r="E252" s="27" t="n">
        <f aca="false">IF(AND(B252=1,A252&lt;='Education Cost Forecast'!$F$53),1,0)</f>
        <v>0</v>
      </c>
      <c r="F252" s="40" t="n">
        <f aca="false">(1+Esc)^(A252-1)</f>
        <v>2.40661923369109</v>
      </c>
      <c r="G252" s="28" t="n">
        <f aca="false">E252*('Education Cost Forecast'!$F$41*12*MonthlyFactor+'Education Cost Forecast'!$F$42)*F252</f>
        <v>0</v>
      </c>
      <c r="H252" s="28" t="n">
        <f aca="false">E252*UnitFactor*F252</f>
        <v>0</v>
      </c>
      <c r="I252" s="28" t="n">
        <f aca="false">J251+D252-C252</f>
        <v>0</v>
      </c>
      <c r="J252" s="28" t="n">
        <f aca="false">IF(B252=1,I252*(1+RetRate)+G252,J251)</f>
        <v>0</v>
      </c>
      <c r="K252" s="28" t="n">
        <f aca="false">L251</f>
        <v>0</v>
      </c>
      <c r="L252" s="28" t="n">
        <f aca="false">IF(B252=1,K252*(1+RetRate)+H252,L251)</f>
        <v>0</v>
      </c>
      <c r="M252" s="40" t="n">
        <f aca="false">(1+RetRate)^(A252-1)</f>
        <v>7.68996579502149</v>
      </c>
      <c r="N252" s="28" t="n">
        <f aca="false">IF(AND(B252=1,C252&gt;0,K252&lt;=0.000000000001,I252&lt;0),-I252/M252,0)</f>
        <v>0</v>
      </c>
      <c r="O252" s="28" t="n">
        <f aca="false">IF(AND(B252=1,C252&gt;0,K252&gt;0.000000000001),-(I252+$F$14*M252)/K252,0)</f>
        <v>0</v>
      </c>
      <c r="P252" s="28" t="n">
        <f aca="false">R251</f>
        <v>0</v>
      </c>
      <c r="Q252" s="28" t="n">
        <f aca="false">H252*$F$15</f>
        <v>0</v>
      </c>
      <c r="R252" s="28" t="n">
        <f aca="false">IF(B252=1,(P252+D252-C252)*(1+RetRate)+G252+Q252,P252)</f>
        <v>0</v>
      </c>
      <c r="S252" s="28" t="n">
        <f aca="false">V251</f>
        <v>0</v>
      </c>
      <c r="T252" s="28" t="n">
        <f aca="false">S252+D252-C252</f>
        <v>0</v>
      </c>
      <c r="U252" s="28" t="n">
        <f aca="false">IF(B252=1,MAX(0,-T252),0)</f>
        <v>0</v>
      </c>
      <c r="V252" s="28" t="n">
        <f aca="false">IF(B252=1,MAX(0,T252)*(1+RetRate)+G252,S252)</f>
        <v>0</v>
      </c>
      <c r="W252" s="28" t="n">
        <f aca="false">IF(A252&lt;=MIN('Education Cost Forecast'!$F$49,'Education Cost Forecast'!$F$53),G252*(1+RetRate)^('Education Cost Forecast'!$F$49-A252),0)</f>
        <v>0</v>
      </c>
      <c r="X252" s="28" t="n">
        <f aca="false">IF(B252=1,P252+D252-C252,0)</f>
        <v>0</v>
      </c>
    </row>
    <row r="253" customFormat="false" ht="15" hidden="false" customHeight="false" outlineLevel="0" collapsed="false">
      <c r="A253" s="27" t="n">
        <v>20</v>
      </c>
      <c r="B253" s="27" t="n">
        <f aca="false">'Education Cost Forecast'!B273</f>
        <v>0</v>
      </c>
      <c r="C253" s="28" t="n">
        <f aca="false">'Education Cost Forecast'!Z273</f>
        <v>0</v>
      </c>
      <c r="D253" s="28" t="n">
        <f aca="false">IF(AND(B253=1,'Education Cost Forecast'!F273&gt;0,'Education Cost Forecast'!E273=0),'Education Cost Forecast'!$F$45,0)</f>
        <v>0</v>
      </c>
      <c r="E253" s="27" t="n">
        <f aca="false">IF(AND(B253=1,A253&lt;='Education Cost Forecast'!$F$53),1,0)</f>
        <v>0</v>
      </c>
      <c r="F253" s="40" t="n">
        <f aca="false">(1+Esc)^(A253-1)</f>
        <v>2.52695019537564</v>
      </c>
      <c r="G253" s="28" t="n">
        <f aca="false">E253*('Education Cost Forecast'!$F$41*12*MonthlyFactor+'Education Cost Forecast'!$F$42)*F253</f>
        <v>0</v>
      </c>
      <c r="H253" s="28" t="n">
        <f aca="false">E253*UnitFactor*F253</f>
        <v>0</v>
      </c>
      <c r="I253" s="28" t="n">
        <f aca="false">J252+D253-C253</f>
        <v>0</v>
      </c>
      <c r="J253" s="28" t="n">
        <f aca="false">IF(B253=1,I253*(1+RetRate)+G253,J252)</f>
        <v>0</v>
      </c>
      <c r="K253" s="28" t="n">
        <f aca="false">L252</f>
        <v>0</v>
      </c>
      <c r="L253" s="28" t="n">
        <f aca="false">IF(B253=1,K253*(1+RetRate)+H253,L252)</f>
        <v>0</v>
      </c>
      <c r="M253" s="40" t="n">
        <f aca="false">(1+RetRate)^(A253-1)</f>
        <v>8.61276169042406</v>
      </c>
      <c r="N253" s="28" t="n">
        <f aca="false">IF(AND(B253=1,C253&gt;0,K253&lt;=0.000000000001,I253&lt;0),-I253/M253,0)</f>
        <v>0</v>
      </c>
      <c r="O253" s="28" t="n">
        <f aca="false">IF(AND(B253=1,C253&gt;0,K253&gt;0.000000000001),-(I253+$F$14*M253)/K253,0)</f>
        <v>0</v>
      </c>
      <c r="P253" s="28" t="n">
        <f aca="false">R252</f>
        <v>0</v>
      </c>
      <c r="Q253" s="28" t="n">
        <f aca="false">H253*$F$15</f>
        <v>0</v>
      </c>
      <c r="R253" s="28" t="n">
        <f aca="false">IF(B253=1,(P253+D253-C253)*(1+RetRate)+G253+Q253,P253)</f>
        <v>0</v>
      </c>
      <c r="S253" s="28" t="n">
        <f aca="false">V252</f>
        <v>0</v>
      </c>
      <c r="T253" s="28" t="n">
        <f aca="false">S253+D253-C253</f>
        <v>0</v>
      </c>
      <c r="U253" s="28" t="n">
        <f aca="false">IF(B253=1,MAX(0,-T253),0)</f>
        <v>0</v>
      </c>
      <c r="V253" s="28" t="n">
        <f aca="false">IF(B253=1,MAX(0,T253)*(1+RetRate)+G253,S253)</f>
        <v>0</v>
      </c>
      <c r="W253" s="28" t="n">
        <f aca="false">IF(A253&lt;=MIN('Education Cost Forecast'!$F$49,'Education Cost Forecast'!$F$53),G253*(1+RetRate)^('Education Cost Forecast'!$F$49-A253),0)</f>
        <v>0</v>
      </c>
      <c r="X253" s="28" t="n">
        <f aca="false">IF(B253=1,P253+D253-C253,0)</f>
        <v>0</v>
      </c>
    </row>
    <row r="254" customFormat="false" ht="15" hidden="false" customHeight="false" outlineLevel="0" collapsed="false">
      <c r="A254" s="27" t="n">
        <v>21</v>
      </c>
      <c r="B254" s="27" t="n">
        <f aca="false">'Education Cost Forecast'!B274</f>
        <v>0</v>
      </c>
      <c r="C254" s="28" t="n">
        <f aca="false">'Education Cost Forecast'!Z274</f>
        <v>0</v>
      </c>
      <c r="D254" s="28" t="n">
        <f aca="false">IF(AND(B254=1,'Education Cost Forecast'!F274&gt;0,'Education Cost Forecast'!E274=0),'Education Cost Forecast'!$F$45,0)</f>
        <v>0</v>
      </c>
      <c r="E254" s="27" t="n">
        <f aca="false">IF(AND(B254=1,A254&lt;='Education Cost Forecast'!$F$53),1,0)</f>
        <v>0</v>
      </c>
      <c r="F254" s="40" t="n">
        <f aca="false">(1+Esc)^(A254-1)</f>
        <v>2.65329770514442</v>
      </c>
      <c r="G254" s="28" t="n">
        <f aca="false">E254*('Education Cost Forecast'!$F$41*12*MonthlyFactor+'Education Cost Forecast'!$F$42)*F254</f>
        <v>0</v>
      </c>
      <c r="H254" s="28" t="n">
        <f aca="false">E254*UnitFactor*F254</f>
        <v>0</v>
      </c>
      <c r="I254" s="28" t="n">
        <f aca="false">J253+D254-C254</f>
        <v>0</v>
      </c>
      <c r="J254" s="28" t="n">
        <f aca="false">IF(B254=1,I254*(1+RetRate)+G254,J253)</f>
        <v>0</v>
      </c>
      <c r="K254" s="28" t="n">
        <f aca="false">L253</f>
        <v>0</v>
      </c>
      <c r="L254" s="28" t="n">
        <f aca="false">IF(B254=1,K254*(1+RetRate)+H254,L253)</f>
        <v>0</v>
      </c>
      <c r="M254" s="40" t="n">
        <f aca="false">(1+RetRate)^(A254-1)</f>
        <v>9.64629309327495</v>
      </c>
      <c r="N254" s="28" t="n">
        <f aca="false">IF(AND(B254=1,C254&gt;0,K254&lt;=0.000000000001,I254&lt;0),-I254/M254,0)</f>
        <v>0</v>
      </c>
      <c r="O254" s="28" t="n">
        <f aca="false">IF(AND(B254=1,C254&gt;0,K254&gt;0.000000000001),-(I254+$F$14*M254)/K254,0)</f>
        <v>0</v>
      </c>
      <c r="P254" s="28" t="n">
        <f aca="false">R253</f>
        <v>0</v>
      </c>
      <c r="Q254" s="28" t="n">
        <f aca="false">H254*$F$15</f>
        <v>0</v>
      </c>
      <c r="R254" s="28" t="n">
        <f aca="false">IF(B254=1,(P254+D254-C254)*(1+RetRate)+G254+Q254,P254)</f>
        <v>0</v>
      </c>
      <c r="S254" s="28" t="n">
        <f aca="false">V253</f>
        <v>0</v>
      </c>
      <c r="T254" s="28" t="n">
        <f aca="false">S254+D254-C254</f>
        <v>0</v>
      </c>
      <c r="U254" s="28" t="n">
        <f aca="false">IF(B254=1,MAX(0,-T254),0)</f>
        <v>0</v>
      </c>
      <c r="V254" s="28" t="n">
        <f aca="false">IF(B254=1,MAX(0,T254)*(1+RetRate)+G254,S254)</f>
        <v>0</v>
      </c>
      <c r="W254" s="28" t="n">
        <f aca="false">IF(A254&lt;=MIN('Education Cost Forecast'!$F$49,'Education Cost Forecast'!$F$53),G254*(1+RetRate)^('Education Cost Forecast'!$F$49-A254),0)</f>
        <v>0</v>
      </c>
      <c r="X254" s="28" t="n">
        <f aca="false">IF(B254=1,P254+D254-C254,0)</f>
        <v>0</v>
      </c>
    </row>
    <row r="255" customFormat="false" ht="15" hidden="false" customHeight="false" outlineLevel="0" collapsed="false">
      <c r="A255" s="27" t="n">
        <v>22</v>
      </c>
      <c r="B255" s="27" t="n">
        <f aca="false">'Education Cost Forecast'!B275</f>
        <v>0</v>
      </c>
      <c r="C255" s="28" t="n">
        <f aca="false">'Education Cost Forecast'!Z275</f>
        <v>0</v>
      </c>
      <c r="D255" s="28" t="n">
        <f aca="false">IF(AND(B255=1,'Education Cost Forecast'!F275&gt;0,'Education Cost Forecast'!E275=0),'Education Cost Forecast'!$F$45,0)</f>
        <v>0</v>
      </c>
      <c r="E255" s="27" t="n">
        <f aca="false">IF(AND(B255=1,A255&lt;='Education Cost Forecast'!$F$53),1,0)</f>
        <v>0</v>
      </c>
      <c r="F255" s="40" t="n">
        <f aca="false">(1+Esc)^(A255-1)</f>
        <v>2.78596259040164</v>
      </c>
      <c r="G255" s="28" t="n">
        <f aca="false">E255*('Education Cost Forecast'!$F$41*12*MonthlyFactor+'Education Cost Forecast'!$F$42)*F255</f>
        <v>0</v>
      </c>
      <c r="H255" s="28" t="n">
        <f aca="false">E255*UnitFactor*F255</f>
        <v>0</v>
      </c>
      <c r="I255" s="28" t="n">
        <f aca="false">J254+D255-C255</f>
        <v>0</v>
      </c>
      <c r="J255" s="28" t="n">
        <f aca="false">IF(B255=1,I255*(1+RetRate)+G255,J254)</f>
        <v>0</v>
      </c>
      <c r="K255" s="28" t="n">
        <f aca="false">L254</f>
        <v>0</v>
      </c>
      <c r="L255" s="28" t="n">
        <f aca="false">IF(B255=1,K255*(1+RetRate)+H255,L254)</f>
        <v>0</v>
      </c>
      <c r="M255" s="40" t="n">
        <f aca="false">(1+RetRate)^(A255-1)</f>
        <v>10.8038482644679</v>
      </c>
      <c r="N255" s="28" t="n">
        <f aca="false">IF(AND(B255=1,C255&gt;0,K255&lt;=0.000000000001,I255&lt;0),-I255/M255,0)</f>
        <v>0</v>
      </c>
      <c r="O255" s="28" t="n">
        <f aca="false">IF(AND(B255=1,C255&gt;0,K255&gt;0.000000000001),-(I255+$F$14*M255)/K255,0)</f>
        <v>0</v>
      </c>
      <c r="P255" s="28" t="n">
        <f aca="false">R254</f>
        <v>0</v>
      </c>
      <c r="Q255" s="28" t="n">
        <f aca="false">H255*$F$15</f>
        <v>0</v>
      </c>
      <c r="R255" s="28" t="n">
        <f aca="false">IF(B255=1,(P255+D255-C255)*(1+RetRate)+G255+Q255,P255)</f>
        <v>0</v>
      </c>
      <c r="S255" s="28" t="n">
        <f aca="false">V254</f>
        <v>0</v>
      </c>
      <c r="T255" s="28" t="n">
        <f aca="false">S255+D255-C255</f>
        <v>0</v>
      </c>
      <c r="U255" s="28" t="n">
        <f aca="false">IF(B255=1,MAX(0,-T255),0)</f>
        <v>0</v>
      </c>
      <c r="V255" s="28" t="n">
        <f aca="false">IF(B255=1,MAX(0,T255)*(1+RetRate)+G255,S255)</f>
        <v>0</v>
      </c>
      <c r="W255" s="28" t="n">
        <f aca="false">IF(A255&lt;=MIN('Education Cost Forecast'!$F$49,'Education Cost Forecast'!$F$53),G255*(1+RetRate)^('Education Cost Forecast'!$F$49-A255),0)</f>
        <v>0</v>
      </c>
      <c r="X255" s="28" t="n">
        <f aca="false">IF(B255=1,P255+D255-C255,0)</f>
        <v>0</v>
      </c>
    </row>
    <row r="256" customFormat="false" ht="15" hidden="false" customHeight="false" outlineLevel="0" collapsed="false">
      <c r="A256" s="27" t="n">
        <v>23</v>
      </c>
      <c r="B256" s="27" t="n">
        <f aca="false">'Education Cost Forecast'!B276</f>
        <v>0</v>
      </c>
      <c r="C256" s="28" t="n">
        <f aca="false">'Education Cost Forecast'!Z276</f>
        <v>0</v>
      </c>
      <c r="D256" s="28" t="n">
        <f aca="false">IF(AND(B256=1,'Education Cost Forecast'!F276&gt;0,'Education Cost Forecast'!E276=0),'Education Cost Forecast'!$F$45,0)</f>
        <v>0</v>
      </c>
      <c r="E256" s="27" t="n">
        <f aca="false">IF(AND(B256=1,A256&lt;='Education Cost Forecast'!$F$53),1,0)</f>
        <v>0</v>
      </c>
      <c r="F256" s="40" t="n">
        <f aca="false">(1+Esc)^(A256-1)</f>
        <v>2.92526071992173</v>
      </c>
      <c r="G256" s="28" t="n">
        <f aca="false">E256*('Education Cost Forecast'!$F$41*12*MonthlyFactor+'Education Cost Forecast'!$F$42)*F256</f>
        <v>0</v>
      </c>
      <c r="H256" s="28" t="n">
        <f aca="false">E256*UnitFactor*F256</f>
        <v>0</v>
      </c>
      <c r="I256" s="28" t="n">
        <f aca="false">J255+D256-C256</f>
        <v>0</v>
      </c>
      <c r="J256" s="28" t="n">
        <f aca="false">IF(B256=1,I256*(1+RetRate)+G256,J255)</f>
        <v>0</v>
      </c>
      <c r="K256" s="28" t="n">
        <f aca="false">L255</f>
        <v>0</v>
      </c>
      <c r="L256" s="28" t="n">
        <f aca="false">IF(B256=1,K256*(1+RetRate)+H256,L255)</f>
        <v>0</v>
      </c>
      <c r="M256" s="40" t="n">
        <f aca="false">(1+RetRate)^(A256-1)</f>
        <v>12.1003100562041</v>
      </c>
      <c r="N256" s="28" t="n">
        <f aca="false">IF(AND(B256=1,C256&gt;0,K256&lt;=0.000000000001,I256&lt;0),-I256/M256,0)</f>
        <v>0</v>
      </c>
      <c r="O256" s="28" t="n">
        <f aca="false">IF(AND(B256=1,C256&gt;0,K256&gt;0.000000000001),-(I256+$F$14*M256)/K256,0)</f>
        <v>0</v>
      </c>
      <c r="P256" s="28" t="n">
        <f aca="false">R255</f>
        <v>0</v>
      </c>
      <c r="Q256" s="28" t="n">
        <f aca="false">H256*$F$15</f>
        <v>0</v>
      </c>
      <c r="R256" s="28" t="n">
        <f aca="false">IF(B256=1,(P256+D256-C256)*(1+RetRate)+G256+Q256,P256)</f>
        <v>0</v>
      </c>
      <c r="S256" s="28" t="n">
        <f aca="false">V255</f>
        <v>0</v>
      </c>
      <c r="T256" s="28" t="n">
        <f aca="false">S256+D256-C256</f>
        <v>0</v>
      </c>
      <c r="U256" s="28" t="n">
        <f aca="false">IF(B256=1,MAX(0,-T256),0)</f>
        <v>0</v>
      </c>
      <c r="V256" s="28" t="n">
        <f aca="false">IF(B256=1,MAX(0,T256)*(1+RetRate)+G256,S256)</f>
        <v>0</v>
      </c>
      <c r="W256" s="28" t="n">
        <f aca="false">IF(A256&lt;=MIN('Education Cost Forecast'!$F$49,'Education Cost Forecast'!$F$53),G256*(1+RetRate)^('Education Cost Forecast'!$F$49-A256),0)</f>
        <v>0</v>
      </c>
      <c r="X256" s="28" t="n">
        <f aca="false">IF(B256=1,P256+D256-C256,0)</f>
        <v>0</v>
      </c>
    </row>
    <row r="257" customFormat="false" ht="15" hidden="false" customHeight="false" outlineLevel="0" collapsed="false">
      <c r="A257" s="27" t="n">
        <v>24</v>
      </c>
      <c r="B257" s="27" t="n">
        <f aca="false">'Education Cost Forecast'!B277</f>
        <v>0</v>
      </c>
      <c r="C257" s="28" t="n">
        <f aca="false">'Education Cost Forecast'!Z277</f>
        <v>0</v>
      </c>
      <c r="D257" s="28" t="n">
        <f aca="false">IF(AND(B257=1,'Education Cost Forecast'!F277&gt;0,'Education Cost Forecast'!E277=0),'Education Cost Forecast'!$F$45,0)</f>
        <v>0</v>
      </c>
      <c r="E257" s="27" t="n">
        <f aca="false">IF(AND(B257=1,A257&lt;='Education Cost Forecast'!$F$53),1,0)</f>
        <v>0</v>
      </c>
      <c r="F257" s="40" t="n">
        <f aca="false">(1+Esc)^(A257-1)</f>
        <v>3.07152375591781</v>
      </c>
      <c r="G257" s="28" t="n">
        <f aca="false">E257*('Education Cost Forecast'!$F$41*12*MonthlyFactor+'Education Cost Forecast'!$F$42)*F257</f>
        <v>0</v>
      </c>
      <c r="H257" s="28" t="n">
        <f aca="false">E257*UnitFactor*F257</f>
        <v>0</v>
      </c>
      <c r="I257" s="28" t="n">
        <f aca="false">J256+D257-C257</f>
        <v>0</v>
      </c>
      <c r="J257" s="28" t="n">
        <f aca="false">IF(B257=1,I257*(1+RetRate)+G257,J256)</f>
        <v>0</v>
      </c>
      <c r="K257" s="28" t="n">
        <f aca="false">L256</f>
        <v>0</v>
      </c>
      <c r="L257" s="28" t="n">
        <f aca="false">IF(B257=1,K257*(1+RetRate)+H257,L256)</f>
        <v>0</v>
      </c>
      <c r="M257" s="40" t="n">
        <f aca="false">(1+RetRate)^(A257-1)</f>
        <v>13.5523472629486</v>
      </c>
      <c r="N257" s="28" t="n">
        <f aca="false">IF(AND(B257=1,C257&gt;0,K257&lt;=0.000000000001,I257&lt;0),-I257/M257,0)</f>
        <v>0</v>
      </c>
      <c r="O257" s="28" t="n">
        <f aca="false">IF(AND(B257=1,C257&gt;0,K257&gt;0.000000000001),-(I257+$F$14*M257)/K257,0)</f>
        <v>0</v>
      </c>
      <c r="P257" s="28" t="n">
        <f aca="false">R256</f>
        <v>0</v>
      </c>
      <c r="Q257" s="28" t="n">
        <f aca="false">H257*$F$15</f>
        <v>0</v>
      </c>
      <c r="R257" s="28" t="n">
        <f aca="false">IF(B257=1,(P257+D257-C257)*(1+RetRate)+G257+Q257,P257)</f>
        <v>0</v>
      </c>
      <c r="S257" s="28" t="n">
        <f aca="false">V256</f>
        <v>0</v>
      </c>
      <c r="T257" s="28" t="n">
        <f aca="false">S257+D257-C257</f>
        <v>0</v>
      </c>
      <c r="U257" s="28" t="n">
        <f aca="false">IF(B257=1,MAX(0,-T257),0)</f>
        <v>0</v>
      </c>
      <c r="V257" s="28" t="n">
        <f aca="false">IF(B257=1,MAX(0,T257)*(1+RetRate)+G257,S257)</f>
        <v>0</v>
      </c>
      <c r="W257" s="28" t="n">
        <f aca="false">IF(A257&lt;=MIN('Education Cost Forecast'!$F$49,'Education Cost Forecast'!$F$53),G257*(1+RetRate)^('Education Cost Forecast'!$F$49-A257),0)</f>
        <v>0</v>
      </c>
      <c r="X257" s="28" t="n">
        <f aca="false">IF(B257=1,P257+D257-C257,0)</f>
        <v>0</v>
      </c>
    </row>
    <row r="258" customFormat="false" ht="15" hidden="false" customHeight="false" outlineLevel="0" collapsed="false">
      <c r="A258" s="27" t="n">
        <v>25</v>
      </c>
      <c r="B258" s="27" t="n">
        <f aca="false">'Education Cost Forecast'!B278</f>
        <v>0</v>
      </c>
      <c r="C258" s="28" t="n">
        <f aca="false">'Education Cost Forecast'!Z278</f>
        <v>0</v>
      </c>
      <c r="D258" s="28" t="n">
        <f aca="false">IF(AND(B258=1,'Education Cost Forecast'!F278&gt;0,'Education Cost Forecast'!E278=0),'Education Cost Forecast'!$F$45,0)</f>
        <v>0</v>
      </c>
      <c r="E258" s="27" t="n">
        <f aca="false">IF(AND(B258=1,A258&lt;='Education Cost Forecast'!$F$53),1,0)</f>
        <v>0</v>
      </c>
      <c r="F258" s="40" t="n">
        <f aca="false">(1+Esc)^(A258-1)</f>
        <v>3.2250999437137</v>
      </c>
      <c r="G258" s="28" t="n">
        <f aca="false">E258*('Education Cost Forecast'!$F$41*12*MonthlyFactor+'Education Cost Forecast'!$F$42)*F258</f>
        <v>0</v>
      </c>
      <c r="H258" s="28" t="n">
        <f aca="false">E258*UnitFactor*F258</f>
        <v>0</v>
      </c>
      <c r="I258" s="28" t="n">
        <f aca="false">J257+D258-C258</f>
        <v>0</v>
      </c>
      <c r="J258" s="28" t="n">
        <f aca="false">IF(B258=1,I258*(1+RetRate)+G258,J257)</f>
        <v>0</v>
      </c>
      <c r="K258" s="28" t="n">
        <f aca="false">L257</f>
        <v>0</v>
      </c>
      <c r="L258" s="28" t="n">
        <f aca="false">IF(B258=1,K258*(1+RetRate)+H258,L257)</f>
        <v>0</v>
      </c>
      <c r="M258" s="40" t="n">
        <f aca="false">(1+RetRate)^(A258-1)</f>
        <v>15.1786289345024</v>
      </c>
      <c r="N258" s="28" t="n">
        <f aca="false">IF(AND(B258=1,C258&gt;0,K258&lt;=0.000000000001,I258&lt;0),-I258/M258,0)</f>
        <v>0</v>
      </c>
      <c r="O258" s="28" t="n">
        <f aca="false">IF(AND(B258=1,C258&gt;0,K258&gt;0.000000000001),-(I258+$F$14*M258)/K258,0)</f>
        <v>0</v>
      </c>
      <c r="P258" s="28" t="n">
        <f aca="false">R257</f>
        <v>0</v>
      </c>
      <c r="Q258" s="28" t="n">
        <f aca="false">H258*$F$15</f>
        <v>0</v>
      </c>
      <c r="R258" s="28" t="n">
        <f aca="false">IF(B258=1,(P258+D258-C258)*(1+RetRate)+G258+Q258,P258)</f>
        <v>0</v>
      </c>
      <c r="S258" s="28" t="n">
        <f aca="false">V257</f>
        <v>0</v>
      </c>
      <c r="T258" s="28" t="n">
        <f aca="false">S258+D258-C258</f>
        <v>0</v>
      </c>
      <c r="U258" s="28" t="n">
        <f aca="false">IF(B258=1,MAX(0,-T258),0)</f>
        <v>0</v>
      </c>
      <c r="V258" s="28" t="n">
        <f aca="false">IF(B258=1,MAX(0,T258)*(1+RetRate)+G258,S258)</f>
        <v>0</v>
      </c>
      <c r="W258" s="28" t="n">
        <f aca="false">IF(A258&lt;=MIN('Education Cost Forecast'!$F$49,'Education Cost Forecast'!$F$53),G258*(1+RetRate)^('Education Cost Forecast'!$F$49-A258),0)</f>
        <v>0</v>
      </c>
      <c r="X258" s="28" t="n">
        <f aca="false">IF(B258=1,P258+D258-C258,0)</f>
        <v>0</v>
      </c>
    </row>
    <row r="259" customFormat="false" ht="15" hidden="false" customHeight="false" outlineLevel="0" collapsed="false">
      <c r="A259" s="27" t="n">
        <v>26</v>
      </c>
      <c r="B259" s="27" t="n">
        <f aca="false">'Education Cost Forecast'!B279</f>
        <v>0</v>
      </c>
      <c r="C259" s="28" t="n">
        <f aca="false">'Education Cost Forecast'!Z279</f>
        <v>0</v>
      </c>
      <c r="D259" s="28" t="n">
        <f aca="false">IF(AND(B259=1,'Education Cost Forecast'!F279&gt;0,'Education Cost Forecast'!E279=0),'Education Cost Forecast'!$F$45,0)</f>
        <v>0</v>
      </c>
      <c r="E259" s="27" t="n">
        <f aca="false">IF(AND(B259=1,A259&lt;='Education Cost Forecast'!$F$53),1,0)</f>
        <v>0</v>
      </c>
      <c r="F259" s="40" t="n">
        <f aca="false">(1+Esc)^(A259-1)</f>
        <v>3.38635494089939</v>
      </c>
      <c r="G259" s="28" t="n">
        <f aca="false">E259*('Education Cost Forecast'!$F$41*12*MonthlyFactor+'Education Cost Forecast'!$F$42)*F259</f>
        <v>0</v>
      </c>
      <c r="H259" s="28" t="n">
        <f aca="false">E259*UnitFactor*F259</f>
        <v>0</v>
      </c>
      <c r="I259" s="28" t="n">
        <f aca="false">J258+D259-C259</f>
        <v>0</v>
      </c>
      <c r="J259" s="28" t="n">
        <f aca="false">IF(B259=1,I259*(1+RetRate)+G259,J258)</f>
        <v>0</v>
      </c>
      <c r="K259" s="28" t="n">
        <f aca="false">L258</f>
        <v>0</v>
      </c>
      <c r="L259" s="28" t="n">
        <f aca="false">IF(B259=1,K259*(1+RetRate)+H259,L258)</f>
        <v>0</v>
      </c>
      <c r="M259" s="40" t="n">
        <f aca="false">(1+RetRate)^(A259-1)</f>
        <v>17.0000644066427</v>
      </c>
      <c r="N259" s="28" t="n">
        <f aca="false">IF(AND(B259=1,C259&gt;0,K259&lt;=0.000000000001,I259&lt;0),-I259/M259,0)</f>
        <v>0</v>
      </c>
      <c r="O259" s="28" t="n">
        <f aca="false">IF(AND(B259=1,C259&gt;0,K259&gt;0.000000000001),-(I259+$F$14*M259)/K259,0)</f>
        <v>0</v>
      </c>
      <c r="P259" s="28" t="n">
        <f aca="false">R258</f>
        <v>0</v>
      </c>
      <c r="Q259" s="28" t="n">
        <f aca="false">H259*$F$15</f>
        <v>0</v>
      </c>
      <c r="R259" s="28" t="n">
        <f aca="false">IF(B259=1,(P259+D259-C259)*(1+RetRate)+G259+Q259,P259)</f>
        <v>0</v>
      </c>
      <c r="S259" s="28" t="n">
        <f aca="false">V258</f>
        <v>0</v>
      </c>
      <c r="T259" s="28" t="n">
        <f aca="false">S259+D259-C259</f>
        <v>0</v>
      </c>
      <c r="U259" s="28" t="n">
        <f aca="false">IF(B259=1,MAX(0,-T259),0)</f>
        <v>0</v>
      </c>
      <c r="V259" s="28" t="n">
        <f aca="false">IF(B259=1,MAX(0,T259)*(1+RetRate)+G259,S259)</f>
        <v>0</v>
      </c>
      <c r="W259" s="28" t="n">
        <f aca="false">IF(A259&lt;=MIN('Education Cost Forecast'!$F$49,'Education Cost Forecast'!$F$53),G259*(1+RetRate)^('Education Cost Forecast'!$F$49-A259),0)</f>
        <v>0</v>
      </c>
      <c r="X259" s="28" t="n">
        <f aca="false">IF(B259=1,P259+D259-C259,0)</f>
        <v>0</v>
      </c>
    </row>
    <row r="260" customFormat="false" ht="15" hidden="false" customHeight="false" outlineLevel="0" collapsed="false">
      <c r="A260" s="27" t="n">
        <v>27</v>
      </c>
      <c r="B260" s="27" t="n">
        <f aca="false">'Education Cost Forecast'!B280</f>
        <v>0</v>
      </c>
      <c r="C260" s="28" t="n">
        <f aca="false">'Education Cost Forecast'!Z280</f>
        <v>0</v>
      </c>
      <c r="D260" s="28" t="n">
        <f aca="false">IF(AND(B260=1,'Education Cost Forecast'!F280&gt;0,'Education Cost Forecast'!E280=0),'Education Cost Forecast'!$F$45,0)</f>
        <v>0</v>
      </c>
      <c r="E260" s="27" t="n">
        <f aca="false">IF(AND(B260=1,A260&lt;='Education Cost Forecast'!$F$53),1,0)</f>
        <v>0</v>
      </c>
      <c r="F260" s="40" t="n">
        <f aca="false">(1+Esc)^(A260-1)</f>
        <v>3.55567268794436</v>
      </c>
      <c r="G260" s="28" t="n">
        <f aca="false">E260*('Education Cost Forecast'!$F$41*12*MonthlyFactor+'Education Cost Forecast'!$F$42)*F260</f>
        <v>0</v>
      </c>
      <c r="H260" s="28" t="n">
        <f aca="false">E260*UnitFactor*F260</f>
        <v>0</v>
      </c>
      <c r="I260" s="28" t="n">
        <f aca="false">J259+D260-C260</f>
        <v>0</v>
      </c>
      <c r="J260" s="28" t="n">
        <f aca="false">IF(B260=1,I260*(1+RetRate)+G260,J259)</f>
        <v>0</v>
      </c>
      <c r="K260" s="28" t="n">
        <f aca="false">L259</f>
        <v>0</v>
      </c>
      <c r="L260" s="28" t="n">
        <f aca="false">IF(B260=1,K260*(1+RetRate)+H260,L259)</f>
        <v>0</v>
      </c>
      <c r="M260" s="40" t="n">
        <f aca="false">(1+RetRate)^(A260-1)</f>
        <v>19.0400721354399</v>
      </c>
      <c r="N260" s="28" t="n">
        <f aca="false">IF(AND(B260=1,C260&gt;0,K260&lt;=0.000000000001,I260&lt;0),-I260/M260,0)</f>
        <v>0</v>
      </c>
      <c r="O260" s="28" t="n">
        <f aca="false">IF(AND(B260=1,C260&gt;0,K260&gt;0.000000000001),-(I260+$F$14*M260)/K260,0)</f>
        <v>0</v>
      </c>
      <c r="P260" s="28" t="n">
        <f aca="false">R259</f>
        <v>0</v>
      </c>
      <c r="Q260" s="28" t="n">
        <f aca="false">H260*$F$15</f>
        <v>0</v>
      </c>
      <c r="R260" s="28" t="n">
        <f aca="false">IF(B260=1,(P260+D260-C260)*(1+RetRate)+G260+Q260,P260)</f>
        <v>0</v>
      </c>
      <c r="S260" s="28" t="n">
        <f aca="false">V259</f>
        <v>0</v>
      </c>
      <c r="T260" s="28" t="n">
        <f aca="false">S260+D260-C260</f>
        <v>0</v>
      </c>
      <c r="U260" s="28" t="n">
        <f aca="false">IF(B260=1,MAX(0,-T260),0)</f>
        <v>0</v>
      </c>
      <c r="V260" s="28" t="n">
        <f aca="false">IF(B260=1,MAX(0,T260)*(1+RetRate)+G260,S260)</f>
        <v>0</v>
      </c>
      <c r="W260" s="28" t="n">
        <f aca="false">IF(A260&lt;=MIN('Education Cost Forecast'!$F$49,'Education Cost Forecast'!$F$53),G260*(1+RetRate)^('Education Cost Forecast'!$F$49-A260),0)</f>
        <v>0</v>
      </c>
      <c r="X260" s="28" t="n">
        <f aca="false">IF(B260=1,P260+D260-C260,0)</f>
        <v>0</v>
      </c>
    </row>
    <row r="261" customFormat="false" ht="15" hidden="false" customHeight="false" outlineLevel="0" collapsed="false">
      <c r="A261" s="27" t="n">
        <v>28</v>
      </c>
      <c r="B261" s="27" t="n">
        <f aca="false">'Education Cost Forecast'!B281</f>
        <v>0</v>
      </c>
      <c r="C261" s="28" t="n">
        <f aca="false">'Education Cost Forecast'!Z281</f>
        <v>0</v>
      </c>
      <c r="D261" s="28" t="n">
        <f aca="false">IF(AND(B261=1,'Education Cost Forecast'!F281&gt;0,'Education Cost Forecast'!E281=0),'Education Cost Forecast'!$F$45,0)</f>
        <v>0</v>
      </c>
      <c r="E261" s="27" t="n">
        <f aca="false">IF(AND(B261=1,A261&lt;='Education Cost Forecast'!$F$53),1,0)</f>
        <v>0</v>
      </c>
      <c r="F261" s="40" t="n">
        <f aca="false">(1+Esc)^(A261-1)</f>
        <v>3.73345632234158</v>
      </c>
      <c r="G261" s="28" t="n">
        <f aca="false">E261*('Education Cost Forecast'!$F$41*12*MonthlyFactor+'Education Cost Forecast'!$F$42)*F261</f>
        <v>0</v>
      </c>
      <c r="H261" s="28" t="n">
        <f aca="false">E261*UnitFactor*F261</f>
        <v>0</v>
      </c>
      <c r="I261" s="28" t="n">
        <f aca="false">J260+D261-C261</f>
        <v>0</v>
      </c>
      <c r="J261" s="28" t="n">
        <f aca="false">IF(B261=1,I261*(1+RetRate)+G261,J260)</f>
        <v>0</v>
      </c>
      <c r="K261" s="28" t="n">
        <f aca="false">L260</f>
        <v>0</v>
      </c>
      <c r="L261" s="28" t="n">
        <f aca="false">IF(B261=1,K261*(1+RetRate)+H261,L260)</f>
        <v>0</v>
      </c>
      <c r="M261" s="40" t="n">
        <f aca="false">(1+RetRate)^(A261-1)</f>
        <v>21.3248807916926</v>
      </c>
      <c r="N261" s="28" t="n">
        <f aca="false">IF(AND(B261=1,C261&gt;0,K261&lt;=0.000000000001,I261&lt;0),-I261/M261,0)</f>
        <v>0</v>
      </c>
      <c r="O261" s="28" t="n">
        <f aca="false">IF(AND(B261=1,C261&gt;0,K261&gt;0.000000000001),-(I261+$F$14*M261)/K261,0)</f>
        <v>0</v>
      </c>
      <c r="P261" s="28" t="n">
        <f aca="false">R260</f>
        <v>0</v>
      </c>
      <c r="Q261" s="28" t="n">
        <f aca="false">H261*$F$15</f>
        <v>0</v>
      </c>
      <c r="R261" s="28" t="n">
        <f aca="false">IF(B261=1,(P261+D261-C261)*(1+RetRate)+G261+Q261,P261)</f>
        <v>0</v>
      </c>
      <c r="S261" s="28" t="n">
        <f aca="false">V260</f>
        <v>0</v>
      </c>
      <c r="T261" s="28" t="n">
        <f aca="false">S261+D261-C261</f>
        <v>0</v>
      </c>
      <c r="U261" s="28" t="n">
        <f aca="false">IF(B261=1,MAX(0,-T261),0)</f>
        <v>0</v>
      </c>
      <c r="V261" s="28" t="n">
        <f aca="false">IF(B261=1,MAX(0,T261)*(1+RetRate)+G261,S261)</f>
        <v>0</v>
      </c>
      <c r="W261" s="28" t="n">
        <f aca="false">IF(A261&lt;=MIN('Education Cost Forecast'!$F$49,'Education Cost Forecast'!$F$53),G261*(1+RetRate)^('Education Cost Forecast'!$F$49-A261),0)</f>
        <v>0</v>
      </c>
      <c r="X261" s="28" t="n">
        <f aca="false">IF(B261=1,P261+D261-C261,0)</f>
        <v>0</v>
      </c>
    </row>
    <row r="262" customFormat="false" ht="15" hidden="false" customHeight="false" outlineLevel="0" collapsed="false">
      <c r="A262" s="27" t="n">
        <v>29</v>
      </c>
      <c r="B262" s="27" t="n">
        <f aca="false">'Education Cost Forecast'!B282</f>
        <v>0</v>
      </c>
      <c r="C262" s="28" t="n">
        <f aca="false">'Education Cost Forecast'!Z282</f>
        <v>0</v>
      </c>
      <c r="D262" s="28" t="n">
        <f aca="false">IF(AND(B262=1,'Education Cost Forecast'!F282&gt;0,'Education Cost Forecast'!E282=0),'Education Cost Forecast'!$F$45,0)</f>
        <v>0</v>
      </c>
      <c r="E262" s="27" t="n">
        <f aca="false">IF(AND(B262=1,A262&lt;='Education Cost Forecast'!$F$53),1,0)</f>
        <v>0</v>
      </c>
      <c r="F262" s="40" t="n">
        <f aca="false">(1+Esc)^(A262-1)</f>
        <v>3.92012913845866</v>
      </c>
      <c r="G262" s="28" t="n">
        <f aca="false">E262*('Education Cost Forecast'!$F$41*12*MonthlyFactor+'Education Cost Forecast'!$F$42)*F262</f>
        <v>0</v>
      </c>
      <c r="H262" s="28" t="n">
        <f aca="false">E262*UnitFactor*F262</f>
        <v>0</v>
      </c>
      <c r="I262" s="28" t="n">
        <f aca="false">J261+D262-C262</f>
        <v>0</v>
      </c>
      <c r="J262" s="28" t="n">
        <f aca="false">IF(B262=1,I262*(1+RetRate)+G262,J261)</f>
        <v>0</v>
      </c>
      <c r="K262" s="28" t="n">
        <f aca="false">L261</f>
        <v>0</v>
      </c>
      <c r="L262" s="28" t="n">
        <f aca="false">IF(B262=1,K262*(1+RetRate)+H262,L261)</f>
        <v>0</v>
      </c>
      <c r="M262" s="40" t="n">
        <f aca="false">(1+RetRate)^(A262-1)</f>
        <v>23.8838664866958</v>
      </c>
      <c r="N262" s="28" t="n">
        <f aca="false">IF(AND(B262=1,C262&gt;0,K262&lt;=0.000000000001,I262&lt;0),-I262/M262,0)</f>
        <v>0</v>
      </c>
      <c r="O262" s="28" t="n">
        <f aca="false">IF(AND(B262=1,C262&gt;0,K262&gt;0.000000000001),-(I262+$F$14*M262)/K262,0)</f>
        <v>0</v>
      </c>
      <c r="P262" s="28" t="n">
        <f aca="false">R261</f>
        <v>0</v>
      </c>
      <c r="Q262" s="28" t="n">
        <f aca="false">H262*$F$15</f>
        <v>0</v>
      </c>
      <c r="R262" s="28" t="n">
        <f aca="false">IF(B262=1,(P262+D262-C262)*(1+RetRate)+G262+Q262,P262)</f>
        <v>0</v>
      </c>
      <c r="S262" s="28" t="n">
        <f aca="false">V261</f>
        <v>0</v>
      </c>
      <c r="T262" s="28" t="n">
        <f aca="false">S262+D262-C262</f>
        <v>0</v>
      </c>
      <c r="U262" s="28" t="n">
        <f aca="false">IF(B262=1,MAX(0,-T262),0)</f>
        <v>0</v>
      </c>
      <c r="V262" s="28" t="n">
        <f aca="false">IF(B262=1,MAX(0,T262)*(1+RetRate)+G262,S262)</f>
        <v>0</v>
      </c>
      <c r="W262" s="28" t="n">
        <f aca="false">IF(A262&lt;=MIN('Education Cost Forecast'!$F$49,'Education Cost Forecast'!$F$53),G262*(1+RetRate)^('Education Cost Forecast'!$F$49-A262),0)</f>
        <v>0</v>
      </c>
      <c r="X262" s="28" t="n">
        <f aca="false">IF(B262=1,P262+D262-C262,0)</f>
        <v>0</v>
      </c>
    </row>
    <row r="263" customFormat="false" ht="15" hidden="false" customHeight="false" outlineLevel="0" collapsed="false">
      <c r="A263" s="27" t="n">
        <v>30</v>
      </c>
      <c r="B263" s="27" t="n">
        <f aca="false">'Education Cost Forecast'!B283</f>
        <v>0</v>
      </c>
      <c r="C263" s="28" t="n">
        <f aca="false">'Education Cost Forecast'!Z283</f>
        <v>0</v>
      </c>
      <c r="D263" s="28" t="n">
        <f aca="false">IF(AND(B263=1,'Education Cost Forecast'!F283&gt;0,'Education Cost Forecast'!E283=0),'Education Cost Forecast'!$F$45,0)</f>
        <v>0</v>
      </c>
      <c r="E263" s="27" t="n">
        <f aca="false">IF(AND(B263=1,A263&lt;='Education Cost Forecast'!$F$53),1,0)</f>
        <v>0</v>
      </c>
      <c r="F263" s="40" t="n">
        <f aca="false">(1+Esc)^(A263-1)</f>
        <v>4.11613559538159</v>
      </c>
      <c r="G263" s="28" t="n">
        <f aca="false">E263*('Education Cost Forecast'!$F$41*12*MonthlyFactor+'Education Cost Forecast'!$F$42)*F263</f>
        <v>0</v>
      </c>
      <c r="H263" s="28" t="n">
        <f aca="false">E263*UnitFactor*F263</f>
        <v>0</v>
      </c>
      <c r="I263" s="28" t="n">
        <f aca="false">J262+D263-C263</f>
        <v>0</v>
      </c>
      <c r="J263" s="28" t="n">
        <f aca="false">IF(B263=1,I263*(1+RetRate)+G263,J262)</f>
        <v>0</v>
      </c>
      <c r="K263" s="28" t="n">
        <f aca="false">L262</f>
        <v>0</v>
      </c>
      <c r="L263" s="28" t="n">
        <f aca="false">IF(B263=1,K263*(1+RetRate)+H263,L262)</f>
        <v>0</v>
      </c>
      <c r="M263" s="40" t="n">
        <f aca="false">(1+RetRate)^(A263-1)</f>
        <v>26.7499304650992</v>
      </c>
      <c r="N263" s="28" t="n">
        <f aca="false">IF(AND(B263=1,C263&gt;0,K263&lt;=0.000000000001,I263&lt;0),-I263/M263,0)</f>
        <v>0</v>
      </c>
      <c r="O263" s="28" t="n">
        <f aca="false">IF(AND(B263=1,C263&gt;0,K263&gt;0.000000000001),-(I263+$F$14*M263)/K263,0)</f>
        <v>0</v>
      </c>
      <c r="P263" s="28" t="n">
        <f aca="false">R262</f>
        <v>0</v>
      </c>
      <c r="Q263" s="28" t="n">
        <f aca="false">H263*$F$15</f>
        <v>0</v>
      </c>
      <c r="R263" s="28" t="n">
        <f aca="false">IF(B263=1,(P263+D263-C263)*(1+RetRate)+G263+Q263,P263)</f>
        <v>0</v>
      </c>
      <c r="S263" s="28" t="n">
        <f aca="false">V262</f>
        <v>0</v>
      </c>
      <c r="T263" s="28" t="n">
        <f aca="false">S263+D263-C263</f>
        <v>0</v>
      </c>
      <c r="U263" s="28" t="n">
        <f aca="false">IF(B263=1,MAX(0,-T263),0)</f>
        <v>0</v>
      </c>
      <c r="V263" s="28" t="n">
        <f aca="false">IF(B263=1,MAX(0,T263)*(1+RetRate)+G263,S263)</f>
        <v>0</v>
      </c>
      <c r="W263" s="28" t="n">
        <f aca="false">IF(A263&lt;=MIN('Education Cost Forecast'!$F$49,'Education Cost Forecast'!$F$53),G263*(1+RetRate)^('Education Cost Forecast'!$F$49-A263),0)</f>
        <v>0</v>
      </c>
      <c r="X263" s="28" t="n">
        <f aca="false">IF(B263=1,P263+D263-C263,0)</f>
        <v>0</v>
      </c>
    </row>
    <row r="264" customFormat="false" ht="15" hidden="false" customHeight="false" outlineLevel="0" collapsed="false">
      <c r="A264" s="27" t="n">
        <v>31</v>
      </c>
      <c r="B264" s="27" t="n">
        <f aca="false">'Education Cost Forecast'!B284</f>
        <v>0</v>
      </c>
      <c r="C264" s="28" t="n">
        <f aca="false">'Education Cost Forecast'!Z284</f>
        <v>0</v>
      </c>
      <c r="D264" s="28" t="n">
        <f aca="false">IF(AND(B264=1,'Education Cost Forecast'!F284&gt;0,'Education Cost Forecast'!E284=0),'Education Cost Forecast'!$F$45,0)</f>
        <v>0</v>
      </c>
      <c r="E264" s="27" t="n">
        <f aca="false">IF(AND(B264=1,A264&lt;='Education Cost Forecast'!$F$53),1,0)</f>
        <v>0</v>
      </c>
      <c r="F264" s="40" t="n">
        <f aca="false">(1+Esc)^(A264-1)</f>
        <v>4.32194237515067</v>
      </c>
      <c r="G264" s="28" t="n">
        <f aca="false">E264*('Education Cost Forecast'!$F$41*12*MonthlyFactor+'Education Cost Forecast'!$F$42)*F264</f>
        <v>0</v>
      </c>
      <c r="H264" s="28" t="n">
        <f aca="false">E264*UnitFactor*F264</f>
        <v>0</v>
      </c>
      <c r="I264" s="28" t="n">
        <f aca="false">J263+D264-C264</f>
        <v>0</v>
      </c>
      <c r="J264" s="28" t="n">
        <f aca="false">IF(B264=1,I264*(1+RetRate)+G264,J263)</f>
        <v>0</v>
      </c>
      <c r="K264" s="28" t="n">
        <f aca="false">L263</f>
        <v>0</v>
      </c>
      <c r="L264" s="28" t="n">
        <f aca="false">IF(B264=1,K264*(1+RetRate)+H264,L263)</f>
        <v>0</v>
      </c>
      <c r="M264" s="40" t="n">
        <f aca="false">(1+RetRate)^(A264-1)</f>
        <v>29.9599221209112</v>
      </c>
      <c r="N264" s="28" t="n">
        <f aca="false">IF(AND(B264=1,C264&gt;0,K264&lt;=0.000000000001,I264&lt;0),-I264/M264,0)</f>
        <v>0</v>
      </c>
      <c r="O264" s="28" t="n">
        <f aca="false">IF(AND(B264=1,C264&gt;0,K264&gt;0.000000000001),-(I264+$F$14*M264)/K264,0)</f>
        <v>0</v>
      </c>
      <c r="P264" s="28" t="n">
        <f aca="false">R263</f>
        <v>0</v>
      </c>
      <c r="Q264" s="28" t="n">
        <f aca="false">H264*$F$15</f>
        <v>0</v>
      </c>
      <c r="R264" s="28" t="n">
        <f aca="false">IF(B264=1,(P264+D264-C264)*(1+RetRate)+G264+Q264,P264)</f>
        <v>0</v>
      </c>
      <c r="S264" s="28" t="n">
        <f aca="false">V263</f>
        <v>0</v>
      </c>
      <c r="T264" s="28" t="n">
        <f aca="false">S264+D264-C264</f>
        <v>0</v>
      </c>
      <c r="U264" s="28" t="n">
        <f aca="false">IF(B264=1,MAX(0,-T264),0)</f>
        <v>0</v>
      </c>
      <c r="V264" s="28" t="n">
        <f aca="false">IF(B264=1,MAX(0,T264)*(1+RetRate)+G264,S264)</f>
        <v>0</v>
      </c>
      <c r="W264" s="28" t="n">
        <f aca="false">IF(A264&lt;=MIN('Education Cost Forecast'!$F$49,'Education Cost Forecast'!$F$53),G264*(1+RetRate)^('Education Cost Forecast'!$F$49-A264),0)</f>
        <v>0</v>
      </c>
      <c r="X264" s="28" t="n">
        <f aca="false">IF(B264=1,P264+D264-C264,0)</f>
        <v>0</v>
      </c>
    </row>
    <row r="265" customFormat="false" ht="15" hidden="false" customHeight="false" outlineLevel="0" collapsed="false">
      <c r="A265" s="27" t="n">
        <v>32</v>
      </c>
      <c r="B265" s="27" t="n">
        <f aca="false">'Education Cost Forecast'!B285</f>
        <v>0</v>
      </c>
      <c r="C265" s="28" t="n">
        <f aca="false">'Education Cost Forecast'!Z285</f>
        <v>0</v>
      </c>
      <c r="D265" s="28" t="n">
        <f aca="false">IF(AND(B265=1,'Education Cost Forecast'!F285&gt;0,'Education Cost Forecast'!E285=0),'Education Cost Forecast'!$F$45,0)</f>
        <v>0</v>
      </c>
      <c r="E265" s="27" t="n">
        <f aca="false">IF(AND(B265=1,A265&lt;='Education Cost Forecast'!$F$53),1,0)</f>
        <v>0</v>
      </c>
      <c r="F265" s="40" t="n">
        <f aca="false">(1+Esc)^(A265-1)</f>
        <v>4.5380394939082</v>
      </c>
      <c r="G265" s="28" t="n">
        <f aca="false">E265*('Education Cost Forecast'!$F$41*12*MonthlyFactor+'Education Cost Forecast'!$F$42)*F265</f>
        <v>0</v>
      </c>
      <c r="H265" s="28" t="n">
        <f aca="false">E265*UnitFactor*F265</f>
        <v>0</v>
      </c>
      <c r="I265" s="28" t="n">
        <f aca="false">J264+D265-C265</f>
        <v>0</v>
      </c>
      <c r="J265" s="28" t="n">
        <f aca="false">IF(B265=1,I265*(1+RetRate)+G265,J264)</f>
        <v>0</v>
      </c>
      <c r="K265" s="28" t="n">
        <f aca="false">L264</f>
        <v>0</v>
      </c>
      <c r="L265" s="28" t="n">
        <f aca="false">IF(B265=1,K265*(1+RetRate)+H265,L264)</f>
        <v>0</v>
      </c>
      <c r="M265" s="40" t="n">
        <f aca="false">(1+RetRate)^(A265-1)</f>
        <v>33.5551127754205</v>
      </c>
      <c r="N265" s="28" t="n">
        <f aca="false">IF(AND(B265=1,C265&gt;0,K265&lt;=0.000000000001,I265&lt;0),-I265/M265,0)</f>
        <v>0</v>
      </c>
      <c r="O265" s="28" t="n">
        <f aca="false">IF(AND(B265=1,C265&gt;0,K265&gt;0.000000000001),-(I265+$F$14*M265)/K265,0)</f>
        <v>0</v>
      </c>
      <c r="P265" s="28" t="n">
        <f aca="false">R264</f>
        <v>0</v>
      </c>
      <c r="Q265" s="28" t="n">
        <f aca="false">H265*$F$15</f>
        <v>0</v>
      </c>
      <c r="R265" s="28" t="n">
        <f aca="false">IF(B265=1,(P265+D265-C265)*(1+RetRate)+G265+Q265,P265)</f>
        <v>0</v>
      </c>
      <c r="S265" s="28" t="n">
        <f aca="false">V264</f>
        <v>0</v>
      </c>
      <c r="T265" s="28" t="n">
        <f aca="false">S265+D265-C265</f>
        <v>0</v>
      </c>
      <c r="U265" s="28" t="n">
        <f aca="false">IF(B265=1,MAX(0,-T265),0)</f>
        <v>0</v>
      </c>
      <c r="V265" s="28" t="n">
        <f aca="false">IF(B265=1,MAX(0,T265)*(1+RetRate)+G265,S265)</f>
        <v>0</v>
      </c>
      <c r="W265" s="28" t="n">
        <f aca="false">IF(A265&lt;=MIN('Education Cost Forecast'!$F$49,'Education Cost Forecast'!$F$53),G265*(1+RetRate)^('Education Cost Forecast'!$F$49-A265),0)</f>
        <v>0</v>
      </c>
      <c r="X265" s="28" t="n">
        <f aca="false">IF(B265=1,P265+D265-C265,0)</f>
        <v>0</v>
      </c>
    </row>
    <row r="266" customFormat="false" ht="15" hidden="false" customHeight="false" outlineLevel="0" collapsed="false">
      <c r="A266" s="27" t="n">
        <v>33</v>
      </c>
      <c r="B266" s="27" t="n">
        <f aca="false">'Education Cost Forecast'!B286</f>
        <v>0</v>
      </c>
      <c r="C266" s="28" t="n">
        <f aca="false">'Education Cost Forecast'!Z286</f>
        <v>0</v>
      </c>
      <c r="D266" s="28" t="n">
        <f aca="false">IF(AND(B266=1,'Education Cost Forecast'!F286&gt;0,'Education Cost Forecast'!E286=0),'Education Cost Forecast'!$F$45,0)</f>
        <v>0</v>
      </c>
      <c r="E266" s="27" t="n">
        <f aca="false">IF(AND(B266=1,A266&lt;='Education Cost Forecast'!$F$53),1,0)</f>
        <v>0</v>
      </c>
      <c r="F266" s="40" t="n">
        <f aca="false">(1+Esc)^(A266-1)</f>
        <v>4.76494146860361</v>
      </c>
      <c r="G266" s="28" t="n">
        <f aca="false">E266*('Education Cost Forecast'!$F$41*12*MonthlyFactor+'Education Cost Forecast'!$F$42)*F266</f>
        <v>0</v>
      </c>
      <c r="H266" s="28" t="n">
        <f aca="false">E266*UnitFactor*F266</f>
        <v>0</v>
      </c>
      <c r="I266" s="28" t="n">
        <f aca="false">J265+D266-C266</f>
        <v>0</v>
      </c>
      <c r="J266" s="28" t="n">
        <f aca="false">IF(B266=1,I266*(1+RetRate)+G266,J265)</f>
        <v>0</v>
      </c>
      <c r="K266" s="28" t="n">
        <f aca="false">L265</f>
        <v>0</v>
      </c>
      <c r="L266" s="28" t="n">
        <f aca="false">IF(B266=1,K266*(1+RetRate)+H266,L265)</f>
        <v>0</v>
      </c>
      <c r="M266" s="40" t="n">
        <f aca="false">(1+RetRate)^(A266-1)</f>
        <v>37.581726308471</v>
      </c>
      <c r="N266" s="28" t="n">
        <f aca="false">IF(AND(B266=1,C266&gt;0,K266&lt;=0.000000000001,I266&lt;0),-I266/M266,0)</f>
        <v>0</v>
      </c>
      <c r="O266" s="28" t="n">
        <f aca="false">IF(AND(B266=1,C266&gt;0,K266&gt;0.000000000001),-(I266+$F$14*M266)/K266,0)</f>
        <v>0</v>
      </c>
      <c r="P266" s="28" t="n">
        <f aca="false">R265</f>
        <v>0</v>
      </c>
      <c r="Q266" s="28" t="n">
        <f aca="false">H266*$F$15</f>
        <v>0</v>
      </c>
      <c r="R266" s="28" t="n">
        <f aca="false">IF(B266=1,(P266+D266-C266)*(1+RetRate)+G266+Q266,P266)</f>
        <v>0</v>
      </c>
      <c r="S266" s="28" t="n">
        <f aca="false">V265</f>
        <v>0</v>
      </c>
      <c r="T266" s="28" t="n">
        <f aca="false">S266+D266-C266</f>
        <v>0</v>
      </c>
      <c r="U266" s="28" t="n">
        <f aca="false">IF(B266=1,MAX(0,-T266),0)</f>
        <v>0</v>
      </c>
      <c r="V266" s="28" t="n">
        <f aca="false">IF(B266=1,MAX(0,T266)*(1+RetRate)+G266,S266)</f>
        <v>0</v>
      </c>
      <c r="W266" s="28" t="n">
        <f aca="false">IF(A266&lt;=MIN('Education Cost Forecast'!$F$49,'Education Cost Forecast'!$F$53),G266*(1+RetRate)^('Education Cost Forecast'!$F$49-A266),0)</f>
        <v>0</v>
      </c>
      <c r="X266" s="28" t="n">
        <f aca="false">IF(B266=1,P266+D266-C266,0)</f>
        <v>0</v>
      </c>
    </row>
    <row r="267" customFormat="false" ht="15" hidden="false" customHeight="false" outlineLevel="0" collapsed="false">
      <c r="A267" s="27" t="n">
        <v>34</v>
      </c>
      <c r="B267" s="27" t="n">
        <f aca="false">'Education Cost Forecast'!B287</f>
        <v>0</v>
      </c>
      <c r="C267" s="28" t="n">
        <f aca="false">'Education Cost Forecast'!Z287</f>
        <v>0</v>
      </c>
      <c r="D267" s="28" t="n">
        <f aca="false">IF(AND(B267=1,'Education Cost Forecast'!F287&gt;0,'Education Cost Forecast'!E287=0),'Education Cost Forecast'!$F$45,0)</f>
        <v>0</v>
      </c>
      <c r="E267" s="27" t="n">
        <f aca="false">IF(AND(B267=1,A267&lt;='Education Cost Forecast'!$F$53),1,0)</f>
        <v>0</v>
      </c>
      <c r="F267" s="40" t="n">
        <f aca="false">(1+Esc)^(A267-1)</f>
        <v>5.00318854203379</v>
      </c>
      <c r="G267" s="28" t="n">
        <f aca="false">E267*('Education Cost Forecast'!$F$41*12*MonthlyFactor+'Education Cost Forecast'!$F$42)*F267</f>
        <v>0</v>
      </c>
      <c r="H267" s="28" t="n">
        <f aca="false">E267*UnitFactor*F267</f>
        <v>0</v>
      </c>
      <c r="I267" s="28" t="n">
        <f aca="false">J266+D267-C267</f>
        <v>0</v>
      </c>
      <c r="J267" s="28" t="n">
        <f aca="false">IF(B267=1,I267*(1+RetRate)+G267,J266)</f>
        <v>0</v>
      </c>
      <c r="K267" s="28" t="n">
        <f aca="false">L266</f>
        <v>0</v>
      </c>
      <c r="L267" s="28" t="n">
        <f aca="false">IF(B267=1,K267*(1+RetRate)+H267,L266)</f>
        <v>0</v>
      </c>
      <c r="M267" s="40" t="n">
        <f aca="false">(1+RetRate)^(A267-1)</f>
        <v>42.0915334654875</v>
      </c>
      <c r="N267" s="28" t="n">
        <f aca="false">IF(AND(B267=1,C267&gt;0,K267&lt;=0.000000000001,I267&lt;0),-I267/M267,0)</f>
        <v>0</v>
      </c>
      <c r="O267" s="28" t="n">
        <f aca="false">IF(AND(B267=1,C267&gt;0,K267&gt;0.000000000001),-(I267+$F$14*M267)/K267,0)</f>
        <v>0</v>
      </c>
      <c r="P267" s="28" t="n">
        <f aca="false">R266</f>
        <v>0</v>
      </c>
      <c r="Q267" s="28" t="n">
        <f aca="false">H267*$F$15</f>
        <v>0</v>
      </c>
      <c r="R267" s="28" t="n">
        <f aca="false">IF(B267=1,(P267+D267-C267)*(1+RetRate)+G267+Q267,P267)</f>
        <v>0</v>
      </c>
      <c r="S267" s="28" t="n">
        <f aca="false">V266</f>
        <v>0</v>
      </c>
      <c r="T267" s="28" t="n">
        <f aca="false">S267+D267-C267</f>
        <v>0</v>
      </c>
      <c r="U267" s="28" t="n">
        <f aca="false">IF(B267=1,MAX(0,-T267),0)</f>
        <v>0</v>
      </c>
      <c r="V267" s="28" t="n">
        <f aca="false">IF(B267=1,MAX(0,T267)*(1+RetRate)+G267,S267)</f>
        <v>0</v>
      </c>
      <c r="W267" s="28" t="n">
        <f aca="false">IF(A267&lt;=MIN('Education Cost Forecast'!$F$49,'Education Cost Forecast'!$F$53),G267*(1+RetRate)^('Education Cost Forecast'!$F$49-A267),0)</f>
        <v>0</v>
      </c>
      <c r="X267" s="28" t="n">
        <f aca="false">IF(B267=1,P267+D267-C267,0)</f>
        <v>0</v>
      </c>
    </row>
    <row r="268" customFormat="false" ht="15" hidden="false" customHeight="false" outlineLevel="0" collapsed="false">
      <c r="A268" s="27" t="n">
        <v>35</v>
      </c>
      <c r="B268" s="27" t="n">
        <f aca="false">'Education Cost Forecast'!B288</f>
        <v>0</v>
      </c>
      <c r="C268" s="28" t="n">
        <f aca="false">'Education Cost Forecast'!Z288</f>
        <v>0</v>
      </c>
      <c r="D268" s="28" t="n">
        <f aca="false">IF(AND(B268=1,'Education Cost Forecast'!F288&gt;0,'Education Cost Forecast'!E288=0),'Education Cost Forecast'!$F$45,0)</f>
        <v>0</v>
      </c>
      <c r="E268" s="27" t="n">
        <f aca="false">IF(AND(B268=1,A268&lt;='Education Cost Forecast'!$F$53),1,0)</f>
        <v>0</v>
      </c>
      <c r="F268" s="40" t="n">
        <f aca="false">(1+Esc)^(A268-1)</f>
        <v>5.25334796913548</v>
      </c>
      <c r="G268" s="28" t="n">
        <f aca="false">E268*('Education Cost Forecast'!$F$41*12*MonthlyFactor+'Education Cost Forecast'!$F$42)*F268</f>
        <v>0</v>
      </c>
      <c r="H268" s="28" t="n">
        <f aca="false">E268*UnitFactor*F268</f>
        <v>0</v>
      </c>
      <c r="I268" s="28" t="n">
        <f aca="false">J267+D268-C268</f>
        <v>0</v>
      </c>
      <c r="J268" s="28" t="n">
        <f aca="false">IF(B268=1,I268*(1+RetRate)+G268,J267)</f>
        <v>0</v>
      </c>
      <c r="K268" s="28" t="n">
        <f aca="false">L267</f>
        <v>0</v>
      </c>
      <c r="L268" s="28" t="n">
        <f aca="false">IF(B268=1,K268*(1+RetRate)+H268,L267)</f>
        <v>0</v>
      </c>
      <c r="M268" s="40" t="n">
        <f aca="false">(1+RetRate)^(A268-1)</f>
        <v>47.142517481346</v>
      </c>
      <c r="N268" s="28" t="n">
        <f aca="false">IF(AND(B268=1,C268&gt;0,K268&lt;=0.000000000001,I268&lt;0),-I268/M268,0)</f>
        <v>0</v>
      </c>
      <c r="O268" s="28" t="n">
        <f aca="false">IF(AND(B268=1,C268&gt;0,K268&gt;0.000000000001),-(I268+$F$14*M268)/K268,0)</f>
        <v>0</v>
      </c>
      <c r="P268" s="28" t="n">
        <f aca="false">R267</f>
        <v>0</v>
      </c>
      <c r="Q268" s="28" t="n">
        <f aca="false">H268*$F$15</f>
        <v>0</v>
      </c>
      <c r="R268" s="28" t="n">
        <f aca="false">IF(B268=1,(P268+D268-C268)*(1+RetRate)+G268+Q268,P268)</f>
        <v>0</v>
      </c>
      <c r="S268" s="28" t="n">
        <f aca="false">V267</f>
        <v>0</v>
      </c>
      <c r="T268" s="28" t="n">
        <f aca="false">S268+D268-C268</f>
        <v>0</v>
      </c>
      <c r="U268" s="28" t="n">
        <f aca="false">IF(B268=1,MAX(0,-T268),0)</f>
        <v>0</v>
      </c>
      <c r="V268" s="28" t="n">
        <f aca="false">IF(B268=1,MAX(0,T268)*(1+RetRate)+G268,S268)</f>
        <v>0</v>
      </c>
      <c r="W268" s="28" t="n">
        <f aca="false">IF(A268&lt;=MIN('Education Cost Forecast'!$F$49,'Education Cost Forecast'!$F$53),G268*(1+RetRate)^('Education Cost Forecast'!$F$49-A268),0)</f>
        <v>0</v>
      </c>
      <c r="X268" s="28" t="n">
        <f aca="false">IF(B268=1,P268+D268-C268,0)</f>
        <v>0</v>
      </c>
    </row>
    <row r="269" customFormat="false" ht="15" hidden="false" customHeight="false" outlineLevel="0" collapsed="false">
      <c r="A269" s="27" t="n">
        <v>36</v>
      </c>
      <c r="B269" s="27" t="n">
        <f aca="false">'Education Cost Forecast'!B289</f>
        <v>0</v>
      </c>
      <c r="C269" s="28" t="n">
        <f aca="false">'Education Cost Forecast'!Z289</f>
        <v>0</v>
      </c>
      <c r="D269" s="28" t="n">
        <f aca="false">IF(AND(B269=1,'Education Cost Forecast'!F289&gt;0,'Education Cost Forecast'!E289=0),'Education Cost Forecast'!$F$45,0)</f>
        <v>0</v>
      </c>
      <c r="E269" s="27" t="n">
        <f aca="false">IF(AND(B269=1,A269&lt;='Education Cost Forecast'!$F$53),1,0)</f>
        <v>0</v>
      </c>
      <c r="F269" s="40" t="n">
        <f aca="false">(1+Esc)^(A269-1)</f>
        <v>5.51601536759226</v>
      </c>
      <c r="G269" s="28" t="n">
        <f aca="false">E269*('Education Cost Forecast'!$F$41*12*MonthlyFactor+'Education Cost Forecast'!$F$42)*F269</f>
        <v>0</v>
      </c>
      <c r="H269" s="28" t="n">
        <f aca="false">E269*UnitFactor*F269</f>
        <v>0</v>
      </c>
      <c r="I269" s="28" t="n">
        <f aca="false">J268+D269-C269</f>
        <v>0</v>
      </c>
      <c r="J269" s="28" t="n">
        <f aca="false">IF(B269=1,I269*(1+RetRate)+G269,J268)</f>
        <v>0</v>
      </c>
      <c r="K269" s="28" t="n">
        <f aca="false">L268</f>
        <v>0</v>
      </c>
      <c r="L269" s="28" t="n">
        <f aca="false">IF(B269=1,K269*(1+RetRate)+H269,L268)</f>
        <v>0</v>
      </c>
      <c r="M269" s="40" t="n">
        <f aca="false">(1+RetRate)^(A269-1)</f>
        <v>52.7996195791075</v>
      </c>
      <c r="N269" s="28" t="n">
        <f aca="false">IF(AND(B269=1,C269&gt;0,K269&lt;=0.000000000001,I269&lt;0),-I269/M269,0)</f>
        <v>0</v>
      </c>
      <c r="O269" s="28" t="n">
        <f aca="false">IF(AND(B269=1,C269&gt;0,K269&gt;0.000000000001),-(I269+$F$14*M269)/K269,0)</f>
        <v>0</v>
      </c>
      <c r="P269" s="28" t="n">
        <f aca="false">R268</f>
        <v>0</v>
      </c>
      <c r="Q269" s="28" t="n">
        <f aca="false">H269*$F$15</f>
        <v>0</v>
      </c>
      <c r="R269" s="28" t="n">
        <f aca="false">IF(B269=1,(P269+D269-C269)*(1+RetRate)+G269+Q269,P269)</f>
        <v>0</v>
      </c>
      <c r="S269" s="28" t="n">
        <f aca="false">V268</f>
        <v>0</v>
      </c>
      <c r="T269" s="28" t="n">
        <f aca="false">S269+D269-C269</f>
        <v>0</v>
      </c>
      <c r="U269" s="28" t="n">
        <f aca="false">IF(B269=1,MAX(0,-T269),0)</f>
        <v>0</v>
      </c>
      <c r="V269" s="28" t="n">
        <f aca="false">IF(B269=1,MAX(0,T269)*(1+RetRate)+G269,S269)</f>
        <v>0</v>
      </c>
      <c r="W269" s="28" t="n">
        <f aca="false">IF(A269&lt;=MIN('Education Cost Forecast'!$F$49,'Education Cost Forecast'!$F$53),G269*(1+RetRate)^('Education Cost Forecast'!$F$49-A269),0)</f>
        <v>0</v>
      </c>
      <c r="X269" s="28" t="n">
        <f aca="false">IF(B269=1,P269+D269-C269,0)</f>
        <v>0</v>
      </c>
    </row>
    <row r="270" customFormat="false" ht="15" hidden="false" customHeight="false" outlineLevel="0" collapsed="false">
      <c r="A270" s="27" t="n">
        <v>37</v>
      </c>
      <c r="B270" s="27" t="n">
        <f aca="false">'Education Cost Forecast'!B290</f>
        <v>0</v>
      </c>
      <c r="C270" s="28" t="n">
        <f aca="false">'Education Cost Forecast'!Z290</f>
        <v>0</v>
      </c>
      <c r="D270" s="28" t="n">
        <f aca="false">IF(AND(B270=1,'Education Cost Forecast'!F290&gt;0,'Education Cost Forecast'!E290=0),'Education Cost Forecast'!$F$45,0)</f>
        <v>0</v>
      </c>
      <c r="E270" s="27" t="n">
        <f aca="false">IF(AND(B270=1,A270&lt;='Education Cost Forecast'!$F$53),1,0)</f>
        <v>0</v>
      </c>
      <c r="F270" s="40" t="n">
        <f aca="false">(1+Esc)^(A270-1)</f>
        <v>5.79181613597187</v>
      </c>
      <c r="G270" s="28" t="n">
        <f aca="false">E270*('Education Cost Forecast'!$F$41*12*MonthlyFactor+'Education Cost Forecast'!$F$42)*F270</f>
        <v>0</v>
      </c>
      <c r="H270" s="28" t="n">
        <f aca="false">E270*UnitFactor*F270</f>
        <v>0</v>
      </c>
      <c r="I270" s="28" t="n">
        <f aca="false">J269+D270-C270</f>
        <v>0</v>
      </c>
      <c r="J270" s="28" t="n">
        <f aca="false">IF(B270=1,I270*(1+RetRate)+G270,J269)</f>
        <v>0</v>
      </c>
      <c r="K270" s="28" t="n">
        <f aca="false">L269</f>
        <v>0</v>
      </c>
      <c r="L270" s="28" t="n">
        <f aca="false">IF(B270=1,K270*(1+RetRate)+H270,L269)</f>
        <v>0</v>
      </c>
      <c r="M270" s="40" t="n">
        <f aca="false">(1+RetRate)^(A270-1)</f>
        <v>59.1355739286004</v>
      </c>
      <c r="N270" s="28" t="n">
        <f aca="false">IF(AND(B270=1,C270&gt;0,K270&lt;=0.000000000001,I270&lt;0),-I270/M270,0)</f>
        <v>0</v>
      </c>
      <c r="O270" s="28" t="n">
        <f aca="false">IF(AND(B270=1,C270&gt;0,K270&gt;0.000000000001),-(I270+$F$14*M270)/K270,0)</f>
        <v>0</v>
      </c>
      <c r="P270" s="28" t="n">
        <f aca="false">R269</f>
        <v>0</v>
      </c>
      <c r="Q270" s="28" t="n">
        <f aca="false">H270*$F$15</f>
        <v>0</v>
      </c>
      <c r="R270" s="28" t="n">
        <f aca="false">IF(B270=1,(P270+D270-C270)*(1+RetRate)+G270+Q270,P270)</f>
        <v>0</v>
      </c>
      <c r="S270" s="28" t="n">
        <f aca="false">V269</f>
        <v>0</v>
      </c>
      <c r="T270" s="28" t="n">
        <f aca="false">S270+D270-C270</f>
        <v>0</v>
      </c>
      <c r="U270" s="28" t="n">
        <f aca="false">IF(B270=1,MAX(0,-T270),0)</f>
        <v>0</v>
      </c>
      <c r="V270" s="28" t="n">
        <f aca="false">IF(B270=1,MAX(0,T270)*(1+RetRate)+G270,S270)</f>
        <v>0</v>
      </c>
      <c r="W270" s="28" t="n">
        <f aca="false">IF(A270&lt;=MIN('Education Cost Forecast'!$F$49,'Education Cost Forecast'!$F$53),G270*(1+RetRate)^('Education Cost Forecast'!$F$49-A270),0)</f>
        <v>0</v>
      </c>
      <c r="X270" s="28" t="n">
        <f aca="false">IF(B270=1,P270+D270-C270,0)</f>
        <v>0</v>
      </c>
    </row>
    <row r="271" customFormat="false" ht="15" hidden="false" customHeight="false" outlineLevel="0" collapsed="false">
      <c r="A271" s="27" t="n">
        <v>38</v>
      </c>
      <c r="B271" s="27" t="n">
        <f aca="false">'Education Cost Forecast'!B291</f>
        <v>0</v>
      </c>
      <c r="C271" s="28" t="n">
        <f aca="false">'Education Cost Forecast'!Z291</f>
        <v>0</v>
      </c>
      <c r="D271" s="28" t="n">
        <f aca="false">IF(AND(B271=1,'Education Cost Forecast'!F291&gt;0,'Education Cost Forecast'!E291=0),'Education Cost Forecast'!$F$45,0)</f>
        <v>0</v>
      </c>
      <c r="E271" s="27" t="n">
        <f aca="false">IF(AND(B271=1,A271&lt;='Education Cost Forecast'!$F$53),1,0)</f>
        <v>0</v>
      </c>
      <c r="F271" s="40" t="n">
        <f aca="false">(1+Esc)^(A271-1)</f>
        <v>6.08140694277046</v>
      </c>
      <c r="G271" s="28" t="n">
        <f aca="false">E271*('Education Cost Forecast'!$F$41*12*MonthlyFactor+'Education Cost Forecast'!$F$42)*F271</f>
        <v>0</v>
      </c>
      <c r="H271" s="28" t="n">
        <f aca="false">E271*UnitFactor*F271</f>
        <v>0</v>
      </c>
      <c r="I271" s="28" t="n">
        <f aca="false">J270+D271-C271</f>
        <v>0</v>
      </c>
      <c r="J271" s="28" t="n">
        <f aca="false">IF(B271=1,I271*(1+RetRate)+G271,J270)</f>
        <v>0</v>
      </c>
      <c r="K271" s="28" t="n">
        <f aca="false">L270</f>
        <v>0</v>
      </c>
      <c r="L271" s="28" t="n">
        <f aca="false">IF(B271=1,K271*(1+RetRate)+H271,L270)</f>
        <v>0</v>
      </c>
      <c r="M271" s="40" t="n">
        <f aca="false">(1+RetRate)^(A271-1)</f>
        <v>66.2318428000325</v>
      </c>
      <c r="N271" s="28" t="n">
        <f aca="false">IF(AND(B271=1,C271&gt;0,K271&lt;=0.000000000001,I271&lt;0),-I271/M271,0)</f>
        <v>0</v>
      </c>
      <c r="O271" s="28" t="n">
        <f aca="false">IF(AND(B271=1,C271&gt;0,K271&gt;0.000000000001),-(I271+$F$14*M271)/K271,0)</f>
        <v>0</v>
      </c>
      <c r="P271" s="28" t="n">
        <f aca="false">R270</f>
        <v>0</v>
      </c>
      <c r="Q271" s="28" t="n">
        <f aca="false">H271*$F$15</f>
        <v>0</v>
      </c>
      <c r="R271" s="28" t="n">
        <f aca="false">IF(B271=1,(P271+D271-C271)*(1+RetRate)+G271+Q271,P271)</f>
        <v>0</v>
      </c>
      <c r="S271" s="28" t="n">
        <f aca="false">V270</f>
        <v>0</v>
      </c>
      <c r="T271" s="28" t="n">
        <f aca="false">S271+D271-C271</f>
        <v>0</v>
      </c>
      <c r="U271" s="28" t="n">
        <f aca="false">IF(B271=1,MAX(0,-T271),0)</f>
        <v>0</v>
      </c>
      <c r="V271" s="28" t="n">
        <f aca="false">IF(B271=1,MAX(0,T271)*(1+RetRate)+G271,S271)</f>
        <v>0</v>
      </c>
      <c r="W271" s="28" t="n">
        <f aca="false">IF(A271&lt;=MIN('Education Cost Forecast'!$F$49,'Education Cost Forecast'!$F$53),G271*(1+RetRate)^('Education Cost Forecast'!$F$49-A271),0)</f>
        <v>0</v>
      </c>
      <c r="X271" s="28" t="n">
        <f aca="false">IF(B271=1,P271+D271-C271,0)</f>
        <v>0</v>
      </c>
    </row>
    <row r="272" customFormat="false" ht="15" hidden="false" customHeight="false" outlineLevel="0" collapsed="false">
      <c r="A272" s="27" t="n">
        <v>39</v>
      </c>
      <c r="B272" s="27" t="n">
        <f aca="false">'Education Cost Forecast'!B292</f>
        <v>0</v>
      </c>
      <c r="C272" s="28" t="n">
        <f aca="false">'Education Cost Forecast'!Z292</f>
        <v>0</v>
      </c>
      <c r="D272" s="28" t="n">
        <f aca="false">IF(AND(B272=1,'Education Cost Forecast'!F292&gt;0,'Education Cost Forecast'!E292=0),'Education Cost Forecast'!$F$45,0)</f>
        <v>0</v>
      </c>
      <c r="E272" s="27" t="n">
        <f aca="false">IF(AND(B272=1,A272&lt;='Education Cost Forecast'!$F$53),1,0)</f>
        <v>0</v>
      </c>
      <c r="F272" s="40" t="n">
        <f aca="false">(1+Esc)^(A272-1)</f>
        <v>6.38547728990899</v>
      </c>
      <c r="G272" s="28" t="n">
        <f aca="false">E272*('Education Cost Forecast'!$F$41*12*MonthlyFactor+'Education Cost Forecast'!$F$42)*F272</f>
        <v>0</v>
      </c>
      <c r="H272" s="28" t="n">
        <f aca="false">E272*UnitFactor*F272</f>
        <v>0</v>
      </c>
      <c r="I272" s="28" t="n">
        <f aca="false">J271+D272-C272</f>
        <v>0</v>
      </c>
      <c r="J272" s="28" t="n">
        <f aca="false">IF(B272=1,I272*(1+RetRate)+G272,J271)</f>
        <v>0</v>
      </c>
      <c r="K272" s="28" t="n">
        <f aca="false">L271</f>
        <v>0</v>
      </c>
      <c r="L272" s="28" t="n">
        <f aca="false">IF(B272=1,K272*(1+RetRate)+H272,L271)</f>
        <v>0</v>
      </c>
      <c r="M272" s="40" t="n">
        <f aca="false">(1+RetRate)^(A272-1)</f>
        <v>74.1796639360364</v>
      </c>
      <c r="N272" s="28" t="n">
        <f aca="false">IF(AND(B272=1,C272&gt;0,K272&lt;=0.000000000001,I272&lt;0),-I272/M272,0)</f>
        <v>0</v>
      </c>
      <c r="O272" s="28" t="n">
        <f aca="false">IF(AND(B272=1,C272&gt;0,K272&gt;0.000000000001),-(I272+$F$14*M272)/K272,0)</f>
        <v>0</v>
      </c>
      <c r="P272" s="28" t="n">
        <f aca="false">R271</f>
        <v>0</v>
      </c>
      <c r="Q272" s="28" t="n">
        <f aca="false">H272*$F$15</f>
        <v>0</v>
      </c>
      <c r="R272" s="28" t="n">
        <f aca="false">IF(B272=1,(P272+D272-C272)*(1+RetRate)+G272+Q272,P272)</f>
        <v>0</v>
      </c>
      <c r="S272" s="28" t="n">
        <f aca="false">V271</f>
        <v>0</v>
      </c>
      <c r="T272" s="28" t="n">
        <f aca="false">S272+D272-C272</f>
        <v>0</v>
      </c>
      <c r="U272" s="28" t="n">
        <f aca="false">IF(B272=1,MAX(0,-T272),0)</f>
        <v>0</v>
      </c>
      <c r="V272" s="28" t="n">
        <f aca="false">IF(B272=1,MAX(0,T272)*(1+RetRate)+G272,S272)</f>
        <v>0</v>
      </c>
      <c r="W272" s="28" t="n">
        <f aca="false">IF(A272&lt;=MIN('Education Cost Forecast'!$F$49,'Education Cost Forecast'!$F$53),G272*(1+RetRate)^('Education Cost Forecast'!$F$49-A272),0)</f>
        <v>0</v>
      </c>
      <c r="X272" s="28" t="n">
        <f aca="false">IF(B272=1,P272+D272-C272,0)</f>
        <v>0</v>
      </c>
    </row>
    <row r="273" customFormat="false" ht="15" hidden="false" customHeight="false" outlineLevel="0" collapsed="false">
      <c r="A273" s="27" t="n">
        <v>40</v>
      </c>
      <c r="B273" s="27" t="n">
        <f aca="false">'Education Cost Forecast'!B293</f>
        <v>0</v>
      </c>
      <c r="C273" s="28" t="n">
        <f aca="false">'Education Cost Forecast'!Z293</f>
        <v>0</v>
      </c>
      <c r="D273" s="28" t="n">
        <f aca="false">IF(AND(B273=1,'Education Cost Forecast'!F293&gt;0,'Education Cost Forecast'!E293=0),'Education Cost Forecast'!$F$45,0)</f>
        <v>0</v>
      </c>
      <c r="E273" s="27" t="n">
        <f aca="false">IF(AND(B273=1,A273&lt;='Education Cost Forecast'!$F$53),1,0)</f>
        <v>0</v>
      </c>
      <c r="F273" s="40" t="n">
        <f aca="false">(1+Esc)^(A273-1)</f>
        <v>6.70475115440444</v>
      </c>
      <c r="G273" s="28" t="n">
        <f aca="false">E273*('Education Cost Forecast'!$F$41*12*MonthlyFactor+'Education Cost Forecast'!$F$42)*F273</f>
        <v>0</v>
      </c>
      <c r="H273" s="28" t="n">
        <f aca="false">E273*UnitFactor*F273</f>
        <v>0</v>
      </c>
      <c r="I273" s="28" t="n">
        <f aca="false">J272+D273-C273</f>
        <v>0</v>
      </c>
      <c r="J273" s="28" t="n">
        <f aca="false">IF(B273=1,I273*(1+RetRate)+G273,J272)</f>
        <v>0</v>
      </c>
      <c r="K273" s="28" t="n">
        <f aca="false">L272</f>
        <v>0</v>
      </c>
      <c r="L273" s="28" t="n">
        <f aca="false">IF(B273=1,K273*(1+RetRate)+H273,L272)</f>
        <v>0</v>
      </c>
      <c r="M273" s="40" t="n">
        <f aca="false">(1+RetRate)^(A273-1)</f>
        <v>83.0812236083607</v>
      </c>
      <c r="N273" s="28" t="n">
        <f aca="false">IF(AND(B273=1,C273&gt;0,K273&lt;=0.000000000001,I273&lt;0),-I273/M273,0)</f>
        <v>0</v>
      </c>
      <c r="O273" s="28" t="n">
        <f aca="false">IF(AND(B273=1,C273&gt;0,K273&gt;0.000000000001),-(I273+$F$14*M273)/K273,0)</f>
        <v>0</v>
      </c>
      <c r="P273" s="28" t="n">
        <f aca="false">R272</f>
        <v>0</v>
      </c>
      <c r="Q273" s="28" t="n">
        <f aca="false">H273*$F$15</f>
        <v>0</v>
      </c>
      <c r="R273" s="28" t="n">
        <f aca="false">IF(B273=1,(P273+D273-C273)*(1+RetRate)+G273+Q273,P273)</f>
        <v>0</v>
      </c>
      <c r="S273" s="28" t="n">
        <f aca="false">V272</f>
        <v>0</v>
      </c>
      <c r="T273" s="28" t="n">
        <f aca="false">S273+D273-C273</f>
        <v>0</v>
      </c>
      <c r="U273" s="28" t="n">
        <f aca="false">IF(B273=1,MAX(0,-T273),0)</f>
        <v>0</v>
      </c>
      <c r="V273" s="28" t="n">
        <f aca="false">IF(B273=1,MAX(0,T273)*(1+RetRate)+G273,S273)</f>
        <v>0</v>
      </c>
      <c r="W273" s="28" t="n">
        <f aca="false">IF(A273&lt;=MIN('Education Cost Forecast'!$F$49,'Education Cost Forecast'!$F$53),G273*(1+RetRate)^('Education Cost Forecast'!$F$49-A273),0)</f>
        <v>0</v>
      </c>
      <c r="X273" s="28" t="n">
        <f aca="false">IF(B273=1,P273+D273-C273,0)</f>
        <v>0</v>
      </c>
    </row>
    <row r="274" customFormat="false" ht="15" hidden="false" customHeight="false" outlineLevel="0" collapsed="false">
      <c r="A274" s="27" t="n">
        <v>41</v>
      </c>
      <c r="B274" s="27" t="n">
        <f aca="false">'Education Cost Forecast'!B294</f>
        <v>0</v>
      </c>
      <c r="C274" s="28" t="n">
        <f aca="false">'Education Cost Forecast'!Z294</f>
        <v>0</v>
      </c>
      <c r="D274" s="28" t="n">
        <f aca="false">IF(AND(B274=1,'Education Cost Forecast'!F294&gt;0,'Education Cost Forecast'!E294=0),'Education Cost Forecast'!$F$45,0)</f>
        <v>0</v>
      </c>
      <c r="E274" s="27" t="n">
        <f aca="false">IF(AND(B274=1,A274&lt;='Education Cost Forecast'!$F$53),1,0)</f>
        <v>0</v>
      </c>
      <c r="F274" s="40" t="n">
        <f aca="false">(1+Esc)^(A274-1)</f>
        <v>7.03998871212466</v>
      </c>
      <c r="G274" s="28" t="n">
        <f aca="false">E274*('Education Cost Forecast'!$F$41*12*MonthlyFactor+'Education Cost Forecast'!$F$42)*F274</f>
        <v>0</v>
      </c>
      <c r="H274" s="28" t="n">
        <f aca="false">E274*UnitFactor*F274</f>
        <v>0</v>
      </c>
      <c r="I274" s="28" t="n">
        <f aca="false">J273+D274-C274</f>
        <v>0</v>
      </c>
      <c r="J274" s="28" t="n">
        <f aca="false">IF(B274=1,I274*(1+RetRate)+G274,J273)</f>
        <v>0</v>
      </c>
      <c r="K274" s="28" t="n">
        <f aca="false">L273</f>
        <v>0</v>
      </c>
      <c r="L274" s="28" t="n">
        <f aca="false">IF(B274=1,K274*(1+RetRate)+H274,L273)</f>
        <v>0</v>
      </c>
      <c r="M274" s="40" t="n">
        <f aca="false">(1+RetRate)^(A274-1)</f>
        <v>93.050970441364</v>
      </c>
      <c r="N274" s="28" t="n">
        <f aca="false">IF(AND(B274=1,C274&gt;0,K274&lt;=0.000000000001,I274&lt;0),-I274/M274,0)</f>
        <v>0</v>
      </c>
      <c r="O274" s="28" t="n">
        <f aca="false">IF(AND(B274=1,C274&gt;0,K274&gt;0.000000000001),-(I274+$F$14*M274)/K274,0)</f>
        <v>0</v>
      </c>
      <c r="P274" s="28" t="n">
        <f aca="false">R273</f>
        <v>0</v>
      </c>
      <c r="Q274" s="28" t="n">
        <f aca="false">H274*$F$15</f>
        <v>0</v>
      </c>
      <c r="R274" s="28" t="n">
        <f aca="false">IF(B274=1,(P274+D274-C274)*(1+RetRate)+G274+Q274,P274)</f>
        <v>0</v>
      </c>
      <c r="S274" s="28" t="n">
        <f aca="false">V273</f>
        <v>0</v>
      </c>
      <c r="T274" s="28" t="n">
        <f aca="false">S274+D274-C274</f>
        <v>0</v>
      </c>
      <c r="U274" s="28" t="n">
        <f aca="false">IF(B274=1,MAX(0,-T274),0)</f>
        <v>0</v>
      </c>
      <c r="V274" s="28" t="n">
        <f aca="false">IF(B274=1,MAX(0,T274)*(1+RetRate)+G274,S274)</f>
        <v>0</v>
      </c>
      <c r="W274" s="28" t="n">
        <f aca="false">IF(A274&lt;=MIN('Education Cost Forecast'!$F$49,'Education Cost Forecast'!$F$53),G274*(1+RetRate)^('Education Cost Forecast'!$F$49-A274),0)</f>
        <v>0</v>
      </c>
      <c r="X274" s="28" t="n">
        <f aca="false">IF(B274=1,P274+D274-C274,0)</f>
        <v>0</v>
      </c>
    </row>
    <row r="275" customFormat="false" ht="15" hidden="false" customHeight="false" outlineLevel="0" collapsed="false">
      <c r="A275" s="27" t="n">
        <v>42</v>
      </c>
      <c r="B275" s="27" t="n">
        <f aca="false">'Education Cost Forecast'!B295</f>
        <v>0</v>
      </c>
      <c r="C275" s="28" t="n">
        <f aca="false">'Education Cost Forecast'!Z295</f>
        <v>0</v>
      </c>
      <c r="D275" s="28" t="n">
        <f aca="false">IF(AND(B275=1,'Education Cost Forecast'!F295&gt;0,'Education Cost Forecast'!E295=0),'Education Cost Forecast'!$F$45,0)</f>
        <v>0</v>
      </c>
      <c r="E275" s="27" t="n">
        <f aca="false">IF(AND(B275=1,A275&lt;='Education Cost Forecast'!$F$53),1,0)</f>
        <v>0</v>
      </c>
      <c r="F275" s="40" t="n">
        <f aca="false">(1+Esc)^(A275-1)</f>
        <v>7.39198814773089</v>
      </c>
      <c r="G275" s="28" t="n">
        <f aca="false">E275*('Education Cost Forecast'!$F$41*12*MonthlyFactor+'Education Cost Forecast'!$F$42)*F275</f>
        <v>0</v>
      </c>
      <c r="H275" s="28" t="n">
        <f aca="false">E275*UnitFactor*F275</f>
        <v>0</v>
      </c>
      <c r="I275" s="28" t="n">
        <f aca="false">J274+D275-C275</f>
        <v>0</v>
      </c>
      <c r="J275" s="28" t="n">
        <f aca="false">IF(B275=1,I275*(1+RetRate)+G275,J274)</f>
        <v>0</v>
      </c>
      <c r="K275" s="28" t="n">
        <f aca="false">L274</f>
        <v>0</v>
      </c>
      <c r="L275" s="28" t="n">
        <f aca="false">IF(B275=1,K275*(1+RetRate)+H275,L274)</f>
        <v>0</v>
      </c>
      <c r="M275" s="40" t="n">
        <f aca="false">(1+RetRate)^(A275-1)</f>
        <v>104.217086894328</v>
      </c>
      <c r="N275" s="28" t="n">
        <f aca="false">IF(AND(B275=1,C275&gt;0,K275&lt;=0.000000000001,I275&lt;0),-I275/M275,0)</f>
        <v>0</v>
      </c>
      <c r="O275" s="28" t="n">
        <f aca="false">IF(AND(B275=1,C275&gt;0,K275&gt;0.000000000001),-(I275+$F$14*M275)/K275,0)</f>
        <v>0</v>
      </c>
      <c r="P275" s="28" t="n">
        <f aca="false">R274</f>
        <v>0</v>
      </c>
      <c r="Q275" s="28" t="n">
        <f aca="false">H275*$F$15</f>
        <v>0</v>
      </c>
      <c r="R275" s="28" t="n">
        <f aca="false">IF(B275=1,(P275+D275-C275)*(1+RetRate)+G275+Q275,P275)</f>
        <v>0</v>
      </c>
      <c r="S275" s="28" t="n">
        <f aca="false">V274</f>
        <v>0</v>
      </c>
      <c r="T275" s="28" t="n">
        <f aca="false">S275+D275-C275</f>
        <v>0</v>
      </c>
      <c r="U275" s="28" t="n">
        <f aca="false">IF(B275=1,MAX(0,-T275),0)</f>
        <v>0</v>
      </c>
      <c r="V275" s="28" t="n">
        <f aca="false">IF(B275=1,MAX(0,T275)*(1+RetRate)+G275,S275)</f>
        <v>0</v>
      </c>
      <c r="W275" s="28" t="n">
        <f aca="false">IF(A275&lt;=MIN('Education Cost Forecast'!$F$49,'Education Cost Forecast'!$F$53),G275*(1+RetRate)^('Education Cost Forecast'!$F$49-A275),0)</f>
        <v>0</v>
      </c>
      <c r="X275" s="28" t="n">
        <f aca="false">IF(B275=1,P275+D275-C275,0)</f>
        <v>0</v>
      </c>
    </row>
    <row r="276" customFormat="false" ht="15" hidden="false" customHeight="false" outlineLevel="0" collapsed="false">
      <c r="A276" s="27" t="n">
        <v>43</v>
      </c>
      <c r="B276" s="27" t="n">
        <f aca="false">'Education Cost Forecast'!B296</f>
        <v>0</v>
      </c>
      <c r="C276" s="28" t="n">
        <f aca="false">'Education Cost Forecast'!Z296</f>
        <v>0</v>
      </c>
      <c r="D276" s="28" t="n">
        <f aca="false">IF(AND(B276=1,'Education Cost Forecast'!F296&gt;0,'Education Cost Forecast'!E296=0),'Education Cost Forecast'!$F$45,0)</f>
        <v>0</v>
      </c>
      <c r="E276" s="27" t="n">
        <f aca="false">IF(AND(B276=1,A276&lt;='Education Cost Forecast'!$F$53),1,0)</f>
        <v>0</v>
      </c>
      <c r="F276" s="40" t="n">
        <f aca="false">(1+Esc)^(A276-1)</f>
        <v>7.76158755511744</v>
      </c>
      <c r="G276" s="28" t="n">
        <f aca="false">E276*('Education Cost Forecast'!$F$41*12*MonthlyFactor+'Education Cost Forecast'!$F$42)*F276</f>
        <v>0</v>
      </c>
      <c r="H276" s="28" t="n">
        <f aca="false">E276*UnitFactor*F276</f>
        <v>0</v>
      </c>
      <c r="I276" s="28" t="n">
        <f aca="false">J275+D276-C276</f>
        <v>0</v>
      </c>
      <c r="J276" s="28" t="n">
        <f aca="false">IF(B276=1,I276*(1+RetRate)+G276,J275)</f>
        <v>0</v>
      </c>
      <c r="K276" s="28" t="n">
        <f aca="false">L275</f>
        <v>0</v>
      </c>
      <c r="L276" s="28" t="n">
        <f aca="false">IF(B276=1,K276*(1+RetRate)+H276,L275)</f>
        <v>0</v>
      </c>
      <c r="M276" s="40" t="n">
        <f aca="false">(1+RetRate)^(A276-1)</f>
        <v>116.723137321647</v>
      </c>
      <c r="N276" s="28" t="n">
        <f aca="false">IF(AND(B276=1,C276&gt;0,K276&lt;=0.000000000001,I276&lt;0),-I276/M276,0)</f>
        <v>0</v>
      </c>
      <c r="O276" s="28" t="n">
        <f aca="false">IF(AND(B276=1,C276&gt;0,K276&gt;0.000000000001),-(I276+$F$14*M276)/K276,0)</f>
        <v>0</v>
      </c>
      <c r="P276" s="28" t="n">
        <f aca="false">R275</f>
        <v>0</v>
      </c>
      <c r="Q276" s="28" t="n">
        <f aca="false">H276*$F$15</f>
        <v>0</v>
      </c>
      <c r="R276" s="28" t="n">
        <f aca="false">IF(B276=1,(P276+D276-C276)*(1+RetRate)+G276+Q276,P276)</f>
        <v>0</v>
      </c>
      <c r="S276" s="28" t="n">
        <f aca="false">V275</f>
        <v>0</v>
      </c>
      <c r="T276" s="28" t="n">
        <f aca="false">S276+D276-C276</f>
        <v>0</v>
      </c>
      <c r="U276" s="28" t="n">
        <f aca="false">IF(B276=1,MAX(0,-T276),0)</f>
        <v>0</v>
      </c>
      <c r="V276" s="28" t="n">
        <f aca="false">IF(B276=1,MAX(0,T276)*(1+RetRate)+G276,S276)</f>
        <v>0</v>
      </c>
      <c r="W276" s="28" t="n">
        <f aca="false">IF(A276&lt;=MIN('Education Cost Forecast'!$F$49,'Education Cost Forecast'!$F$53),G276*(1+RetRate)^('Education Cost Forecast'!$F$49-A276),0)</f>
        <v>0</v>
      </c>
      <c r="X276" s="28" t="n">
        <f aca="false">IF(B276=1,P276+D276-C276,0)</f>
        <v>0</v>
      </c>
    </row>
    <row r="277" customFormat="false" ht="15" hidden="false" customHeight="false" outlineLevel="0" collapsed="false">
      <c r="A277" s="27" t="n">
        <v>44</v>
      </c>
      <c r="B277" s="27" t="n">
        <f aca="false">'Education Cost Forecast'!B297</f>
        <v>0</v>
      </c>
      <c r="C277" s="28" t="n">
        <f aca="false">'Education Cost Forecast'!Z297</f>
        <v>0</v>
      </c>
      <c r="D277" s="28" t="n">
        <f aca="false">IF(AND(B277=1,'Education Cost Forecast'!F297&gt;0,'Education Cost Forecast'!E297=0),'Education Cost Forecast'!$F$45,0)</f>
        <v>0</v>
      </c>
      <c r="E277" s="27" t="n">
        <f aca="false">IF(AND(B277=1,A277&lt;='Education Cost Forecast'!$F$53),1,0)</f>
        <v>0</v>
      </c>
      <c r="F277" s="40" t="n">
        <f aca="false">(1+Esc)^(A277-1)</f>
        <v>8.14966693287331</v>
      </c>
      <c r="G277" s="28" t="n">
        <f aca="false">E277*('Education Cost Forecast'!$F$41*12*MonthlyFactor+'Education Cost Forecast'!$F$42)*F277</f>
        <v>0</v>
      </c>
      <c r="H277" s="28" t="n">
        <f aca="false">E277*UnitFactor*F277</f>
        <v>0</v>
      </c>
      <c r="I277" s="28" t="n">
        <f aca="false">J276+D277-C277</f>
        <v>0</v>
      </c>
      <c r="J277" s="28" t="n">
        <f aca="false">IF(B277=1,I277*(1+RetRate)+G277,J276)</f>
        <v>0</v>
      </c>
      <c r="K277" s="28" t="n">
        <f aca="false">L276</f>
        <v>0</v>
      </c>
      <c r="L277" s="28" t="n">
        <f aca="false">IF(B277=1,K277*(1+RetRate)+H277,L276)</f>
        <v>0</v>
      </c>
      <c r="M277" s="40" t="n">
        <f aca="false">(1+RetRate)^(A277-1)</f>
        <v>130.729913800245</v>
      </c>
      <c r="N277" s="28" t="n">
        <f aca="false">IF(AND(B277=1,C277&gt;0,K277&lt;=0.000000000001,I277&lt;0),-I277/M277,0)</f>
        <v>0</v>
      </c>
      <c r="O277" s="28" t="n">
        <f aca="false">IF(AND(B277=1,C277&gt;0,K277&gt;0.000000000001),-(I277+$F$14*M277)/K277,0)</f>
        <v>0</v>
      </c>
      <c r="P277" s="28" t="n">
        <f aca="false">R276</f>
        <v>0</v>
      </c>
      <c r="Q277" s="28" t="n">
        <f aca="false">H277*$F$15</f>
        <v>0</v>
      </c>
      <c r="R277" s="28" t="n">
        <f aca="false">IF(B277=1,(P277+D277-C277)*(1+RetRate)+G277+Q277,P277)</f>
        <v>0</v>
      </c>
      <c r="S277" s="28" t="n">
        <f aca="false">V276</f>
        <v>0</v>
      </c>
      <c r="T277" s="28" t="n">
        <f aca="false">S277+D277-C277</f>
        <v>0</v>
      </c>
      <c r="U277" s="28" t="n">
        <f aca="false">IF(B277=1,MAX(0,-T277),0)</f>
        <v>0</v>
      </c>
      <c r="V277" s="28" t="n">
        <f aca="false">IF(B277=1,MAX(0,T277)*(1+RetRate)+G277,S277)</f>
        <v>0</v>
      </c>
      <c r="W277" s="28" t="n">
        <f aca="false">IF(A277&lt;=MIN('Education Cost Forecast'!$F$49,'Education Cost Forecast'!$F$53),G277*(1+RetRate)^('Education Cost Forecast'!$F$49-A277),0)</f>
        <v>0</v>
      </c>
      <c r="X277" s="28" t="n">
        <f aca="false">IF(B277=1,P277+D277-C277,0)</f>
        <v>0</v>
      </c>
    </row>
    <row r="278" customFormat="false" ht="15" hidden="false" customHeight="false" outlineLevel="0" collapsed="false">
      <c r="A278" s="27" t="n">
        <v>45</v>
      </c>
      <c r="B278" s="27" t="n">
        <f aca="false">'Education Cost Forecast'!B298</f>
        <v>0</v>
      </c>
      <c r="C278" s="28" t="n">
        <f aca="false">'Education Cost Forecast'!Z298</f>
        <v>0</v>
      </c>
      <c r="D278" s="28" t="n">
        <f aca="false">IF(AND(B278=1,'Education Cost Forecast'!F298&gt;0,'Education Cost Forecast'!E298=0),'Education Cost Forecast'!$F$45,0)</f>
        <v>0</v>
      </c>
      <c r="E278" s="27" t="n">
        <f aca="false">IF(AND(B278=1,A278&lt;='Education Cost Forecast'!$F$53),1,0)</f>
        <v>0</v>
      </c>
      <c r="F278" s="40" t="n">
        <f aca="false">(1+Esc)^(A278-1)</f>
        <v>8.55715027951698</v>
      </c>
      <c r="G278" s="28" t="n">
        <f aca="false">E278*('Education Cost Forecast'!$F$41*12*MonthlyFactor+'Education Cost Forecast'!$F$42)*F278</f>
        <v>0</v>
      </c>
      <c r="H278" s="28" t="n">
        <f aca="false">E278*UnitFactor*F278</f>
        <v>0</v>
      </c>
      <c r="I278" s="28" t="n">
        <f aca="false">J277+D278-C278</f>
        <v>0</v>
      </c>
      <c r="J278" s="28" t="n">
        <f aca="false">IF(B278=1,I278*(1+RetRate)+G278,J277)</f>
        <v>0</v>
      </c>
      <c r="K278" s="28" t="n">
        <f aca="false">L277</f>
        <v>0</v>
      </c>
      <c r="L278" s="28" t="n">
        <f aca="false">IF(B278=1,K278*(1+RetRate)+H278,L277)</f>
        <v>0</v>
      </c>
      <c r="M278" s="40" t="n">
        <f aca="false">(1+RetRate)^(A278-1)</f>
        <v>146.417503456274</v>
      </c>
      <c r="N278" s="28" t="n">
        <f aca="false">IF(AND(B278=1,C278&gt;0,K278&lt;=0.000000000001,I278&lt;0),-I278/M278,0)</f>
        <v>0</v>
      </c>
      <c r="O278" s="28" t="n">
        <f aca="false">IF(AND(B278=1,C278&gt;0,K278&gt;0.000000000001),-(I278+$F$14*M278)/K278,0)</f>
        <v>0</v>
      </c>
      <c r="P278" s="28" t="n">
        <f aca="false">R277</f>
        <v>0</v>
      </c>
      <c r="Q278" s="28" t="n">
        <f aca="false">H278*$F$15</f>
        <v>0</v>
      </c>
      <c r="R278" s="28" t="n">
        <f aca="false">IF(B278=1,(P278+D278-C278)*(1+RetRate)+G278+Q278,P278)</f>
        <v>0</v>
      </c>
      <c r="S278" s="28" t="n">
        <f aca="false">V277</f>
        <v>0</v>
      </c>
      <c r="T278" s="28" t="n">
        <f aca="false">S278+D278-C278</f>
        <v>0</v>
      </c>
      <c r="U278" s="28" t="n">
        <f aca="false">IF(B278=1,MAX(0,-T278),0)</f>
        <v>0</v>
      </c>
      <c r="V278" s="28" t="n">
        <f aca="false">IF(B278=1,MAX(0,T278)*(1+RetRate)+G278,S278)</f>
        <v>0</v>
      </c>
      <c r="W278" s="28" t="n">
        <f aca="false">IF(A278&lt;=MIN('Education Cost Forecast'!$F$49,'Education Cost Forecast'!$F$53),G278*(1+RetRate)^('Education Cost Forecast'!$F$49-A278),0)</f>
        <v>0</v>
      </c>
      <c r="X278" s="28" t="n">
        <f aca="false">IF(B278=1,P278+D278-C278,0)</f>
        <v>0</v>
      </c>
    </row>
    <row r="279" customFormat="false" ht="15" hidden="false" customHeight="false" outlineLevel="0" collapsed="false">
      <c r="A279" s="27" t="n">
        <v>46</v>
      </c>
      <c r="B279" s="27" t="n">
        <f aca="false">'Education Cost Forecast'!B299</f>
        <v>0</v>
      </c>
      <c r="C279" s="28" t="n">
        <f aca="false">'Education Cost Forecast'!Z299</f>
        <v>0</v>
      </c>
      <c r="D279" s="28" t="n">
        <f aca="false">IF(AND(B279=1,'Education Cost Forecast'!F299&gt;0,'Education Cost Forecast'!E299=0),'Education Cost Forecast'!$F$45,0)</f>
        <v>0</v>
      </c>
      <c r="E279" s="27" t="n">
        <f aca="false">IF(AND(B279=1,A279&lt;='Education Cost Forecast'!$F$53),1,0)</f>
        <v>0</v>
      </c>
      <c r="F279" s="40" t="n">
        <f aca="false">(1+Esc)^(A279-1)</f>
        <v>8.98500779349282</v>
      </c>
      <c r="G279" s="28" t="n">
        <f aca="false">E279*('Education Cost Forecast'!$F$41*12*MonthlyFactor+'Education Cost Forecast'!$F$42)*F279</f>
        <v>0</v>
      </c>
      <c r="H279" s="28" t="n">
        <f aca="false">E279*UnitFactor*F279</f>
        <v>0</v>
      </c>
      <c r="I279" s="28" t="n">
        <f aca="false">J278+D279-C279</f>
        <v>0</v>
      </c>
      <c r="J279" s="28" t="n">
        <f aca="false">IF(B279=1,I279*(1+RetRate)+G279,J278)</f>
        <v>0</v>
      </c>
      <c r="K279" s="28" t="n">
        <f aca="false">L278</f>
        <v>0</v>
      </c>
      <c r="L279" s="28" t="n">
        <f aca="false">IF(B279=1,K279*(1+RetRate)+H279,L278)</f>
        <v>0</v>
      </c>
      <c r="M279" s="40" t="n">
        <f aca="false">(1+RetRate)^(A279-1)</f>
        <v>163.987603871027</v>
      </c>
      <c r="N279" s="28" t="n">
        <f aca="false">IF(AND(B279=1,C279&gt;0,K279&lt;=0.000000000001,I279&lt;0),-I279/M279,0)</f>
        <v>0</v>
      </c>
      <c r="O279" s="28" t="n">
        <f aca="false">IF(AND(B279=1,C279&gt;0,K279&gt;0.000000000001),-(I279+$F$14*M279)/K279,0)</f>
        <v>0</v>
      </c>
      <c r="P279" s="28" t="n">
        <f aca="false">R278</f>
        <v>0</v>
      </c>
      <c r="Q279" s="28" t="n">
        <f aca="false">H279*$F$15</f>
        <v>0</v>
      </c>
      <c r="R279" s="28" t="n">
        <f aca="false">IF(B279=1,(P279+D279-C279)*(1+RetRate)+G279+Q279,P279)</f>
        <v>0</v>
      </c>
      <c r="S279" s="28" t="n">
        <f aca="false">V278</f>
        <v>0</v>
      </c>
      <c r="T279" s="28" t="n">
        <f aca="false">S279+D279-C279</f>
        <v>0</v>
      </c>
      <c r="U279" s="28" t="n">
        <f aca="false">IF(B279=1,MAX(0,-T279),0)</f>
        <v>0</v>
      </c>
      <c r="V279" s="28" t="n">
        <f aca="false">IF(B279=1,MAX(0,T279)*(1+RetRate)+G279,S279)</f>
        <v>0</v>
      </c>
      <c r="W279" s="28" t="n">
        <f aca="false">IF(A279&lt;=MIN('Education Cost Forecast'!$F$49,'Education Cost Forecast'!$F$53),G279*(1+RetRate)^('Education Cost Forecast'!$F$49-A279),0)</f>
        <v>0</v>
      </c>
      <c r="X279" s="28" t="n">
        <f aca="false">IF(B279=1,P279+D279-C279,0)</f>
        <v>0</v>
      </c>
    </row>
    <row r="280" customFormat="false" ht="15" hidden="false" customHeight="false" outlineLevel="0" collapsed="false">
      <c r="A280" s="27" t="n">
        <v>47</v>
      </c>
      <c r="B280" s="27" t="n">
        <f aca="false">'Education Cost Forecast'!B300</f>
        <v>0</v>
      </c>
      <c r="C280" s="28" t="n">
        <f aca="false">'Education Cost Forecast'!Z300</f>
        <v>0</v>
      </c>
      <c r="D280" s="28" t="n">
        <f aca="false">IF(AND(B280=1,'Education Cost Forecast'!F300&gt;0,'Education Cost Forecast'!E300=0),'Education Cost Forecast'!$F$45,0)</f>
        <v>0</v>
      </c>
      <c r="E280" s="27" t="n">
        <f aca="false">IF(AND(B280=1,A280&lt;='Education Cost Forecast'!$F$53),1,0)</f>
        <v>0</v>
      </c>
      <c r="F280" s="40" t="n">
        <f aca="false">(1+Esc)^(A280-1)</f>
        <v>9.43425818316747</v>
      </c>
      <c r="G280" s="28" t="n">
        <f aca="false">E280*('Education Cost Forecast'!$F$41*12*MonthlyFactor+'Education Cost Forecast'!$F$42)*F280</f>
        <v>0</v>
      </c>
      <c r="H280" s="28" t="n">
        <f aca="false">E280*UnitFactor*F280</f>
        <v>0</v>
      </c>
      <c r="I280" s="28" t="n">
        <f aca="false">J279+D280-C280</f>
        <v>0</v>
      </c>
      <c r="J280" s="28" t="n">
        <f aca="false">IF(B280=1,I280*(1+RetRate)+G280,J279)</f>
        <v>0</v>
      </c>
      <c r="K280" s="28" t="n">
        <f aca="false">L279</f>
        <v>0</v>
      </c>
      <c r="L280" s="28" t="n">
        <f aca="false">IF(B280=1,K280*(1+RetRate)+H280,L279)</f>
        <v>0</v>
      </c>
      <c r="M280" s="40" t="n">
        <f aca="false">(1+RetRate)^(A280-1)</f>
        <v>183.66611633555</v>
      </c>
      <c r="N280" s="28" t="n">
        <f aca="false">IF(AND(B280=1,C280&gt;0,K280&lt;=0.000000000001,I280&lt;0),-I280/M280,0)</f>
        <v>0</v>
      </c>
      <c r="O280" s="28" t="n">
        <f aca="false">IF(AND(B280=1,C280&gt;0,K280&gt;0.000000000001),-(I280+$F$14*M280)/K280,0)</f>
        <v>0</v>
      </c>
      <c r="P280" s="28" t="n">
        <f aca="false">R279</f>
        <v>0</v>
      </c>
      <c r="Q280" s="28" t="n">
        <f aca="false">H280*$F$15</f>
        <v>0</v>
      </c>
      <c r="R280" s="28" t="n">
        <f aca="false">IF(B280=1,(P280+D280-C280)*(1+RetRate)+G280+Q280,P280)</f>
        <v>0</v>
      </c>
      <c r="S280" s="28" t="n">
        <f aca="false">V279</f>
        <v>0</v>
      </c>
      <c r="T280" s="28" t="n">
        <f aca="false">S280+D280-C280</f>
        <v>0</v>
      </c>
      <c r="U280" s="28" t="n">
        <f aca="false">IF(B280=1,MAX(0,-T280),0)</f>
        <v>0</v>
      </c>
      <c r="V280" s="28" t="n">
        <f aca="false">IF(B280=1,MAX(0,T280)*(1+RetRate)+G280,S280)</f>
        <v>0</v>
      </c>
      <c r="W280" s="28" t="n">
        <f aca="false">IF(A280&lt;=MIN('Education Cost Forecast'!$F$49,'Education Cost Forecast'!$F$53),G280*(1+RetRate)^('Education Cost Forecast'!$F$49-A280),0)</f>
        <v>0</v>
      </c>
      <c r="X280" s="28" t="n">
        <f aca="false">IF(B280=1,P280+D280-C280,0)</f>
        <v>0</v>
      </c>
    </row>
    <row r="281" customFormat="false" ht="15" hidden="false" customHeight="false" outlineLevel="0" collapsed="false">
      <c r="A281" s="27" t="n">
        <v>48</v>
      </c>
      <c r="B281" s="27" t="n">
        <f aca="false">'Education Cost Forecast'!B301</f>
        <v>0</v>
      </c>
      <c r="C281" s="28" t="n">
        <f aca="false">'Education Cost Forecast'!Z301</f>
        <v>0</v>
      </c>
      <c r="D281" s="28" t="n">
        <f aca="false">IF(AND(B281=1,'Education Cost Forecast'!F301&gt;0,'Education Cost Forecast'!E301=0),'Education Cost Forecast'!$F$45,0)</f>
        <v>0</v>
      </c>
      <c r="E281" s="27" t="n">
        <f aca="false">IF(AND(B281=1,A281&lt;='Education Cost Forecast'!$F$53),1,0)</f>
        <v>0</v>
      </c>
      <c r="F281" s="40" t="n">
        <f aca="false">(1+Esc)^(A281-1)</f>
        <v>9.90597109232584</v>
      </c>
      <c r="G281" s="28" t="n">
        <f aca="false">E281*('Education Cost Forecast'!$F$41*12*MonthlyFactor+'Education Cost Forecast'!$F$42)*F281</f>
        <v>0</v>
      </c>
      <c r="H281" s="28" t="n">
        <f aca="false">E281*UnitFactor*F281</f>
        <v>0</v>
      </c>
      <c r="I281" s="28" t="n">
        <f aca="false">J280+D281-C281</f>
        <v>0</v>
      </c>
      <c r="J281" s="28" t="n">
        <f aca="false">IF(B281=1,I281*(1+RetRate)+G281,J280)</f>
        <v>0</v>
      </c>
      <c r="K281" s="28" t="n">
        <f aca="false">L280</f>
        <v>0</v>
      </c>
      <c r="L281" s="28" t="n">
        <f aca="false">IF(B281=1,K281*(1+RetRate)+H281,L280)</f>
        <v>0</v>
      </c>
      <c r="M281" s="40" t="n">
        <f aca="false">(1+RetRate)^(A281-1)</f>
        <v>205.706050295816</v>
      </c>
      <c r="N281" s="28" t="n">
        <f aca="false">IF(AND(B281=1,C281&gt;0,K281&lt;=0.000000000001,I281&lt;0),-I281/M281,0)</f>
        <v>0</v>
      </c>
      <c r="O281" s="28" t="n">
        <f aca="false">IF(AND(B281=1,C281&gt;0,K281&gt;0.000000000001),-(I281+$F$14*M281)/K281,0)</f>
        <v>0</v>
      </c>
      <c r="P281" s="28" t="n">
        <f aca="false">R280</f>
        <v>0</v>
      </c>
      <c r="Q281" s="28" t="n">
        <f aca="false">H281*$F$15</f>
        <v>0</v>
      </c>
      <c r="R281" s="28" t="n">
        <f aca="false">IF(B281=1,(P281+D281-C281)*(1+RetRate)+G281+Q281,P281)</f>
        <v>0</v>
      </c>
      <c r="S281" s="28" t="n">
        <f aca="false">V280</f>
        <v>0</v>
      </c>
      <c r="T281" s="28" t="n">
        <f aca="false">S281+D281-C281</f>
        <v>0</v>
      </c>
      <c r="U281" s="28" t="n">
        <f aca="false">IF(B281=1,MAX(0,-T281),0)</f>
        <v>0</v>
      </c>
      <c r="V281" s="28" t="n">
        <f aca="false">IF(B281=1,MAX(0,T281)*(1+RetRate)+G281,S281)</f>
        <v>0</v>
      </c>
      <c r="W281" s="28" t="n">
        <f aca="false">IF(A281&lt;=MIN('Education Cost Forecast'!$F$49,'Education Cost Forecast'!$F$53),G281*(1+RetRate)^('Education Cost Forecast'!$F$49-A281),0)</f>
        <v>0</v>
      </c>
      <c r="X281" s="28" t="n">
        <f aca="false">IF(B281=1,P281+D281-C281,0)</f>
        <v>0</v>
      </c>
    </row>
    <row r="282" customFormat="false" ht="15" hidden="false" customHeight="false" outlineLevel="0" collapsed="false">
      <c r="A282" s="27" t="n">
        <v>49</v>
      </c>
      <c r="B282" s="27" t="n">
        <f aca="false">'Education Cost Forecast'!B302</f>
        <v>0</v>
      </c>
      <c r="C282" s="28" t="n">
        <f aca="false">'Education Cost Forecast'!Z302</f>
        <v>0</v>
      </c>
      <c r="D282" s="28" t="n">
        <f aca="false">IF(AND(B282=1,'Education Cost Forecast'!F302&gt;0,'Education Cost Forecast'!E302=0),'Education Cost Forecast'!$F$45,0)</f>
        <v>0</v>
      </c>
      <c r="E282" s="27" t="n">
        <f aca="false">IF(AND(B282=1,A282&lt;='Education Cost Forecast'!$F$53),1,0)</f>
        <v>0</v>
      </c>
      <c r="F282" s="40" t="n">
        <f aca="false">(1+Esc)^(A282-1)</f>
        <v>10.4012696469421</v>
      </c>
      <c r="G282" s="28" t="n">
        <f aca="false">E282*('Education Cost Forecast'!$F$41*12*MonthlyFactor+'Education Cost Forecast'!$F$42)*F282</f>
        <v>0</v>
      </c>
      <c r="H282" s="28" t="n">
        <f aca="false">E282*UnitFactor*F282</f>
        <v>0</v>
      </c>
      <c r="I282" s="28" t="n">
        <f aca="false">J281+D282-C282</f>
        <v>0</v>
      </c>
      <c r="J282" s="28" t="n">
        <f aca="false">IF(B282=1,I282*(1+RetRate)+G282,J281)</f>
        <v>0</v>
      </c>
      <c r="K282" s="28" t="n">
        <f aca="false">L281</f>
        <v>0</v>
      </c>
      <c r="L282" s="28" t="n">
        <f aca="false">IF(B282=1,K282*(1+RetRate)+H282,L281)</f>
        <v>0</v>
      </c>
      <c r="M282" s="40" t="n">
        <f aca="false">(1+RetRate)^(A282-1)</f>
        <v>230.390776331314</v>
      </c>
      <c r="N282" s="28" t="n">
        <f aca="false">IF(AND(B282=1,C282&gt;0,K282&lt;=0.000000000001,I282&lt;0),-I282/M282,0)</f>
        <v>0</v>
      </c>
      <c r="O282" s="28" t="n">
        <f aca="false">IF(AND(B282=1,C282&gt;0,K282&gt;0.000000000001),-(I282+$F$14*M282)/K282,0)</f>
        <v>0</v>
      </c>
      <c r="P282" s="28" t="n">
        <f aca="false">R281</f>
        <v>0</v>
      </c>
      <c r="Q282" s="28" t="n">
        <f aca="false">H282*$F$15</f>
        <v>0</v>
      </c>
      <c r="R282" s="28" t="n">
        <f aca="false">IF(B282=1,(P282+D282-C282)*(1+RetRate)+G282+Q282,P282)</f>
        <v>0</v>
      </c>
      <c r="S282" s="28" t="n">
        <f aca="false">V281</f>
        <v>0</v>
      </c>
      <c r="T282" s="28" t="n">
        <f aca="false">S282+D282-C282</f>
        <v>0</v>
      </c>
      <c r="U282" s="28" t="n">
        <f aca="false">IF(B282=1,MAX(0,-T282),0)</f>
        <v>0</v>
      </c>
      <c r="V282" s="28" t="n">
        <f aca="false">IF(B282=1,MAX(0,T282)*(1+RetRate)+G282,S282)</f>
        <v>0</v>
      </c>
      <c r="W282" s="28" t="n">
        <f aca="false">IF(A282&lt;=MIN('Education Cost Forecast'!$F$49,'Education Cost Forecast'!$F$53),G282*(1+RetRate)^('Education Cost Forecast'!$F$49-A282),0)</f>
        <v>0</v>
      </c>
      <c r="X282" s="28" t="n">
        <f aca="false">IF(B282=1,P282+D282-C282,0)</f>
        <v>0</v>
      </c>
    </row>
    <row r="283" customFormat="false" ht="15" hidden="false" customHeight="false" outlineLevel="0" collapsed="false">
      <c r="A283" s="27" t="n">
        <v>50</v>
      </c>
      <c r="B283" s="27" t="n">
        <f aca="false">'Education Cost Forecast'!B303</f>
        <v>0</v>
      </c>
      <c r="C283" s="28" t="n">
        <f aca="false">'Education Cost Forecast'!Z303</f>
        <v>0</v>
      </c>
      <c r="D283" s="28" t="n">
        <f aca="false">IF(AND(B283=1,'Education Cost Forecast'!F303&gt;0,'Education Cost Forecast'!E303=0),'Education Cost Forecast'!$F$45,0)</f>
        <v>0</v>
      </c>
      <c r="E283" s="27" t="n">
        <f aca="false">IF(AND(B283=1,A283&lt;='Education Cost Forecast'!$F$53),1,0)</f>
        <v>0</v>
      </c>
      <c r="F283" s="40" t="n">
        <f aca="false">(1+Esc)^(A283-1)</f>
        <v>10.9213331292892</v>
      </c>
      <c r="G283" s="28" t="n">
        <f aca="false">E283*('Education Cost Forecast'!$F$41*12*MonthlyFactor+'Education Cost Forecast'!$F$42)*F283</f>
        <v>0</v>
      </c>
      <c r="H283" s="28" t="n">
        <f aca="false">E283*UnitFactor*F283</f>
        <v>0</v>
      </c>
      <c r="I283" s="28" t="n">
        <f aca="false">J282+D283-C283</f>
        <v>0</v>
      </c>
      <c r="J283" s="28" t="n">
        <f aca="false">IF(B283=1,I283*(1+RetRate)+G283,J282)</f>
        <v>0</v>
      </c>
      <c r="K283" s="28" t="n">
        <f aca="false">L282</f>
        <v>0</v>
      </c>
      <c r="L283" s="28" t="n">
        <f aca="false">IF(B283=1,K283*(1+RetRate)+H283,L282)</f>
        <v>0</v>
      </c>
      <c r="M283" s="40" t="n">
        <f aca="false">(1+RetRate)^(A283-1)</f>
        <v>258.037669491072</v>
      </c>
      <c r="N283" s="28" t="n">
        <f aca="false">IF(AND(B283=1,C283&gt;0,K283&lt;=0.000000000001,I283&lt;0),-I283/M283,0)</f>
        <v>0</v>
      </c>
      <c r="O283" s="28" t="n">
        <f aca="false">IF(AND(B283=1,C283&gt;0,K283&gt;0.000000000001),-(I283+$F$14*M283)/K283,0)</f>
        <v>0</v>
      </c>
      <c r="P283" s="28" t="n">
        <f aca="false">R282</f>
        <v>0</v>
      </c>
      <c r="Q283" s="28" t="n">
        <f aca="false">H283*$F$15</f>
        <v>0</v>
      </c>
      <c r="R283" s="28" t="n">
        <f aca="false">IF(B283=1,(P283+D283-C283)*(1+RetRate)+G283+Q283,P283)</f>
        <v>0</v>
      </c>
      <c r="S283" s="28" t="n">
        <f aca="false">V282</f>
        <v>0</v>
      </c>
      <c r="T283" s="28" t="n">
        <f aca="false">S283+D283-C283</f>
        <v>0</v>
      </c>
      <c r="U283" s="28" t="n">
        <f aca="false">IF(B283=1,MAX(0,-T283),0)</f>
        <v>0</v>
      </c>
      <c r="V283" s="28" t="n">
        <f aca="false">IF(B283=1,MAX(0,T283)*(1+RetRate)+G283,S283)</f>
        <v>0</v>
      </c>
      <c r="W283" s="28" t="n">
        <f aca="false">IF(A283&lt;=MIN('Education Cost Forecast'!$F$49,'Education Cost Forecast'!$F$53),G283*(1+RetRate)^('Education Cost Forecast'!$F$49-A283),0)</f>
        <v>0</v>
      </c>
      <c r="X283" s="28" t="n">
        <f aca="false">IF(B283=1,P283+D283-C283,0)</f>
        <v>0</v>
      </c>
    </row>
    <row r="284" customFormat="false" ht="15" hidden="false" customHeight="false" outlineLevel="0" collapsed="false">
      <c r="A284" s="27" t="n">
        <v>51</v>
      </c>
      <c r="B284" s="27" t="n">
        <f aca="false">'Education Cost Forecast'!B304</f>
        <v>0</v>
      </c>
      <c r="C284" s="28" t="n">
        <f aca="false">'Education Cost Forecast'!Z304</f>
        <v>0</v>
      </c>
      <c r="D284" s="28" t="n">
        <f aca="false">IF(AND(B284=1,'Education Cost Forecast'!F304&gt;0,'Education Cost Forecast'!E304=0),'Education Cost Forecast'!$F$45,0)</f>
        <v>0</v>
      </c>
      <c r="E284" s="27" t="n">
        <f aca="false">IF(AND(B284=1,A284&lt;='Education Cost Forecast'!$F$53),1,0)</f>
        <v>0</v>
      </c>
      <c r="F284" s="40" t="n">
        <f aca="false">(1+Esc)^(A284-1)</f>
        <v>11.4673997857537</v>
      </c>
      <c r="G284" s="28" t="n">
        <f aca="false">E284*('Education Cost Forecast'!$F$41*12*MonthlyFactor+'Education Cost Forecast'!$F$42)*F284</f>
        <v>0</v>
      </c>
      <c r="H284" s="28" t="n">
        <f aca="false">E284*UnitFactor*F284</f>
        <v>0</v>
      </c>
      <c r="I284" s="28" t="n">
        <f aca="false">J283+D284-C284</f>
        <v>0</v>
      </c>
      <c r="J284" s="28" t="n">
        <f aca="false">IF(B284=1,I284*(1+RetRate)+G284,J283)</f>
        <v>0</v>
      </c>
      <c r="K284" s="28" t="n">
        <f aca="false">L283</f>
        <v>0</v>
      </c>
      <c r="L284" s="28" t="n">
        <f aca="false">IF(B284=1,K284*(1+RetRate)+H284,L283)</f>
        <v>0</v>
      </c>
      <c r="M284" s="40" t="n">
        <f aca="false">(1+RetRate)^(A284-1)</f>
        <v>289.002189830001</v>
      </c>
      <c r="N284" s="28" t="n">
        <f aca="false">IF(AND(B284=1,C284&gt;0,K284&lt;=0.000000000001,I284&lt;0),-I284/M284,0)</f>
        <v>0</v>
      </c>
      <c r="O284" s="28" t="n">
        <f aca="false">IF(AND(B284=1,C284&gt;0,K284&gt;0.000000000001),-(I284+$F$14*M284)/K284,0)</f>
        <v>0</v>
      </c>
      <c r="P284" s="28" t="n">
        <f aca="false">R283</f>
        <v>0</v>
      </c>
      <c r="Q284" s="28" t="n">
        <f aca="false">H284*$F$15</f>
        <v>0</v>
      </c>
      <c r="R284" s="28" t="n">
        <f aca="false">IF(B284=1,(P284+D284-C284)*(1+RetRate)+G284+Q284,P284)</f>
        <v>0</v>
      </c>
      <c r="S284" s="28" t="n">
        <f aca="false">V283</f>
        <v>0</v>
      </c>
      <c r="T284" s="28" t="n">
        <f aca="false">S284+D284-C284</f>
        <v>0</v>
      </c>
      <c r="U284" s="28" t="n">
        <f aca="false">IF(B284=1,MAX(0,-T284),0)</f>
        <v>0</v>
      </c>
      <c r="V284" s="28" t="n">
        <f aca="false">IF(B284=1,MAX(0,T284)*(1+RetRate)+G284,S284)</f>
        <v>0</v>
      </c>
      <c r="W284" s="28" t="n">
        <f aca="false">IF(A284&lt;=MIN('Education Cost Forecast'!$F$49,'Education Cost Forecast'!$F$53),G284*(1+RetRate)^('Education Cost Forecast'!$F$49-A284),0)</f>
        <v>0</v>
      </c>
      <c r="X284" s="28" t="n">
        <f aca="false">IF(B284=1,P284+D284-C284,0)</f>
        <v>0</v>
      </c>
    </row>
    <row r="285" customFormat="false" ht="15" hidden="false" customHeight="false" outlineLevel="0" collapsed="false">
      <c r="A285" s="27" t="n">
        <v>52</v>
      </c>
      <c r="B285" s="27" t="n">
        <f aca="false">'Education Cost Forecast'!B305</f>
        <v>0</v>
      </c>
      <c r="C285" s="28" t="n">
        <f aca="false">'Education Cost Forecast'!Z305</f>
        <v>0</v>
      </c>
      <c r="D285" s="28" t="n">
        <f aca="false">IF(AND(B285=1,'Education Cost Forecast'!F305&gt;0,'Education Cost Forecast'!E305=0),'Education Cost Forecast'!$F$45,0)</f>
        <v>0</v>
      </c>
      <c r="E285" s="27" t="n">
        <f aca="false">IF(AND(B285=1,A285&lt;='Education Cost Forecast'!$F$53),1,0)</f>
        <v>0</v>
      </c>
      <c r="F285" s="40" t="n">
        <f aca="false">(1+Esc)^(A285-1)</f>
        <v>12.0407697750414</v>
      </c>
      <c r="G285" s="28" t="n">
        <f aca="false">E285*('Education Cost Forecast'!$F$41*12*MonthlyFactor+'Education Cost Forecast'!$F$42)*F285</f>
        <v>0</v>
      </c>
      <c r="H285" s="28" t="n">
        <f aca="false">E285*UnitFactor*F285</f>
        <v>0</v>
      </c>
      <c r="I285" s="28" t="n">
        <f aca="false">J284+D285-C285</f>
        <v>0</v>
      </c>
      <c r="J285" s="28" t="n">
        <f aca="false">IF(B285=1,I285*(1+RetRate)+G285,J284)</f>
        <v>0</v>
      </c>
      <c r="K285" s="28" t="n">
        <f aca="false">L284</f>
        <v>0</v>
      </c>
      <c r="L285" s="28" t="n">
        <f aca="false">IF(B285=1,K285*(1+RetRate)+H285,L284)</f>
        <v>0</v>
      </c>
      <c r="M285" s="40" t="n">
        <f aca="false">(1+RetRate)^(A285-1)</f>
        <v>323.682452609601</v>
      </c>
      <c r="N285" s="28" t="n">
        <f aca="false">IF(AND(B285=1,C285&gt;0,K285&lt;=0.000000000001,I285&lt;0),-I285/M285,0)</f>
        <v>0</v>
      </c>
      <c r="O285" s="28" t="n">
        <f aca="false">IF(AND(B285=1,C285&gt;0,K285&gt;0.000000000001),-(I285+$F$14*M285)/K285,0)</f>
        <v>0</v>
      </c>
      <c r="P285" s="28" t="n">
        <f aca="false">R284</f>
        <v>0</v>
      </c>
      <c r="Q285" s="28" t="n">
        <f aca="false">H285*$F$15</f>
        <v>0</v>
      </c>
      <c r="R285" s="28" t="n">
        <f aca="false">IF(B285=1,(P285+D285-C285)*(1+RetRate)+G285+Q285,P285)</f>
        <v>0</v>
      </c>
      <c r="S285" s="28" t="n">
        <f aca="false">V284</f>
        <v>0</v>
      </c>
      <c r="T285" s="28" t="n">
        <f aca="false">S285+D285-C285</f>
        <v>0</v>
      </c>
      <c r="U285" s="28" t="n">
        <f aca="false">IF(B285=1,MAX(0,-T285),0)</f>
        <v>0</v>
      </c>
      <c r="V285" s="28" t="n">
        <f aca="false">IF(B285=1,MAX(0,T285)*(1+RetRate)+G285,S285)</f>
        <v>0</v>
      </c>
      <c r="W285" s="28" t="n">
        <f aca="false">IF(A285&lt;=MIN('Education Cost Forecast'!$F$49,'Education Cost Forecast'!$F$53),G285*(1+RetRate)^('Education Cost Forecast'!$F$49-A285),0)</f>
        <v>0</v>
      </c>
      <c r="X285" s="28" t="n">
        <f aca="false">IF(B285=1,P285+D285-C285,0)</f>
        <v>0</v>
      </c>
    </row>
    <row r="286" customFormat="false" ht="15" hidden="false" customHeight="false" outlineLevel="0" collapsed="false">
      <c r="A286" s="27" t="n">
        <v>53</v>
      </c>
      <c r="B286" s="27" t="n">
        <f aca="false">'Education Cost Forecast'!B306</f>
        <v>0</v>
      </c>
      <c r="C286" s="28" t="n">
        <f aca="false">'Education Cost Forecast'!Z306</f>
        <v>0</v>
      </c>
      <c r="D286" s="28" t="n">
        <f aca="false">IF(AND(B286=1,'Education Cost Forecast'!F306&gt;0,'Education Cost Forecast'!E306=0),'Education Cost Forecast'!$F$45,0)</f>
        <v>0</v>
      </c>
      <c r="E286" s="27" t="n">
        <f aca="false">IF(AND(B286=1,A286&lt;='Education Cost Forecast'!$F$53),1,0)</f>
        <v>0</v>
      </c>
      <c r="F286" s="40" t="n">
        <f aca="false">(1+Esc)^(A286-1)</f>
        <v>12.6428082637935</v>
      </c>
      <c r="G286" s="28" t="n">
        <f aca="false">E286*('Education Cost Forecast'!$F$41*12*MonthlyFactor+'Education Cost Forecast'!$F$42)*F286</f>
        <v>0</v>
      </c>
      <c r="H286" s="28" t="n">
        <f aca="false">E286*UnitFactor*F286</f>
        <v>0</v>
      </c>
      <c r="I286" s="28" t="n">
        <f aca="false">J285+D286-C286</f>
        <v>0</v>
      </c>
      <c r="J286" s="28" t="n">
        <f aca="false">IF(B286=1,I286*(1+RetRate)+G286,J285)</f>
        <v>0</v>
      </c>
      <c r="K286" s="28" t="n">
        <f aca="false">L285</f>
        <v>0</v>
      </c>
      <c r="L286" s="28" t="n">
        <f aca="false">IF(B286=1,K286*(1+RetRate)+H286,L285)</f>
        <v>0</v>
      </c>
      <c r="M286" s="40" t="n">
        <f aca="false">(1+RetRate)^(A286-1)</f>
        <v>362.524346922753</v>
      </c>
      <c r="N286" s="28" t="n">
        <f aca="false">IF(AND(B286=1,C286&gt;0,K286&lt;=0.000000000001,I286&lt;0),-I286/M286,0)</f>
        <v>0</v>
      </c>
      <c r="O286" s="28" t="n">
        <f aca="false">IF(AND(B286=1,C286&gt;0,K286&gt;0.000000000001),-(I286+$F$14*M286)/K286,0)</f>
        <v>0</v>
      </c>
      <c r="P286" s="28" t="n">
        <f aca="false">R285</f>
        <v>0</v>
      </c>
      <c r="Q286" s="28" t="n">
        <f aca="false">H286*$F$15</f>
        <v>0</v>
      </c>
      <c r="R286" s="28" t="n">
        <f aca="false">IF(B286=1,(P286+D286-C286)*(1+RetRate)+G286+Q286,P286)</f>
        <v>0</v>
      </c>
      <c r="S286" s="28" t="n">
        <f aca="false">V285</f>
        <v>0</v>
      </c>
      <c r="T286" s="28" t="n">
        <f aca="false">S286+D286-C286</f>
        <v>0</v>
      </c>
      <c r="U286" s="28" t="n">
        <f aca="false">IF(B286=1,MAX(0,-T286),0)</f>
        <v>0</v>
      </c>
      <c r="V286" s="28" t="n">
        <f aca="false">IF(B286=1,MAX(0,T286)*(1+RetRate)+G286,S286)</f>
        <v>0</v>
      </c>
      <c r="W286" s="28" t="n">
        <f aca="false">IF(A286&lt;=MIN('Education Cost Forecast'!$F$49,'Education Cost Forecast'!$F$53),G286*(1+RetRate)^('Education Cost Forecast'!$F$49-A286),0)</f>
        <v>0</v>
      </c>
      <c r="X286" s="28" t="n">
        <f aca="false">IF(B286=1,P286+D286-C286,0)</f>
        <v>0</v>
      </c>
    </row>
    <row r="287" customFormat="false" ht="15" hidden="false" customHeight="false" outlineLevel="0" collapsed="false">
      <c r="A287" s="27" t="n">
        <v>54</v>
      </c>
      <c r="B287" s="27" t="n">
        <f aca="false">'Education Cost Forecast'!B307</f>
        <v>0</v>
      </c>
      <c r="C287" s="28" t="n">
        <f aca="false">'Education Cost Forecast'!Z307</f>
        <v>0</v>
      </c>
      <c r="D287" s="28" t="n">
        <f aca="false">IF(AND(B287=1,'Education Cost Forecast'!F307&gt;0,'Education Cost Forecast'!E307=0),'Education Cost Forecast'!$F$45,0)</f>
        <v>0</v>
      </c>
      <c r="E287" s="27" t="n">
        <f aca="false">IF(AND(B287=1,A287&lt;='Education Cost Forecast'!$F$53),1,0)</f>
        <v>0</v>
      </c>
      <c r="F287" s="40" t="n">
        <f aca="false">(1+Esc)^(A287-1)</f>
        <v>13.2749486769831</v>
      </c>
      <c r="G287" s="28" t="n">
        <f aca="false">E287*('Education Cost Forecast'!$F$41*12*MonthlyFactor+'Education Cost Forecast'!$F$42)*F287</f>
        <v>0</v>
      </c>
      <c r="H287" s="28" t="n">
        <f aca="false">E287*UnitFactor*F287</f>
        <v>0</v>
      </c>
      <c r="I287" s="28" t="n">
        <f aca="false">J286+D287-C287</f>
        <v>0</v>
      </c>
      <c r="J287" s="28" t="n">
        <f aca="false">IF(B287=1,I287*(1+RetRate)+G287,J286)</f>
        <v>0</v>
      </c>
      <c r="K287" s="28" t="n">
        <f aca="false">L286</f>
        <v>0</v>
      </c>
      <c r="L287" s="28" t="n">
        <f aca="false">IF(B287=1,K287*(1+RetRate)+H287,L286)</f>
        <v>0</v>
      </c>
      <c r="M287" s="40" t="n">
        <f aca="false">(1+RetRate)^(A287-1)</f>
        <v>406.027268553483</v>
      </c>
      <c r="N287" s="28" t="n">
        <f aca="false">IF(AND(B287=1,C287&gt;0,K287&lt;=0.000000000001,I287&lt;0),-I287/M287,0)</f>
        <v>0</v>
      </c>
      <c r="O287" s="28" t="n">
        <f aca="false">IF(AND(B287=1,C287&gt;0,K287&gt;0.000000000001),-(I287+$F$14*M287)/K287,0)</f>
        <v>0</v>
      </c>
      <c r="P287" s="28" t="n">
        <f aca="false">R286</f>
        <v>0</v>
      </c>
      <c r="Q287" s="28" t="n">
        <f aca="false">H287*$F$15</f>
        <v>0</v>
      </c>
      <c r="R287" s="28" t="n">
        <f aca="false">IF(B287=1,(P287+D287-C287)*(1+RetRate)+G287+Q287,P287)</f>
        <v>0</v>
      </c>
      <c r="S287" s="28" t="n">
        <f aca="false">V286</f>
        <v>0</v>
      </c>
      <c r="T287" s="28" t="n">
        <f aca="false">S287+D287-C287</f>
        <v>0</v>
      </c>
      <c r="U287" s="28" t="n">
        <f aca="false">IF(B287=1,MAX(0,-T287),0)</f>
        <v>0</v>
      </c>
      <c r="V287" s="28" t="n">
        <f aca="false">IF(B287=1,MAX(0,T287)*(1+RetRate)+G287,S287)</f>
        <v>0</v>
      </c>
      <c r="W287" s="28" t="n">
        <f aca="false">IF(A287&lt;=MIN('Education Cost Forecast'!$F$49,'Education Cost Forecast'!$F$53),G287*(1+RetRate)^('Education Cost Forecast'!$F$49-A287),0)</f>
        <v>0</v>
      </c>
      <c r="X287" s="28" t="n">
        <f aca="false">IF(B287=1,P287+D287-C287,0)</f>
        <v>0</v>
      </c>
    </row>
    <row r="288" customFormat="false" ht="15" hidden="false" customHeight="false" outlineLevel="0" collapsed="false">
      <c r="A288" s="27" t="n">
        <v>55</v>
      </c>
      <c r="B288" s="27" t="n">
        <f aca="false">'Education Cost Forecast'!B308</f>
        <v>0</v>
      </c>
      <c r="C288" s="28" t="n">
        <f aca="false">'Education Cost Forecast'!Z308</f>
        <v>0</v>
      </c>
      <c r="D288" s="28" t="n">
        <f aca="false">IF(AND(B288=1,'Education Cost Forecast'!F308&gt;0,'Education Cost Forecast'!E308=0),'Education Cost Forecast'!$F$45,0)</f>
        <v>0</v>
      </c>
      <c r="E288" s="27" t="n">
        <f aca="false">IF(AND(B288=1,A288&lt;='Education Cost Forecast'!$F$53),1,0)</f>
        <v>0</v>
      </c>
      <c r="F288" s="40" t="n">
        <f aca="false">(1+Esc)^(A288-1)</f>
        <v>13.9386961108323</v>
      </c>
      <c r="G288" s="28" t="n">
        <f aca="false">E288*('Education Cost Forecast'!$F$41*12*MonthlyFactor+'Education Cost Forecast'!$F$42)*F288</f>
        <v>0</v>
      </c>
      <c r="H288" s="28" t="n">
        <f aca="false">E288*UnitFactor*F288</f>
        <v>0</v>
      </c>
      <c r="I288" s="28" t="n">
        <f aca="false">J287+D288-C288</f>
        <v>0</v>
      </c>
      <c r="J288" s="28" t="n">
        <f aca="false">IF(B288=1,I288*(1+RetRate)+G288,J287)</f>
        <v>0</v>
      </c>
      <c r="K288" s="28" t="n">
        <f aca="false">L287</f>
        <v>0</v>
      </c>
      <c r="L288" s="28" t="n">
        <f aca="false">IF(B288=1,K288*(1+RetRate)+H288,L287)</f>
        <v>0</v>
      </c>
      <c r="M288" s="40" t="n">
        <f aca="false">(1+RetRate)^(A288-1)</f>
        <v>454.750540779902</v>
      </c>
      <c r="N288" s="28" t="n">
        <f aca="false">IF(AND(B288=1,C288&gt;0,K288&lt;=0.000000000001,I288&lt;0),-I288/M288,0)</f>
        <v>0</v>
      </c>
      <c r="O288" s="28" t="n">
        <f aca="false">IF(AND(B288=1,C288&gt;0,K288&gt;0.000000000001),-(I288+$F$14*M288)/K288,0)</f>
        <v>0</v>
      </c>
      <c r="P288" s="28" t="n">
        <f aca="false">R287</f>
        <v>0</v>
      </c>
      <c r="Q288" s="28" t="n">
        <f aca="false">H288*$F$15</f>
        <v>0</v>
      </c>
      <c r="R288" s="28" t="n">
        <f aca="false">IF(B288=1,(P288+D288-C288)*(1+RetRate)+G288+Q288,P288)</f>
        <v>0</v>
      </c>
      <c r="S288" s="28" t="n">
        <f aca="false">V287</f>
        <v>0</v>
      </c>
      <c r="T288" s="28" t="n">
        <f aca="false">S288+D288-C288</f>
        <v>0</v>
      </c>
      <c r="U288" s="28" t="n">
        <f aca="false">IF(B288=1,MAX(0,-T288),0)</f>
        <v>0</v>
      </c>
      <c r="V288" s="28" t="n">
        <f aca="false">IF(B288=1,MAX(0,T288)*(1+RetRate)+G288,S288)</f>
        <v>0</v>
      </c>
      <c r="W288" s="28" t="n">
        <f aca="false">IF(A288&lt;=MIN('Education Cost Forecast'!$F$49,'Education Cost Forecast'!$F$53),G288*(1+RetRate)^('Education Cost Forecast'!$F$49-A288),0)</f>
        <v>0</v>
      </c>
      <c r="X288" s="28" t="n">
        <f aca="false">IF(B288=1,P288+D288-C288,0)</f>
        <v>0</v>
      </c>
    </row>
    <row r="289" customFormat="false" ht="15" hidden="false" customHeight="false" outlineLevel="0" collapsed="false">
      <c r="A289" s="27" t="n">
        <v>56</v>
      </c>
      <c r="B289" s="27" t="n">
        <f aca="false">'Education Cost Forecast'!B309</f>
        <v>0</v>
      </c>
      <c r="C289" s="28" t="n">
        <f aca="false">'Education Cost Forecast'!Z309</f>
        <v>0</v>
      </c>
      <c r="D289" s="28" t="n">
        <f aca="false">IF(AND(B289=1,'Education Cost Forecast'!F309&gt;0,'Education Cost Forecast'!E309=0),'Education Cost Forecast'!$F$45,0)</f>
        <v>0</v>
      </c>
      <c r="E289" s="27" t="n">
        <f aca="false">IF(AND(B289=1,A289&lt;='Education Cost Forecast'!$F$53),1,0)</f>
        <v>0</v>
      </c>
      <c r="F289" s="40" t="n">
        <f aca="false">(1+Esc)^(A289-1)</f>
        <v>14.6356309163739</v>
      </c>
      <c r="G289" s="28" t="n">
        <f aca="false">E289*('Education Cost Forecast'!$F$41*12*MonthlyFactor+'Education Cost Forecast'!$F$42)*F289</f>
        <v>0</v>
      </c>
      <c r="H289" s="28" t="n">
        <f aca="false">E289*UnitFactor*F289</f>
        <v>0</v>
      </c>
      <c r="I289" s="28" t="n">
        <f aca="false">J288+D289-C289</f>
        <v>0</v>
      </c>
      <c r="J289" s="28" t="n">
        <f aca="false">IF(B289=1,I289*(1+RetRate)+G289,J288)</f>
        <v>0</v>
      </c>
      <c r="K289" s="28" t="n">
        <f aca="false">L288</f>
        <v>0</v>
      </c>
      <c r="L289" s="28" t="n">
        <f aca="false">IF(B289=1,K289*(1+RetRate)+H289,L288)</f>
        <v>0</v>
      </c>
      <c r="M289" s="40" t="n">
        <f aca="false">(1+RetRate)^(A289-1)</f>
        <v>509.32060567349</v>
      </c>
      <c r="N289" s="28" t="n">
        <f aca="false">IF(AND(B289=1,C289&gt;0,K289&lt;=0.000000000001,I289&lt;0),-I289/M289,0)</f>
        <v>0</v>
      </c>
      <c r="O289" s="28" t="n">
        <f aca="false">IF(AND(B289=1,C289&gt;0,K289&gt;0.000000000001),-(I289+$F$14*M289)/K289,0)</f>
        <v>0</v>
      </c>
      <c r="P289" s="28" t="n">
        <f aca="false">R288</f>
        <v>0</v>
      </c>
      <c r="Q289" s="28" t="n">
        <f aca="false">H289*$F$15</f>
        <v>0</v>
      </c>
      <c r="R289" s="28" t="n">
        <f aca="false">IF(B289=1,(P289+D289-C289)*(1+RetRate)+G289+Q289,P289)</f>
        <v>0</v>
      </c>
      <c r="S289" s="28" t="n">
        <f aca="false">V288</f>
        <v>0</v>
      </c>
      <c r="T289" s="28" t="n">
        <f aca="false">S289+D289-C289</f>
        <v>0</v>
      </c>
      <c r="U289" s="28" t="n">
        <f aca="false">IF(B289=1,MAX(0,-T289),0)</f>
        <v>0</v>
      </c>
      <c r="V289" s="28" t="n">
        <f aca="false">IF(B289=1,MAX(0,T289)*(1+RetRate)+G289,S289)</f>
        <v>0</v>
      </c>
      <c r="W289" s="28" t="n">
        <f aca="false">IF(A289&lt;=MIN('Education Cost Forecast'!$F$49,'Education Cost Forecast'!$F$53),G289*(1+RetRate)^('Education Cost Forecast'!$F$49-A289),0)</f>
        <v>0</v>
      </c>
      <c r="X289" s="28" t="n">
        <f aca="false">IF(B289=1,P289+D289-C289,0)</f>
        <v>0</v>
      </c>
    </row>
    <row r="290" customFormat="false" ht="15" hidden="false" customHeight="false" outlineLevel="0" collapsed="false">
      <c r="A290" s="27" t="n">
        <v>57</v>
      </c>
      <c r="B290" s="27" t="n">
        <f aca="false">'Education Cost Forecast'!B310</f>
        <v>0</v>
      </c>
      <c r="C290" s="28" t="n">
        <f aca="false">'Education Cost Forecast'!Z310</f>
        <v>0</v>
      </c>
      <c r="D290" s="28" t="n">
        <f aca="false">IF(AND(B290=1,'Education Cost Forecast'!F310&gt;0,'Education Cost Forecast'!E310=0),'Education Cost Forecast'!$F$45,0)</f>
        <v>0</v>
      </c>
      <c r="E290" s="27" t="n">
        <f aca="false">IF(AND(B290=1,A290&lt;='Education Cost Forecast'!$F$53),1,0)</f>
        <v>0</v>
      </c>
      <c r="F290" s="40" t="n">
        <f aca="false">(1+Esc)^(A290-1)</f>
        <v>15.3674124621926</v>
      </c>
      <c r="G290" s="28" t="n">
        <f aca="false">E290*('Education Cost Forecast'!$F$41*12*MonthlyFactor+'Education Cost Forecast'!$F$42)*F290</f>
        <v>0</v>
      </c>
      <c r="H290" s="28" t="n">
        <f aca="false">E290*UnitFactor*F290</f>
        <v>0</v>
      </c>
      <c r="I290" s="28" t="n">
        <f aca="false">J289+D290-C290</f>
        <v>0</v>
      </c>
      <c r="J290" s="28" t="n">
        <f aca="false">IF(B290=1,I290*(1+RetRate)+G290,J289)</f>
        <v>0</v>
      </c>
      <c r="K290" s="28" t="n">
        <f aca="false">L289</f>
        <v>0</v>
      </c>
      <c r="L290" s="28" t="n">
        <f aca="false">IF(B290=1,K290*(1+RetRate)+H290,L289)</f>
        <v>0</v>
      </c>
      <c r="M290" s="40" t="n">
        <f aca="false">(1+RetRate)^(A290-1)</f>
        <v>570.439078354309</v>
      </c>
      <c r="N290" s="28" t="n">
        <f aca="false">IF(AND(B290=1,C290&gt;0,K290&lt;=0.000000000001,I290&lt;0),-I290/M290,0)</f>
        <v>0</v>
      </c>
      <c r="O290" s="28" t="n">
        <f aca="false">IF(AND(B290=1,C290&gt;0,K290&gt;0.000000000001),-(I290+$F$14*M290)/K290,0)</f>
        <v>0</v>
      </c>
      <c r="P290" s="28" t="n">
        <f aca="false">R289</f>
        <v>0</v>
      </c>
      <c r="Q290" s="28" t="n">
        <f aca="false">H290*$F$15</f>
        <v>0</v>
      </c>
      <c r="R290" s="28" t="n">
        <f aca="false">IF(B290=1,(P290+D290-C290)*(1+RetRate)+G290+Q290,P290)</f>
        <v>0</v>
      </c>
      <c r="S290" s="28" t="n">
        <f aca="false">V289</f>
        <v>0</v>
      </c>
      <c r="T290" s="28" t="n">
        <f aca="false">S290+D290-C290</f>
        <v>0</v>
      </c>
      <c r="U290" s="28" t="n">
        <f aca="false">IF(B290=1,MAX(0,-T290),0)</f>
        <v>0</v>
      </c>
      <c r="V290" s="28" t="n">
        <f aca="false">IF(B290=1,MAX(0,T290)*(1+RetRate)+G290,S290)</f>
        <v>0</v>
      </c>
      <c r="W290" s="28" t="n">
        <f aca="false">IF(A290&lt;=MIN('Education Cost Forecast'!$F$49,'Education Cost Forecast'!$F$53),G290*(1+RetRate)^('Education Cost Forecast'!$F$49-A290),0)</f>
        <v>0</v>
      </c>
      <c r="X290" s="28" t="n">
        <f aca="false">IF(B290=1,P290+D290-C290,0)</f>
        <v>0</v>
      </c>
    </row>
    <row r="291" customFormat="false" ht="15" hidden="false" customHeight="false" outlineLevel="0" collapsed="false">
      <c r="A291" s="27" t="n">
        <v>58</v>
      </c>
      <c r="B291" s="27" t="n">
        <f aca="false">'Education Cost Forecast'!B311</f>
        <v>0</v>
      </c>
      <c r="C291" s="28" t="n">
        <f aca="false">'Education Cost Forecast'!Z311</f>
        <v>0</v>
      </c>
      <c r="D291" s="28" t="n">
        <f aca="false">IF(AND(B291=1,'Education Cost Forecast'!F311&gt;0,'Education Cost Forecast'!E311=0),'Education Cost Forecast'!$F$45,0)</f>
        <v>0</v>
      </c>
      <c r="E291" s="27" t="n">
        <f aca="false">IF(AND(B291=1,A291&lt;='Education Cost Forecast'!$F$53),1,0)</f>
        <v>0</v>
      </c>
      <c r="F291" s="40" t="n">
        <f aca="false">(1+Esc)^(A291-1)</f>
        <v>16.1357830853022</v>
      </c>
      <c r="G291" s="28" t="n">
        <f aca="false">E291*('Education Cost Forecast'!$F$41*12*MonthlyFactor+'Education Cost Forecast'!$F$42)*F291</f>
        <v>0</v>
      </c>
      <c r="H291" s="28" t="n">
        <f aca="false">E291*UnitFactor*F291</f>
        <v>0</v>
      </c>
      <c r="I291" s="28" t="n">
        <f aca="false">J290+D291-C291</f>
        <v>0</v>
      </c>
      <c r="J291" s="28" t="n">
        <f aca="false">IF(B291=1,I291*(1+RetRate)+G291,J290)</f>
        <v>0</v>
      </c>
      <c r="K291" s="28" t="n">
        <f aca="false">L290</f>
        <v>0</v>
      </c>
      <c r="L291" s="28" t="n">
        <f aca="false">IF(B291=1,K291*(1+RetRate)+H291,L290)</f>
        <v>0</v>
      </c>
      <c r="M291" s="40" t="n">
        <f aca="false">(1+RetRate)^(A291-1)</f>
        <v>638.891767756826</v>
      </c>
      <c r="N291" s="28" t="n">
        <f aca="false">IF(AND(B291=1,C291&gt;0,K291&lt;=0.000000000001,I291&lt;0),-I291/M291,0)</f>
        <v>0</v>
      </c>
      <c r="O291" s="28" t="n">
        <f aca="false">IF(AND(B291=1,C291&gt;0,K291&gt;0.000000000001),-(I291+$F$14*M291)/K291,0)</f>
        <v>0</v>
      </c>
      <c r="P291" s="28" t="n">
        <f aca="false">R290</f>
        <v>0</v>
      </c>
      <c r="Q291" s="28" t="n">
        <f aca="false">H291*$F$15</f>
        <v>0</v>
      </c>
      <c r="R291" s="28" t="n">
        <f aca="false">IF(B291=1,(P291+D291-C291)*(1+RetRate)+G291+Q291,P291)</f>
        <v>0</v>
      </c>
      <c r="S291" s="28" t="n">
        <f aca="false">V290</f>
        <v>0</v>
      </c>
      <c r="T291" s="28" t="n">
        <f aca="false">S291+D291-C291</f>
        <v>0</v>
      </c>
      <c r="U291" s="28" t="n">
        <f aca="false">IF(B291=1,MAX(0,-T291),0)</f>
        <v>0</v>
      </c>
      <c r="V291" s="28" t="n">
        <f aca="false">IF(B291=1,MAX(0,T291)*(1+RetRate)+G291,S291)</f>
        <v>0</v>
      </c>
      <c r="W291" s="28" t="n">
        <f aca="false">IF(A291&lt;=MIN('Education Cost Forecast'!$F$49,'Education Cost Forecast'!$F$53),G291*(1+RetRate)^('Education Cost Forecast'!$F$49-A291),0)</f>
        <v>0</v>
      </c>
      <c r="X291" s="28" t="n">
        <f aca="false">IF(B291=1,P291+D291-C291,0)</f>
        <v>0</v>
      </c>
    </row>
    <row r="292" customFormat="false" ht="15" hidden="false" customHeight="false" outlineLevel="0" collapsed="false">
      <c r="A292" s="27" t="n">
        <v>59</v>
      </c>
      <c r="B292" s="27" t="n">
        <f aca="false">'Education Cost Forecast'!B312</f>
        <v>0</v>
      </c>
      <c r="C292" s="28" t="n">
        <f aca="false">'Education Cost Forecast'!Z312</f>
        <v>0</v>
      </c>
      <c r="D292" s="28" t="n">
        <f aca="false">IF(AND(B292=1,'Education Cost Forecast'!F312&gt;0,'Education Cost Forecast'!E312=0),'Education Cost Forecast'!$F$45,0)</f>
        <v>0</v>
      </c>
      <c r="E292" s="27" t="n">
        <f aca="false">IF(AND(B292=1,A292&lt;='Education Cost Forecast'!$F$53),1,0)</f>
        <v>0</v>
      </c>
      <c r="F292" s="40" t="n">
        <f aca="false">(1+Esc)^(A292-1)</f>
        <v>16.9425722395673</v>
      </c>
      <c r="G292" s="28" t="n">
        <f aca="false">E292*('Education Cost Forecast'!$F$41*12*MonthlyFactor+'Education Cost Forecast'!$F$42)*F292</f>
        <v>0</v>
      </c>
      <c r="H292" s="28" t="n">
        <f aca="false">E292*UnitFactor*F292</f>
        <v>0</v>
      </c>
      <c r="I292" s="28" t="n">
        <f aca="false">J291+D292-C292</f>
        <v>0</v>
      </c>
      <c r="J292" s="28" t="n">
        <f aca="false">IF(B292=1,I292*(1+RetRate)+G292,J291)</f>
        <v>0</v>
      </c>
      <c r="K292" s="28" t="n">
        <f aca="false">L291</f>
        <v>0</v>
      </c>
      <c r="L292" s="28" t="n">
        <f aca="false">IF(B292=1,K292*(1+RetRate)+H292,L291)</f>
        <v>0</v>
      </c>
      <c r="M292" s="40" t="n">
        <f aca="false">(1+RetRate)^(A292-1)</f>
        <v>715.558779887645</v>
      </c>
      <c r="N292" s="28" t="n">
        <f aca="false">IF(AND(B292=1,C292&gt;0,K292&lt;=0.000000000001,I292&lt;0),-I292/M292,0)</f>
        <v>0</v>
      </c>
      <c r="O292" s="28" t="n">
        <f aca="false">IF(AND(B292=1,C292&gt;0,K292&gt;0.000000000001),-(I292+$F$14*M292)/K292,0)</f>
        <v>0</v>
      </c>
      <c r="P292" s="28" t="n">
        <f aca="false">R291</f>
        <v>0</v>
      </c>
      <c r="Q292" s="28" t="n">
        <f aca="false">H292*$F$15</f>
        <v>0</v>
      </c>
      <c r="R292" s="28" t="n">
        <f aca="false">IF(B292=1,(P292+D292-C292)*(1+RetRate)+G292+Q292,P292)</f>
        <v>0</v>
      </c>
      <c r="S292" s="28" t="n">
        <f aca="false">V291</f>
        <v>0</v>
      </c>
      <c r="T292" s="28" t="n">
        <f aca="false">S292+D292-C292</f>
        <v>0</v>
      </c>
      <c r="U292" s="28" t="n">
        <f aca="false">IF(B292=1,MAX(0,-T292),0)</f>
        <v>0</v>
      </c>
      <c r="V292" s="28" t="n">
        <f aca="false">IF(B292=1,MAX(0,T292)*(1+RetRate)+G292,S292)</f>
        <v>0</v>
      </c>
      <c r="W292" s="28" t="n">
        <f aca="false">IF(A292&lt;=MIN('Education Cost Forecast'!$F$49,'Education Cost Forecast'!$F$53),G292*(1+RetRate)^('Education Cost Forecast'!$F$49-A292),0)</f>
        <v>0</v>
      </c>
      <c r="X292" s="28" t="n">
        <f aca="false">IF(B292=1,P292+D292-C292,0)</f>
        <v>0</v>
      </c>
    </row>
    <row r="293" customFormat="false" ht="15" hidden="false" customHeight="false" outlineLevel="0" collapsed="false">
      <c r="A293" s="27" t="n">
        <v>60</v>
      </c>
      <c r="B293" s="27" t="n">
        <f aca="false">'Education Cost Forecast'!B313</f>
        <v>0</v>
      </c>
      <c r="C293" s="28" t="n">
        <f aca="false">'Education Cost Forecast'!Z313</f>
        <v>0</v>
      </c>
      <c r="D293" s="28" t="n">
        <f aca="false">IF(AND(B293=1,'Education Cost Forecast'!F313&gt;0,'Education Cost Forecast'!E313=0),'Education Cost Forecast'!$F$45,0)</f>
        <v>0</v>
      </c>
      <c r="E293" s="27" t="n">
        <f aca="false">IF(AND(B293=1,A293&lt;='Education Cost Forecast'!$F$53),1,0)</f>
        <v>0</v>
      </c>
      <c r="F293" s="40" t="n">
        <f aca="false">(1+Esc)^(A293-1)</f>
        <v>17.7897008515457</v>
      </c>
      <c r="G293" s="28" t="n">
        <f aca="false">E293*('Education Cost Forecast'!$F$41*12*MonthlyFactor+'Education Cost Forecast'!$F$42)*F293</f>
        <v>0</v>
      </c>
      <c r="H293" s="28" t="n">
        <f aca="false">E293*UnitFactor*F293</f>
        <v>0</v>
      </c>
      <c r="I293" s="28" t="n">
        <f aca="false">J292+D293-C293</f>
        <v>0</v>
      </c>
      <c r="J293" s="28" t="n">
        <f aca="false">IF(B293=1,I293*(1+RetRate)+G293,J292)</f>
        <v>0</v>
      </c>
      <c r="K293" s="28" t="n">
        <f aca="false">L292</f>
        <v>0</v>
      </c>
      <c r="L293" s="28" t="n">
        <f aca="false">IF(B293=1,K293*(1+RetRate)+H293,L292)</f>
        <v>0</v>
      </c>
      <c r="M293" s="40" t="n">
        <f aca="false">(1+RetRate)^(A293-1)</f>
        <v>801.425833474162</v>
      </c>
      <c r="N293" s="28" t="n">
        <f aca="false">IF(AND(B293=1,C293&gt;0,K293&lt;=0.000000000001,I293&lt;0),-I293/M293,0)</f>
        <v>0</v>
      </c>
      <c r="O293" s="28" t="n">
        <f aca="false">IF(AND(B293=1,C293&gt;0,K293&gt;0.000000000001),-(I293+$F$14*M293)/K293,0)</f>
        <v>0</v>
      </c>
      <c r="P293" s="28" t="n">
        <f aca="false">R292</f>
        <v>0</v>
      </c>
      <c r="Q293" s="28" t="n">
        <f aca="false">H293*$F$15</f>
        <v>0</v>
      </c>
      <c r="R293" s="28" t="n">
        <f aca="false">IF(B293=1,(P293+D293-C293)*(1+RetRate)+G293+Q293,P293)</f>
        <v>0</v>
      </c>
      <c r="S293" s="28" t="n">
        <f aca="false">V292</f>
        <v>0</v>
      </c>
      <c r="T293" s="28" t="n">
        <f aca="false">S293+D293-C293</f>
        <v>0</v>
      </c>
      <c r="U293" s="28" t="n">
        <f aca="false">IF(B293=1,MAX(0,-T293),0)</f>
        <v>0</v>
      </c>
      <c r="V293" s="28" t="n">
        <f aca="false">IF(B293=1,MAX(0,T293)*(1+RetRate)+G293,S293)</f>
        <v>0</v>
      </c>
      <c r="W293" s="28" t="n">
        <f aca="false">IF(A293&lt;=MIN('Education Cost Forecast'!$F$49,'Education Cost Forecast'!$F$53),G293*(1+RetRate)^('Education Cost Forecast'!$F$49-A293),0)</f>
        <v>0</v>
      </c>
      <c r="X293" s="28" t="n">
        <f aca="false">IF(B293=1,P293+D293-C293,0)</f>
        <v>0</v>
      </c>
    </row>
  </sheetData>
  <sheetProtection sheet="true" formatColumns="false" formatRows="false"/>
  <mergeCells count="2">
    <mergeCell ref="A2:H2"/>
    <mergeCell ref="A23:G23"/>
  </mergeCells>
  <conditionalFormatting sqref="A42:X101">
    <cfRule type="expression" priority="2" aboveAverage="0" equalAverage="0" bottom="0" percent="0" rank="0" text="" dxfId="9">
      <formula>$B42=0</formula>
    </cfRule>
  </conditionalFormatting>
  <conditionalFormatting sqref="U42:U101">
    <cfRule type="expression" priority="3" aboveAverage="0" equalAverage="0" bottom="0" percent="0" rank="0" text="" dxfId="10">
      <formula>U42&gt;0.5</formula>
    </cfRule>
  </conditionalFormatting>
  <conditionalFormatting sqref="A106:X165">
    <cfRule type="expression" priority="4" aboveAverage="0" equalAverage="0" bottom="0" percent="0" rank="0" text="" dxfId="9">
      <formula>$B106=0</formula>
    </cfRule>
  </conditionalFormatting>
  <conditionalFormatting sqref="U106:U165">
    <cfRule type="expression" priority="5" aboveAverage="0" equalAverage="0" bottom="0" percent="0" rank="0" text="" dxfId="10">
      <formula>U106&gt;0.5</formula>
    </cfRule>
  </conditionalFormatting>
  <conditionalFormatting sqref="A170:X229">
    <cfRule type="expression" priority="6" aboveAverage="0" equalAverage="0" bottom="0" percent="0" rank="0" text="" dxfId="9">
      <formula>$B170=0</formula>
    </cfRule>
  </conditionalFormatting>
  <conditionalFormatting sqref="U170:U229">
    <cfRule type="expression" priority="7" aboveAverage="0" equalAverage="0" bottom="0" percent="0" rank="0" text="" dxfId="10">
      <formula>U170&gt;0.5</formula>
    </cfRule>
  </conditionalFormatting>
  <conditionalFormatting sqref="A234:X293">
    <cfRule type="expression" priority="8" aboveAverage="0" equalAverage="0" bottom="0" percent="0" rank="0" text="" dxfId="9">
      <formula>$B234=0</formula>
    </cfRule>
  </conditionalFormatting>
  <conditionalFormatting sqref="U234:U293">
    <cfRule type="expression" priority="9" aboveAverage="0" equalAverage="0" bottom="0" percent="0" rank="0" text="" dxfId="10">
      <formula>U234&gt;0.5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7" min="3" style="0" width="20"/>
    <col collapsed="false" customWidth="true" hidden="false" outlineLevel="0" max="8" min="8" style="0" width="4"/>
  </cols>
  <sheetData>
    <row r="1" customFormat="false" ht="19.7" hidden="false" customHeight="false" outlineLevel="0" collapsed="false">
      <c r="B1" s="1" t="s">
        <v>656</v>
      </c>
    </row>
    <row r="2" customFormat="false" ht="15" hidden="false" customHeight="false" outlineLevel="0" collapsed="false">
      <c r="B2" s="15" t="str">
        <f aca="false">"Family: "&amp;'Parent Inputs'!D7&amp;"   ·   Education country: "&amp;FamCountry&amp;"   ·   Reporting currency: "&amp;RepCcy&amp;"   ·   Exchange rates as of "&amp;FX_Date</f>
        <v>Family: Example family   ·   Education country: Pakistan   ·   Reporting currency: PKR   ·   Exchange rates as of 2026-10-01</v>
      </c>
    </row>
    <row r="4" customFormat="false" ht="15" hidden="false" customHeight="false" outlineLevel="0" collapsed="false">
      <c r="B4" s="6" t="s">
        <v>657</v>
      </c>
    </row>
    <row r="5" customFormat="false" ht="15" hidden="false" customHeight="false" outlineLevel="0" collapsed="false">
      <c r="B5" s="32" t="s">
        <v>658</v>
      </c>
      <c r="C5" s="47" t="n">
        <f aca="false">NumChildren</f>
        <v>2</v>
      </c>
    </row>
    <row r="6" customFormat="false" ht="15" hidden="false" customHeight="false" outlineLevel="0" collapsed="false">
      <c r="B6" s="32" t="s">
        <v>659</v>
      </c>
      <c r="C6" s="46" t="str">
        <f aca="false">FamCountry</f>
        <v>Pakistan</v>
      </c>
    </row>
    <row r="7" customFormat="false" ht="15" hidden="false" customHeight="true" outlineLevel="0" collapsed="false">
      <c r="B7" s="32" t="s">
        <v>523</v>
      </c>
      <c r="C7" s="46" t="str">
        <f aca="false">RepCcy</f>
        <v>PKR</v>
      </c>
      <c r="D7" s="2" t="s">
        <v>660</v>
      </c>
      <c r="E7" s="2"/>
      <c r="F7" s="2"/>
      <c r="G7" s="2"/>
    </row>
    <row r="8" customFormat="false" ht="15" hidden="false" customHeight="false" outlineLevel="0" collapsed="false">
      <c r="B8" s="32" t="s">
        <v>661</v>
      </c>
      <c r="C8" s="42" t="n">
        <f aca="false">'Savings Calculator'!G7</f>
        <v>83703116.8397327</v>
      </c>
      <c r="D8" s="2"/>
      <c r="E8" s="2"/>
      <c r="F8" s="2"/>
      <c r="G8" s="2"/>
    </row>
    <row r="9" customFormat="false" ht="15" hidden="false" customHeight="false" outlineLevel="0" collapsed="false">
      <c r="B9" s="32" t="s">
        <v>662</v>
      </c>
      <c r="C9" s="42" t="n">
        <f aca="false">SUMPRODUCT('Education Cost Forecast'!C40:F40,'Education Cost Forecast'!C5:F5)</f>
        <v>600000</v>
      </c>
      <c r="D9" s="2"/>
      <c r="E9" s="2"/>
      <c r="F9" s="2"/>
      <c r="G9" s="2"/>
    </row>
    <row r="10" customFormat="false" ht="15" hidden="false" customHeight="false" outlineLevel="0" collapsed="false">
      <c r="B10" s="32" t="s">
        <v>663</v>
      </c>
      <c r="C10" s="42" t="n">
        <f aca="false">'Savings Calculator'!G12+'Savings Calculator'!G13</f>
        <v>5328608.53534598</v>
      </c>
    </row>
    <row r="11" customFormat="false" ht="15" hidden="false" customHeight="false" outlineLevel="0" collapsed="false">
      <c r="B11" s="32" t="s">
        <v>664</v>
      </c>
      <c r="C11" s="44" t="n">
        <f aca="false">'Savings Calculator'!G16</f>
        <v>152367.012062573</v>
      </c>
    </row>
    <row r="12" customFormat="false" ht="15" hidden="false" customHeight="false" outlineLevel="0" collapsed="false">
      <c r="B12" s="32" t="s">
        <v>665</v>
      </c>
      <c r="C12" s="44" t="n">
        <f aca="false">'Savings Calculator'!G15</f>
        <v>1828404.14475088</v>
      </c>
    </row>
    <row r="13" customFormat="false" ht="15" hidden="false" customHeight="false" outlineLevel="0" collapsed="false">
      <c r="B13" s="32" t="s">
        <v>666</v>
      </c>
      <c r="C13" s="42" t="n">
        <f aca="false">'Savings Calculator'!G14</f>
        <v>0</v>
      </c>
    </row>
    <row r="14" customFormat="false" ht="15" hidden="false" customHeight="false" outlineLevel="0" collapsed="false">
      <c r="B14" s="32" t="s">
        <v>667</v>
      </c>
      <c r="C14" s="45" t="n">
        <f aca="false">'Savings Calculator'!G19</f>
        <v>0.0765453489532798</v>
      </c>
    </row>
    <row r="15" customFormat="false" ht="15" hidden="false" customHeight="false" outlineLevel="0" collapsed="false">
      <c r="B15" s="32" t="s">
        <v>668</v>
      </c>
      <c r="C15" s="42" t="n">
        <f aca="false">'Savings Calculator'!G20</f>
        <v>-77296032.5527582</v>
      </c>
    </row>
    <row r="18" customFormat="false" ht="15" hidden="false" customHeight="false" outlineLevel="0" collapsed="false">
      <c r="B18" s="6" t="s">
        <v>669</v>
      </c>
    </row>
    <row r="19" customFormat="false" ht="23.85" hidden="false" customHeight="false" outlineLevel="0" collapsed="false">
      <c r="B19" s="22" t="s">
        <v>670</v>
      </c>
      <c r="C19" s="22" t="s">
        <v>671</v>
      </c>
      <c r="D19" s="22" t="s">
        <v>672</v>
      </c>
      <c r="E19" s="22" t="s">
        <v>673</v>
      </c>
      <c r="F19" s="22" t="s">
        <v>674</v>
      </c>
      <c r="G19" s="22" t="s">
        <v>675</v>
      </c>
    </row>
    <row r="20" customFormat="false" ht="15" hidden="false" customHeight="false" outlineLevel="0" collapsed="false">
      <c r="B20" s="32" t="str">
        <f aca="false">'Savings Calculator'!C4</f>
        <v>Child 1</v>
      </c>
      <c r="C20" s="48" t="n">
        <f aca="false">'Savings Calculator'!C7</f>
        <v>13919331.2930391</v>
      </c>
      <c r="D20" s="48" t="n">
        <f aca="false">'Savings Calculator'!C8</f>
        <v>11346476.8716419</v>
      </c>
      <c r="E20" s="48" t="n">
        <f aca="false">'Savings Calculator'!C9</f>
        <v>1648082.56914663</v>
      </c>
      <c r="F20" s="48" t="n">
        <f aca="false">'Savings Calculator'!C10</f>
        <v>924771.852250528</v>
      </c>
      <c r="G20" s="48" t="n">
        <f aca="false">IF(ContribMode="Annual",'Savings Calculator'!C15,'Savings Calculator'!C15/12)</f>
        <v>36131.4046039903</v>
      </c>
    </row>
    <row r="21" customFormat="false" ht="15" hidden="false" customHeight="false" outlineLevel="0" collapsed="false">
      <c r="B21" s="32" t="str">
        <f aca="false">'Savings Calculator'!D4</f>
        <v>Child 2</v>
      </c>
      <c r="C21" s="48" t="n">
        <f aca="false">'Savings Calculator'!D7</f>
        <v>69783785.5466936</v>
      </c>
      <c r="D21" s="48" t="n">
        <f aca="false">'Savings Calculator'!D8</f>
        <v>62933267.405332</v>
      </c>
      <c r="E21" s="48" t="n">
        <f aca="false">'Savings Calculator'!D9</f>
        <v>2702930.00631042</v>
      </c>
      <c r="F21" s="48" t="n">
        <f aca="false">'Savings Calculator'!D10</f>
        <v>4147588.1350512</v>
      </c>
      <c r="G21" s="48" t="n">
        <f aca="false">IF(ContribMode="Annual",'Savings Calculator'!D15,'Savings Calculator'!D15/12)</f>
        <v>116235.607458583</v>
      </c>
    </row>
    <row r="22" customFormat="false" ht="15" hidden="false" customHeight="false" outlineLevel="0" collapsed="false">
      <c r="B22" s="32" t="str">
        <f aca="false">'Savings Calculator'!E4</f>
        <v>Child 3</v>
      </c>
      <c r="C22" s="48" t="n">
        <f aca="false">'Savings Calculator'!E7</f>
        <v>0</v>
      </c>
      <c r="D22" s="48" t="n">
        <f aca="false">'Savings Calculator'!E8</f>
        <v>0</v>
      </c>
      <c r="E22" s="48" t="n">
        <f aca="false">'Savings Calculator'!E9</f>
        <v>0</v>
      </c>
      <c r="F22" s="48" t="n">
        <f aca="false">'Savings Calculator'!E10</f>
        <v>0</v>
      </c>
      <c r="G22" s="48" t="n">
        <f aca="false">IF(ContribMode="Annual",'Savings Calculator'!E15,'Savings Calculator'!E15/12)</f>
        <v>0</v>
      </c>
    </row>
    <row r="23" customFormat="false" ht="15" hidden="false" customHeight="false" outlineLevel="0" collapsed="false">
      <c r="B23" s="32" t="str">
        <f aca="false">'Savings Calculator'!F4</f>
        <v>Child 4</v>
      </c>
      <c r="C23" s="48" t="n">
        <f aca="false">'Savings Calculator'!F7</f>
        <v>0</v>
      </c>
      <c r="D23" s="48" t="n">
        <f aca="false">'Savings Calculator'!F8</f>
        <v>0</v>
      </c>
      <c r="E23" s="48" t="n">
        <f aca="false">'Savings Calculator'!F9</f>
        <v>0</v>
      </c>
      <c r="F23" s="48" t="n">
        <f aca="false">'Savings Calculator'!F10</f>
        <v>0</v>
      </c>
      <c r="G23" s="48" t="n">
        <f aca="false">IF(ContribMode="Annual",'Savings Calculator'!F15,'Savings Calculator'!F15/12)</f>
        <v>0</v>
      </c>
    </row>
    <row r="24" customFormat="false" ht="15" hidden="false" customHeight="false" outlineLevel="0" collapsed="false">
      <c r="B24" s="15" t="s">
        <v>676</v>
      </c>
    </row>
    <row r="76" customFormat="false" ht="15" hidden="false" customHeight="true" outlineLevel="0" collapsed="false">
      <c r="B76" s="2" t="s">
        <v>677</v>
      </c>
      <c r="C76" s="2"/>
      <c r="D76" s="2"/>
      <c r="E76" s="2"/>
      <c r="F76" s="2"/>
      <c r="G76" s="2"/>
    </row>
    <row r="77" customFormat="false" ht="15" hidden="false" customHeight="false" outlineLevel="0" collapsed="false">
      <c r="B77" s="2"/>
      <c r="C77" s="2"/>
      <c r="D77" s="2"/>
      <c r="E77" s="2"/>
      <c r="F77" s="2"/>
      <c r="G77" s="2"/>
    </row>
  </sheetData>
  <sheetProtection sheet="true" formatColumns="false" formatRows="false"/>
  <mergeCells count="2">
    <mergeCell ref="D7:G9"/>
    <mergeCell ref="B76:G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2"/>
    <col collapsed="false" customWidth="true" hidden="false" outlineLevel="0" max="4" min="4" style="0" width="26"/>
    <col collapsed="false" customWidth="true" hidden="false" outlineLevel="0" max="5" min="5" style="0" width="14"/>
    <col collapsed="false" customWidth="true" hidden="false" outlineLevel="0" max="6" min="6" style="0" width="9"/>
    <col collapsed="false" customWidth="true" hidden="false" outlineLevel="0" max="7" min="7" style="0" width="12"/>
    <col collapsed="false" customWidth="true" hidden="false" outlineLevel="0" max="8" min="8" style="0" width="70"/>
  </cols>
  <sheetData>
    <row r="1" customFormat="false" ht="19.7" hidden="false" customHeight="false" outlineLevel="0" collapsed="false">
      <c r="A1" s="1" t="s">
        <v>678</v>
      </c>
    </row>
    <row r="2" customFormat="false" ht="43.5" hidden="false" customHeight="true" outlineLevel="0" collapsed="false">
      <c r="A2" s="49" t="s">
        <v>679</v>
      </c>
      <c r="B2" s="49"/>
      <c r="C2" s="49"/>
      <c r="D2" s="49"/>
      <c r="E2" s="49"/>
      <c r="F2" s="49"/>
      <c r="G2" s="49"/>
      <c r="H2" s="49"/>
    </row>
    <row r="4" customFormat="false" ht="15" hidden="false" customHeight="false" outlineLevel="0" collapsed="false">
      <c r="A4" s="6" t="s">
        <v>680</v>
      </c>
    </row>
    <row r="5" customFormat="false" ht="15" hidden="false" customHeight="false" outlineLevel="0" collapsed="false">
      <c r="A5" s="22" t="s">
        <v>76</v>
      </c>
      <c r="B5" s="22" t="s">
        <v>681</v>
      </c>
      <c r="C5" s="22" t="s">
        <v>78</v>
      </c>
      <c r="D5" s="22" t="s">
        <v>538</v>
      </c>
      <c r="E5" s="22" t="s">
        <v>682</v>
      </c>
      <c r="F5" s="22" t="s">
        <v>99</v>
      </c>
      <c r="G5" s="22" t="s">
        <v>683</v>
      </c>
      <c r="H5" s="22" t="s">
        <v>684</v>
      </c>
    </row>
    <row r="6" customFormat="false" ht="15" hidden="false" customHeight="false" outlineLevel="0" collapsed="false">
      <c r="A6" s="32" t="s">
        <v>110</v>
      </c>
      <c r="B6" s="32" t="s">
        <v>113</v>
      </c>
      <c r="C6" s="32" t="s">
        <v>111</v>
      </c>
      <c r="D6" s="32" t="s">
        <v>115</v>
      </c>
      <c r="E6" s="32" t="s">
        <v>117</v>
      </c>
      <c r="F6" s="32" t="s">
        <v>118</v>
      </c>
      <c r="G6" s="32" t="s">
        <v>123</v>
      </c>
      <c r="H6" s="50" t="s">
        <v>685</v>
      </c>
    </row>
    <row r="7" customFormat="false" ht="15" hidden="false" customHeight="false" outlineLevel="0" collapsed="false">
      <c r="A7" s="32" t="s">
        <v>127</v>
      </c>
      <c r="B7" s="32" t="s">
        <v>113</v>
      </c>
      <c r="C7" s="32" t="s">
        <v>128</v>
      </c>
      <c r="D7" s="32" t="s">
        <v>115</v>
      </c>
      <c r="E7" s="32" t="s">
        <v>117</v>
      </c>
      <c r="F7" s="32" t="s">
        <v>118</v>
      </c>
      <c r="G7" s="32" t="s">
        <v>123</v>
      </c>
      <c r="H7" s="50" t="s">
        <v>685</v>
      </c>
    </row>
    <row r="8" customFormat="false" ht="15" hidden="false" customHeight="false" outlineLevel="0" collapsed="false">
      <c r="A8" s="32" t="s">
        <v>129</v>
      </c>
      <c r="B8" s="32" t="s">
        <v>113</v>
      </c>
      <c r="C8" s="32" t="s">
        <v>130</v>
      </c>
      <c r="D8" s="32" t="s">
        <v>115</v>
      </c>
      <c r="E8" s="32" t="s">
        <v>117</v>
      </c>
      <c r="F8" s="32" t="s">
        <v>118</v>
      </c>
      <c r="G8" s="32" t="s">
        <v>123</v>
      </c>
      <c r="H8" s="50" t="s">
        <v>685</v>
      </c>
    </row>
    <row r="9" customFormat="false" ht="15" hidden="false" customHeight="false" outlineLevel="0" collapsed="false">
      <c r="A9" s="32" t="s">
        <v>131</v>
      </c>
      <c r="B9" s="32" t="s">
        <v>113</v>
      </c>
      <c r="C9" s="32" t="s">
        <v>43</v>
      </c>
      <c r="D9" s="32" t="s">
        <v>115</v>
      </c>
      <c r="E9" s="32" t="s">
        <v>117</v>
      </c>
      <c r="F9" s="32" t="s">
        <v>118</v>
      </c>
      <c r="G9" s="32" t="s">
        <v>123</v>
      </c>
      <c r="H9" s="50" t="s">
        <v>685</v>
      </c>
    </row>
    <row r="10" customFormat="false" ht="15" hidden="false" customHeight="false" outlineLevel="0" collapsed="false">
      <c r="A10" s="32" t="s">
        <v>133</v>
      </c>
      <c r="B10" s="32" t="s">
        <v>113</v>
      </c>
      <c r="C10" s="32" t="s">
        <v>45</v>
      </c>
      <c r="D10" s="32" t="s">
        <v>115</v>
      </c>
      <c r="E10" s="32" t="s">
        <v>117</v>
      </c>
      <c r="F10" s="32" t="s">
        <v>118</v>
      </c>
      <c r="G10" s="32" t="s">
        <v>123</v>
      </c>
      <c r="H10" s="50" t="s">
        <v>685</v>
      </c>
    </row>
    <row r="11" customFormat="false" ht="15" hidden="false" customHeight="false" outlineLevel="0" collapsed="false">
      <c r="A11" s="32" t="s">
        <v>136</v>
      </c>
      <c r="B11" s="32" t="s">
        <v>113</v>
      </c>
      <c r="C11" s="32" t="s">
        <v>46</v>
      </c>
      <c r="D11" s="32" t="s">
        <v>115</v>
      </c>
      <c r="E11" s="32" t="s">
        <v>117</v>
      </c>
      <c r="F11" s="32" t="s">
        <v>118</v>
      </c>
      <c r="G11" s="32" t="s">
        <v>123</v>
      </c>
      <c r="H11" s="50" t="s">
        <v>685</v>
      </c>
    </row>
    <row r="12" customFormat="false" ht="15" hidden="false" customHeight="false" outlineLevel="0" collapsed="false">
      <c r="A12" s="32" t="s">
        <v>137</v>
      </c>
      <c r="B12" s="32" t="s">
        <v>113</v>
      </c>
      <c r="C12" s="32" t="s">
        <v>111</v>
      </c>
      <c r="D12" s="32" t="s">
        <v>138</v>
      </c>
      <c r="E12" s="32" t="s">
        <v>117</v>
      </c>
      <c r="F12" s="32" t="s">
        <v>139</v>
      </c>
      <c r="G12" s="32" t="s">
        <v>123</v>
      </c>
      <c r="H12" s="50" t="s">
        <v>685</v>
      </c>
    </row>
    <row r="13" customFormat="false" ht="15" hidden="false" customHeight="false" outlineLevel="0" collapsed="false">
      <c r="A13" s="32" t="s">
        <v>141</v>
      </c>
      <c r="B13" s="32" t="s">
        <v>113</v>
      </c>
      <c r="C13" s="32" t="s">
        <v>43</v>
      </c>
      <c r="D13" s="32" t="s">
        <v>138</v>
      </c>
      <c r="E13" s="32" t="s">
        <v>117</v>
      </c>
      <c r="F13" s="32" t="s">
        <v>139</v>
      </c>
      <c r="G13" s="32" t="s">
        <v>123</v>
      </c>
      <c r="H13" s="50" t="s">
        <v>685</v>
      </c>
    </row>
    <row r="14" customFormat="false" ht="15" hidden="false" customHeight="false" outlineLevel="0" collapsed="false">
      <c r="A14" s="32" t="s">
        <v>142</v>
      </c>
      <c r="B14" s="32" t="s">
        <v>113</v>
      </c>
      <c r="C14" s="32" t="s">
        <v>45</v>
      </c>
      <c r="D14" s="32" t="s">
        <v>138</v>
      </c>
      <c r="E14" s="32" t="s">
        <v>117</v>
      </c>
      <c r="F14" s="32" t="s">
        <v>139</v>
      </c>
      <c r="G14" s="32" t="s">
        <v>123</v>
      </c>
      <c r="H14" s="50" t="s">
        <v>685</v>
      </c>
    </row>
    <row r="15" customFormat="false" ht="15" hidden="false" customHeight="false" outlineLevel="0" collapsed="false">
      <c r="A15" s="32" t="s">
        <v>144</v>
      </c>
      <c r="B15" s="32" t="s">
        <v>113</v>
      </c>
      <c r="C15" s="32" t="s">
        <v>46</v>
      </c>
      <c r="D15" s="32" t="s">
        <v>138</v>
      </c>
      <c r="E15" s="32" t="s">
        <v>117</v>
      </c>
      <c r="F15" s="32" t="s">
        <v>139</v>
      </c>
      <c r="G15" s="32" t="s">
        <v>123</v>
      </c>
      <c r="H15" s="50" t="s">
        <v>685</v>
      </c>
    </row>
    <row r="16" customFormat="false" ht="15" hidden="false" customHeight="false" outlineLevel="0" collapsed="false">
      <c r="A16" s="32" t="s">
        <v>145</v>
      </c>
      <c r="B16" s="32" t="s">
        <v>147</v>
      </c>
      <c r="C16" s="32" t="s">
        <v>43</v>
      </c>
      <c r="D16" s="32" t="s">
        <v>115</v>
      </c>
      <c r="E16" s="32" t="s">
        <v>117</v>
      </c>
      <c r="F16" s="32" t="s">
        <v>118</v>
      </c>
      <c r="G16" s="32" t="s">
        <v>123</v>
      </c>
      <c r="H16" s="50" t="s">
        <v>686</v>
      </c>
    </row>
    <row r="17" customFormat="false" ht="15" hidden="false" customHeight="false" outlineLevel="0" collapsed="false">
      <c r="A17" s="32" t="s">
        <v>153</v>
      </c>
      <c r="B17" s="32" t="s">
        <v>147</v>
      </c>
      <c r="C17" s="32" t="s">
        <v>128</v>
      </c>
      <c r="D17" s="32" t="s">
        <v>115</v>
      </c>
      <c r="E17" s="32" t="s">
        <v>117</v>
      </c>
      <c r="F17" s="32" t="s">
        <v>118</v>
      </c>
      <c r="G17" s="32" t="s">
        <v>123</v>
      </c>
      <c r="H17" s="50" t="s">
        <v>687</v>
      </c>
    </row>
    <row r="18" customFormat="false" ht="15" hidden="false" customHeight="false" outlineLevel="0" collapsed="false">
      <c r="A18" s="32" t="s">
        <v>156</v>
      </c>
      <c r="B18" s="32" t="s">
        <v>147</v>
      </c>
      <c r="C18" s="32" t="s">
        <v>46</v>
      </c>
      <c r="D18" s="32" t="s">
        <v>115</v>
      </c>
      <c r="E18" s="32" t="s">
        <v>117</v>
      </c>
      <c r="F18" s="32" t="s">
        <v>118</v>
      </c>
      <c r="G18" s="32" t="s">
        <v>123</v>
      </c>
      <c r="H18" s="50" t="s">
        <v>688</v>
      </c>
    </row>
    <row r="19" customFormat="false" ht="15" hidden="false" customHeight="false" outlineLevel="0" collapsed="false">
      <c r="A19" s="32" t="s">
        <v>160</v>
      </c>
      <c r="B19" s="32" t="s">
        <v>147</v>
      </c>
      <c r="C19" s="32" t="s">
        <v>45</v>
      </c>
      <c r="D19" s="32" t="s">
        <v>115</v>
      </c>
      <c r="E19" s="32" t="s">
        <v>117</v>
      </c>
      <c r="F19" s="32" t="s">
        <v>118</v>
      </c>
      <c r="G19" s="32" t="s">
        <v>123</v>
      </c>
      <c r="H19" s="50" t="s">
        <v>689</v>
      </c>
    </row>
    <row r="20" customFormat="false" ht="15" hidden="false" customHeight="false" outlineLevel="0" collapsed="false">
      <c r="A20" s="32" t="s">
        <v>163</v>
      </c>
      <c r="B20" s="32" t="s">
        <v>164</v>
      </c>
      <c r="C20" s="32" t="s">
        <v>45</v>
      </c>
      <c r="D20" s="32" t="s">
        <v>115</v>
      </c>
      <c r="E20" s="32" t="s">
        <v>117</v>
      </c>
      <c r="F20" s="32" t="s">
        <v>118</v>
      </c>
      <c r="G20" s="32" t="s">
        <v>123</v>
      </c>
      <c r="H20" s="50" t="s">
        <v>690</v>
      </c>
    </row>
    <row r="21" customFormat="false" ht="15" hidden="false" customHeight="false" outlineLevel="0" collapsed="false">
      <c r="A21" s="32" t="s">
        <v>170</v>
      </c>
      <c r="B21" s="32" t="s">
        <v>164</v>
      </c>
      <c r="C21" s="32" t="s">
        <v>46</v>
      </c>
      <c r="D21" s="32" t="s">
        <v>115</v>
      </c>
      <c r="E21" s="32" t="s">
        <v>117</v>
      </c>
      <c r="F21" s="32" t="s">
        <v>118</v>
      </c>
      <c r="G21" s="32" t="s">
        <v>123</v>
      </c>
      <c r="H21" s="50" t="s">
        <v>690</v>
      </c>
    </row>
    <row r="22" customFormat="false" ht="15" hidden="false" customHeight="false" outlineLevel="0" collapsed="false">
      <c r="A22" s="32" t="s">
        <v>172</v>
      </c>
      <c r="B22" s="32" t="s">
        <v>164</v>
      </c>
      <c r="C22" s="32" t="s">
        <v>43</v>
      </c>
      <c r="D22" s="32" t="s">
        <v>115</v>
      </c>
      <c r="E22" s="32" t="s">
        <v>117</v>
      </c>
      <c r="F22" s="32" t="s">
        <v>118</v>
      </c>
      <c r="G22" s="32" t="s">
        <v>123</v>
      </c>
      <c r="H22" s="50" t="s">
        <v>690</v>
      </c>
    </row>
    <row r="23" customFormat="false" ht="15" hidden="false" customHeight="false" outlineLevel="0" collapsed="false">
      <c r="A23" s="32" t="s">
        <v>173</v>
      </c>
      <c r="B23" s="32" t="s">
        <v>175</v>
      </c>
      <c r="C23" s="32" t="s">
        <v>44</v>
      </c>
      <c r="D23" s="32" t="s">
        <v>115</v>
      </c>
      <c r="E23" s="32" t="s">
        <v>176</v>
      </c>
      <c r="F23" s="32" t="s">
        <v>118</v>
      </c>
      <c r="G23" s="32" t="s">
        <v>123</v>
      </c>
      <c r="H23" s="50" t="s">
        <v>691</v>
      </c>
    </row>
    <row r="24" customFormat="false" ht="15" hidden="false" customHeight="false" outlineLevel="0" collapsed="false">
      <c r="A24" s="32" t="s">
        <v>180</v>
      </c>
      <c r="B24" s="32" t="s">
        <v>181</v>
      </c>
      <c r="C24" s="32" t="s">
        <v>44</v>
      </c>
      <c r="D24" s="32" t="s">
        <v>115</v>
      </c>
      <c r="E24" s="32" t="s">
        <v>182</v>
      </c>
      <c r="F24" s="32" t="s">
        <v>118</v>
      </c>
      <c r="G24" s="32" t="s">
        <v>123</v>
      </c>
      <c r="H24" s="50" t="s">
        <v>692</v>
      </c>
    </row>
    <row r="25" customFormat="false" ht="15" hidden="false" customHeight="false" outlineLevel="0" collapsed="false">
      <c r="A25" s="32" t="s">
        <v>188</v>
      </c>
      <c r="B25" s="32" t="s">
        <v>190</v>
      </c>
      <c r="C25" s="32" t="s">
        <v>44</v>
      </c>
      <c r="D25" s="32" t="s">
        <v>115</v>
      </c>
      <c r="E25" s="32" t="s">
        <v>192</v>
      </c>
      <c r="F25" s="32" t="s">
        <v>118</v>
      </c>
      <c r="G25" s="32" t="s">
        <v>123</v>
      </c>
      <c r="H25" s="50" t="s">
        <v>693</v>
      </c>
    </row>
    <row r="26" customFormat="false" ht="15" hidden="false" customHeight="false" outlineLevel="0" collapsed="false">
      <c r="A26" s="32" t="s">
        <v>197</v>
      </c>
      <c r="B26" s="32" t="s">
        <v>200</v>
      </c>
      <c r="C26" s="32" t="s">
        <v>111</v>
      </c>
      <c r="D26" s="32" t="s">
        <v>201</v>
      </c>
      <c r="E26" s="32" t="s">
        <v>192</v>
      </c>
      <c r="F26" s="32" t="s">
        <v>202</v>
      </c>
      <c r="G26" s="32" t="s">
        <v>123</v>
      </c>
      <c r="H26" s="50" t="s">
        <v>694</v>
      </c>
    </row>
    <row r="27" customFormat="false" ht="15" hidden="false" customHeight="false" outlineLevel="0" collapsed="false">
      <c r="A27" s="32" t="s">
        <v>206</v>
      </c>
      <c r="B27" s="32" t="s">
        <v>200</v>
      </c>
      <c r="C27" s="32" t="s">
        <v>43</v>
      </c>
      <c r="D27" s="32" t="s">
        <v>201</v>
      </c>
      <c r="E27" s="32" t="s">
        <v>192</v>
      </c>
      <c r="F27" s="32" t="s">
        <v>202</v>
      </c>
      <c r="G27" s="32" t="s">
        <v>123</v>
      </c>
      <c r="H27" s="50" t="s">
        <v>694</v>
      </c>
    </row>
    <row r="28" customFormat="false" ht="15" hidden="false" customHeight="false" outlineLevel="0" collapsed="false">
      <c r="A28" s="32" t="s">
        <v>207</v>
      </c>
      <c r="B28" s="32" t="s">
        <v>209</v>
      </c>
      <c r="C28" s="32" t="s">
        <v>43</v>
      </c>
      <c r="D28" s="32" t="s">
        <v>201</v>
      </c>
      <c r="E28" s="32" t="s">
        <v>211</v>
      </c>
      <c r="F28" s="32" t="s">
        <v>202</v>
      </c>
      <c r="G28" s="32" t="s">
        <v>123</v>
      </c>
      <c r="H28" s="50" t="s">
        <v>695</v>
      </c>
    </row>
    <row r="29" customFormat="false" ht="15" hidden="false" customHeight="false" outlineLevel="0" collapsed="false">
      <c r="A29" s="32" t="s">
        <v>216</v>
      </c>
      <c r="B29" s="32" t="s">
        <v>217</v>
      </c>
      <c r="C29" s="32" t="s">
        <v>43</v>
      </c>
      <c r="D29" s="32" t="s">
        <v>201</v>
      </c>
      <c r="E29" s="32" t="s">
        <v>192</v>
      </c>
      <c r="F29" s="32" t="s">
        <v>202</v>
      </c>
      <c r="G29" s="32" t="s">
        <v>123</v>
      </c>
      <c r="H29" s="50" t="s">
        <v>696</v>
      </c>
    </row>
    <row r="30" customFormat="false" ht="15" hidden="false" customHeight="false" outlineLevel="0" collapsed="false">
      <c r="A30" s="32" t="s">
        <v>222</v>
      </c>
      <c r="B30" s="32" t="s">
        <v>217</v>
      </c>
      <c r="C30" s="32" t="s">
        <v>111</v>
      </c>
      <c r="D30" s="32" t="s">
        <v>201</v>
      </c>
      <c r="E30" s="32" t="s">
        <v>192</v>
      </c>
      <c r="F30" s="32" t="s">
        <v>202</v>
      </c>
      <c r="G30" s="32" t="s">
        <v>123</v>
      </c>
      <c r="H30" s="50" t="s">
        <v>696</v>
      </c>
    </row>
    <row r="31" customFormat="false" ht="15" hidden="false" customHeight="false" outlineLevel="0" collapsed="false">
      <c r="A31" s="32" t="s">
        <v>224</v>
      </c>
      <c r="B31" s="32" t="s">
        <v>225</v>
      </c>
      <c r="C31" s="32" t="s">
        <v>44</v>
      </c>
      <c r="D31" s="32" t="s">
        <v>201</v>
      </c>
      <c r="E31" s="32" t="s">
        <v>192</v>
      </c>
      <c r="F31" s="32" t="s">
        <v>202</v>
      </c>
      <c r="G31" s="32" t="s">
        <v>123</v>
      </c>
      <c r="H31" s="50" t="s">
        <v>696</v>
      </c>
    </row>
    <row r="32" customFormat="false" ht="15" hidden="false" customHeight="false" outlineLevel="0" collapsed="false">
      <c r="A32" s="32" t="s">
        <v>227</v>
      </c>
      <c r="B32" s="32" t="s">
        <v>229</v>
      </c>
      <c r="C32" s="32" t="s">
        <v>45</v>
      </c>
      <c r="D32" s="32" t="s">
        <v>201</v>
      </c>
      <c r="E32" s="32" t="s">
        <v>192</v>
      </c>
      <c r="F32" s="32" t="s">
        <v>202</v>
      </c>
      <c r="G32" s="32" t="s">
        <v>123</v>
      </c>
      <c r="H32" s="50" t="s">
        <v>696</v>
      </c>
    </row>
    <row r="33" customFormat="false" ht="15" hidden="false" customHeight="false" outlineLevel="0" collapsed="false">
      <c r="A33" s="32" t="s">
        <v>230</v>
      </c>
      <c r="B33" s="32" t="s">
        <v>229</v>
      </c>
      <c r="C33" s="32" t="s">
        <v>46</v>
      </c>
      <c r="D33" s="32" t="s">
        <v>201</v>
      </c>
      <c r="E33" s="32" t="s">
        <v>192</v>
      </c>
      <c r="F33" s="32" t="s">
        <v>202</v>
      </c>
      <c r="G33" s="32" t="s">
        <v>123</v>
      </c>
      <c r="H33" s="50" t="s">
        <v>696</v>
      </c>
    </row>
    <row r="34" customFormat="false" ht="15" hidden="false" customHeight="false" outlineLevel="0" collapsed="false">
      <c r="A34" s="32" t="s">
        <v>232</v>
      </c>
      <c r="B34" s="32" t="s">
        <v>234</v>
      </c>
      <c r="C34" s="32" t="s">
        <v>45</v>
      </c>
      <c r="D34" s="32" t="s">
        <v>201</v>
      </c>
      <c r="E34" s="32" t="s">
        <v>235</v>
      </c>
      <c r="F34" s="32" t="s">
        <v>202</v>
      </c>
      <c r="G34" s="32" t="s">
        <v>123</v>
      </c>
      <c r="H34" s="50" t="s">
        <v>697</v>
      </c>
    </row>
    <row r="35" customFormat="false" ht="15" hidden="false" customHeight="false" outlineLevel="0" collapsed="false">
      <c r="A35" s="32" t="s">
        <v>240</v>
      </c>
      <c r="B35" s="32" t="s">
        <v>234</v>
      </c>
      <c r="C35" s="32" t="s">
        <v>45</v>
      </c>
      <c r="D35" s="32" t="s">
        <v>138</v>
      </c>
      <c r="E35" s="32" t="s">
        <v>235</v>
      </c>
      <c r="F35" s="32" t="s">
        <v>139</v>
      </c>
      <c r="G35" s="32" t="s">
        <v>123</v>
      </c>
      <c r="H35" s="50" t="s">
        <v>697</v>
      </c>
    </row>
    <row r="36" customFormat="false" ht="15" hidden="false" customHeight="false" outlineLevel="0" collapsed="false">
      <c r="A36" s="32" t="s">
        <v>242</v>
      </c>
      <c r="B36" s="32" t="s">
        <v>243</v>
      </c>
      <c r="C36" s="32" t="s">
        <v>46</v>
      </c>
      <c r="D36" s="32" t="s">
        <v>201</v>
      </c>
      <c r="E36" s="32" t="s">
        <v>192</v>
      </c>
      <c r="F36" s="32" t="s">
        <v>202</v>
      </c>
      <c r="G36" s="32" t="s">
        <v>123</v>
      </c>
      <c r="H36" s="50" t="s">
        <v>698</v>
      </c>
    </row>
    <row r="37" customFormat="false" ht="15" hidden="false" customHeight="false" outlineLevel="0" collapsed="false">
      <c r="A37" s="32" t="s">
        <v>247</v>
      </c>
      <c r="B37" s="32" t="s">
        <v>249</v>
      </c>
      <c r="C37" s="32" t="s">
        <v>111</v>
      </c>
      <c r="D37" s="32" t="s">
        <v>138</v>
      </c>
      <c r="E37" s="32" t="s">
        <v>117</v>
      </c>
      <c r="F37" s="32" t="s">
        <v>139</v>
      </c>
      <c r="G37" s="32" t="s">
        <v>123</v>
      </c>
      <c r="H37" s="50" t="s">
        <v>699</v>
      </c>
    </row>
    <row r="38" customFormat="false" ht="15" hidden="false" customHeight="false" outlineLevel="0" collapsed="false">
      <c r="A38" s="32" t="s">
        <v>254</v>
      </c>
      <c r="B38" s="32" t="s">
        <v>249</v>
      </c>
      <c r="C38" s="32" t="s">
        <v>43</v>
      </c>
      <c r="D38" s="32" t="s">
        <v>138</v>
      </c>
      <c r="E38" s="32" t="s">
        <v>117</v>
      </c>
      <c r="F38" s="32" t="s">
        <v>139</v>
      </c>
      <c r="G38" s="32" t="s">
        <v>123</v>
      </c>
      <c r="H38" s="50" t="s">
        <v>699</v>
      </c>
    </row>
    <row r="39" customFormat="false" ht="15" hidden="false" customHeight="false" outlineLevel="0" collapsed="false">
      <c r="A39" s="32" t="s">
        <v>255</v>
      </c>
      <c r="B39" s="32" t="s">
        <v>249</v>
      </c>
      <c r="C39" s="32" t="s">
        <v>45</v>
      </c>
      <c r="D39" s="32" t="s">
        <v>138</v>
      </c>
      <c r="E39" s="32" t="s">
        <v>117</v>
      </c>
      <c r="F39" s="32" t="s">
        <v>139</v>
      </c>
      <c r="G39" s="32" t="s">
        <v>123</v>
      </c>
      <c r="H39" s="50" t="s">
        <v>699</v>
      </c>
    </row>
    <row r="40" customFormat="false" ht="15" hidden="false" customHeight="false" outlineLevel="0" collapsed="false">
      <c r="A40" s="32" t="s">
        <v>256</v>
      </c>
      <c r="B40" s="32" t="s">
        <v>249</v>
      </c>
      <c r="C40" s="32" t="s">
        <v>46</v>
      </c>
      <c r="D40" s="32" t="s">
        <v>138</v>
      </c>
      <c r="E40" s="32" t="s">
        <v>117</v>
      </c>
      <c r="F40" s="32" t="s">
        <v>139</v>
      </c>
      <c r="G40" s="32" t="s">
        <v>123</v>
      </c>
      <c r="H40" s="50" t="s">
        <v>699</v>
      </c>
    </row>
    <row r="41" customFormat="false" ht="15" hidden="false" customHeight="false" outlineLevel="0" collapsed="false">
      <c r="A41" s="32" t="s">
        <v>257</v>
      </c>
      <c r="B41" s="32" t="s">
        <v>259</v>
      </c>
      <c r="C41" s="32" t="s">
        <v>43</v>
      </c>
      <c r="D41" s="32" t="s">
        <v>138</v>
      </c>
      <c r="E41" s="32" t="s">
        <v>117</v>
      </c>
      <c r="F41" s="32" t="s">
        <v>139</v>
      </c>
      <c r="G41" s="32" t="s">
        <v>123</v>
      </c>
      <c r="H41" s="50" t="s">
        <v>700</v>
      </c>
    </row>
    <row r="42" customFormat="false" ht="15" hidden="false" customHeight="false" outlineLevel="0" collapsed="false">
      <c r="A42" s="32" t="s">
        <v>263</v>
      </c>
      <c r="B42" s="32" t="s">
        <v>259</v>
      </c>
      <c r="C42" s="32" t="s">
        <v>45</v>
      </c>
      <c r="D42" s="32" t="s">
        <v>138</v>
      </c>
      <c r="E42" s="32" t="s">
        <v>117</v>
      </c>
      <c r="F42" s="32" t="s">
        <v>139</v>
      </c>
      <c r="G42" s="32" t="s">
        <v>123</v>
      </c>
      <c r="H42" s="50" t="s">
        <v>700</v>
      </c>
    </row>
    <row r="43" customFormat="false" ht="15" hidden="false" customHeight="false" outlineLevel="0" collapsed="false">
      <c r="A43" s="32" t="s">
        <v>265</v>
      </c>
      <c r="B43" s="32" t="s">
        <v>259</v>
      </c>
      <c r="C43" s="32" t="s">
        <v>46</v>
      </c>
      <c r="D43" s="32" t="s">
        <v>138</v>
      </c>
      <c r="E43" s="32" t="s">
        <v>117</v>
      </c>
      <c r="F43" s="32" t="s">
        <v>139</v>
      </c>
      <c r="G43" s="32" t="s">
        <v>123</v>
      </c>
      <c r="H43" s="50" t="s">
        <v>700</v>
      </c>
    </row>
    <row r="44" customFormat="false" ht="15" hidden="false" customHeight="false" outlineLevel="0" collapsed="false">
      <c r="A44" s="32" t="s">
        <v>266</v>
      </c>
      <c r="B44" s="32" t="s">
        <v>267</v>
      </c>
      <c r="C44" s="32" t="s">
        <v>111</v>
      </c>
      <c r="D44" s="32" t="s">
        <v>138</v>
      </c>
      <c r="E44" s="32" t="s">
        <v>117</v>
      </c>
      <c r="F44" s="32" t="s">
        <v>139</v>
      </c>
      <c r="G44" s="32" t="s">
        <v>123</v>
      </c>
      <c r="H44" s="50" t="s">
        <v>701</v>
      </c>
    </row>
    <row r="45" customFormat="false" ht="15" hidden="false" customHeight="false" outlineLevel="0" collapsed="false">
      <c r="A45" s="32" t="s">
        <v>271</v>
      </c>
      <c r="B45" s="32" t="s">
        <v>267</v>
      </c>
      <c r="C45" s="32" t="s">
        <v>43</v>
      </c>
      <c r="D45" s="32" t="s">
        <v>138</v>
      </c>
      <c r="E45" s="32" t="s">
        <v>117</v>
      </c>
      <c r="F45" s="32" t="s">
        <v>139</v>
      </c>
      <c r="G45" s="32" t="s">
        <v>123</v>
      </c>
      <c r="H45" s="50" t="s">
        <v>701</v>
      </c>
    </row>
    <row r="46" customFormat="false" ht="15" hidden="false" customHeight="false" outlineLevel="0" collapsed="false">
      <c r="A46" s="32" t="s">
        <v>272</v>
      </c>
      <c r="B46" s="32" t="s">
        <v>267</v>
      </c>
      <c r="C46" s="32" t="s">
        <v>45</v>
      </c>
      <c r="D46" s="32" t="s">
        <v>138</v>
      </c>
      <c r="E46" s="32" t="s">
        <v>117</v>
      </c>
      <c r="F46" s="32" t="s">
        <v>139</v>
      </c>
      <c r="G46" s="32" t="s">
        <v>123</v>
      </c>
      <c r="H46" s="50" t="s">
        <v>701</v>
      </c>
    </row>
    <row r="47" customFormat="false" ht="15" hidden="false" customHeight="false" outlineLevel="0" collapsed="false">
      <c r="A47" s="32" t="s">
        <v>273</v>
      </c>
      <c r="B47" s="32" t="s">
        <v>267</v>
      </c>
      <c r="C47" s="32" t="s">
        <v>46</v>
      </c>
      <c r="D47" s="32" t="s">
        <v>138</v>
      </c>
      <c r="E47" s="32" t="s">
        <v>117</v>
      </c>
      <c r="F47" s="32" t="s">
        <v>139</v>
      </c>
      <c r="G47" s="32" t="s">
        <v>123</v>
      </c>
      <c r="H47" s="50" t="s">
        <v>701</v>
      </c>
    </row>
    <row r="48" customFormat="false" ht="15" hidden="false" customHeight="false" outlineLevel="0" collapsed="false">
      <c r="A48" s="32" t="s">
        <v>274</v>
      </c>
      <c r="B48" s="32" t="s">
        <v>276</v>
      </c>
      <c r="C48" s="32" t="s">
        <v>44</v>
      </c>
      <c r="D48" s="32" t="s">
        <v>277</v>
      </c>
      <c r="E48" s="32" t="s">
        <v>117</v>
      </c>
      <c r="F48" s="32" t="s">
        <v>139</v>
      </c>
      <c r="G48" s="32" t="s">
        <v>123</v>
      </c>
      <c r="H48" s="50" t="s">
        <v>702</v>
      </c>
    </row>
    <row r="49" customFormat="false" ht="15" hidden="false" customHeight="false" outlineLevel="0" collapsed="false">
      <c r="A49" s="32" t="s">
        <v>282</v>
      </c>
      <c r="B49" s="32" t="s">
        <v>283</v>
      </c>
      <c r="C49" s="32" t="s">
        <v>44</v>
      </c>
      <c r="D49" s="32" t="s">
        <v>277</v>
      </c>
      <c r="E49" s="32" t="s">
        <v>117</v>
      </c>
      <c r="F49" s="32" t="s">
        <v>139</v>
      </c>
      <c r="G49" s="32" t="s">
        <v>123</v>
      </c>
      <c r="H49" s="50" t="s">
        <v>703</v>
      </c>
    </row>
    <row r="50" customFormat="false" ht="15" hidden="false" customHeight="false" outlineLevel="0" collapsed="false">
      <c r="A50" s="32" t="s">
        <v>286</v>
      </c>
      <c r="B50" s="32" t="s">
        <v>287</v>
      </c>
      <c r="C50" s="32" t="s">
        <v>44</v>
      </c>
      <c r="D50" s="32" t="s">
        <v>277</v>
      </c>
      <c r="E50" s="32" t="s">
        <v>117</v>
      </c>
      <c r="F50" s="32" t="s">
        <v>139</v>
      </c>
      <c r="G50" s="32" t="s">
        <v>123</v>
      </c>
      <c r="H50" s="50" t="s">
        <v>704</v>
      </c>
    </row>
    <row r="51" customFormat="false" ht="15" hidden="false" customHeight="false" outlineLevel="0" collapsed="false">
      <c r="A51" s="32" t="s">
        <v>290</v>
      </c>
      <c r="B51" s="32" t="s">
        <v>293</v>
      </c>
      <c r="C51" s="32" t="s">
        <v>43</v>
      </c>
      <c r="D51" s="32" t="s">
        <v>138</v>
      </c>
      <c r="E51" s="32" t="s">
        <v>117</v>
      </c>
      <c r="F51" s="32" t="s">
        <v>294</v>
      </c>
      <c r="G51" s="32" t="s">
        <v>123</v>
      </c>
      <c r="H51" s="50" t="s">
        <v>705</v>
      </c>
    </row>
    <row r="52" customFormat="false" ht="15" hidden="false" customHeight="false" outlineLevel="0" collapsed="false">
      <c r="A52" s="32" t="s">
        <v>298</v>
      </c>
      <c r="B52" s="32" t="s">
        <v>293</v>
      </c>
      <c r="C52" s="32" t="s">
        <v>43</v>
      </c>
      <c r="D52" s="32" t="s">
        <v>299</v>
      </c>
      <c r="E52" s="32" t="s">
        <v>117</v>
      </c>
      <c r="F52" s="32" t="s">
        <v>294</v>
      </c>
      <c r="G52" s="32" t="s">
        <v>123</v>
      </c>
      <c r="H52" s="50" t="s">
        <v>705</v>
      </c>
    </row>
    <row r="53" customFormat="false" ht="15" hidden="false" customHeight="false" outlineLevel="0" collapsed="false">
      <c r="A53" s="32" t="s">
        <v>301</v>
      </c>
      <c r="B53" s="32" t="s">
        <v>293</v>
      </c>
      <c r="C53" s="32" t="s">
        <v>111</v>
      </c>
      <c r="D53" s="32" t="s">
        <v>138</v>
      </c>
      <c r="E53" s="32" t="s">
        <v>117</v>
      </c>
      <c r="F53" s="32" t="s">
        <v>294</v>
      </c>
      <c r="G53" s="32" t="s">
        <v>123</v>
      </c>
      <c r="H53" s="50" t="s">
        <v>706</v>
      </c>
    </row>
    <row r="54" customFormat="false" ht="15" hidden="false" customHeight="false" outlineLevel="0" collapsed="false">
      <c r="A54" s="32" t="s">
        <v>304</v>
      </c>
      <c r="B54" s="32" t="s">
        <v>293</v>
      </c>
      <c r="C54" s="32" t="s">
        <v>111</v>
      </c>
      <c r="D54" s="32" t="s">
        <v>299</v>
      </c>
      <c r="E54" s="32" t="s">
        <v>117</v>
      </c>
      <c r="F54" s="32" t="s">
        <v>294</v>
      </c>
      <c r="G54" s="32" t="s">
        <v>123</v>
      </c>
      <c r="H54" s="50" t="s">
        <v>706</v>
      </c>
    </row>
    <row r="55" customFormat="false" ht="15" hidden="false" customHeight="false" outlineLevel="0" collapsed="false">
      <c r="A55" s="32" t="s">
        <v>305</v>
      </c>
      <c r="B55" s="32" t="s">
        <v>293</v>
      </c>
      <c r="C55" s="32" t="s">
        <v>46</v>
      </c>
      <c r="D55" s="32" t="s">
        <v>138</v>
      </c>
      <c r="E55" s="32" t="s">
        <v>117</v>
      </c>
      <c r="F55" s="32" t="s">
        <v>294</v>
      </c>
      <c r="G55" s="32" t="s">
        <v>123</v>
      </c>
      <c r="H55" s="50" t="s">
        <v>707</v>
      </c>
    </row>
    <row r="56" customFormat="false" ht="15" hidden="false" customHeight="false" outlineLevel="0" collapsed="false">
      <c r="A56" s="32" t="s">
        <v>308</v>
      </c>
      <c r="B56" s="32" t="s">
        <v>293</v>
      </c>
      <c r="C56" s="32" t="s">
        <v>46</v>
      </c>
      <c r="D56" s="32" t="s">
        <v>299</v>
      </c>
      <c r="E56" s="32" t="s">
        <v>117</v>
      </c>
      <c r="F56" s="32" t="s">
        <v>294</v>
      </c>
      <c r="G56" s="32" t="s">
        <v>123</v>
      </c>
      <c r="H56" s="50" t="s">
        <v>707</v>
      </c>
    </row>
    <row r="57" customFormat="false" ht="15" hidden="false" customHeight="false" outlineLevel="0" collapsed="false">
      <c r="A57" s="32" t="s">
        <v>309</v>
      </c>
      <c r="B57" s="32" t="s">
        <v>293</v>
      </c>
      <c r="C57" s="32" t="s">
        <v>44</v>
      </c>
      <c r="D57" s="32" t="s">
        <v>138</v>
      </c>
      <c r="E57" s="32" t="s">
        <v>117</v>
      </c>
      <c r="F57" s="32" t="s">
        <v>294</v>
      </c>
      <c r="G57" s="32" t="s">
        <v>123</v>
      </c>
      <c r="H57" s="50" t="s">
        <v>708</v>
      </c>
    </row>
    <row r="58" customFormat="false" ht="15" hidden="false" customHeight="false" outlineLevel="0" collapsed="false">
      <c r="A58" s="32" t="s">
        <v>313</v>
      </c>
      <c r="B58" s="32" t="s">
        <v>293</v>
      </c>
      <c r="C58" s="32" t="s">
        <v>44</v>
      </c>
      <c r="D58" s="32" t="s">
        <v>299</v>
      </c>
      <c r="E58" s="32" t="s">
        <v>117</v>
      </c>
      <c r="F58" s="32" t="s">
        <v>294</v>
      </c>
      <c r="G58" s="32" t="s">
        <v>123</v>
      </c>
      <c r="H58" s="50" t="s">
        <v>709</v>
      </c>
    </row>
    <row r="59" customFormat="false" ht="15" hidden="false" customHeight="false" outlineLevel="0" collapsed="false">
      <c r="A59" s="32" t="s">
        <v>314</v>
      </c>
      <c r="B59" s="32" t="s">
        <v>316</v>
      </c>
      <c r="C59" s="32" t="s">
        <v>43</v>
      </c>
      <c r="D59" s="32" t="s">
        <v>138</v>
      </c>
      <c r="E59" s="32" t="s">
        <v>192</v>
      </c>
      <c r="F59" s="32" t="s">
        <v>294</v>
      </c>
      <c r="G59" s="32" t="s">
        <v>123</v>
      </c>
      <c r="H59" s="50" t="s">
        <v>710</v>
      </c>
    </row>
    <row r="60" customFormat="false" ht="15" hidden="false" customHeight="false" outlineLevel="0" collapsed="false">
      <c r="A60" s="32" t="s">
        <v>320</v>
      </c>
      <c r="B60" s="32" t="s">
        <v>316</v>
      </c>
      <c r="C60" s="32" t="s">
        <v>111</v>
      </c>
      <c r="D60" s="32" t="s">
        <v>138</v>
      </c>
      <c r="E60" s="32" t="s">
        <v>192</v>
      </c>
      <c r="F60" s="32" t="s">
        <v>294</v>
      </c>
      <c r="G60" s="32" t="s">
        <v>123</v>
      </c>
      <c r="H60" s="50" t="s">
        <v>711</v>
      </c>
    </row>
    <row r="61" customFormat="false" ht="15" hidden="false" customHeight="false" outlineLevel="0" collapsed="false">
      <c r="A61" s="32" t="s">
        <v>323</v>
      </c>
      <c r="B61" s="32" t="s">
        <v>316</v>
      </c>
      <c r="C61" s="32" t="s">
        <v>46</v>
      </c>
      <c r="D61" s="32" t="s">
        <v>138</v>
      </c>
      <c r="E61" s="32" t="s">
        <v>192</v>
      </c>
      <c r="F61" s="32" t="s">
        <v>294</v>
      </c>
      <c r="G61" s="32" t="s">
        <v>123</v>
      </c>
      <c r="H61" s="50" t="s">
        <v>712</v>
      </c>
    </row>
    <row r="62" customFormat="false" ht="15" hidden="false" customHeight="false" outlineLevel="0" collapsed="false">
      <c r="A62" s="32" t="s">
        <v>326</v>
      </c>
      <c r="B62" s="32" t="s">
        <v>316</v>
      </c>
      <c r="C62" s="32" t="s">
        <v>45</v>
      </c>
      <c r="D62" s="32" t="s">
        <v>299</v>
      </c>
      <c r="E62" s="32" t="s">
        <v>117</v>
      </c>
      <c r="F62" s="32" t="s">
        <v>294</v>
      </c>
      <c r="G62" s="32" t="s">
        <v>123</v>
      </c>
      <c r="H62" s="50" t="s">
        <v>713</v>
      </c>
    </row>
    <row r="63" customFormat="false" ht="15" hidden="false" customHeight="false" outlineLevel="0" collapsed="false">
      <c r="A63" s="32" t="s">
        <v>331</v>
      </c>
      <c r="B63" s="32" t="s">
        <v>334</v>
      </c>
      <c r="C63" s="32" t="s">
        <v>111</v>
      </c>
      <c r="D63" s="32" t="s">
        <v>138</v>
      </c>
      <c r="E63" s="32" t="s">
        <v>335</v>
      </c>
      <c r="F63" s="32" t="s">
        <v>336</v>
      </c>
      <c r="G63" s="32" t="s">
        <v>123</v>
      </c>
      <c r="H63" s="50" t="s">
        <v>714</v>
      </c>
    </row>
    <row r="64" customFormat="false" ht="15" hidden="false" customHeight="false" outlineLevel="0" collapsed="false">
      <c r="A64" s="32" t="s">
        <v>340</v>
      </c>
      <c r="B64" s="32" t="s">
        <v>334</v>
      </c>
      <c r="C64" s="32" t="s">
        <v>43</v>
      </c>
      <c r="D64" s="32" t="s">
        <v>138</v>
      </c>
      <c r="E64" s="32" t="s">
        <v>335</v>
      </c>
      <c r="F64" s="32" t="s">
        <v>336</v>
      </c>
      <c r="G64" s="32" t="s">
        <v>123</v>
      </c>
      <c r="H64" s="50" t="s">
        <v>715</v>
      </c>
    </row>
    <row r="65" customFormat="false" ht="15" hidden="false" customHeight="false" outlineLevel="0" collapsed="false">
      <c r="A65" s="32" t="s">
        <v>343</v>
      </c>
      <c r="B65" s="32" t="s">
        <v>334</v>
      </c>
      <c r="C65" s="32" t="s">
        <v>45</v>
      </c>
      <c r="D65" s="32" t="s">
        <v>138</v>
      </c>
      <c r="E65" s="32" t="s">
        <v>335</v>
      </c>
      <c r="F65" s="32" t="s">
        <v>336</v>
      </c>
      <c r="G65" s="32" t="s">
        <v>123</v>
      </c>
      <c r="H65" s="50" t="s">
        <v>716</v>
      </c>
    </row>
    <row r="66" customFormat="false" ht="15" hidden="false" customHeight="false" outlineLevel="0" collapsed="false">
      <c r="A66" s="32" t="s">
        <v>346</v>
      </c>
      <c r="B66" s="32" t="s">
        <v>334</v>
      </c>
      <c r="C66" s="32" t="s">
        <v>46</v>
      </c>
      <c r="D66" s="32" t="s">
        <v>138</v>
      </c>
      <c r="E66" s="32" t="s">
        <v>335</v>
      </c>
      <c r="F66" s="32" t="s">
        <v>336</v>
      </c>
      <c r="G66" s="32" t="s">
        <v>123</v>
      </c>
      <c r="H66" s="50" t="s">
        <v>716</v>
      </c>
    </row>
    <row r="67" customFormat="false" ht="15" hidden="false" customHeight="false" outlineLevel="0" collapsed="false">
      <c r="A67" s="32" t="s">
        <v>348</v>
      </c>
      <c r="B67" s="32" t="s">
        <v>334</v>
      </c>
      <c r="C67" s="32" t="s">
        <v>44</v>
      </c>
      <c r="D67" s="32" t="s">
        <v>138</v>
      </c>
      <c r="E67" s="32" t="s">
        <v>335</v>
      </c>
      <c r="F67" s="32" t="s">
        <v>336</v>
      </c>
      <c r="G67" s="32" t="s">
        <v>123</v>
      </c>
      <c r="H67" s="50" t="s">
        <v>717</v>
      </c>
    </row>
    <row r="68" customFormat="false" ht="15" hidden="false" customHeight="false" outlineLevel="0" collapsed="false">
      <c r="A68" s="32" t="s">
        <v>352</v>
      </c>
      <c r="B68" s="32" t="s">
        <v>353</v>
      </c>
      <c r="C68" s="32" t="s">
        <v>111</v>
      </c>
      <c r="D68" s="32" t="s">
        <v>138</v>
      </c>
      <c r="E68" s="32" t="s">
        <v>335</v>
      </c>
      <c r="F68" s="32" t="s">
        <v>336</v>
      </c>
      <c r="G68" s="32" t="s">
        <v>123</v>
      </c>
      <c r="H68" s="50" t="s">
        <v>718</v>
      </c>
    </row>
    <row r="69" customFormat="false" ht="15" hidden="false" customHeight="false" outlineLevel="0" collapsed="false">
      <c r="A69" s="32" t="s">
        <v>357</v>
      </c>
      <c r="B69" s="32" t="s">
        <v>353</v>
      </c>
      <c r="C69" s="32" t="s">
        <v>43</v>
      </c>
      <c r="D69" s="32" t="s">
        <v>138</v>
      </c>
      <c r="E69" s="32" t="s">
        <v>335</v>
      </c>
      <c r="F69" s="32" t="s">
        <v>336</v>
      </c>
      <c r="G69" s="32" t="s">
        <v>123</v>
      </c>
      <c r="H69" s="50" t="s">
        <v>719</v>
      </c>
    </row>
    <row r="70" customFormat="false" ht="15" hidden="false" customHeight="false" outlineLevel="0" collapsed="false">
      <c r="A70" s="32" t="s">
        <v>360</v>
      </c>
      <c r="B70" s="32" t="s">
        <v>363</v>
      </c>
      <c r="C70" s="32" t="s">
        <v>111</v>
      </c>
      <c r="D70" s="32" t="s">
        <v>364</v>
      </c>
      <c r="E70" s="32" t="s">
        <v>117</v>
      </c>
      <c r="F70" s="32" t="s">
        <v>365</v>
      </c>
      <c r="G70" s="32" t="s">
        <v>123</v>
      </c>
      <c r="H70" s="50" t="s">
        <v>720</v>
      </c>
    </row>
    <row r="71" customFormat="false" ht="15" hidden="false" customHeight="false" outlineLevel="0" collapsed="false">
      <c r="A71" s="32" t="s">
        <v>370</v>
      </c>
      <c r="B71" s="32" t="s">
        <v>363</v>
      </c>
      <c r="C71" s="32" t="s">
        <v>43</v>
      </c>
      <c r="D71" s="32" t="s">
        <v>364</v>
      </c>
      <c r="E71" s="32" t="s">
        <v>117</v>
      </c>
      <c r="F71" s="32" t="s">
        <v>365</v>
      </c>
      <c r="G71" s="32" t="s">
        <v>123</v>
      </c>
      <c r="H71" s="50" t="s">
        <v>720</v>
      </c>
    </row>
    <row r="72" customFormat="false" ht="15" hidden="false" customHeight="false" outlineLevel="0" collapsed="false">
      <c r="A72" s="32" t="s">
        <v>372</v>
      </c>
      <c r="B72" s="32" t="s">
        <v>374</v>
      </c>
      <c r="C72" s="32" t="s">
        <v>45</v>
      </c>
      <c r="D72" s="32" t="s">
        <v>364</v>
      </c>
      <c r="E72" s="32" t="s">
        <v>117</v>
      </c>
      <c r="F72" s="32" t="s">
        <v>365</v>
      </c>
      <c r="G72" s="32" t="s">
        <v>123</v>
      </c>
      <c r="H72" s="50" t="s">
        <v>721</v>
      </c>
    </row>
    <row r="73" customFormat="false" ht="15" hidden="false" customHeight="false" outlineLevel="0" collapsed="false">
      <c r="A73" s="32" t="s">
        <v>378</v>
      </c>
      <c r="B73" s="32" t="s">
        <v>380</v>
      </c>
      <c r="C73" s="32" t="s">
        <v>44</v>
      </c>
      <c r="D73" s="32" t="s">
        <v>364</v>
      </c>
      <c r="E73" s="32" t="s">
        <v>335</v>
      </c>
      <c r="F73" s="32" t="s">
        <v>365</v>
      </c>
      <c r="G73" s="32" t="s">
        <v>123</v>
      </c>
      <c r="H73" s="50" t="s">
        <v>722</v>
      </c>
    </row>
    <row r="74" customFormat="false" ht="15" hidden="false" customHeight="false" outlineLevel="0" collapsed="false">
      <c r="A74" s="32" t="s">
        <v>385</v>
      </c>
      <c r="B74" s="32" t="s">
        <v>387</v>
      </c>
      <c r="C74" s="32" t="s">
        <v>111</v>
      </c>
      <c r="D74" s="32" t="s">
        <v>364</v>
      </c>
      <c r="E74" s="32" t="s">
        <v>388</v>
      </c>
      <c r="F74" s="32" t="s">
        <v>365</v>
      </c>
      <c r="G74" s="32" t="s">
        <v>123</v>
      </c>
      <c r="H74" s="50" t="s">
        <v>723</v>
      </c>
    </row>
    <row r="75" customFormat="false" ht="15" hidden="false" customHeight="false" outlineLevel="0" collapsed="false">
      <c r="A75" s="32" t="s">
        <v>392</v>
      </c>
      <c r="B75" s="32" t="s">
        <v>387</v>
      </c>
      <c r="C75" s="32" t="s">
        <v>43</v>
      </c>
      <c r="D75" s="32" t="s">
        <v>364</v>
      </c>
      <c r="E75" s="32" t="s">
        <v>388</v>
      </c>
      <c r="F75" s="32" t="s">
        <v>365</v>
      </c>
      <c r="G75" s="32" t="s">
        <v>123</v>
      </c>
      <c r="H75" s="50" t="s">
        <v>723</v>
      </c>
    </row>
    <row r="76" customFormat="false" ht="15" hidden="false" customHeight="false" outlineLevel="0" collapsed="false">
      <c r="A76" s="32" t="s">
        <v>394</v>
      </c>
      <c r="B76" s="32" t="s">
        <v>396</v>
      </c>
      <c r="C76" s="32" t="s">
        <v>43</v>
      </c>
      <c r="D76" s="32" t="s">
        <v>364</v>
      </c>
      <c r="E76" s="32" t="s">
        <v>397</v>
      </c>
      <c r="F76" s="32" t="s">
        <v>365</v>
      </c>
      <c r="G76" s="32" t="s">
        <v>123</v>
      </c>
      <c r="H76" s="50" t="s">
        <v>724</v>
      </c>
    </row>
    <row r="77" customFormat="false" ht="15" hidden="false" customHeight="false" outlineLevel="0" collapsed="false">
      <c r="A77" s="32" t="s">
        <v>402</v>
      </c>
      <c r="B77" s="32" t="s">
        <v>396</v>
      </c>
      <c r="C77" s="32" t="s">
        <v>111</v>
      </c>
      <c r="D77" s="32" t="s">
        <v>364</v>
      </c>
      <c r="E77" s="32" t="s">
        <v>397</v>
      </c>
      <c r="F77" s="32" t="s">
        <v>365</v>
      </c>
      <c r="G77" s="32" t="s">
        <v>123</v>
      </c>
      <c r="H77" s="50" t="s">
        <v>724</v>
      </c>
    </row>
    <row r="78" customFormat="false" ht="15" hidden="false" customHeight="false" outlineLevel="0" collapsed="false">
      <c r="A78" s="32" t="s">
        <v>403</v>
      </c>
      <c r="B78" s="32" t="s">
        <v>396</v>
      </c>
      <c r="C78" s="32" t="s">
        <v>45</v>
      </c>
      <c r="D78" s="32" t="s">
        <v>364</v>
      </c>
      <c r="E78" s="32" t="s">
        <v>397</v>
      </c>
      <c r="F78" s="32" t="s">
        <v>365</v>
      </c>
      <c r="G78" s="32" t="s">
        <v>123</v>
      </c>
      <c r="H78" s="50" t="s">
        <v>724</v>
      </c>
    </row>
    <row r="80" customFormat="false" ht="15" hidden="false" customHeight="false" outlineLevel="0" collapsed="false">
      <c r="A80" s="32" t="s">
        <v>725</v>
      </c>
      <c r="B80" s="32" t="s">
        <v>726</v>
      </c>
      <c r="C80" s="32" t="s">
        <v>434</v>
      </c>
      <c r="D80" s="32" t="s">
        <v>434</v>
      </c>
      <c r="E80" s="32" t="s">
        <v>117</v>
      </c>
      <c r="F80" s="32" t="s">
        <v>118</v>
      </c>
      <c r="G80" s="32" t="s">
        <v>123</v>
      </c>
      <c r="H80" s="50" t="s">
        <v>727</v>
      </c>
    </row>
    <row r="81" customFormat="false" ht="15" hidden="false" customHeight="false" outlineLevel="0" collapsed="false">
      <c r="A81" s="32" t="s">
        <v>725</v>
      </c>
      <c r="B81" s="32" t="s">
        <v>728</v>
      </c>
      <c r="C81" s="32" t="s">
        <v>434</v>
      </c>
      <c r="D81" s="32" t="s">
        <v>434</v>
      </c>
      <c r="E81" s="32" t="s">
        <v>211</v>
      </c>
      <c r="F81" s="32" t="s">
        <v>202</v>
      </c>
      <c r="G81" s="32" t="s">
        <v>123</v>
      </c>
      <c r="H81" s="50" t="s">
        <v>729</v>
      </c>
    </row>
    <row r="82" customFormat="false" ht="15" hidden="false" customHeight="false" outlineLevel="0" collapsed="false">
      <c r="A82" s="32" t="s">
        <v>725</v>
      </c>
      <c r="B82" s="32" t="s">
        <v>730</v>
      </c>
      <c r="C82" s="32" t="s">
        <v>434</v>
      </c>
      <c r="D82" s="32" t="s">
        <v>434</v>
      </c>
      <c r="E82" s="32" t="s">
        <v>117</v>
      </c>
      <c r="F82" s="32" t="s">
        <v>139</v>
      </c>
      <c r="G82" s="32" t="s">
        <v>123</v>
      </c>
      <c r="H82" s="50" t="s">
        <v>731</v>
      </c>
    </row>
    <row r="83" customFormat="false" ht="15" hidden="false" customHeight="false" outlineLevel="0" collapsed="false">
      <c r="A83" s="32" t="s">
        <v>725</v>
      </c>
      <c r="B83" s="32" t="s">
        <v>732</v>
      </c>
      <c r="C83" s="32" t="s">
        <v>434</v>
      </c>
      <c r="D83" s="32" t="s">
        <v>138</v>
      </c>
      <c r="E83" s="32" t="s">
        <v>117</v>
      </c>
      <c r="F83" s="32" t="s">
        <v>294</v>
      </c>
      <c r="G83" s="32" t="s">
        <v>123</v>
      </c>
      <c r="H83" s="50" t="s">
        <v>733</v>
      </c>
    </row>
    <row r="84" customFormat="false" ht="15" hidden="false" customHeight="false" outlineLevel="0" collapsed="false">
      <c r="A84" s="32" t="s">
        <v>725</v>
      </c>
      <c r="B84" s="32" t="s">
        <v>732</v>
      </c>
      <c r="C84" s="32" t="s">
        <v>434</v>
      </c>
      <c r="D84" s="32" t="s">
        <v>299</v>
      </c>
      <c r="E84" s="32" t="s">
        <v>117</v>
      </c>
      <c r="F84" s="32" t="s">
        <v>294</v>
      </c>
      <c r="G84" s="32" t="s">
        <v>123</v>
      </c>
      <c r="H84" s="50" t="s">
        <v>734</v>
      </c>
    </row>
    <row r="85" customFormat="false" ht="15" hidden="false" customHeight="false" outlineLevel="0" collapsed="false">
      <c r="A85" s="32" t="s">
        <v>725</v>
      </c>
      <c r="B85" s="32" t="s">
        <v>735</v>
      </c>
      <c r="C85" s="32" t="s">
        <v>434</v>
      </c>
      <c r="D85" s="32" t="s">
        <v>434</v>
      </c>
      <c r="E85" s="32" t="s">
        <v>192</v>
      </c>
      <c r="F85" s="32" t="s">
        <v>336</v>
      </c>
      <c r="G85" s="32" t="s">
        <v>123</v>
      </c>
      <c r="H85" s="50" t="s">
        <v>736</v>
      </c>
    </row>
    <row r="86" customFormat="false" ht="15" hidden="false" customHeight="false" outlineLevel="0" collapsed="false">
      <c r="A86" s="32" t="s">
        <v>725</v>
      </c>
      <c r="B86" s="32" t="s">
        <v>737</v>
      </c>
      <c r="C86" s="32" t="s">
        <v>434</v>
      </c>
      <c r="D86" s="32" t="s">
        <v>434</v>
      </c>
      <c r="E86" s="32" t="s">
        <v>450</v>
      </c>
      <c r="F86" s="32" t="s">
        <v>365</v>
      </c>
      <c r="G86" s="32" t="s">
        <v>123</v>
      </c>
      <c r="H86" s="50" t="s">
        <v>738</v>
      </c>
    </row>
    <row r="88" customFormat="false" ht="15" hidden="false" customHeight="false" outlineLevel="0" collapsed="false">
      <c r="A88" s="6" t="s">
        <v>739</v>
      </c>
    </row>
    <row r="89" customFormat="false" ht="60" hidden="false" customHeight="true" outlineLevel="0" collapsed="false">
      <c r="A89" s="51" t="s">
        <v>740</v>
      </c>
      <c r="B89" s="51"/>
      <c r="C89" s="51"/>
      <c r="D89" s="51"/>
      <c r="E89" s="51"/>
      <c r="F89" s="51"/>
      <c r="G89" s="51"/>
      <c r="H89" s="51"/>
    </row>
    <row r="91" customFormat="false" ht="15" hidden="false" customHeight="false" outlineLevel="0" collapsed="false">
      <c r="A91" s="6" t="s">
        <v>741</v>
      </c>
    </row>
    <row r="92" customFormat="false" ht="45" hidden="false" customHeight="true" outlineLevel="0" collapsed="false">
      <c r="A92" s="51" t="s">
        <v>742</v>
      </c>
      <c r="B92" s="51"/>
      <c r="C92" s="51"/>
      <c r="D92" s="51"/>
      <c r="E92" s="51"/>
      <c r="F92" s="51"/>
      <c r="G92" s="51"/>
      <c r="H92" s="51"/>
    </row>
    <row r="94" customFormat="false" ht="15" hidden="false" customHeight="false" outlineLevel="0" collapsed="false">
      <c r="A94" s="6" t="s">
        <v>743</v>
      </c>
    </row>
    <row r="95" customFormat="false" ht="45" hidden="false" customHeight="true" outlineLevel="0" collapsed="false">
      <c r="A95" s="51" t="s">
        <v>744</v>
      </c>
      <c r="B95" s="51"/>
      <c r="C95" s="51"/>
      <c r="D95" s="51"/>
      <c r="E95" s="51"/>
      <c r="F95" s="51"/>
      <c r="G95" s="51"/>
      <c r="H95" s="51"/>
    </row>
    <row r="97" customFormat="false" ht="15" hidden="false" customHeight="false" outlineLevel="0" collapsed="false">
      <c r="A97" s="6" t="s">
        <v>745</v>
      </c>
    </row>
    <row r="98" customFormat="false" ht="30" hidden="false" customHeight="true" outlineLevel="0" collapsed="false">
      <c r="A98" s="51" t="s">
        <v>746</v>
      </c>
      <c r="B98" s="51"/>
      <c r="C98" s="51"/>
      <c r="D98" s="51"/>
      <c r="E98" s="51"/>
      <c r="F98" s="51"/>
      <c r="G98" s="51"/>
      <c r="H98" s="51"/>
    </row>
    <row r="100" customFormat="false" ht="15" hidden="false" customHeight="false" outlineLevel="0" collapsed="false">
      <c r="A100" s="6" t="s">
        <v>747</v>
      </c>
    </row>
    <row r="101" customFormat="false" ht="30" hidden="false" customHeight="true" outlineLevel="0" collapsed="false">
      <c r="A101" s="51" t="s">
        <v>748</v>
      </c>
      <c r="B101" s="51"/>
      <c r="C101" s="51"/>
      <c r="D101" s="51"/>
      <c r="E101" s="51"/>
      <c r="F101" s="51"/>
      <c r="G101" s="51"/>
      <c r="H101" s="51"/>
    </row>
    <row r="103" customFormat="false" ht="15" hidden="false" customHeight="false" outlineLevel="0" collapsed="false">
      <c r="A103" s="6" t="s">
        <v>749</v>
      </c>
    </row>
    <row r="104" customFormat="false" ht="90" hidden="false" customHeight="true" outlineLevel="0" collapsed="false">
      <c r="A104" s="51" t="s">
        <v>750</v>
      </c>
      <c r="B104" s="51"/>
      <c r="C104" s="51"/>
      <c r="D104" s="51"/>
      <c r="E104" s="51"/>
      <c r="F104" s="51"/>
      <c r="G104" s="51"/>
      <c r="H104" s="51"/>
    </row>
    <row r="106" customFormat="false" ht="15" hidden="false" customHeight="false" outlineLevel="0" collapsed="false">
      <c r="A106" s="6" t="s">
        <v>751</v>
      </c>
    </row>
    <row r="107" customFormat="false" ht="45" hidden="false" customHeight="true" outlineLevel="0" collapsed="false">
      <c r="A107" s="51" t="s">
        <v>752</v>
      </c>
      <c r="B107" s="51"/>
      <c r="C107" s="51"/>
      <c r="D107" s="51"/>
      <c r="E107" s="51"/>
      <c r="F107" s="51"/>
      <c r="G107" s="51"/>
      <c r="H107" s="51"/>
    </row>
    <row r="109" customFormat="false" ht="15" hidden="false" customHeight="false" outlineLevel="0" collapsed="false">
      <c r="A109" s="6" t="s">
        <v>753</v>
      </c>
    </row>
    <row r="110" customFormat="false" ht="90" hidden="false" customHeight="true" outlineLevel="0" collapsed="false">
      <c r="A110" s="51" t="s">
        <v>754</v>
      </c>
      <c r="B110" s="51"/>
      <c r="C110" s="51"/>
      <c r="D110" s="51"/>
      <c r="E110" s="51"/>
      <c r="F110" s="51"/>
      <c r="G110" s="51"/>
      <c r="H110" s="51"/>
    </row>
  </sheetData>
  <mergeCells count="9">
    <mergeCell ref="A2:H2"/>
    <mergeCell ref="A89:H89"/>
    <mergeCell ref="A92:H92"/>
    <mergeCell ref="A95:H95"/>
    <mergeCell ref="A98:H98"/>
    <mergeCell ref="A101:H101"/>
    <mergeCell ref="A104:H104"/>
    <mergeCell ref="A107:H107"/>
    <mergeCell ref="A110:H110"/>
  </mergeCells>
  <hyperlinks>
    <hyperlink ref="H6" r:id="rId1" display="https://nust.edu.pk/admissions/fee-structure/undergraduate-financial-matters/  —  Verified – official source"/>
    <hyperlink ref="H7" r:id="rId2" display="https://nust.edu.pk/admissions/fee-structure/undergraduate-financial-matters/  —  Verified – official source"/>
    <hyperlink ref="H8" r:id="rId3" display="https://nust.edu.pk/admissions/fee-structure/undergraduate-financial-matters/  —  Verified – official source"/>
    <hyperlink ref="H9" r:id="rId4" display="https://nust.edu.pk/admissions/fee-structure/undergraduate-financial-matters/  —  Verified – official source"/>
    <hyperlink ref="H10" r:id="rId5" display="https://nust.edu.pk/admissions/fee-structure/undergraduate-financial-matters/  —  Verified – official source"/>
    <hyperlink ref="H11" r:id="rId6" display="https://nust.edu.pk/admissions/fee-structure/undergraduate-financial-matters/  —  Verified – official source"/>
    <hyperlink ref="H12" r:id="rId7" display="https://nust.edu.pk/admissions/fee-structure/undergraduate-financial-matters/  —  Verified – official source"/>
    <hyperlink ref="H13" r:id="rId8" display="https://nust.edu.pk/admissions/fee-structure/undergraduate-financial-matters/  —  Verified – official source"/>
    <hyperlink ref="H14" r:id="rId9" display="https://nust.edu.pk/admissions/fee-structure/undergraduate-financial-matters/  —  Verified – official source"/>
    <hyperlink ref="H15" r:id="rId10" display="https://nust.edu.pk/admissions/fee-structure/undergraduate-financial-matters/  —  Verified – official source"/>
    <hyperlink ref="H16" r:id="rId11" display="https://lums.edu.pk/programmes/bs-computer-science  —  Derived from official source"/>
    <hyperlink ref="H17" r:id="rId12" display="https://lums.edu.pk/programmes/bs-electrical-engineering  —  Derived from official source"/>
    <hyperlink ref="H18" r:id="rId13" display="https://lums.edu.pk/programmes/bsc-honours-accounting-and-finance  —  Verified – official source"/>
    <hyperlink ref="H19" r:id="rId14" display="https://lums.edu.pk/programmes/bsc-honours-management-science  —  Verified – official source"/>
    <hyperlink ref="H20" r:id="rId15" display="https://www.iba.edu.pk/fee-structure-between-fall-2022-till-spring-2025.php  —  Estimated from official per-credit rate"/>
    <hyperlink ref="H21" r:id="rId16" display="https://www.iba.edu.pk/fee-structure-between-fall-2022-till-spring-2025.php  —  Estimated from official per-credit rate"/>
    <hyperlink ref="H22" r:id="rId17" display="https://www.iba.edu.pk/fee-structure-between-fall-2022-till-spring-2025.php  —  Estimated from official per-credit rate"/>
    <hyperlink ref="H23" r:id="rId18" display="https://www.aku.edu/admissions/Documents/fee-structure-MBBS.pdf  —  Verified – official source"/>
    <hyperlink ref="H24" r:id="rId19" display="https://nust.edu.pk/admissions/NSHS/fee-structure/  —  Historical – excluded from average"/>
    <hyperlink ref="H25" r:id="rId20" display="https://pmdc.pk/Documents/press/Tuition%20Fee%20Cap%20for%20Private%20Medical%20Colleges.pdf  —  Regulatory cap – not a university fee; excluded from average"/>
    <hyperlink ref="H26" r:id="rId21" display="https://acad.iitb.ac.in/files/Fee_Circular_UG_Spring%20Semester%20_2025-26_0.pdf  —  Verified – official source"/>
    <hyperlink ref="H27" r:id="rId22" display="https://acad.iitb.ac.in/files/Fee_Circular_UG_Spring%20Semester%20_2025-26_0.pdf  —  Verified – official source"/>
    <hyperlink ref="H28" r:id="rId23" display="https://iiitd.ac.in/admission/fees  —  Verified – official source"/>
    <hyperlink ref="H29" r:id="rId24" display="https://www.manipal.edu/content/dam/manipal/mu/documents/Admissions/adm2025/FEES%20UPDATION%20-%20GENERAL.pdf  —  Verified – official source"/>
    <hyperlink ref="H30" r:id="rId25" display="https://www.manipal.edu/content/dam/manipal/mu/documents/Admissions/adm2025/FEES%20UPDATION%20-%20GENERAL.pdf  —  Verified – official source"/>
    <hyperlink ref="H31" r:id="rId26" display="https://www.manipal.edu/content/dam/manipal/mu/documents/Admissions/adm2025/FEES%20UPDATION%20-%20GENERAL.pdf  —  Verified – official source"/>
    <hyperlink ref="H32" r:id="rId27" display="https://www.manipal.edu/content/dam/manipal/mu/documents/Admissions/adm2025/FEES%20UPDATION%20-%20GENERAL.pdf  —  Verified – official source"/>
    <hyperlink ref="H33" r:id="rId28" display="https://www.manipal.edu/content/dam/manipal/mu/documents/Admissions/adm2025/FEES%20UPDATION%20-%20GENERAL.pdf  —  Verified – official source"/>
    <hyperlink ref="H34" r:id="rId29" display="https://christuniversity.in/courses/NzY1  —  Verified – official source (fee year not stated)"/>
    <hyperlink ref="H35" r:id="rId30" display="https://christuniversity.in/courses/NzY1  —  Verified – official source (fee year not stated)"/>
    <hyperlink ref="H36" r:id="rId31" display="https://www.bharaticollege.du.ac.in/uploads/admission/fee-structure/Fee%20Structure%202025-26.pdf  —  Verified – official source"/>
    <hyperlink ref="H37" r:id="rId32" display="https://studentaccount.uky.edu/tuition-and-fees/undergraduate-tuition-and-fees  —  Verified – official source (programme fees not verified)"/>
    <hyperlink ref="H38" r:id="rId33" display="https://studentaccount.uky.edu/tuition-and-fees/undergraduate-tuition-and-fees  —  Verified – official source (programme fees not verified)"/>
    <hyperlink ref="H39" r:id="rId34" display="https://studentaccount.uky.edu/tuition-and-fees/undergraduate-tuition-and-fees  —  Verified – official source (programme fees not verified)"/>
    <hyperlink ref="H40" r:id="rId35" display="https://studentaccount.uky.edu/tuition-and-fees/undergraduate-tuition-and-fees  —  Verified – official source (programme fees not verified)"/>
    <hyperlink ref="H41" r:id="rId36" display="https://www.purdue.edu/treasurer/finance/bursar-office/tuition/fee-rates-2026-2027/undergraduate-tuition-and-fees-2026-2027  —  Verified – official source"/>
    <hyperlink ref="H42" r:id="rId37" display="https://www.purdue.edu/treasurer/finance/bursar-office/tuition/fee-rates-2026-2027/undergraduate-tuition-and-fees-2026-2027  —  Verified – official source"/>
    <hyperlink ref="H43" r:id="rId38" display="https://www.purdue.edu/treasurer/finance/bursar-office/tuition/fee-rates-2026-2027/undergraduate-tuition-and-fees-2026-2027  —  Verified – official source"/>
    <hyperlink ref="H44" r:id="rId39" display="https://admission.asu.edu/cost-aid/international  —  Verified – official source"/>
    <hyperlink ref="H45" r:id="rId40" display="https://admission.asu.edu/cost-aid/international  —  Verified – official source"/>
    <hyperlink ref="H46" r:id="rId41" display="https://admission.asu.edu/cost-aid/international  —  Verified – official source"/>
    <hyperlink ref="H47" r:id="rId42" display="https://admission.asu.edu/cost-aid/international  —  Verified – official source"/>
    <hyperlink ref="H48" r:id="rId43" display="https://medschool.umich.edu/programs-admissions/md-program/tuition-financial-aid/md-program-tuition-fees  —  Verified – official source"/>
    <hyperlink ref="H49" r:id="rId44" display="https://umaryland.edu/fin/cost-of-attendance/medicine/md  —  Verified – official source"/>
    <hyperlink ref="H50" r:id="rId45" display="https://www.med.unc.edu/md/financial-aid/cost-of-attendance/  —  Verified – official source"/>
    <hyperlink ref="H51" r:id="rId46" display="https://www.manchester.ac.uk/study/undergraduate/courses/2026/00560/bsc-computer-science/  —  Verified – official source"/>
    <hyperlink ref="H52" r:id="rId47" display="https://www.manchester.ac.uk/study/undergraduate/courses/2026/00560/bsc-computer-science/  —  Verified – official source"/>
    <hyperlink ref="H53" r:id="rId48" display="https://www.manchester.ac.uk/study/undergraduate/courses/2026/03921/meng-mechanical-engineering/  —  Verified – official source"/>
    <hyperlink ref="H54" r:id="rId49" display="https://www.manchester.ac.uk/study/undergraduate/courses/2026/03921/meng-mechanical-engineering/  —  Verified – official source"/>
    <hyperlink ref="H55" r:id="rId50" display="https://www.manchester.ac.uk/study/undergraduate/courses/2026/03520/bsc-management-accounting-and-finance/  —  Verified – official source"/>
    <hyperlink ref="H56" r:id="rId51" display="https://www.manchester.ac.uk/study/undergraduate/courses/2026/03520/bsc-management-accounting-and-finance/  —  Verified – official source"/>
    <hyperlink ref="H57" r:id="rId52" display="https://www.manchester.ac.uk/study/undergraduate/courses/2026/01428/mbchb-medicine/  —  Derived from official source"/>
    <hyperlink ref="H58" r:id="rId53" display="https://www.manchester.ac.uk/study/undergraduate/courses/2026/01428/mbchb-medicine/  —  Verified – official source"/>
    <hyperlink ref="H59" r:id="rId54" display="https://courses.leeds.ac.uk/3260/computer-science-bsc  —  Verified – official source"/>
    <hyperlink ref="H60" r:id="rId55" display="https://courses.leeds.ac.uk/5200/mechanical-engineering-beng  —  Verified – official source"/>
    <hyperlink ref="H61" r:id="rId56" display="https://courses.leeds.ac.uk/f834/accounting-and-finance-bsc  —  Verified – official source"/>
    <hyperlink ref="H62" r:id="rId57" display="https://courses.leeds.ac.uk/f831/international-business-bsc  —  Verified – official source"/>
    <hyperlink ref="H63" r:id="rId58" display="https://www.unsw.edu.au/study/undergraduate/bachelor-of-engineering-honours  —  Verified – official source"/>
    <hyperlink ref="H64" r:id="rId59" display="https://www.unsw.edu.au/study/undergraduate/bachelor-of-computer-science  —  Verified – official source"/>
    <hyperlink ref="H65" r:id="rId60" display="https://www.unsw.edu.au/study/undergraduate/bachelor-of-commerce  —  Verified – official source"/>
    <hyperlink ref="H66" r:id="rId61" display="https://www.unsw.edu.au/study/undergraduate/bachelor-of-commerce  —  Verified – official source"/>
    <hyperlink ref="H67" r:id="rId62" display="https://www.unsw.edu.au/study/undergraduate/bachelor-of-medical-studies-doctor-of-medicine  —  Verified – official source"/>
    <hyperlink ref="H68" r:id="rId63" display="https://study.uq.edu.au/study-options/programs/bachelor-engineering-honours-2455  —  Verified – official source"/>
    <hyperlink ref="H69" r:id="rId64" display="https://study.uq.edu.au/study-options/programs/bachelor-computer-science-2451  —  Verified – official source"/>
    <hyperlink ref="H70" r:id="rId65" display="https://www.intl.kit.edu/istudies/12606.php  —  Verified – official source (semester contribution not verified)"/>
    <hyperlink ref="H71" r:id="rId66" display="https://www.intl.kit.edu/istudies/12606.php  —  Verified – official source (semester contribution not verified)"/>
    <hyperlink ref="H72" r:id="rId67" display="https://www.uni-mannheim.de/en/academics/during-your-studies/organizing-your-studies/fees/  —  Verified – official source"/>
    <hyperlink ref="H73" r:id="rId68" display="https://www.uni-heidelberg.de/en/study/management-of-studies/semester-fees  —  Derived from official sources"/>
    <hyperlink ref="H74" r:id="rId69" display="https://www.asta.rwth-aachen.de/en/how-is-the-semester-contribution-made-up/  —  Historical – excluded from average"/>
    <hyperlink ref="H75" r:id="rId70" display="https://www.asta.rwth-aachen.de/en/how-is-the-semester-contribution-made-up/  —  Historical – excluded from average"/>
    <hyperlink ref="H76" r:id="rId71" display="https://www.tum.de/en/studies/fees/tuition  —  Range – programme fee band not confirmed; excluded from average"/>
    <hyperlink ref="H77" r:id="rId72" display="https://www.tum.de/en/studies/fees/tuition  —  Range – programme fee band not confirmed; excluded from average"/>
    <hyperlink ref="H78" r:id="rId73" display="https://www.tum.de/en/studies/fees/tuition  —  Range – programme fee band not confirmed; excluded from average"/>
    <hyperlink ref="H80" r:id="rId74" display="https://lums.edu.pk/programmes/bs-computer-science  —  Partial – food, transport and personal costs not verified"/>
    <hyperlink ref="H81" r:id="rId75" display="https://iiitd.ac.in/admission/fees  —  Partial – transport and personal costs not verified"/>
    <hyperlink ref="H82" r:id="rId76" display="https://studentsuccess.uky.edu/financial-aid-and-scholarships/estimated-cost-attendance  —  Single-institution benchmark (University of Kentucky)"/>
    <hyperlink ref="H83" r:id="rId77" display="https://study.ed.ac.uk/undergraduate/fees-funding/living-costs  —  Single-institution benchmark (University of Edinburgh) + UK government charges"/>
    <hyperlink ref="H84" r:id="rId78" display="https://study.ed.ac.uk/undergraduate/fees-funding/living-costs  —  Single-institution benchmark (University of Edinburgh)"/>
    <hyperlink ref="H85" r:id="rId79" display="https://www.unsw.edu.au/study/your-future/cost-of-living-sydney  —  Combined estimate (UNSW, on-campus); OSHC health cover and visa fee not verified"/>
    <hyperlink ref="H86" r:id="rId80" display="https://www.daad.de/en/studying-in-germany/living-in-germany/finances/  —  Combined national average (DAA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2026-10-02T07:09:49Z</dcterms:created>
  <dc:creator>openpyxl</dc:creator>
  <dc:description/>
  <dc:language>en-US</dc:language>
  <cp:lastModifiedBy/>
  <dcterms:modified xsi:type="dcterms:W3CDTF">2026-10-02T10:09:53Z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