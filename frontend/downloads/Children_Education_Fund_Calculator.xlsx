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arim\Desktop\Dhanesh\sindhi-connect\frontend\downloads\"/>
    </mc:Choice>
  </mc:AlternateContent>
  <xr:revisionPtr revIDLastSave="0" documentId="13_ncr:1_{93747DCE-70F1-4C3C-A1B1-9915CBF6509E}" xr6:coauthVersionLast="47" xr6:coauthVersionMax="47" xr10:uidLastSave="{00000000-0000-0000-0000-000000000000}"/>
  <bookViews>
    <workbookView xWindow="1920" yWindow="1920" windowWidth="23040" windowHeight="13560" firstSheet="1" activeTab="1" xr2:uid="{00000000-000D-0000-FFFF-FFFF00000000}"/>
  </bookViews>
  <sheets>
    <sheet name="Start Here" sheetId="1" r:id="rId1"/>
    <sheet name="Inputs" sheetId="2" r:id="rId2"/>
    <sheet name="Dashboard" sheetId="3" r:id="rId3"/>
    <sheet name="Compare Countries" sheetId="4" r:id="rId4"/>
    <sheet name="Child 1" sheetId="5" r:id="rId5"/>
    <sheet name="Child 2" sheetId="6" r:id="rId6"/>
    <sheet name="Child 3" sheetId="7" r:id="rId7"/>
    <sheet name="Child 4" sheetId="8" r:id="rId8"/>
    <sheet name="Cost Database" sheetId="9" r:id="rId9"/>
    <sheet name="Fee Records" sheetId="10" r:id="rId10"/>
    <sheet name="Living Costs" sheetId="11" r:id="rId11"/>
    <sheet name="Visas and Travel" sheetId="12" r:id="rId12"/>
    <sheet name="Assumptions and Currency" sheetId="13" r:id="rId13"/>
    <sheet name="Sources and Method" sheetId="14" r:id="rId14"/>
    <sheet name="Lists" sheetId="15" state="hidden" r:id="rId15"/>
    <sheet name="Compare Calc" sheetId="16" state="hidden" r:id="rId16"/>
  </sheets>
  <definedNames>
    <definedName name="CmpChild">Inputs!$D$11</definedName>
    <definedName name="Coverage">Inputs!$D$8</definedName>
    <definedName name="Ctry_Ccy">Lists!$H$2:$H$12</definedName>
    <definedName name="Ctry_LInf">Lists!$I$2:$I$12</definedName>
    <definedName name="Ctry_Name">Lists!$G$2:$G$12</definedName>
    <definedName name="DB_Avail">'Cost Database'!$G$5:$G$488</definedName>
    <definedName name="DB_Dur">'Cost Database'!$F$5:$F$488</definedName>
    <definedName name="DB_EduCcy">'Cost Database'!$E$5:$E$488</definedName>
    <definedName name="DB_EstAdm">'Cost Database'!$R$5:$R$488</definedName>
    <definedName name="DB_EstBase">'Cost Database'!$O$5:$O$488</definedName>
    <definedName name="DB_EstCcy">'Cost Database'!$N$5:$N$488</definedName>
    <definedName name="DB_EstOther">'Cost Database'!$Q$5:$Q$488</definedName>
    <definedName name="DB_EstStatus">'Cost Database'!$M$5:$M$488</definedName>
    <definedName name="DB_EstTuition">'Cost Database'!$P$5:$P$488</definedName>
    <definedName name="DB_Key">'Cost Database'!$A$5:$A$488</definedName>
    <definedName name="DB_PreAdm">'Cost Database'!$X$5:$X$488</definedName>
    <definedName name="DB_PreBase">'Cost Database'!$U$5:$U$488</definedName>
    <definedName name="DB_PreCcy">'Cost Database'!$T$5:$T$488</definedName>
    <definedName name="DB_PreOther">'Cost Database'!$W$5:$W$488</definedName>
    <definedName name="DB_PreStatus">'Cost Database'!$S$5:$S$488</definedName>
    <definedName name="DB_PreTuition">'Cost Database'!$V$5:$V$488</definedName>
    <definedName name="DB_PreYears">'Cost Database'!$H$5:$H$488</definedName>
    <definedName name="DB_RecCcy">'Cost Database'!$L$5:$L$488</definedName>
    <definedName name="DB_TInf">'Cost Database'!$J$5:$J$488</definedName>
    <definedName name="DomKey">Lists!$E$2:$E$50</definedName>
    <definedName name="FxCodes">'Assumptions and Currency'!$A$8:$A$17</definedName>
    <definedName name="FxUsed">'Assumptions and Currency'!$D$8:$D$17</definedName>
    <definedName name="Liv_accommodation_Amt">'Living Costs'!$B$5:$B$26</definedName>
    <definedName name="Liv_accommodation_Base">'Living Costs'!$D$5:$D$26</definedName>
    <definedName name="Liv_accommodation_Ccy">'Living Costs'!$C$5:$C$26</definedName>
    <definedName name="Liv_accommodation_Status">'Living Costs'!$E$5:$E$26</definedName>
    <definedName name="Liv_books_Amt">'Living Costs'!$R$5:$R$26</definedName>
    <definedName name="Liv_books_Base">'Living Costs'!$T$5:$T$26</definedName>
    <definedName name="Liv_books_Ccy">'Living Costs'!$S$5:$S$26</definedName>
    <definedName name="Liv_books_Status">'Living Costs'!$U$5:$U$26</definedName>
    <definedName name="Liv_food_Amt">'Living Costs'!$F$5:$F$26</definedName>
    <definedName name="Liv_food_Base">'Living Costs'!$H$5:$H$26</definedName>
    <definedName name="Liv_food_Ccy">'Living Costs'!$G$5:$G$26</definedName>
    <definedName name="Liv_food_Status">'Living Costs'!$I$5:$I$26</definedName>
    <definedName name="Liv_healthInsurance_Amt">'Living Costs'!$N$5:$N$26</definedName>
    <definedName name="Liv_healthInsurance_Base">'Living Costs'!$P$5:$P$26</definedName>
    <definedName name="Liv_healthInsurance_Ccy">'Living Costs'!$O$5:$O$26</definedName>
    <definedName name="Liv_healthInsurance_Status">'Living Costs'!$Q$5:$Q$26</definedName>
    <definedName name="Liv_transport_Amt">'Living Costs'!$J$5:$J$26</definedName>
    <definedName name="Liv_transport_Base">'Living Costs'!$L$5:$L$26</definedName>
    <definedName name="Liv_transport_Ccy">'Living Costs'!$K$5:$K$26</definedName>
    <definedName name="Liv_transport_Status">'Living Costs'!$M$5:$M$26</definedName>
    <definedName name="LivKey">'Living Costs'!$A$5:$A$26</definedName>
    <definedName name="Nationality">Inputs!$C$6</definedName>
    <definedName name="NumChildren">Inputs!$D$4</definedName>
    <definedName name="PlanYear">'Assumptions and Currency'!$B$3</definedName>
    <definedName name="RecAdm">'Fee Records'!$H$5:$H$438</definedName>
    <definedName name="RecKey">'Fee Records'!$A$5:$A$438</definedName>
    <definedName name="RecOther">'Fee Records'!$G$5:$G$438</definedName>
    <definedName name="RecTuition">'Fee Records'!$F$5:$F$438</definedName>
    <definedName name="RecYear">'Fee Records'!$D$5:$D$438</definedName>
    <definedName name="RepCcy">Inputs!$D$7</definedName>
    <definedName name="Residence">Inputs!$C$5</definedName>
    <definedName name="ResNoVisa">Lists!$K$2:$K$3</definedName>
    <definedName name="Ret_Ccy">'Assumptions and Currency'!$A$22:$A$31</definedName>
    <definedName name="Ret_Rate">'Assumptions and Currency'!$B$22:$B$31</definedName>
    <definedName name="ReturnRate">Inputs!$D$9</definedName>
    <definedName name="SavInc">Inputs!$D$10</definedName>
    <definedName name="TravAmt">'Visas and Travel'!$H$4:$H$773</definedName>
    <definedName name="TravBase">'Visas and Travel'!$J$4:$J$773</definedName>
    <definedName name="TravCcy">'Visas and Travel'!$I$4:$I$773</definedName>
    <definedName name="TravKey">'Visas and Travel'!$G$4:$G$773</definedName>
    <definedName name="TravStatus">'Visas and Travel'!$K$4:$K$773</definedName>
    <definedName name="VisaAmt">'Visas and Travel'!$B$4:$B$773</definedName>
    <definedName name="VisaBase">'Visas and Travel'!$D$4:$D$773</definedName>
    <definedName name="VisaCcy">'Visas and Travel'!$C$4:$C$773</definedName>
    <definedName name="VisaKey">'Visas and Travel'!$A$4:$A$773</definedName>
    <definedName name="VisaStatus">'Visas and Travel'!$E$4:$E$773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4" i="16" l="1"/>
  <c r="B553" i="16"/>
  <c r="B492" i="16"/>
  <c r="B431" i="16"/>
  <c r="B370" i="16"/>
  <c r="B309" i="16"/>
  <c r="B248" i="16"/>
  <c r="B255" i="16" s="1"/>
  <c r="B187" i="16"/>
  <c r="B126" i="16"/>
  <c r="B65" i="16"/>
  <c r="B4" i="16"/>
  <c r="D17" i="13"/>
  <c r="D16" i="13"/>
  <c r="D15" i="13"/>
  <c r="D14" i="13"/>
  <c r="D13" i="13"/>
  <c r="D12" i="13"/>
  <c r="D11" i="13"/>
  <c r="D10" i="13"/>
  <c r="D9" i="13"/>
  <c r="D8" i="13"/>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H65" i="8"/>
  <c r="B65" i="8"/>
  <c r="C43" i="8"/>
  <c r="C42" i="8"/>
  <c r="C41" i="8"/>
  <c r="C40" i="8"/>
  <c r="C39" i="8"/>
  <c r="C38" i="8"/>
  <c r="C37" i="8"/>
  <c r="C36" i="8"/>
  <c r="C35" i="8"/>
  <c r="C34" i="8"/>
  <c r="C33" i="8"/>
  <c r="C32" i="8"/>
  <c r="B8" i="8"/>
  <c r="B7" i="8"/>
  <c r="B6" i="8"/>
  <c r="B5" i="8"/>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H65" i="7"/>
  <c r="B65" i="7"/>
  <c r="C43" i="7"/>
  <c r="C42" i="7"/>
  <c r="C41" i="7"/>
  <c r="C40" i="7"/>
  <c r="C39" i="7"/>
  <c r="C38" i="7"/>
  <c r="C37" i="7"/>
  <c r="C36" i="7"/>
  <c r="C35" i="7"/>
  <c r="C34" i="7"/>
  <c r="C33" i="7"/>
  <c r="C32" i="7"/>
  <c r="B8" i="7"/>
  <c r="B7" i="7"/>
  <c r="B6" i="7"/>
  <c r="B5" i="7"/>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H65" i="6"/>
  <c r="B65" i="6"/>
  <c r="C43" i="6"/>
  <c r="C42" i="6"/>
  <c r="C41" i="6"/>
  <c r="C40" i="6"/>
  <c r="C39" i="6"/>
  <c r="C38" i="6"/>
  <c r="C37" i="6"/>
  <c r="C36" i="6"/>
  <c r="C35" i="6"/>
  <c r="C34" i="6"/>
  <c r="C33" i="6"/>
  <c r="C32" i="6"/>
  <c r="B8" i="6"/>
  <c r="B7" i="6"/>
  <c r="B6" i="6"/>
  <c r="B5" i="6"/>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H65" i="5"/>
  <c r="B65" i="5"/>
  <c r="C43" i="5"/>
  <c r="C42" i="5"/>
  <c r="C41" i="5"/>
  <c r="C40" i="5"/>
  <c r="C39" i="5"/>
  <c r="C38" i="5"/>
  <c r="C37" i="5"/>
  <c r="C36" i="5"/>
  <c r="C35" i="5"/>
  <c r="C34" i="5"/>
  <c r="C33" i="5"/>
  <c r="C32" i="5"/>
  <c r="B8" i="5"/>
  <c r="B7" i="5"/>
  <c r="B6" i="5"/>
  <c r="B5" i="5"/>
  <c r="X31" i="3"/>
  <c r="W31" i="3"/>
  <c r="V31" i="3"/>
  <c r="U31" i="3"/>
  <c r="D10" i="2"/>
  <c r="D8" i="2"/>
  <c r="D7" i="2"/>
  <c r="D4" i="2"/>
  <c r="B211" i="16" l="1"/>
  <c r="B210" i="16"/>
  <c r="B194" i="16"/>
  <c r="B206" i="16" s="1"/>
  <c r="B191" i="16"/>
  <c r="B267" i="16"/>
  <c r="B4" i="8"/>
  <c r="B4" i="6"/>
  <c r="B4" i="7"/>
  <c r="B621" i="16"/>
  <c r="B633" i="16" s="1"/>
  <c r="B637" i="16"/>
  <c r="B618" i="16"/>
  <c r="B638" i="16"/>
  <c r="B576" i="16"/>
  <c r="B577" i="16"/>
  <c r="B557" i="16"/>
  <c r="B560" i="16"/>
  <c r="B572" i="16" s="1"/>
  <c r="B516" i="16"/>
  <c r="B515" i="16"/>
  <c r="B499" i="16"/>
  <c r="B511" i="16" s="1"/>
  <c r="B496" i="16"/>
  <c r="B514" i="16" s="1"/>
  <c r="B455" i="16"/>
  <c r="B454" i="16"/>
  <c r="B438" i="16"/>
  <c r="B450" i="16" s="1"/>
  <c r="B435" i="16"/>
  <c r="B394" i="16"/>
  <c r="B393" i="16"/>
  <c r="B377" i="16"/>
  <c r="B389" i="16" s="1"/>
  <c r="B374" i="16"/>
  <c r="B332" i="16"/>
  <c r="B316" i="16"/>
  <c r="B328" i="16" s="1"/>
  <c r="B313" i="16"/>
  <c r="B331" i="16" s="1"/>
  <c r="B333" i="16"/>
  <c r="B252" i="16"/>
  <c r="B272" i="16"/>
  <c r="B271" i="16"/>
  <c r="B130" i="16"/>
  <c r="B148" i="16" s="1"/>
  <c r="B133" i="16"/>
  <c r="B145" i="16" s="1"/>
  <c r="B149" i="16"/>
  <c r="B150" i="16"/>
  <c r="B72" i="16"/>
  <c r="B84" i="16" s="1"/>
  <c r="B88" i="16"/>
  <c r="B69" i="16"/>
  <c r="B87" i="16" s="1"/>
  <c r="B89" i="16"/>
  <c r="B8" i="16"/>
  <c r="B26" i="16" s="1"/>
  <c r="B27" i="16"/>
  <c r="B28" i="16"/>
  <c r="B11" i="16"/>
  <c r="B23" i="16" s="1"/>
  <c r="B17" i="8"/>
  <c r="B28" i="8"/>
  <c r="B29" i="8"/>
  <c r="B12" i="8"/>
  <c r="B24" i="8" s="1"/>
  <c r="B9" i="8"/>
  <c r="B12" i="7"/>
  <c r="B24" i="7" s="1"/>
  <c r="B28" i="7"/>
  <c r="B17" i="7"/>
  <c r="B9" i="7"/>
  <c r="B29" i="7"/>
  <c r="B29" i="6"/>
  <c r="B28" i="6"/>
  <c r="B17" i="6"/>
  <c r="B12" i="6"/>
  <c r="B24" i="6" s="1"/>
  <c r="B9" i="6"/>
  <c r="B29" i="5"/>
  <c r="B28" i="5"/>
  <c r="B17" i="5"/>
  <c r="B12" i="5"/>
  <c r="B24" i="5" s="1"/>
  <c r="B9" i="5"/>
  <c r="C8" i="4"/>
  <c r="B2" i="4"/>
  <c r="C19" i="3"/>
  <c r="G11" i="3"/>
  <c r="B2" i="3"/>
  <c r="D9" i="2"/>
  <c r="D14" i="3"/>
  <c r="C14" i="3"/>
  <c r="B14" i="3"/>
  <c r="D13" i="3"/>
  <c r="C13" i="3"/>
  <c r="B13" i="3"/>
  <c r="D12" i="3"/>
  <c r="C12" i="3"/>
  <c r="B12" i="3"/>
  <c r="B4" i="5"/>
  <c r="D11" i="2"/>
  <c r="D15" i="3"/>
  <c r="C15" i="3"/>
  <c r="B15" i="3"/>
  <c r="B223" i="16" l="1"/>
  <c r="D223" i="16" s="1"/>
  <c r="E223" i="16"/>
  <c r="F223" i="16"/>
  <c r="G223" i="16" s="1"/>
  <c r="E222" i="16"/>
  <c r="B222" i="16"/>
  <c r="D222" i="16" s="1"/>
  <c r="B209" i="16"/>
  <c r="F222" i="16"/>
  <c r="G222" i="16" s="1"/>
  <c r="B10" i="8"/>
  <c r="B11" i="8" s="1"/>
  <c r="B27" i="8"/>
  <c r="F100" i="16"/>
  <c r="G100" i="16" s="1"/>
  <c r="E40" i="7"/>
  <c r="B649" i="16"/>
  <c r="D649" i="16" s="1"/>
  <c r="E649" i="16"/>
  <c r="E650" i="16"/>
  <c r="B650" i="16"/>
  <c r="D650" i="16" s="1"/>
  <c r="F650" i="16"/>
  <c r="G650" i="16" s="1"/>
  <c r="B588" i="16"/>
  <c r="D588" i="16" s="1"/>
  <c r="E588" i="16"/>
  <c r="B589" i="16"/>
  <c r="D589" i="16" s="1"/>
  <c r="E589" i="16"/>
  <c r="F589" i="16"/>
  <c r="G589" i="16" s="1"/>
  <c r="E528" i="16"/>
  <c r="F528" i="16"/>
  <c r="G528" i="16" s="1"/>
  <c r="B528" i="16"/>
  <c r="D528" i="16" s="1"/>
  <c r="E527" i="16"/>
  <c r="B527" i="16"/>
  <c r="D527" i="16" s="1"/>
  <c r="F521" i="16"/>
  <c r="G521" i="16" s="1"/>
  <c r="B522" i="16"/>
  <c r="D522" i="16" s="1"/>
  <c r="E522" i="16"/>
  <c r="E523" i="16"/>
  <c r="F520" i="16"/>
  <c r="G520" i="16" s="1"/>
  <c r="F522" i="16"/>
  <c r="G522" i="16" s="1"/>
  <c r="E524" i="16"/>
  <c r="E520" i="16"/>
  <c r="B521" i="16"/>
  <c r="D521" i="16" s="1"/>
  <c r="B523" i="16"/>
  <c r="D523" i="16" s="1"/>
  <c r="B524" i="16"/>
  <c r="D524" i="16" s="1"/>
  <c r="F524" i="16"/>
  <c r="G524" i="16" s="1"/>
  <c r="B520" i="16"/>
  <c r="D520" i="16" s="1"/>
  <c r="E521" i="16"/>
  <c r="F523" i="16"/>
  <c r="G523" i="16" s="1"/>
  <c r="B467" i="16"/>
  <c r="D467" i="16" s="1"/>
  <c r="E467" i="16"/>
  <c r="F467" i="16"/>
  <c r="G467" i="16" s="1"/>
  <c r="B466" i="16"/>
  <c r="D466" i="16" s="1"/>
  <c r="E466" i="16"/>
  <c r="B406" i="16"/>
  <c r="D406" i="16" s="1"/>
  <c r="E406" i="16"/>
  <c r="F406" i="16"/>
  <c r="G406" i="16" s="1"/>
  <c r="B405" i="16"/>
  <c r="D405" i="16" s="1"/>
  <c r="E405" i="16"/>
  <c r="B344" i="16"/>
  <c r="D344" i="16" s="1"/>
  <c r="E344" i="16"/>
  <c r="B337" i="16"/>
  <c r="D337" i="16" s="1"/>
  <c r="E337" i="16"/>
  <c r="F337" i="16"/>
  <c r="G337" i="16" s="1"/>
  <c r="B338" i="16"/>
  <c r="D338" i="16" s="1"/>
  <c r="E338" i="16"/>
  <c r="F338" i="16"/>
  <c r="G338" i="16" s="1"/>
  <c r="B339" i="16"/>
  <c r="D339" i="16" s="1"/>
  <c r="E339" i="16"/>
  <c r="F339" i="16"/>
  <c r="G339" i="16" s="1"/>
  <c r="B340" i="16"/>
  <c r="D340" i="16" s="1"/>
  <c r="E340" i="16"/>
  <c r="F340" i="16"/>
  <c r="G340" i="16" s="1"/>
  <c r="B341" i="16"/>
  <c r="D341" i="16" s="1"/>
  <c r="E341" i="16"/>
  <c r="F341" i="16"/>
  <c r="G341" i="16" s="1"/>
  <c r="B345" i="16"/>
  <c r="D345" i="16" s="1"/>
  <c r="E345" i="16"/>
  <c r="F345" i="16"/>
  <c r="G345" i="16" s="1"/>
  <c r="B284" i="16"/>
  <c r="D284" i="16" s="1"/>
  <c r="F284" i="16"/>
  <c r="G284" i="16" s="1"/>
  <c r="E284" i="16"/>
  <c r="E283" i="16"/>
  <c r="B283" i="16"/>
  <c r="D283" i="16" s="1"/>
  <c r="B154" i="16"/>
  <c r="D154" i="16" s="1"/>
  <c r="E154" i="16"/>
  <c r="F154" i="16"/>
  <c r="G154" i="16" s="1"/>
  <c r="B155" i="16"/>
  <c r="D155" i="16" s="1"/>
  <c r="E155" i="16"/>
  <c r="F155" i="16"/>
  <c r="G155" i="16" s="1"/>
  <c r="B156" i="16"/>
  <c r="D156" i="16" s="1"/>
  <c r="E156" i="16"/>
  <c r="F156" i="16"/>
  <c r="G156" i="16" s="1"/>
  <c r="B157" i="16"/>
  <c r="D157" i="16" s="1"/>
  <c r="E157" i="16"/>
  <c r="F157" i="16"/>
  <c r="G157" i="16" s="1"/>
  <c r="B158" i="16"/>
  <c r="D158" i="16" s="1"/>
  <c r="E158" i="16"/>
  <c r="F158" i="16"/>
  <c r="G158" i="16" s="1"/>
  <c r="B161" i="16"/>
  <c r="D161" i="16" s="1"/>
  <c r="E161" i="16"/>
  <c r="B162" i="16"/>
  <c r="D162" i="16" s="1"/>
  <c r="E162" i="16"/>
  <c r="F162" i="16"/>
  <c r="G162" i="16" s="1"/>
  <c r="E100" i="16"/>
  <c r="B100" i="16"/>
  <c r="D100" i="16" s="1"/>
  <c r="B101" i="16"/>
  <c r="D101" i="16" s="1"/>
  <c r="E101" i="16"/>
  <c r="F101" i="16"/>
  <c r="G101" i="16" s="1"/>
  <c r="E93" i="16"/>
  <c r="B94" i="16"/>
  <c r="D94" i="16" s="1"/>
  <c r="E94" i="16"/>
  <c r="E95" i="16"/>
  <c r="B96" i="16"/>
  <c r="D96" i="16" s="1"/>
  <c r="F96" i="16"/>
  <c r="G96" i="16" s="1"/>
  <c r="B97" i="16"/>
  <c r="D97" i="16" s="1"/>
  <c r="E97" i="16"/>
  <c r="B93" i="16"/>
  <c r="D93" i="16" s="1"/>
  <c r="F93" i="16"/>
  <c r="G93" i="16" s="1"/>
  <c r="F94" i="16"/>
  <c r="G94" i="16" s="1"/>
  <c r="B95" i="16"/>
  <c r="D95" i="16" s="1"/>
  <c r="F95" i="16"/>
  <c r="G95" i="16" s="1"/>
  <c r="E96" i="16"/>
  <c r="F97" i="16"/>
  <c r="G97" i="16" s="1"/>
  <c r="E39" i="16"/>
  <c r="B39" i="16"/>
  <c r="D39" i="16" s="1"/>
  <c r="E40" i="16"/>
  <c r="B40" i="16"/>
  <c r="D40" i="16" s="1"/>
  <c r="F40" i="16"/>
  <c r="G40" i="16" s="1"/>
  <c r="F35" i="16"/>
  <c r="G35" i="16" s="1"/>
  <c r="B33" i="16"/>
  <c r="D33" i="16" s="1"/>
  <c r="F36" i="16"/>
  <c r="G36" i="16" s="1"/>
  <c r="F33" i="16"/>
  <c r="G33" i="16" s="1"/>
  <c r="E36" i="16"/>
  <c r="F34" i="16"/>
  <c r="G34" i="16" s="1"/>
  <c r="E32" i="16"/>
  <c r="F32" i="16"/>
  <c r="G32" i="16" s="1"/>
  <c r="E35" i="16"/>
  <c r="B36" i="16"/>
  <c r="D36" i="16" s="1"/>
  <c r="E34" i="16"/>
  <c r="B35" i="16"/>
  <c r="D35" i="16" s="1"/>
  <c r="B34" i="16"/>
  <c r="D34" i="16" s="1"/>
  <c r="B32" i="16"/>
  <c r="D32" i="16" s="1"/>
  <c r="E33" i="16"/>
  <c r="F65" i="5"/>
  <c r="F66" i="5"/>
  <c r="F67" i="5"/>
  <c r="F68" i="5"/>
  <c r="F69" i="5"/>
  <c r="F70" i="5"/>
  <c r="F71" i="5"/>
  <c r="F72" i="5"/>
  <c r="F73" i="5"/>
  <c r="F74" i="5"/>
  <c r="F75" i="5"/>
  <c r="F76" i="5"/>
  <c r="F120" i="8"/>
  <c r="F78" i="5"/>
  <c r="F80" i="5"/>
  <c r="F81" i="5"/>
  <c r="F82" i="5"/>
  <c r="F85" i="5"/>
  <c r="F86" i="5"/>
  <c r="F89" i="5"/>
  <c r="F90" i="5"/>
  <c r="F91" i="5"/>
  <c r="F92" i="5"/>
  <c r="F93" i="5"/>
  <c r="F94" i="5"/>
  <c r="F95" i="5"/>
  <c r="F96" i="5"/>
  <c r="F97" i="5"/>
  <c r="F98" i="5"/>
  <c r="F99" i="5"/>
  <c r="F100" i="5"/>
  <c r="F101" i="5"/>
  <c r="F102" i="5"/>
  <c r="F118" i="8"/>
  <c r="F121" i="8"/>
  <c r="F111" i="5"/>
  <c r="F112" i="5"/>
  <c r="F117" i="5"/>
  <c r="F116" i="8"/>
  <c r="F83" i="5"/>
  <c r="F87" i="5"/>
  <c r="F88" i="5"/>
  <c r="F105" i="5"/>
  <c r="F109" i="5"/>
  <c r="F110" i="5"/>
  <c r="F114" i="5"/>
  <c r="F115" i="5"/>
  <c r="F116" i="5"/>
  <c r="F123" i="5"/>
  <c r="F121" i="7"/>
  <c r="F117" i="8"/>
  <c r="F77" i="5"/>
  <c r="F79" i="5"/>
  <c r="F84" i="5"/>
  <c r="F103" i="5"/>
  <c r="F104" i="5"/>
  <c r="F106" i="5"/>
  <c r="F107" i="5"/>
  <c r="F108" i="5"/>
  <c r="F113" i="5"/>
  <c r="F118" i="5"/>
  <c r="F119" i="5"/>
  <c r="F120" i="5"/>
  <c r="F121" i="5"/>
  <c r="F122" i="5"/>
  <c r="F124" i="5"/>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100" i="6"/>
  <c r="F102" i="6"/>
  <c r="F104" i="6"/>
  <c r="F105" i="6"/>
  <c r="F106" i="6"/>
  <c r="F107" i="6"/>
  <c r="F108" i="6"/>
  <c r="F109" i="6"/>
  <c r="F115" i="6"/>
  <c r="F118" i="6"/>
  <c r="F119" i="6"/>
  <c r="F120" i="6"/>
  <c r="F121" i="6"/>
  <c r="F122" i="6"/>
  <c r="F123" i="6"/>
  <c r="F124" i="6"/>
  <c r="F99" i="6"/>
  <c r="F103" i="6"/>
  <c r="F110" i="6"/>
  <c r="F111" i="6"/>
  <c r="F112" i="6"/>
  <c r="F113" i="6"/>
  <c r="F114" i="6"/>
  <c r="F116" i="6"/>
  <c r="F117" i="6"/>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101" i="6"/>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84" i="8"/>
  <c r="F85" i="8"/>
  <c r="F86" i="8"/>
  <c r="F87" i="8"/>
  <c r="F88" i="8"/>
  <c r="F89" i="8"/>
  <c r="F65" i="8"/>
  <c r="F66" i="8"/>
  <c r="F67" i="8"/>
  <c r="F68" i="8"/>
  <c r="F69" i="8"/>
  <c r="F70" i="8"/>
  <c r="F71" i="8"/>
  <c r="F72" i="8"/>
  <c r="F73" i="8"/>
  <c r="F74" i="8"/>
  <c r="F75" i="8"/>
  <c r="F76" i="8"/>
  <c r="F77" i="8"/>
  <c r="F78" i="8"/>
  <c r="F79" i="8"/>
  <c r="F80" i="8"/>
  <c r="F81" i="8"/>
  <c r="F82" i="8"/>
  <c r="F83"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22" i="7"/>
  <c r="F123" i="7"/>
  <c r="F119" i="8"/>
  <c r="F124" i="7"/>
  <c r="F122" i="8"/>
  <c r="F123" i="8"/>
  <c r="F124" i="8"/>
  <c r="B3" i="16"/>
  <c r="B7" i="16"/>
  <c r="B493" i="16"/>
  <c r="B497" i="16" s="1"/>
  <c r="B498" i="16" s="1"/>
  <c r="B503" i="16" s="1"/>
  <c r="B495" i="16"/>
  <c r="B554" i="16"/>
  <c r="B558" i="16" s="1"/>
  <c r="B559" i="16" s="1"/>
  <c r="B564" i="16" s="1"/>
  <c r="B617" i="16"/>
  <c r="C4" i="4"/>
  <c r="C5" i="4"/>
  <c r="B16" i="16"/>
  <c r="B494" i="16"/>
  <c r="B615" i="16"/>
  <c r="B619" i="16" s="1"/>
  <c r="B620" i="16" s="1"/>
  <c r="B625" i="16" s="1"/>
  <c r="B64" i="16"/>
  <c r="B66" i="16"/>
  <c r="B70" i="16" s="1"/>
  <c r="B71" i="16" s="1"/>
  <c r="B76" i="16" s="1"/>
  <c r="B6" i="16"/>
  <c r="B67" i="16"/>
  <c r="B68" i="16"/>
  <c r="B77" i="16"/>
  <c r="B125" i="16"/>
  <c r="B127" i="16"/>
  <c r="B131" i="16" s="1"/>
  <c r="B132" i="16" s="1"/>
  <c r="B137" i="16" s="1"/>
  <c r="B128" i="16"/>
  <c r="B129" i="16"/>
  <c r="B138" i="16"/>
  <c r="B186" i="16"/>
  <c r="B188" i="16"/>
  <c r="B192" i="16" s="1"/>
  <c r="B193" i="16" s="1"/>
  <c r="B198" i="16" s="1"/>
  <c r="B189" i="16"/>
  <c r="B190" i="16"/>
  <c r="B260" i="16"/>
  <c r="B308" i="16"/>
  <c r="B310" i="16"/>
  <c r="B314" i="16" s="1"/>
  <c r="B315" i="16" s="1"/>
  <c r="B320" i="16" s="1"/>
  <c r="B311" i="16"/>
  <c r="B312" i="16"/>
  <c r="B321" i="16"/>
  <c r="B369" i="16"/>
  <c r="B371" i="16"/>
  <c r="B375" i="16" s="1"/>
  <c r="B376" i="16" s="1"/>
  <c r="B381" i="16" s="1"/>
  <c r="B372" i="16"/>
  <c r="B373" i="16"/>
  <c r="B382" i="16"/>
  <c r="B199" i="16"/>
  <c r="B247" i="16"/>
  <c r="B249" i="16"/>
  <c r="B253" i="16" s="1"/>
  <c r="B254" i="16" s="1"/>
  <c r="B259" i="16" s="1"/>
  <c r="B250" i="16"/>
  <c r="B251" i="16"/>
  <c r="B430" i="16"/>
  <c r="B432" i="16"/>
  <c r="B436" i="16" s="1"/>
  <c r="B437" i="16" s="1"/>
  <c r="B442" i="16" s="1"/>
  <c r="B433" i="16"/>
  <c r="B434" i="16"/>
  <c r="B443" i="16"/>
  <c r="B491" i="16"/>
  <c r="B504" i="16"/>
  <c r="B556" i="16"/>
  <c r="B5" i="16"/>
  <c r="B9" i="16" s="1"/>
  <c r="B10" i="16" s="1"/>
  <c r="B15" i="16" s="1"/>
  <c r="B552" i="16"/>
  <c r="B555" i="16"/>
  <c r="B565" i="16"/>
  <c r="B613" i="16"/>
  <c r="B616" i="16"/>
  <c r="B626" i="16"/>
  <c r="F161" i="16"/>
  <c r="G161" i="16" s="1"/>
  <c r="F39" i="16"/>
  <c r="G39" i="16" s="1"/>
  <c r="B40" i="7"/>
  <c r="D40" i="7" s="1"/>
  <c r="F527" i="16"/>
  <c r="G527" i="16" s="1"/>
  <c r="F344" i="16"/>
  <c r="G344" i="16" s="1"/>
  <c r="F649" i="16"/>
  <c r="G649" i="16" s="1"/>
  <c r="B636" i="16"/>
  <c r="F588" i="16"/>
  <c r="G588" i="16" s="1"/>
  <c r="B575" i="16"/>
  <c r="F466" i="16"/>
  <c r="G466" i="16" s="1"/>
  <c r="B453" i="16"/>
  <c r="F405" i="16"/>
  <c r="G405" i="16" s="1"/>
  <c r="B392" i="16"/>
  <c r="F283" i="16"/>
  <c r="G283" i="16" s="1"/>
  <c r="B270" i="16"/>
  <c r="B40" i="8"/>
  <c r="D40" i="8" s="1"/>
  <c r="E40" i="8"/>
  <c r="F40" i="8"/>
  <c r="G40" i="8" s="1"/>
  <c r="B41" i="8"/>
  <c r="D41" i="8" s="1"/>
  <c r="E41" i="8"/>
  <c r="F41" i="8"/>
  <c r="G41" i="8" s="1"/>
  <c r="B10" i="7"/>
  <c r="B11" i="7" s="1"/>
  <c r="F40" i="7"/>
  <c r="G40" i="7" s="1"/>
  <c r="B27" i="7"/>
  <c r="B41" i="7"/>
  <c r="D41" i="7" s="1"/>
  <c r="E41" i="7"/>
  <c r="F41" i="7"/>
  <c r="G41" i="7" s="1"/>
  <c r="B41" i="6"/>
  <c r="D41" i="6" s="1"/>
  <c r="F41" i="6"/>
  <c r="G41" i="6" s="1"/>
  <c r="E41" i="6"/>
  <c r="B40" i="6"/>
  <c r="D40" i="6" s="1"/>
  <c r="E40" i="6"/>
  <c r="F40" i="6"/>
  <c r="G40" i="6" s="1"/>
  <c r="B10" i="6"/>
  <c r="B11" i="6" s="1"/>
  <c r="B27" i="6"/>
  <c r="B41" i="5"/>
  <c r="D41" i="5" s="1"/>
  <c r="F41" i="5"/>
  <c r="G41" i="5" s="1"/>
  <c r="E41" i="5"/>
  <c r="B40" i="5"/>
  <c r="D40" i="5" s="1"/>
  <c r="E40" i="5"/>
  <c r="B27" i="5"/>
  <c r="B10" i="5"/>
  <c r="B11" i="5" s="1"/>
  <c r="F40" i="5"/>
  <c r="G40" i="5" s="1"/>
  <c r="E216" i="16" l="1"/>
  <c r="E217" i="16"/>
  <c r="B215" i="16"/>
  <c r="D215" i="16" s="1"/>
  <c r="E215" i="16"/>
  <c r="E218" i="16"/>
  <c r="F215" i="16"/>
  <c r="G215" i="16" s="1"/>
  <c r="B216" i="16"/>
  <c r="D216" i="16" s="1"/>
  <c r="F216" i="16"/>
  <c r="G216" i="16" s="1"/>
  <c r="B217" i="16"/>
  <c r="D217" i="16" s="1"/>
  <c r="F217" i="16"/>
  <c r="G217" i="16" s="1"/>
  <c r="B218" i="16"/>
  <c r="D218" i="16" s="1"/>
  <c r="F218" i="16"/>
  <c r="G218" i="16" s="1"/>
  <c r="B219" i="16"/>
  <c r="D219" i="16" s="1"/>
  <c r="E219" i="16"/>
  <c r="F219" i="16"/>
  <c r="G219" i="16" s="1"/>
  <c r="B16" i="8"/>
  <c r="B25" i="8"/>
  <c r="B13" i="8"/>
  <c r="B14" i="8"/>
  <c r="B15" i="8"/>
  <c r="B33" i="8"/>
  <c r="D33" i="8" s="1"/>
  <c r="B34" i="8"/>
  <c r="D34" i="8" s="1"/>
  <c r="B35" i="8"/>
  <c r="D35" i="8" s="1"/>
  <c r="B36" i="8"/>
  <c r="D36" i="8" s="1"/>
  <c r="B37" i="8"/>
  <c r="D37" i="8" s="1"/>
  <c r="E35" i="8"/>
  <c r="E33" i="8"/>
  <c r="E34" i="8"/>
  <c r="F37" i="8"/>
  <c r="G37" i="8" s="1"/>
  <c r="F33" i="8"/>
  <c r="G33" i="8" s="1"/>
  <c r="F34" i="8"/>
  <c r="G34" i="8" s="1"/>
  <c r="E37" i="8"/>
  <c r="E36" i="8"/>
  <c r="F36" i="8"/>
  <c r="G36" i="8" s="1"/>
  <c r="F35" i="8"/>
  <c r="G35" i="8" s="1"/>
  <c r="B500" i="16"/>
  <c r="B512" i="16"/>
  <c r="B502" i="16"/>
  <c r="B501" i="16"/>
  <c r="B509" i="16" s="1"/>
  <c r="B562" i="16"/>
  <c r="B561" i="16"/>
  <c r="B573" i="16"/>
  <c r="B563" i="16"/>
  <c r="B624" i="16"/>
  <c r="B634" i="16"/>
  <c r="B622" i="16"/>
  <c r="B623" i="16"/>
  <c r="B85" i="16"/>
  <c r="B75" i="16"/>
  <c r="B74" i="16"/>
  <c r="B73" i="16"/>
  <c r="B146" i="16"/>
  <c r="B136" i="16"/>
  <c r="B135" i="16"/>
  <c r="B134" i="16"/>
  <c r="B195" i="16"/>
  <c r="B196" i="16"/>
  <c r="B197" i="16"/>
  <c r="B207" i="16"/>
  <c r="B329" i="16"/>
  <c r="B319" i="16"/>
  <c r="B318" i="16"/>
  <c r="B317" i="16"/>
  <c r="B390" i="16"/>
  <c r="B380" i="16"/>
  <c r="B379" i="16"/>
  <c r="B378" i="16"/>
  <c r="B268" i="16"/>
  <c r="B257" i="16"/>
  <c r="B258" i="16"/>
  <c r="B256" i="16"/>
  <c r="B451" i="16"/>
  <c r="B441" i="16"/>
  <c r="B440" i="16"/>
  <c r="B439" i="16"/>
  <c r="B510" i="16"/>
  <c r="B24" i="16"/>
  <c r="B12" i="16"/>
  <c r="B14" i="16"/>
  <c r="B13" i="16"/>
  <c r="E646" i="16"/>
  <c r="E643" i="16"/>
  <c r="F642" i="16"/>
  <c r="G642" i="16" s="1"/>
  <c r="B642" i="16"/>
  <c r="D642" i="16" s="1"/>
  <c r="F646" i="16"/>
  <c r="G646" i="16" s="1"/>
  <c r="E642" i="16"/>
  <c r="B646" i="16"/>
  <c r="D646" i="16" s="1"/>
  <c r="F645" i="16"/>
  <c r="G645" i="16" s="1"/>
  <c r="E645" i="16"/>
  <c r="B645" i="16"/>
  <c r="D645" i="16" s="1"/>
  <c r="F644" i="16"/>
  <c r="G644" i="16" s="1"/>
  <c r="E644" i="16"/>
  <c r="B644" i="16"/>
  <c r="D644" i="16" s="1"/>
  <c r="F643" i="16"/>
  <c r="G643" i="16" s="1"/>
  <c r="B643" i="16"/>
  <c r="D643" i="16" s="1"/>
  <c r="B585" i="16"/>
  <c r="D585" i="16" s="1"/>
  <c r="E584" i="16"/>
  <c r="F582" i="16"/>
  <c r="G582" i="16" s="1"/>
  <c r="E585" i="16"/>
  <c r="F584" i="16"/>
  <c r="G584" i="16" s="1"/>
  <c r="E583" i="16"/>
  <c r="B582" i="16"/>
  <c r="D582" i="16" s="1"/>
  <c r="F581" i="16"/>
  <c r="G581" i="16" s="1"/>
  <c r="B581" i="16"/>
  <c r="D581" i="16" s="1"/>
  <c r="E582" i="16"/>
  <c r="F585" i="16"/>
  <c r="G585" i="16" s="1"/>
  <c r="B584" i="16"/>
  <c r="D584" i="16" s="1"/>
  <c r="F583" i="16"/>
  <c r="G583" i="16" s="1"/>
  <c r="B583" i="16"/>
  <c r="D583" i="16" s="1"/>
  <c r="E581" i="16"/>
  <c r="F463" i="16"/>
  <c r="G463" i="16" s="1"/>
  <c r="E463" i="16"/>
  <c r="B463" i="16"/>
  <c r="D463" i="16" s="1"/>
  <c r="F462" i="16"/>
  <c r="G462" i="16" s="1"/>
  <c r="E462" i="16"/>
  <c r="B462" i="16"/>
  <c r="D462" i="16" s="1"/>
  <c r="F461" i="16"/>
  <c r="G461" i="16" s="1"/>
  <c r="E461" i="16"/>
  <c r="B461" i="16"/>
  <c r="D461" i="16" s="1"/>
  <c r="F460" i="16"/>
  <c r="G460" i="16" s="1"/>
  <c r="E460" i="16"/>
  <c r="B460" i="16"/>
  <c r="D460" i="16" s="1"/>
  <c r="F459" i="16"/>
  <c r="G459" i="16" s="1"/>
  <c r="E459" i="16"/>
  <c r="B459" i="16"/>
  <c r="D459" i="16" s="1"/>
  <c r="F402" i="16"/>
  <c r="G402" i="16" s="1"/>
  <c r="E402" i="16"/>
  <c r="B402" i="16"/>
  <c r="D402" i="16" s="1"/>
  <c r="F401" i="16"/>
  <c r="G401" i="16" s="1"/>
  <c r="E401" i="16"/>
  <c r="B401" i="16"/>
  <c r="D401" i="16" s="1"/>
  <c r="F400" i="16"/>
  <c r="G400" i="16" s="1"/>
  <c r="E400" i="16"/>
  <c r="B400" i="16"/>
  <c r="D400" i="16" s="1"/>
  <c r="F399" i="16"/>
  <c r="G399" i="16" s="1"/>
  <c r="E399" i="16"/>
  <c r="B399" i="16"/>
  <c r="D399" i="16" s="1"/>
  <c r="F398" i="16"/>
  <c r="G398" i="16" s="1"/>
  <c r="E398" i="16"/>
  <c r="B398" i="16"/>
  <c r="D398" i="16" s="1"/>
  <c r="F280" i="16"/>
  <c r="G280" i="16" s="1"/>
  <c r="E280" i="16"/>
  <c r="B280" i="16"/>
  <c r="D280" i="16" s="1"/>
  <c r="F279" i="16"/>
  <c r="G279" i="16" s="1"/>
  <c r="E279" i="16"/>
  <c r="B279" i="16"/>
  <c r="D279" i="16" s="1"/>
  <c r="F278" i="16"/>
  <c r="G278" i="16" s="1"/>
  <c r="E278" i="16"/>
  <c r="B278" i="16"/>
  <c r="D278" i="16" s="1"/>
  <c r="F277" i="16"/>
  <c r="G277" i="16" s="1"/>
  <c r="E277" i="16"/>
  <c r="B277" i="16"/>
  <c r="D277" i="16" s="1"/>
  <c r="F276" i="16"/>
  <c r="G276" i="16" s="1"/>
  <c r="E276" i="16"/>
  <c r="B276" i="16"/>
  <c r="D276" i="16" s="1"/>
  <c r="B16" i="7"/>
  <c r="B25" i="7"/>
  <c r="B15" i="7"/>
  <c r="B14" i="7"/>
  <c r="B13" i="7"/>
  <c r="B36" i="7"/>
  <c r="D36" i="7" s="1"/>
  <c r="B37" i="7"/>
  <c r="D37" i="7" s="1"/>
  <c r="B35" i="7"/>
  <c r="D35" i="7" s="1"/>
  <c r="B34" i="7"/>
  <c r="D34" i="7" s="1"/>
  <c r="B33" i="7"/>
  <c r="D33" i="7" s="1"/>
  <c r="F33" i="7"/>
  <c r="G33" i="7" s="1"/>
  <c r="E33" i="7"/>
  <c r="F34" i="7"/>
  <c r="G34" i="7" s="1"/>
  <c r="E34" i="7"/>
  <c r="E35" i="7"/>
  <c r="F35" i="7"/>
  <c r="G35" i="7" s="1"/>
  <c r="E36" i="7"/>
  <c r="F36" i="7"/>
  <c r="G36" i="7" s="1"/>
  <c r="F37" i="7"/>
  <c r="G37" i="7" s="1"/>
  <c r="E37" i="7"/>
  <c r="B25" i="6"/>
  <c r="B16" i="6"/>
  <c r="B15" i="6"/>
  <c r="B14" i="6"/>
  <c r="B13" i="6"/>
  <c r="B37" i="6"/>
  <c r="D37" i="6" s="1"/>
  <c r="B36" i="6"/>
  <c r="D36" i="6" s="1"/>
  <c r="B35" i="6"/>
  <c r="D35" i="6" s="1"/>
  <c r="B34" i="6"/>
  <c r="D34" i="6" s="1"/>
  <c r="B33" i="6"/>
  <c r="D33" i="6" s="1"/>
  <c r="E36" i="6"/>
  <c r="F33" i="6"/>
  <c r="G33" i="6" s="1"/>
  <c r="E33" i="6"/>
  <c r="F34" i="6"/>
  <c r="G34" i="6" s="1"/>
  <c r="E34" i="6"/>
  <c r="F35" i="6"/>
  <c r="G35" i="6" s="1"/>
  <c r="E35" i="6"/>
  <c r="F36" i="6"/>
  <c r="G36" i="6" s="1"/>
  <c r="E37" i="6"/>
  <c r="F37" i="6"/>
  <c r="G37" i="6" s="1"/>
  <c r="B37" i="5"/>
  <c r="D37" i="5" s="1"/>
  <c r="B36" i="5"/>
  <c r="D36" i="5" s="1"/>
  <c r="B35" i="5"/>
  <c r="D35" i="5" s="1"/>
  <c r="B34" i="5"/>
  <c r="D34" i="5" s="1"/>
  <c r="B33" i="5"/>
  <c r="D33" i="5" s="1"/>
  <c r="E33" i="5"/>
  <c r="F33" i="5"/>
  <c r="G33" i="5" s="1"/>
  <c r="F34" i="5"/>
  <c r="G34" i="5" s="1"/>
  <c r="E34" i="5"/>
  <c r="F35" i="5"/>
  <c r="G35" i="5" s="1"/>
  <c r="E35" i="5"/>
  <c r="F36" i="5"/>
  <c r="G36" i="5" s="1"/>
  <c r="E36" i="5"/>
  <c r="E37" i="5"/>
  <c r="F37" i="5"/>
  <c r="G37" i="5" s="1"/>
  <c r="B25" i="5"/>
  <c r="B16" i="5"/>
  <c r="B15" i="5"/>
  <c r="B14" i="5"/>
  <c r="B13" i="5"/>
  <c r="B32" i="8" l="1"/>
  <c r="D32" i="8" s="1"/>
  <c r="F32" i="8"/>
  <c r="G32" i="8" s="1"/>
  <c r="F38" i="8"/>
  <c r="G38" i="8" s="1"/>
  <c r="B22" i="8"/>
  <c r="B23" i="8"/>
  <c r="H15" i="3" s="1"/>
  <c r="B570" i="16"/>
  <c r="B566" i="16" s="1"/>
  <c r="B571" i="16"/>
  <c r="B631" i="16"/>
  <c r="B627" i="16" s="1"/>
  <c r="B632" i="16"/>
  <c r="F32" i="7"/>
  <c r="G32" i="7" s="1"/>
  <c r="F38" i="7"/>
  <c r="G38" i="7" s="1"/>
  <c r="B32" i="7"/>
  <c r="D32" i="7" s="1"/>
  <c r="B22" i="7"/>
  <c r="B23" i="7"/>
  <c r="H14" i="3" s="1"/>
  <c r="F32" i="6"/>
  <c r="G32" i="6" s="1"/>
  <c r="F38" i="6"/>
  <c r="G38" i="6" s="1"/>
  <c r="B22" i="6"/>
  <c r="B23" i="6"/>
  <c r="H13" i="3" s="1"/>
  <c r="E32" i="8"/>
  <c r="E38" i="8"/>
  <c r="B26" i="8"/>
  <c r="C46" i="8"/>
  <c r="C49" i="8"/>
  <c r="C53" i="8"/>
  <c r="C54" i="8"/>
  <c r="B19" i="8"/>
  <c r="C48" i="8"/>
  <c r="C52" i="8"/>
  <c r="C55" i="8"/>
  <c r="C47" i="8"/>
  <c r="C50" i="8"/>
  <c r="C51" i="8"/>
  <c r="E39" i="8"/>
  <c r="F39" i="8"/>
  <c r="G39" i="8" s="1"/>
  <c r="E42" i="8"/>
  <c r="F42" i="8"/>
  <c r="E43" i="8"/>
  <c r="F43" i="8"/>
  <c r="G43" i="8" s="1"/>
  <c r="B43" i="8"/>
  <c r="D43" i="8" s="1"/>
  <c r="D47" i="8"/>
  <c r="D48" i="8"/>
  <c r="D50" i="8"/>
  <c r="D51" i="8"/>
  <c r="D53" i="8"/>
  <c r="D55" i="8"/>
  <c r="B42" i="8"/>
  <c r="D42" i="8" s="1"/>
  <c r="D46" i="8"/>
  <c r="D49" i="8"/>
  <c r="D52" i="8"/>
  <c r="D54" i="8"/>
  <c r="B204" i="16"/>
  <c r="B200" i="16" s="1"/>
  <c r="B205" i="16"/>
  <c r="B387" i="16"/>
  <c r="B383" i="16" s="1"/>
  <c r="B388" i="16"/>
  <c r="B265" i="16"/>
  <c r="B261" i="16" s="1"/>
  <c r="B266" i="16"/>
  <c r="F519" i="16"/>
  <c r="G519" i="16" s="1"/>
  <c r="F525" i="16"/>
  <c r="G525" i="16" s="1"/>
  <c r="F580" i="16"/>
  <c r="G580" i="16" s="1"/>
  <c r="F586" i="16"/>
  <c r="G586" i="16" s="1"/>
  <c r="F647" i="16"/>
  <c r="G647" i="16" s="1"/>
  <c r="F641" i="16"/>
  <c r="G641" i="16" s="1"/>
  <c r="F98" i="16"/>
  <c r="G98" i="16" s="1"/>
  <c r="F92" i="16"/>
  <c r="G92" i="16" s="1"/>
  <c r="B82" i="16"/>
  <c r="B78" i="16" s="1"/>
  <c r="B83" i="16"/>
  <c r="F153" i="16"/>
  <c r="G153" i="16" s="1"/>
  <c r="F159" i="16"/>
  <c r="G159" i="16" s="1"/>
  <c r="B143" i="16"/>
  <c r="B139" i="16" s="1"/>
  <c r="B144" i="16"/>
  <c r="F214" i="16"/>
  <c r="G214" i="16" s="1"/>
  <c r="F220" i="16"/>
  <c r="G220" i="16" s="1"/>
  <c r="F336" i="16"/>
  <c r="G336" i="16" s="1"/>
  <c r="F342" i="16"/>
  <c r="G342" i="16" s="1"/>
  <c r="B326" i="16"/>
  <c r="B327" i="16"/>
  <c r="F403" i="16"/>
  <c r="G403" i="16" s="1"/>
  <c r="F397" i="16"/>
  <c r="G397" i="16" s="1"/>
  <c r="F281" i="16"/>
  <c r="G281" i="16" s="1"/>
  <c r="F275" i="16"/>
  <c r="G275" i="16" s="1"/>
  <c r="F464" i="16"/>
  <c r="G464" i="16" s="1"/>
  <c r="F458" i="16"/>
  <c r="G458" i="16" s="1"/>
  <c r="B448" i="16"/>
  <c r="B449" i="16"/>
  <c r="F37" i="16"/>
  <c r="G37" i="16" s="1"/>
  <c r="F31" i="16"/>
  <c r="G31" i="16" s="1"/>
  <c r="B21" i="16"/>
  <c r="B17" i="16" s="1"/>
  <c r="B22" i="16"/>
  <c r="F32" i="5"/>
  <c r="G32" i="5" s="1"/>
  <c r="F38" i="5"/>
  <c r="G38" i="5" s="1"/>
  <c r="B22" i="5"/>
  <c r="B23" i="5"/>
  <c r="H12" i="3" s="1"/>
  <c r="B506" i="16"/>
  <c r="C542" i="16"/>
  <c r="C533" i="16"/>
  <c r="C534" i="16"/>
  <c r="C540" i="16"/>
  <c r="C535" i="16"/>
  <c r="C536" i="16"/>
  <c r="C537" i="16"/>
  <c r="C538" i="16"/>
  <c r="C539" i="16"/>
  <c r="C541" i="16"/>
  <c r="B513" i="16"/>
  <c r="B526" i="16" s="1"/>
  <c r="D526" i="16" s="1"/>
  <c r="E525" i="16"/>
  <c r="E519" i="16"/>
  <c r="F526" i="16"/>
  <c r="G526" i="16" s="1"/>
  <c r="F530" i="16"/>
  <c r="G530" i="16" s="1"/>
  <c r="D533" i="16"/>
  <c r="D542" i="16"/>
  <c r="B530" i="16"/>
  <c r="D530" i="16" s="1"/>
  <c r="D535" i="16"/>
  <c r="D536" i="16"/>
  <c r="D537" i="16"/>
  <c r="D538" i="16"/>
  <c r="D539" i="16"/>
  <c r="B529" i="16"/>
  <c r="D529" i="16" s="1"/>
  <c r="D534" i="16"/>
  <c r="E526" i="16"/>
  <c r="E529" i="16"/>
  <c r="F529" i="16"/>
  <c r="E530" i="16"/>
  <c r="D540" i="16"/>
  <c r="D541" i="16"/>
  <c r="C598" i="16"/>
  <c r="B567" i="16"/>
  <c r="C595" i="16"/>
  <c r="C596" i="16"/>
  <c r="C601" i="16"/>
  <c r="C602" i="16"/>
  <c r="C603" i="16"/>
  <c r="C597" i="16"/>
  <c r="C600" i="16"/>
  <c r="C594" i="16"/>
  <c r="C599" i="16"/>
  <c r="E580" i="16"/>
  <c r="B574" i="16"/>
  <c r="B587" i="16" s="1"/>
  <c r="D587" i="16" s="1"/>
  <c r="E586" i="16"/>
  <c r="F587" i="16"/>
  <c r="G587" i="16" s="1"/>
  <c r="F590" i="16"/>
  <c r="E591" i="16"/>
  <c r="D600" i="16"/>
  <c r="D601" i="16"/>
  <c r="D602" i="16"/>
  <c r="D595" i="16"/>
  <c r="E587" i="16"/>
  <c r="D597" i="16"/>
  <c r="B590" i="16"/>
  <c r="D590" i="16" s="1"/>
  <c r="E590" i="16"/>
  <c r="B591" i="16"/>
  <c r="D591" i="16" s="1"/>
  <c r="F591" i="16"/>
  <c r="G591" i="16" s="1"/>
  <c r="D594" i="16"/>
  <c r="D596" i="16"/>
  <c r="D598" i="16"/>
  <c r="D599" i="16"/>
  <c r="D603" i="16"/>
  <c r="E648" i="16"/>
  <c r="F651" i="16"/>
  <c r="D657" i="16"/>
  <c r="D662" i="16"/>
  <c r="D663" i="16"/>
  <c r="B651" i="16"/>
  <c r="D651" i="16" s="1"/>
  <c r="E651" i="16"/>
  <c r="E652" i="16"/>
  <c r="D655" i="16"/>
  <c r="D656" i="16"/>
  <c r="D658" i="16"/>
  <c r="D660" i="16"/>
  <c r="D661" i="16"/>
  <c r="F648" i="16"/>
  <c r="G648" i="16" s="1"/>
  <c r="B652" i="16"/>
  <c r="D652" i="16" s="1"/>
  <c r="F652" i="16"/>
  <c r="G652" i="16" s="1"/>
  <c r="D659" i="16"/>
  <c r="D664" i="16"/>
  <c r="B635" i="16"/>
  <c r="B648" i="16" s="1"/>
  <c r="D648" i="16" s="1"/>
  <c r="E641" i="16"/>
  <c r="E647" i="16"/>
  <c r="B628" i="16"/>
  <c r="C655" i="16"/>
  <c r="C656" i="16"/>
  <c r="C657" i="16"/>
  <c r="C662" i="16"/>
  <c r="C659" i="16"/>
  <c r="C660" i="16"/>
  <c r="C661" i="16"/>
  <c r="C664" i="16"/>
  <c r="C658" i="16"/>
  <c r="C663" i="16"/>
  <c r="E98" i="16"/>
  <c r="B86" i="16"/>
  <c r="B99" i="16" s="1"/>
  <c r="D99" i="16" s="1"/>
  <c r="E92" i="16"/>
  <c r="E99" i="16"/>
  <c r="F99" i="16"/>
  <c r="G99" i="16" s="1"/>
  <c r="B102" i="16"/>
  <c r="D102" i="16" s="1"/>
  <c r="E102" i="16"/>
  <c r="F102" i="16"/>
  <c r="B103" i="16"/>
  <c r="D103" i="16" s="1"/>
  <c r="E103" i="16"/>
  <c r="F103" i="16"/>
  <c r="G103" i="16" s="1"/>
  <c r="D106" i="16"/>
  <c r="D107" i="16"/>
  <c r="D108" i="16"/>
  <c r="D111" i="16"/>
  <c r="D112" i="16"/>
  <c r="D113" i="16"/>
  <c r="D114" i="16"/>
  <c r="D109" i="16"/>
  <c r="D110" i="16"/>
  <c r="D115" i="16"/>
  <c r="B79" i="16"/>
  <c r="C109" i="16"/>
  <c r="C110" i="16"/>
  <c r="C111" i="16"/>
  <c r="C112" i="16"/>
  <c r="C113" i="16"/>
  <c r="C114" i="16"/>
  <c r="C106" i="16"/>
  <c r="C107" i="16"/>
  <c r="C108" i="16"/>
  <c r="C115" i="16"/>
  <c r="B147" i="16"/>
  <c r="E153" i="16"/>
  <c r="E159" i="16"/>
  <c r="B160" i="16"/>
  <c r="D160" i="16" s="1"/>
  <c r="E160" i="16"/>
  <c r="F160" i="16"/>
  <c r="G160" i="16" s="1"/>
  <c r="B163" i="16"/>
  <c r="D163" i="16" s="1"/>
  <c r="E163" i="16"/>
  <c r="F163" i="16"/>
  <c r="B164" i="16"/>
  <c r="D164" i="16" s="1"/>
  <c r="E164" i="16"/>
  <c r="F164" i="16"/>
  <c r="G164" i="16" s="1"/>
  <c r="D167" i="16"/>
  <c r="D168" i="16"/>
  <c r="D169" i="16"/>
  <c r="D170" i="16"/>
  <c r="D171" i="16"/>
  <c r="D172" i="16"/>
  <c r="D173" i="16"/>
  <c r="D174" i="16"/>
  <c r="D175" i="16"/>
  <c r="D176" i="16"/>
  <c r="B140" i="16"/>
  <c r="C167" i="16"/>
  <c r="C168" i="16"/>
  <c r="C169" i="16"/>
  <c r="C170" i="16"/>
  <c r="C171" i="16"/>
  <c r="C172" i="16"/>
  <c r="C173" i="16"/>
  <c r="C174" i="16"/>
  <c r="C175" i="16"/>
  <c r="C176" i="16"/>
  <c r="B201" i="16"/>
  <c r="C228" i="16"/>
  <c r="C231" i="16"/>
  <c r="C232" i="16"/>
  <c r="C233" i="16"/>
  <c r="C234" i="16"/>
  <c r="C235" i="16"/>
  <c r="C236" i="16"/>
  <c r="C237" i="16"/>
  <c r="C230" i="16"/>
  <c r="C229" i="16"/>
  <c r="D230" i="16"/>
  <c r="D231" i="16"/>
  <c r="D232" i="16"/>
  <c r="D233" i="16"/>
  <c r="D234" i="16"/>
  <c r="D235" i="16"/>
  <c r="D236" i="16"/>
  <c r="D237" i="16"/>
  <c r="F221" i="16"/>
  <c r="G221" i="16" s="1"/>
  <c r="F224" i="16"/>
  <c r="B225" i="16"/>
  <c r="D225" i="16" s="1"/>
  <c r="D229" i="16"/>
  <c r="E221" i="16"/>
  <c r="B224" i="16"/>
  <c r="D224" i="16" s="1"/>
  <c r="E224" i="16"/>
  <c r="E225" i="16"/>
  <c r="F225" i="16"/>
  <c r="G225" i="16" s="1"/>
  <c r="D228" i="16"/>
  <c r="B208" i="16"/>
  <c r="B220" i="16" s="1"/>
  <c r="D220" i="16" s="1"/>
  <c r="E214" i="16"/>
  <c r="E220" i="16"/>
  <c r="B330" i="16"/>
  <c r="E336" i="16"/>
  <c r="E342" i="16"/>
  <c r="B343" i="16"/>
  <c r="D343" i="16" s="1"/>
  <c r="E343" i="16"/>
  <c r="F343" i="16"/>
  <c r="G343" i="16" s="1"/>
  <c r="B346" i="16"/>
  <c r="D346" i="16" s="1"/>
  <c r="E346" i="16"/>
  <c r="F346" i="16"/>
  <c r="B347" i="16"/>
  <c r="D347" i="16" s="1"/>
  <c r="E347" i="16"/>
  <c r="F347" i="16"/>
  <c r="G347" i="16" s="1"/>
  <c r="D350" i="16"/>
  <c r="D351" i="16"/>
  <c r="D352" i="16"/>
  <c r="D353" i="16"/>
  <c r="D354" i="16"/>
  <c r="D355" i="16"/>
  <c r="D356" i="16"/>
  <c r="D357" i="16"/>
  <c r="D358" i="16"/>
  <c r="D359" i="16"/>
  <c r="B323" i="16"/>
  <c r="C350" i="16"/>
  <c r="C351" i="16"/>
  <c r="C352" i="16"/>
  <c r="C353" i="16"/>
  <c r="C354" i="16"/>
  <c r="C355" i="16"/>
  <c r="C356" i="16"/>
  <c r="C357" i="16"/>
  <c r="C358" i="16"/>
  <c r="C359" i="16"/>
  <c r="B391" i="16"/>
  <c r="E397" i="16"/>
  <c r="E403" i="16"/>
  <c r="B404" i="16"/>
  <c r="D404" i="16" s="1"/>
  <c r="E404" i="16"/>
  <c r="F404" i="16"/>
  <c r="G404" i="16" s="1"/>
  <c r="B407" i="16"/>
  <c r="D407" i="16" s="1"/>
  <c r="E407" i="16"/>
  <c r="F407" i="16"/>
  <c r="B408" i="16"/>
  <c r="D408" i="16" s="1"/>
  <c r="E408" i="16"/>
  <c r="F408" i="16"/>
  <c r="G408" i="16" s="1"/>
  <c r="D411" i="16"/>
  <c r="D412" i="16"/>
  <c r="D413" i="16"/>
  <c r="D414" i="16"/>
  <c r="D415" i="16"/>
  <c r="D416" i="16"/>
  <c r="D417" i="16"/>
  <c r="D418" i="16"/>
  <c r="D419" i="16"/>
  <c r="D420" i="16"/>
  <c r="B384" i="16"/>
  <c r="C411" i="16"/>
  <c r="C412" i="16"/>
  <c r="C413" i="16"/>
  <c r="C414" i="16"/>
  <c r="C415" i="16"/>
  <c r="C416" i="16"/>
  <c r="C417" i="16"/>
  <c r="C418" i="16"/>
  <c r="C419" i="16"/>
  <c r="C420" i="16"/>
  <c r="B269" i="16"/>
  <c r="B282" i="16" s="1"/>
  <c r="D282" i="16" s="1"/>
  <c r="E275" i="16"/>
  <c r="E281" i="16"/>
  <c r="F282" i="16"/>
  <c r="G282" i="16" s="1"/>
  <c r="B285" i="16"/>
  <c r="D285" i="16" s="1"/>
  <c r="E285" i="16"/>
  <c r="D289" i="16"/>
  <c r="D291" i="16"/>
  <c r="D292" i="16"/>
  <c r="D293" i="16"/>
  <c r="D294" i="16"/>
  <c r="D295" i="16"/>
  <c r="D296" i="16"/>
  <c r="D297" i="16"/>
  <c r="D298" i="16"/>
  <c r="E282" i="16"/>
  <c r="F285" i="16"/>
  <c r="B286" i="16"/>
  <c r="D286" i="16" s="1"/>
  <c r="E286" i="16"/>
  <c r="F286" i="16"/>
  <c r="G286" i="16" s="1"/>
  <c r="D290" i="16"/>
  <c r="B262" i="16"/>
  <c r="C291" i="16"/>
  <c r="C293" i="16"/>
  <c r="C294" i="16"/>
  <c r="C295" i="16"/>
  <c r="C296" i="16"/>
  <c r="C297" i="16"/>
  <c r="C298" i="16"/>
  <c r="C289" i="16"/>
  <c r="C290" i="16"/>
  <c r="C292" i="16"/>
  <c r="B452" i="16"/>
  <c r="E458" i="16"/>
  <c r="E464" i="16"/>
  <c r="B465" i="16"/>
  <c r="D465" i="16" s="1"/>
  <c r="E465" i="16"/>
  <c r="F465" i="16"/>
  <c r="G465" i="16" s="1"/>
  <c r="B468" i="16"/>
  <c r="D468" i="16" s="1"/>
  <c r="E468" i="16"/>
  <c r="F468" i="16"/>
  <c r="B469" i="16"/>
  <c r="D469" i="16" s="1"/>
  <c r="E469" i="16"/>
  <c r="F469" i="16"/>
  <c r="G469" i="16" s="1"/>
  <c r="D472" i="16"/>
  <c r="D473" i="16"/>
  <c r="D474" i="16"/>
  <c r="D475" i="16"/>
  <c r="D476" i="16"/>
  <c r="D478" i="16"/>
  <c r="D480" i="16"/>
  <c r="D481" i="16"/>
  <c r="D477" i="16"/>
  <c r="D479" i="16"/>
  <c r="B445" i="16"/>
  <c r="C472" i="16"/>
  <c r="C473" i="16"/>
  <c r="C474" i="16"/>
  <c r="C475" i="16"/>
  <c r="C476" i="16"/>
  <c r="C477" i="16"/>
  <c r="C480" i="16"/>
  <c r="C479" i="16"/>
  <c r="C478" i="16"/>
  <c r="C481" i="16"/>
  <c r="B505" i="16"/>
  <c r="B25" i="16"/>
  <c r="B37" i="16" s="1"/>
  <c r="D37" i="16" s="1"/>
  <c r="E31" i="16"/>
  <c r="E37" i="16"/>
  <c r="C52" i="16"/>
  <c r="B18" i="16"/>
  <c r="C49" i="16"/>
  <c r="C51" i="16"/>
  <c r="C53" i="16"/>
  <c r="C54" i="16"/>
  <c r="C46" i="16"/>
  <c r="C50" i="16"/>
  <c r="C45" i="16"/>
  <c r="C47" i="16"/>
  <c r="C48" i="16"/>
  <c r="B42" i="16"/>
  <c r="D42" i="16" s="1"/>
  <c r="E38" i="16"/>
  <c r="E42" i="16"/>
  <c r="D46" i="16"/>
  <c r="D49" i="16"/>
  <c r="E41" i="16"/>
  <c r="B41" i="16"/>
  <c r="D41" i="16" s="1"/>
  <c r="F38" i="16"/>
  <c r="G38" i="16" s="1"/>
  <c r="F42" i="16"/>
  <c r="G42" i="16" s="1"/>
  <c r="D50" i="16"/>
  <c r="D52" i="16"/>
  <c r="D53" i="16"/>
  <c r="D54" i="16"/>
  <c r="F41" i="16"/>
  <c r="D45" i="16"/>
  <c r="D47" i="16"/>
  <c r="D48" i="16"/>
  <c r="D51" i="16"/>
  <c r="E32" i="7"/>
  <c r="E38" i="7"/>
  <c r="B26" i="7"/>
  <c r="F39" i="7"/>
  <c r="G39" i="7" s="1"/>
  <c r="E39" i="7"/>
  <c r="F42" i="7"/>
  <c r="E42" i="7"/>
  <c r="F43" i="7"/>
  <c r="G43" i="7" s="1"/>
  <c r="E43" i="7"/>
  <c r="B42" i="7"/>
  <c r="D42" i="7" s="1"/>
  <c r="D46" i="7"/>
  <c r="D48" i="7"/>
  <c r="D49" i="7"/>
  <c r="D50" i="7"/>
  <c r="D51" i="7"/>
  <c r="D52" i="7"/>
  <c r="D53" i="7"/>
  <c r="D54" i="7"/>
  <c r="D55" i="7"/>
  <c r="B43" i="7"/>
  <c r="D43" i="7" s="1"/>
  <c r="D47" i="7"/>
  <c r="C47" i="7"/>
  <c r="C48" i="7"/>
  <c r="C50" i="7"/>
  <c r="C53" i="7"/>
  <c r="C54" i="7"/>
  <c r="C55" i="7"/>
  <c r="B19" i="7"/>
  <c r="C46" i="7"/>
  <c r="C49" i="7"/>
  <c r="C51" i="7"/>
  <c r="C52" i="7"/>
  <c r="E32" i="6"/>
  <c r="E38" i="6"/>
  <c r="B26" i="6"/>
  <c r="E42" i="6"/>
  <c r="F42" i="6"/>
  <c r="F43" i="6"/>
  <c r="G43" i="6" s="1"/>
  <c r="E39" i="6"/>
  <c r="E43" i="6"/>
  <c r="B39" i="6"/>
  <c r="D39" i="6" s="1"/>
  <c r="D47" i="6"/>
  <c r="D48" i="6"/>
  <c r="F39" i="6"/>
  <c r="G39" i="6" s="1"/>
  <c r="B42" i="6"/>
  <c r="D42" i="6" s="1"/>
  <c r="B43" i="6"/>
  <c r="D43" i="6" s="1"/>
  <c r="D46" i="6"/>
  <c r="D49" i="6"/>
  <c r="D50" i="6"/>
  <c r="D51" i="6"/>
  <c r="D52" i="6"/>
  <c r="D53" i="6"/>
  <c r="D54" i="6"/>
  <c r="D55" i="6"/>
  <c r="B19" i="6"/>
  <c r="C46" i="6"/>
  <c r="C47" i="6"/>
  <c r="C48" i="6"/>
  <c r="C49" i="6"/>
  <c r="C50" i="6"/>
  <c r="C51" i="6"/>
  <c r="C52" i="6"/>
  <c r="C53" i="6"/>
  <c r="C54" i="6"/>
  <c r="C55" i="6"/>
  <c r="E32" i="5"/>
  <c r="E38" i="5"/>
  <c r="B26" i="5"/>
  <c r="F39" i="5"/>
  <c r="G39" i="5" s="1"/>
  <c r="E39" i="5"/>
  <c r="E42" i="5"/>
  <c r="F42" i="5"/>
  <c r="E43" i="5"/>
  <c r="F43" i="5"/>
  <c r="G43" i="5" s="1"/>
  <c r="B42" i="5"/>
  <c r="D42" i="5" s="1"/>
  <c r="B43" i="5"/>
  <c r="D43" i="5" s="1"/>
  <c r="D46" i="5"/>
  <c r="D47" i="5"/>
  <c r="D48" i="5"/>
  <c r="D49" i="5"/>
  <c r="D50" i="5"/>
  <c r="D51" i="5"/>
  <c r="D52" i="5"/>
  <c r="D53" i="5"/>
  <c r="D54" i="5"/>
  <c r="D55" i="5"/>
  <c r="B19" i="5"/>
  <c r="C46" i="5"/>
  <c r="C47" i="5"/>
  <c r="C48" i="5"/>
  <c r="C49" i="5"/>
  <c r="C50" i="5"/>
  <c r="C51" i="5"/>
  <c r="C52" i="5"/>
  <c r="C53" i="5"/>
  <c r="C54" i="5"/>
  <c r="C55" i="5"/>
  <c r="B38" i="6" l="1"/>
  <c r="D38" i="6" s="1"/>
  <c r="B32" i="6"/>
  <c r="D32" i="6" s="1"/>
  <c r="B342" i="16"/>
  <c r="D342" i="16" s="1"/>
  <c r="B336" i="16"/>
  <c r="D336" i="16" s="1"/>
  <c r="B458" i="16"/>
  <c r="D458" i="16" s="1"/>
  <c r="B464" i="16"/>
  <c r="D464" i="16" s="1"/>
  <c r="B397" i="16"/>
  <c r="D397" i="16" s="1"/>
  <c r="B403" i="16"/>
  <c r="D403" i="16" s="1"/>
  <c r="B281" i="16"/>
  <c r="D281" i="16" s="1"/>
  <c r="B275" i="16"/>
  <c r="D275" i="16" s="1"/>
  <c r="B32" i="5"/>
  <c r="D32" i="5" s="1"/>
  <c r="B39" i="5"/>
  <c r="D39" i="5" s="1"/>
  <c r="B38" i="5"/>
  <c r="D38" i="5" s="1"/>
  <c r="B38" i="8"/>
  <c r="D38" i="8" s="1"/>
  <c r="B39" i="8"/>
  <c r="D39" i="8" s="1"/>
  <c r="E15" i="3"/>
  <c r="B18" i="8"/>
  <c r="F15" i="3"/>
  <c r="B20" i="8"/>
  <c r="E14" i="3"/>
  <c r="B18" i="7"/>
  <c r="F14" i="3"/>
  <c r="B39" i="7"/>
  <c r="D39" i="7" s="1"/>
  <c r="B38" i="7"/>
  <c r="D38" i="7" s="1"/>
  <c r="E13" i="3"/>
  <c r="B18" i="6"/>
  <c r="B19" i="16"/>
  <c r="B20" i="16" s="1"/>
  <c r="B38" i="16"/>
  <c r="D38" i="16" s="1"/>
  <c r="B31" i="16"/>
  <c r="D31" i="16" s="1"/>
  <c r="B507" i="16"/>
  <c r="B508" i="16" s="1"/>
  <c r="B519" i="16"/>
  <c r="D519" i="16" s="1"/>
  <c r="B525" i="16"/>
  <c r="D525" i="16" s="1"/>
  <c r="B159" i="16"/>
  <c r="D159" i="16" s="1"/>
  <c r="B153" i="16"/>
  <c r="D153" i="16" s="1"/>
  <c r="B202" i="16"/>
  <c r="B203" i="16" s="1"/>
  <c r="E46" i="8"/>
  <c r="E47" i="8"/>
  <c r="E50" i="8"/>
  <c r="E51" i="8"/>
  <c r="E55" i="8"/>
  <c r="E53" i="8"/>
  <c r="E48" i="8"/>
  <c r="E49" i="8"/>
  <c r="E52" i="8"/>
  <c r="E54" i="8"/>
  <c r="G42" i="8"/>
  <c r="B61" i="8"/>
  <c r="B60" i="8"/>
  <c r="B385" i="16"/>
  <c r="B386" i="16" s="1"/>
  <c r="B263" i="16"/>
  <c r="B264" i="16" s="1"/>
  <c r="B568" i="16"/>
  <c r="B569" i="16" s="1"/>
  <c r="B580" i="16"/>
  <c r="D580" i="16" s="1"/>
  <c r="B586" i="16"/>
  <c r="D586" i="16" s="1"/>
  <c r="B647" i="16"/>
  <c r="D647" i="16" s="1"/>
  <c r="B641" i="16"/>
  <c r="D641" i="16" s="1"/>
  <c r="B92" i="16"/>
  <c r="D92" i="16" s="1"/>
  <c r="B98" i="16"/>
  <c r="D98" i="16" s="1"/>
  <c r="B221" i="16"/>
  <c r="D221" i="16" s="1"/>
  <c r="B214" i="16"/>
  <c r="D214" i="16" s="1"/>
  <c r="B629" i="16"/>
  <c r="B630" i="16" s="1"/>
  <c r="B80" i="16"/>
  <c r="B81" i="16" s="1"/>
  <c r="B141" i="16"/>
  <c r="B142" i="16" s="1"/>
  <c r="B322" i="16"/>
  <c r="B324" i="16" s="1"/>
  <c r="B325" i="16" s="1"/>
  <c r="B444" i="16"/>
  <c r="B18" i="5"/>
  <c r="E12" i="3"/>
  <c r="E19" i="4"/>
  <c r="E18" i="4"/>
  <c r="E13" i="4"/>
  <c r="E12" i="4"/>
  <c r="E16" i="4"/>
  <c r="E15" i="4"/>
  <c r="E10" i="4"/>
  <c r="E9" i="4"/>
  <c r="C6" i="4"/>
  <c r="E14" i="4"/>
  <c r="E17" i="4"/>
  <c r="E11" i="4"/>
  <c r="E534" i="16"/>
  <c r="E541" i="16"/>
  <c r="E535" i="16"/>
  <c r="E536" i="16"/>
  <c r="E537" i="16"/>
  <c r="E538" i="16"/>
  <c r="E539" i="16"/>
  <c r="E533" i="16"/>
  <c r="E540" i="16"/>
  <c r="E542" i="16"/>
  <c r="G42" i="6"/>
  <c r="B61" i="6"/>
  <c r="B60" i="6"/>
  <c r="G224" i="16"/>
  <c r="B242" i="16"/>
  <c r="B243" i="16"/>
  <c r="G41" i="16"/>
  <c r="B59" i="16"/>
  <c r="B60" i="16"/>
  <c r="E52" i="7"/>
  <c r="E51" i="7"/>
  <c r="E50" i="7"/>
  <c r="E49" i="7"/>
  <c r="E48" i="7"/>
  <c r="G42" i="5"/>
  <c r="B61" i="5"/>
  <c r="B60" i="5"/>
  <c r="G651" i="16"/>
  <c r="B669" i="16"/>
  <c r="B670" i="16"/>
  <c r="B52" i="16"/>
  <c r="B53" i="16"/>
  <c r="B54" i="16"/>
  <c r="B45" i="16"/>
  <c r="B47" i="16"/>
  <c r="B49" i="16"/>
  <c r="B50" i="16"/>
  <c r="B51" i="16"/>
  <c r="B46" i="16"/>
  <c r="B48" i="16"/>
  <c r="B109" i="16"/>
  <c r="B115" i="16"/>
  <c r="B106" i="16"/>
  <c r="B107" i="16"/>
  <c r="B108" i="16"/>
  <c r="B110" i="16"/>
  <c r="B111" i="16"/>
  <c r="B112" i="16"/>
  <c r="B113" i="16"/>
  <c r="B114" i="16"/>
  <c r="B167" i="16"/>
  <c r="B168" i="16"/>
  <c r="B169" i="16"/>
  <c r="B170" i="16"/>
  <c r="B171" i="16"/>
  <c r="B172" i="16"/>
  <c r="B173" i="16"/>
  <c r="B174" i="16"/>
  <c r="B175" i="16"/>
  <c r="B176" i="16"/>
  <c r="B229" i="16"/>
  <c r="B230" i="16"/>
  <c r="B232" i="16"/>
  <c r="B233" i="16"/>
  <c r="B234" i="16"/>
  <c r="B235" i="16"/>
  <c r="B236" i="16"/>
  <c r="B237" i="16"/>
  <c r="B228" i="16"/>
  <c r="B231" i="16"/>
  <c r="B411" i="16"/>
  <c r="B412" i="16"/>
  <c r="B413" i="16"/>
  <c r="B414" i="16"/>
  <c r="B415" i="16"/>
  <c r="B416" i="16"/>
  <c r="B417" i="16"/>
  <c r="B418" i="16"/>
  <c r="B419" i="16"/>
  <c r="B420" i="16"/>
  <c r="B290" i="16"/>
  <c r="B293" i="16"/>
  <c r="B294" i="16"/>
  <c r="B295" i="16"/>
  <c r="B296" i="16"/>
  <c r="B297" i="16"/>
  <c r="B298" i="16"/>
  <c r="B289" i="16"/>
  <c r="B291" i="16"/>
  <c r="B292" i="16"/>
  <c r="B534" i="16"/>
  <c r="B535" i="16"/>
  <c r="B536" i="16"/>
  <c r="B537" i="16"/>
  <c r="B538" i="16"/>
  <c r="B539" i="16"/>
  <c r="B540" i="16"/>
  <c r="B533" i="16"/>
  <c r="B542" i="16"/>
  <c r="B541" i="16"/>
  <c r="B594" i="16"/>
  <c r="B597" i="16"/>
  <c r="B598" i="16"/>
  <c r="B599" i="16"/>
  <c r="B601" i="16"/>
  <c r="B602" i="16"/>
  <c r="B595" i="16"/>
  <c r="B596" i="16"/>
  <c r="B600" i="16"/>
  <c r="B603" i="16"/>
  <c r="B658" i="16"/>
  <c r="B659" i="16"/>
  <c r="B663" i="16"/>
  <c r="B664" i="16"/>
  <c r="B655" i="16"/>
  <c r="B656" i="16"/>
  <c r="B657" i="16"/>
  <c r="B660" i="16"/>
  <c r="B662" i="16"/>
  <c r="B661" i="16"/>
  <c r="G529" i="16"/>
  <c r="B548" i="16"/>
  <c r="B547" i="16"/>
  <c r="D17" i="4" s="1"/>
  <c r="E595" i="16"/>
  <c r="E600" i="16"/>
  <c r="E594" i="16"/>
  <c r="E598" i="16"/>
  <c r="E597" i="16"/>
  <c r="E596" i="16"/>
  <c r="E602" i="16"/>
  <c r="E603" i="16"/>
  <c r="E599" i="16"/>
  <c r="E601" i="16"/>
  <c r="G590" i="16"/>
  <c r="B608" i="16"/>
  <c r="B609" i="16"/>
  <c r="E663" i="16"/>
  <c r="E661" i="16"/>
  <c r="E660" i="16"/>
  <c r="E664" i="16"/>
  <c r="E662" i="16"/>
  <c r="E658" i="16"/>
  <c r="E657" i="16"/>
  <c r="E659" i="16"/>
  <c r="E655" i="16"/>
  <c r="E656" i="16"/>
  <c r="G102" i="16"/>
  <c r="B120" i="16"/>
  <c r="B121" i="16"/>
  <c r="E114" i="16"/>
  <c r="E115" i="16"/>
  <c r="E108" i="16"/>
  <c r="E111" i="16"/>
  <c r="E106" i="16"/>
  <c r="E107" i="16"/>
  <c r="E109" i="16"/>
  <c r="E110" i="16"/>
  <c r="E112" i="16"/>
  <c r="E113" i="16"/>
  <c r="G163" i="16"/>
  <c r="B181" i="16"/>
  <c r="B182" i="16"/>
  <c r="E167" i="16"/>
  <c r="E168" i="16"/>
  <c r="E169" i="16"/>
  <c r="E170" i="16"/>
  <c r="E171" i="16"/>
  <c r="E172" i="16"/>
  <c r="E173" i="16"/>
  <c r="E174" i="16"/>
  <c r="E175" i="16"/>
  <c r="E176" i="16"/>
  <c r="E228" i="16"/>
  <c r="E229" i="16"/>
  <c r="E231" i="16"/>
  <c r="E232" i="16"/>
  <c r="E234" i="16"/>
  <c r="E236" i="16"/>
  <c r="E237" i="16"/>
  <c r="E230" i="16"/>
  <c r="E235" i="16"/>
  <c r="E233" i="16"/>
  <c r="G346" i="16"/>
  <c r="B364" i="16"/>
  <c r="B365" i="16"/>
  <c r="E350" i="16"/>
  <c r="E351" i="16"/>
  <c r="E353" i="16"/>
  <c r="E355" i="16"/>
  <c r="E357" i="16"/>
  <c r="E358" i="16"/>
  <c r="E359" i="16"/>
  <c r="E356" i="16"/>
  <c r="E352" i="16"/>
  <c r="E354" i="16"/>
  <c r="G407" i="16"/>
  <c r="B426" i="16"/>
  <c r="B425" i="16"/>
  <c r="E411" i="16"/>
  <c r="E412" i="16"/>
  <c r="E414" i="16"/>
  <c r="E417" i="16"/>
  <c r="E416" i="16"/>
  <c r="E415" i="16"/>
  <c r="E413" i="16"/>
  <c r="E419" i="16"/>
  <c r="E420" i="16"/>
  <c r="E418" i="16"/>
  <c r="G285" i="16"/>
  <c r="B303" i="16"/>
  <c r="B304" i="16"/>
  <c r="E294" i="16"/>
  <c r="E297" i="16"/>
  <c r="E293" i="16"/>
  <c r="E289" i="16"/>
  <c r="E295" i="16"/>
  <c r="E292" i="16"/>
  <c r="E291" i="16"/>
  <c r="E290" i="16"/>
  <c r="E298" i="16"/>
  <c r="E296" i="16"/>
  <c r="G468" i="16"/>
  <c r="B486" i="16"/>
  <c r="B487" i="16"/>
  <c r="E474" i="16"/>
  <c r="E472" i="16"/>
  <c r="E475" i="16"/>
  <c r="E478" i="16"/>
  <c r="E476" i="16"/>
  <c r="E473" i="16"/>
  <c r="E480" i="16"/>
  <c r="E477" i="16"/>
  <c r="E479" i="16"/>
  <c r="E481" i="16"/>
  <c r="E51" i="16"/>
  <c r="E46" i="16"/>
  <c r="E48" i="16"/>
  <c r="E49" i="16"/>
  <c r="E50" i="16"/>
  <c r="E52" i="16"/>
  <c r="E54" i="16"/>
  <c r="E45" i="16"/>
  <c r="E47" i="16"/>
  <c r="E53" i="16"/>
  <c r="G42" i="7"/>
  <c r="B61" i="7"/>
  <c r="B60" i="7"/>
  <c r="E55" i="7"/>
  <c r="E54" i="7"/>
  <c r="E53" i="7"/>
  <c r="E47" i="7"/>
  <c r="E46" i="7"/>
  <c r="E53" i="6"/>
  <c r="E55" i="6"/>
  <c r="E54" i="6"/>
  <c r="E52" i="6"/>
  <c r="E51" i="6"/>
  <c r="E50" i="6"/>
  <c r="E48" i="6"/>
  <c r="E47" i="6"/>
  <c r="E49" i="6"/>
  <c r="E46" i="6"/>
  <c r="E49" i="5"/>
  <c r="E54" i="5"/>
  <c r="E48" i="5"/>
  <c r="E55" i="5"/>
  <c r="E46" i="5"/>
  <c r="E47" i="5"/>
  <c r="E53" i="5"/>
  <c r="E52" i="5"/>
  <c r="E51" i="5"/>
  <c r="E50" i="5"/>
  <c r="D15" i="4" l="1"/>
  <c r="B48" i="6"/>
  <c r="B50" i="6"/>
  <c r="B46" i="6"/>
  <c r="B47" i="6"/>
  <c r="B51" i="6"/>
  <c r="B53" i="6"/>
  <c r="C65" i="6"/>
  <c r="C67" i="6"/>
  <c r="C69" i="6"/>
  <c r="C71" i="6"/>
  <c r="C72" i="6"/>
  <c r="Q72" i="6" s="1"/>
  <c r="B49" i="6"/>
  <c r="B52" i="6"/>
  <c r="B54" i="6"/>
  <c r="B55" i="6"/>
  <c r="C66" i="6"/>
  <c r="C68" i="6"/>
  <c r="C70" i="6"/>
  <c r="C73" i="6"/>
  <c r="Q73" i="6" s="1"/>
  <c r="C74" i="6"/>
  <c r="Q74" i="6" s="1"/>
  <c r="C75" i="6"/>
  <c r="C114" i="8"/>
  <c r="C74" i="8"/>
  <c r="C73" i="8"/>
  <c r="C72" i="8"/>
  <c r="C71" i="8"/>
  <c r="C70" i="8"/>
  <c r="C85" i="8"/>
  <c r="Q85" i="8" s="1"/>
  <c r="C86" i="8"/>
  <c r="Q86" i="8" s="1"/>
  <c r="C87" i="8"/>
  <c r="C88" i="8"/>
  <c r="C89" i="8"/>
  <c r="B46" i="8"/>
  <c r="B47" i="8"/>
  <c r="B48" i="8"/>
  <c r="B50" i="8"/>
  <c r="B51" i="8"/>
  <c r="B52" i="8"/>
  <c r="C69" i="8"/>
  <c r="B54" i="8"/>
  <c r="C65" i="8"/>
  <c r="C66" i="8"/>
  <c r="C67" i="8"/>
  <c r="B55" i="8"/>
  <c r="B49" i="8"/>
  <c r="C118" i="8"/>
  <c r="C124" i="8"/>
  <c r="C123" i="8"/>
  <c r="C122" i="8"/>
  <c r="C121" i="8"/>
  <c r="C120" i="8"/>
  <c r="C119" i="8"/>
  <c r="C117" i="8"/>
  <c r="C116" i="8"/>
  <c r="C115" i="8"/>
  <c r="C68" i="8"/>
  <c r="C113" i="8"/>
  <c r="C112" i="8"/>
  <c r="C111" i="8"/>
  <c r="C110" i="8"/>
  <c r="C109" i="8"/>
  <c r="C108" i="8"/>
  <c r="C107" i="8"/>
  <c r="C106" i="8"/>
  <c r="C105" i="8"/>
  <c r="C104" i="8"/>
  <c r="C103" i="8"/>
  <c r="C102" i="8"/>
  <c r="C101" i="8"/>
  <c r="C100" i="8"/>
  <c r="C99" i="8"/>
  <c r="C98" i="8"/>
  <c r="C97" i="8"/>
  <c r="C96" i="8"/>
  <c r="C95" i="8"/>
  <c r="C94" i="8"/>
  <c r="C93" i="8"/>
  <c r="C92" i="8"/>
  <c r="C91" i="8"/>
  <c r="C90" i="8"/>
  <c r="C83" i="8"/>
  <c r="Q83" i="8" s="1"/>
  <c r="C82" i="8"/>
  <c r="Q82" i="8" s="1"/>
  <c r="C79" i="8"/>
  <c r="C77" i="8"/>
  <c r="C76" i="8"/>
  <c r="C75" i="8"/>
  <c r="C84" i="8"/>
  <c r="Q84" i="8" s="1"/>
  <c r="C81" i="8"/>
  <c r="C80" i="8"/>
  <c r="C78" i="8"/>
  <c r="B53" i="8"/>
  <c r="O87" i="8"/>
  <c r="O88" i="8"/>
  <c r="O105" i="8"/>
  <c r="B21" i="8"/>
  <c r="O107" i="8"/>
  <c r="O108" i="8"/>
  <c r="O109" i="8"/>
  <c r="O110" i="8"/>
  <c r="O111" i="8"/>
  <c r="O112" i="8"/>
  <c r="O113" i="8"/>
  <c r="O117" i="8"/>
  <c r="O121" i="8"/>
  <c r="O115" i="8"/>
  <c r="O114" i="8"/>
  <c r="O116" i="8"/>
  <c r="O118" i="8"/>
  <c r="O122" i="8"/>
  <c r="O123" i="8"/>
  <c r="O100" i="8"/>
  <c r="O124" i="8"/>
  <c r="O120" i="8"/>
  <c r="O119" i="8"/>
  <c r="O99" i="8"/>
  <c r="O102" i="8"/>
  <c r="O91" i="8"/>
  <c r="O96" i="8"/>
  <c r="O92" i="8"/>
  <c r="O95" i="8"/>
  <c r="O97" i="8"/>
  <c r="O101" i="8"/>
  <c r="O89" i="8"/>
  <c r="O90" i="8"/>
  <c r="O98" i="8"/>
  <c r="O94" i="8"/>
  <c r="O93" i="8"/>
  <c r="O103" i="8"/>
  <c r="O106" i="8"/>
  <c r="O104" i="8"/>
  <c r="B20" i="7"/>
  <c r="C86" i="7"/>
  <c r="C87" i="7"/>
  <c r="C88" i="7"/>
  <c r="C89" i="7"/>
  <c r="C90" i="7"/>
  <c r="C91" i="7"/>
  <c r="C92" i="7"/>
  <c r="C93" i="7"/>
  <c r="C94" i="7"/>
  <c r="C95" i="7"/>
  <c r="C96" i="7"/>
  <c r="C97" i="7"/>
  <c r="C98" i="7"/>
  <c r="C99" i="7"/>
  <c r="C73" i="7"/>
  <c r="C100" i="7"/>
  <c r="C101" i="7"/>
  <c r="C102" i="7"/>
  <c r="C103" i="7"/>
  <c r="C104" i="7"/>
  <c r="C105" i="7"/>
  <c r="C106" i="7"/>
  <c r="C107" i="7"/>
  <c r="C109" i="7"/>
  <c r="C110" i="7"/>
  <c r="C111" i="7"/>
  <c r="C112" i="7"/>
  <c r="C113" i="7"/>
  <c r="C114" i="7"/>
  <c r="C115" i="7"/>
  <c r="C116" i="7"/>
  <c r="C118" i="7"/>
  <c r="C120" i="7"/>
  <c r="C122" i="7"/>
  <c r="C108" i="7"/>
  <c r="C119" i="7"/>
  <c r="C123" i="7"/>
  <c r="C124" i="7"/>
  <c r="B55" i="7"/>
  <c r="C121" i="7"/>
  <c r="B50" i="7"/>
  <c r="B53" i="7"/>
  <c r="B46" i="7"/>
  <c r="B47" i="7"/>
  <c r="B48" i="7"/>
  <c r="B49" i="7"/>
  <c r="B51" i="7"/>
  <c r="B52" i="7"/>
  <c r="B54" i="7"/>
  <c r="C65" i="7"/>
  <c r="C66" i="7"/>
  <c r="C67" i="7"/>
  <c r="C68" i="7"/>
  <c r="C69" i="7"/>
  <c r="C70" i="7"/>
  <c r="C71" i="7"/>
  <c r="C72" i="7"/>
  <c r="C117" i="7"/>
  <c r="C74" i="7"/>
  <c r="C75" i="7"/>
  <c r="C76" i="7"/>
  <c r="C77" i="7"/>
  <c r="Q77" i="7" s="1"/>
  <c r="C78" i="7"/>
  <c r="Q78" i="7" s="1"/>
  <c r="C79" i="7"/>
  <c r="Q79" i="7" s="1"/>
  <c r="C80" i="7"/>
  <c r="C81" i="7"/>
  <c r="C82" i="7"/>
  <c r="C83" i="7"/>
  <c r="C84" i="7"/>
  <c r="C85" i="7"/>
  <c r="B20" i="6"/>
  <c r="C76" i="6"/>
  <c r="C112" i="6"/>
  <c r="C113" i="6"/>
  <c r="C114" i="6"/>
  <c r="C115" i="6"/>
  <c r="C116" i="6"/>
  <c r="C118" i="6"/>
  <c r="C119" i="6"/>
  <c r="C120" i="6"/>
  <c r="C121" i="6"/>
  <c r="C122" i="6"/>
  <c r="C102" i="6"/>
  <c r="C123" i="6"/>
  <c r="C124" i="6"/>
  <c r="C103" i="6"/>
  <c r="C106" i="6"/>
  <c r="C107" i="6"/>
  <c r="C109" i="6"/>
  <c r="C110" i="6"/>
  <c r="C117" i="6"/>
  <c r="C99" i="6"/>
  <c r="C100" i="6"/>
  <c r="C101" i="6"/>
  <c r="C77" i="6"/>
  <c r="C78" i="6"/>
  <c r="C79" i="6"/>
  <c r="C80" i="6"/>
  <c r="C81" i="6"/>
  <c r="C82" i="6"/>
  <c r="C83" i="6"/>
  <c r="C84" i="6"/>
  <c r="C85" i="6"/>
  <c r="C86" i="6"/>
  <c r="C87" i="6"/>
  <c r="C88" i="6"/>
  <c r="C89" i="6"/>
  <c r="C90" i="6"/>
  <c r="C91" i="6"/>
  <c r="C92" i="6"/>
  <c r="C93" i="6"/>
  <c r="C94" i="6"/>
  <c r="C95" i="6"/>
  <c r="C96" i="6"/>
  <c r="C97" i="6"/>
  <c r="C98" i="6"/>
  <c r="F13" i="3"/>
  <c r="C104" i="6"/>
  <c r="C105" i="6"/>
  <c r="C108" i="6"/>
  <c r="C111" i="6"/>
  <c r="D10" i="4"/>
  <c r="D9" i="4"/>
  <c r="D11" i="4"/>
  <c r="D13" i="4"/>
  <c r="D16" i="4"/>
  <c r="N47" i="8"/>
  <c r="X47" i="8" s="1"/>
  <c r="M47" i="8"/>
  <c r="W47" i="8" s="1"/>
  <c r="D14" i="4"/>
  <c r="O47" i="8"/>
  <c r="Y47" i="8" s="1"/>
  <c r="N50" i="8"/>
  <c r="X50" i="8" s="1"/>
  <c r="M50" i="8"/>
  <c r="W50" i="8" s="1"/>
  <c r="O50" i="8"/>
  <c r="Y50" i="8" s="1"/>
  <c r="N51" i="8"/>
  <c r="X51" i="8" s="1"/>
  <c r="K51" i="8"/>
  <c r="U51" i="8" s="1"/>
  <c r="M51" i="8"/>
  <c r="W51" i="8" s="1"/>
  <c r="L51" i="8"/>
  <c r="V51" i="8" s="1"/>
  <c r="H51" i="8"/>
  <c r="R51" i="8" s="1"/>
  <c r="J51" i="8"/>
  <c r="T51" i="8" s="1"/>
  <c r="O51" i="8"/>
  <c r="Y51" i="8" s="1"/>
  <c r="I51" i="8"/>
  <c r="S51" i="8" s="1"/>
  <c r="F51" i="8"/>
  <c r="G51" i="8"/>
  <c r="Q51" i="8" s="1"/>
  <c r="N55" i="8"/>
  <c r="X55" i="8" s="1"/>
  <c r="L55" i="8"/>
  <c r="V55" i="8" s="1"/>
  <c r="K55" i="8"/>
  <c r="U55" i="8" s="1"/>
  <c r="M55" i="8"/>
  <c r="W55" i="8" s="1"/>
  <c r="O55" i="8"/>
  <c r="Y55" i="8" s="1"/>
  <c r="I55" i="8"/>
  <c r="S55" i="8" s="1"/>
  <c r="J55" i="8"/>
  <c r="T55" i="8" s="1"/>
  <c r="H55" i="8"/>
  <c r="R55" i="8" s="1"/>
  <c r="G55" i="8"/>
  <c r="Q55" i="8" s="1"/>
  <c r="F55" i="8"/>
  <c r="H53" i="8"/>
  <c r="R53" i="8" s="1"/>
  <c r="L53" i="8"/>
  <c r="V53" i="8" s="1"/>
  <c r="I53" i="8"/>
  <c r="S53" i="8" s="1"/>
  <c r="G53" i="8"/>
  <c r="Q53" i="8" s="1"/>
  <c r="O53" i="8"/>
  <c r="Y53" i="8" s="1"/>
  <c r="M53" i="8"/>
  <c r="W53" i="8" s="1"/>
  <c r="J53" i="8"/>
  <c r="T53" i="8" s="1"/>
  <c r="N53" i="8"/>
  <c r="X53" i="8" s="1"/>
  <c r="K53" i="8"/>
  <c r="U53" i="8" s="1"/>
  <c r="F53" i="8"/>
  <c r="O48" i="8"/>
  <c r="N48" i="8"/>
  <c r="M48" i="8"/>
  <c r="M49" i="8"/>
  <c r="W49" i="8" s="1"/>
  <c r="O49" i="8"/>
  <c r="Y49" i="8" s="1"/>
  <c r="N49" i="8"/>
  <c r="X49" i="8" s="1"/>
  <c r="L52" i="8"/>
  <c r="V52" i="8" s="1"/>
  <c r="J52" i="8"/>
  <c r="T52" i="8" s="1"/>
  <c r="M52" i="8"/>
  <c r="W52" i="8" s="1"/>
  <c r="G52" i="8"/>
  <c r="Q52" i="8" s="1"/>
  <c r="O52" i="8"/>
  <c r="Y52" i="8" s="1"/>
  <c r="F52" i="8"/>
  <c r="I52" i="8"/>
  <c r="S52" i="8" s="1"/>
  <c r="K52" i="8"/>
  <c r="U52" i="8" s="1"/>
  <c r="H52" i="8"/>
  <c r="R52" i="8" s="1"/>
  <c r="N52" i="8"/>
  <c r="X52" i="8" s="1"/>
  <c r="L54" i="8"/>
  <c r="V54" i="8" s="1"/>
  <c r="K54" i="8"/>
  <c r="U54" i="8" s="1"/>
  <c r="N54" i="8"/>
  <c r="X54" i="8" s="1"/>
  <c r="F54" i="8"/>
  <c r="O54" i="8"/>
  <c r="Y54" i="8" s="1"/>
  <c r="H54" i="8"/>
  <c r="R54" i="8" s="1"/>
  <c r="J54" i="8"/>
  <c r="T54" i="8" s="1"/>
  <c r="G54" i="8"/>
  <c r="Q54" i="8" s="1"/>
  <c r="M54" i="8"/>
  <c r="W54" i="8" s="1"/>
  <c r="I54" i="8"/>
  <c r="S54" i="8" s="1"/>
  <c r="D12" i="4"/>
  <c r="D18" i="4"/>
  <c r="B20" i="5"/>
  <c r="F12" i="3"/>
  <c r="D19" i="4"/>
  <c r="O112" i="5"/>
  <c r="B479" i="16"/>
  <c r="B480" i="16"/>
  <c r="B481" i="16"/>
  <c r="B478" i="16"/>
  <c r="B446" i="16"/>
  <c r="B447" i="16" s="1"/>
  <c r="B350" i="16"/>
  <c r="B351" i="16"/>
  <c r="B352" i="16"/>
  <c r="B353" i="16"/>
  <c r="B354" i="16"/>
  <c r="B355" i="16"/>
  <c r="B356" i="16"/>
  <c r="B357" i="16"/>
  <c r="B358" i="16"/>
  <c r="B359" i="16"/>
  <c r="B472" i="16"/>
  <c r="B473" i="16"/>
  <c r="B474" i="16"/>
  <c r="B475" i="16"/>
  <c r="B476" i="16"/>
  <c r="B477" i="16"/>
  <c r="B51" i="5"/>
  <c r="C87" i="5"/>
  <c r="C88" i="5"/>
  <c r="C103" i="5"/>
  <c r="C104" i="5"/>
  <c r="C107" i="5"/>
  <c r="C108" i="5"/>
  <c r="C109" i="5"/>
  <c r="C111" i="5"/>
  <c r="C115" i="5"/>
  <c r="C91" i="5"/>
  <c r="C117" i="5"/>
  <c r="C119" i="5"/>
  <c r="C120" i="5"/>
  <c r="C123" i="5"/>
  <c r="B46" i="5"/>
  <c r="B47" i="5"/>
  <c r="B48" i="5"/>
  <c r="B49" i="5"/>
  <c r="B50" i="5"/>
  <c r="C79" i="5"/>
  <c r="B52" i="5"/>
  <c r="B53" i="5"/>
  <c r="B54" i="5"/>
  <c r="B55" i="5"/>
  <c r="C65" i="5"/>
  <c r="Q65" i="5" s="1"/>
  <c r="C66" i="5"/>
  <c r="Q66" i="5" s="1"/>
  <c r="C67" i="5"/>
  <c r="Q67" i="5" s="1"/>
  <c r="C68" i="5"/>
  <c r="Q68" i="5" s="1"/>
  <c r="C69" i="5"/>
  <c r="C70" i="5"/>
  <c r="C71" i="5"/>
  <c r="C72" i="5"/>
  <c r="C73" i="5"/>
  <c r="C74" i="5"/>
  <c r="C75" i="5"/>
  <c r="C76" i="5"/>
  <c r="C80" i="5"/>
  <c r="C82" i="5"/>
  <c r="C85" i="5"/>
  <c r="C89" i="5"/>
  <c r="C90" i="5"/>
  <c r="C105" i="5"/>
  <c r="C92" i="5"/>
  <c r="C93" i="5"/>
  <c r="C94" i="5"/>
  <c r="C95" i="5"/>
  <c r="C96" i="5"/>
  <c r="C97" i="5"/>
  <c r="C98" i="5"/>
  <c r="C99" i="5"/>
  <c r="C100" i="5"/>
  <c r="C101" i="5"/>
  <c r="C102" i="5"/>
  <c r="C83" i="5"/>
  <c r="C86" i="5"/>
  <c r="C106" i="5"/>
  <c r="C112" i="5"/>
  <c r="C110" i="5"/>
  <c r="C113" i="5"/>
  <c r="C114" i="5"/>
  <c r="C116" i="5"/>
  <c r="C118" i="5"/>
  <c r="C121" i="5"/>
  <c r="C122" i="5"/>
  <c r="C124" i="5"/>
  <c r="C77" i="5"/>
  <c r="C78" i="5"/>
  <c r="C81" i="5"/>
  <c r="C84" i="5"/>
  <c r="M534" i="16"/>
  <c r="W534" i="16" s="1"/>
  <c r="O534" i="16"/>
  <c r="Y534" i="16" s="1"/>
  <c r="N534" i="16"/>
  <c r="X534" i="16" s="1"/>
  <c r="F541" i="16"/>
  <c r="H541" i="16"/>
  <c r="R541" i="16" s="1"/>
  <c r="J541" i="16"/>
  <c r="T541" i="16" s="1"/>
  <c r="L541" i="16"/>
  <c r="V541" i="16" s="1"/>
  <c r="O541" i="16"/>
  <c r="Y541" i="16" s="1"/>
  <c r="M541" i="16"/>
  <c r="W541" i="16" s="1"/>
  <c r="G541" i="16"/>
  <c r="Q541" i="16" s="1"/>
  <c r="K541" i="16"/>
  <c r="U541" i="16" s="1"/>
  <c r="N541" i="16"/>
  <c r="X541" i="16" s="1"/>
  <c r="I541" i="16"/>
  <c r="S541" i="16" s="1"/>
  <c r="I534" i="16"/>
  <c r="S534" i="16" s="1"/>
  <c r="G534" i="16"/>
  <c r="Q534" i="16" s="1"/>
  <c r="K534" i="16"/>
  <c r="U534" i="16" s="1"/>
  <c r="H534" i="16"/>
  <c r="R534" i="16" s="1"/>
  <c r="F534" i="16"/>
  <c r="L534" i="16"/>
  <c r="V534" i="16" s="1"/>
  <c r="J534" i="16"/>
  <c r="T534" i="16" s="1"/>
  <c r="F535" i="16"/>
  <c r="G535" i="16"/>
  <c r="Q535" i="16" s="1"/>
  <c r="H535" i="16"/>
  <c r="R535" i="16" s="1"/>
  <c r="I535" i="16"/>
  <c r="S535" i="16" s="1"/>
  <c r="J535" i="16"/>
  <c r="T535" i="16" s="1"/>
  <c r="K535" i="16"/>
  <c r="U535" i="16" s="1"/>
  <c r="L535" i="16"/>
  <c r="V535" i="16" s="1"/>
  <c r="M535" i="16"/>
  <c r="W535" i="16" s="1"/>
  <c r="N535" i="16"/>
  <c r="X535" i="16" s="1"/>
  <c r="O535" i="16"/>
  <c r="Y535" i="16" s="1"/>
  <c r="F536" i="16"/>
  <c r="G536" i="16"/>
  <c r="Q536" i="16" s="1"/>
  <c r="H536" i="16"/>
  <c r="R536" i="16" s="1"/>
  <c r="I536" i="16"/>
  <c r="S536" i="16" s="1"/>
  <c r="J536" i="16"/>
  <c r="T536" i="16" s="1"/>
  <c r="K536" i="16"/>
  <c r="U536" i="16" s="1"/>
  <c r="L536" i="16"/>
  <c r="V536" i="16" s="1"/>
  <c r="M536" i="16"/>
  <c r="W536" i="16" s="1"/>
  <c r="N536" i="16"/>
  <c r="X536" i="16" s="1"/>
  <c r="O536" i="16"/>
  <c r="Y536" i="16" s="1"/>
  <c r="F537" i="16"/>
  <c r="G537" i="16"/>
  <c r="Q537" i="16" s="1"/>
  <c r="H537" i="16"/>
  <c r="R537" i="16" s="1"/>
  <c r="I537" i="16"/>
  <c r="S537" i="16" s="1"/>
  <c r="J537" i="16"/>
  <c r="T537" i="16" s="1"/>
  <c r="K537" i="16"/>
  <c r="U537" i="16" s="1"/>
  <c r="L537" i="16"/>
  <c r="V537" i="16" s="1"/>
  <c r="M537" i="16"/>
  <c r="W537" i="16" s="1"/>
  <c r="N537" i="16"/>
  <c r="X537" i="16" s="1"/>
  <c r="O537" i="16"/>
  <c r="Y537" i="16" s="1"/>
  <c r="F538" i="16"/>
  <c r="G538" i="16"/>
  <c r="Q538" i="16" s="1"/>
  <c r="H538" i="16"/>
  <c r="R538" i="16" s="1"/>
  <c r="I538" i="16"/>
  <c r="S538" i="16" s="1"/>
  <c r="J538" i="16"/>
  <c r="T538" i="16" s="1"/>
  <c r="K538" i="16"/>
  <c r="U538" i="16" s="1"/>
  <c r="L538" i="16"/>
  <c r="V538" i="16" s="1"/>
  <c r="M538" i="16"/>
  <c r="W538" i="16" s="1"/>
  <c r="N538" i="16"/>
  <c r="X538" i="16" s="1"/>
  <c r="O538" i="16"/>
  <c r="Y538" i="16" s="1"/>
  <c r="F539" i="16"/>
  <c r="G539" i="16"/>
  <c r="Q539" i="16" s="1"/>
  <c r="H539" i="16"/>
  <c r="R539" i="16" s="1"/>
  <c r="I539" i="16"/>
  <c r="S539" i="16" s="1"/>
  <c r="J539" i="16"/>
  <c r="T539" i="16" s="1"/>
  <c r="K539" i="16"/>
  <c r="U539" i="16" s="1"/>
  <c r="L539" i="16"/>
  <c r="V539" i="16" s="1"/>
  <c r="M539" i="16"/>
  <c r="W539" i="16" s="1"/>
  <c r="N539" i="16"/>
  <c r="X539" i="16" s="1"/>
  <c r="O539" i="16"/>
  <c r="Y539" i="16" s="1"/>
  <c r="K533" i="16"/>
  <c r="H533" i="16"/>
  <c r="J533" i="16"/>
  <c r="O533" i="16"/>
  <c r="G533" i="16"/>
  <c r="I533" i="16"/>
  <c r="N533" i="16"/>
  <c r="F533" i="16"/>
  <c r="M533" i="16"/>
  <c r="L533" i="16"/>
  <c r="F540" i="16"/>
  <c r="H540" i="16"/>
  <c r="R540" i="16" s="1"/>
  <c r="J540" i="16"/>
  <c r="T540" i="16" s="1"/>
  <c r="K540" i="16"/>
  <c r="U540" i="16" s="1"/>
  <c r="O540" i="16"/>
  <c r="Y540" i="16" s="1"/>
  <c r="L540" i="16"/>
  <c r="V540" i="16" s="1"/>
  <c r="N540" i="16"/>
  <c r="X540" i="16" s="1"/>
  <c r="G540" i="16"/>
  <c r="Q540" i="16" s="1"/>
  <c r="I540" i="16"/>
  <c r="S540" i="16" s="1"/>
  <c r="M540" i="16"/>
  <c r="W540" i="16" s="1"/>
  <c r="I542" i="16"/>
  <c r="S542" i="16" s="1"/>
  <c r="K542" i="16"/>
  <c r="U542" i="16" s="1"/>
  <c r="H542" i="16"/>
  <c r="R542" i="16" s="1"/>
  <c r="L542" i="16"/>
  <c r="V542" i="16" s="1"/>
  <c r="O542" i="16"/>
  <c r="Y542" i="16" s="1"/>
  <c r="F542" i="16"/>
  <c r="N542" i="16"/>
  <c r="X542" i="16" s="1"/>
  <c r="G542" i="16"/>
  <c r="Q542" i="16" s="1"/>
  <c r="J542" i="16"/>
  <c r="T542" i="16" s="1"/>
  <c r="M542" i="16"/>
  <c r="W542" i="16" s="1"/>
  <c r="I52" i="7"/>
  <c r="S52" i="7" s="1"/>
  <c r="L52" i="7"/>
  <c r="V52" i="7" s="1"/>
  <c r="O52" i="7"/>
  <c r="Y52" i="7" s="1"/>
  <c r="F52" i="7"/>
  <c r="G52" i="7"/>
  <c r="Q52" i="7" s="1"/>
  <c r="H52" i="7"/>
  <c r="R52" i="7" s="1"/>
  <c r="J52" i="7"/>
  <c r="T52" i="7" s="1"/>
  <c r="K52" i="7"/>
  <c r="U52" i="7" s="1"/>
  <c r="M52" i="7"/>
  <c r="W52" i="7" s="1"/>
  <c r="N52" i="7"/>
  <c r="X52" i="7" s="1"/>
  <c r="H51" i="7"/>
  <c r="R51" i="7" s="1"/>
  <c r="K51" i="7"/>
  <c r="U51" i="7" s="1"/>
  <c r="M51" i="7"/>
  <c r="W51" i="7" s="1"/>
  <c r="O51" i="7"/>
  <c r="Y51" i="7" s="1"/>
  <c r="F51" i="7"/>
  <c r="G51" i="7"/>
  <c r="Q51" i="7" s="1"/>
  <c r="I51" i="7"/>
  <c r="S51" i="7" s="1"/>
  <c r="J51" i="7"/>
  <c r="T51" i="7" s="1"/>
  <c r="L51" i="7"/>
  <c r="V51" i="7" s="1"/>
  <c r="N51" i="7"/>
  <c r="X51" i="7" s="1"/>
  <c r="H50" i="7"/>
  <c r="R50" i="7" s="1"/>
  <c r="L50" i="7"/>
  <c r="V50" i="7" s="1"/>
  <c r="F50" i="7"/>
  <c r="G50" i="7"/>
  <c r="Q50" i="7" s="1"/>
  <c r="I50" i="7"/>
  <c r="S50" i="7" s="1"/>
  <c r="J50" i="7"/>
  <c r="T50" i="7" s="1"/>
  <c r="K50" i="7"/>
  <c r="U50" i="7" s="1"/>
  <c r="M50" i="7"/>
  <c r="W50" i="7" s="1"/>
  <c r="N50" i="7"/>
  <c r="X50" i="7" s="1"/>
  <c r="O50" i="7"/>
  <c r="Y50" i="7" s="1"/>
  <c r="H49" i="7"/>
  <c r="R49" i="7" s="1"/>
  <c r="K49" i="7"/>
  <c r="U49" i="7" s="1"/>
  <c r="N49" i="7"/>
  <c r="X49" i="7" s="1"/>
  <c r="F49" i="7"/>
  <c r="G49" i="7"/>
  <c r="Q49" i="7" s="1"/>
  <c r="I49" i="7"/>
  <c r="S49" i="7" s="1"/>
  <c r="J49" i="7"/>
  <c r="T49" i="7" s="1"/>
  <c r="L49" i="7"/>
  <c r="V49" i="7" s="1"/>
  <c r="M49" i="7"/>
  <c r="W49" i="7" s="1"/>
  <c r="O49" i="7"/>
  <c r="Y49" i="7" s="1"/>
  <c r="I48" i="7"/>
  <c r="S48" i="7" s="1"/>
  <c r="L48" i="7"/>
  <c r="V48" i="7" s="1"/>
  <c r="O48" i="7"/>
  <c r="Y48" i="7" s="1"/>
  <c r="F48" i="7"/>
  <c r="G48" i="7"/>
  <c r="Q48" i="7" s="1"/>
  <c r="H48" i="7"/>
  <c r="R48" i="7" s="1"/>
  <c r="J48" i="7"/>
  <c r="T48" i="7" s="1"/>
  <c r="K48" i="7"/>
  <c r="U48" i="7" s="1"/>
  <c r="M48" i="7"/>
  <c r="W48" i="7" s="1"/>
  <c r="N48" i="7"/>
  <c r="X48" i="7" s="1"/>
  <c r="M595" i="16"/>
  <c r="W595" i="16" s="1"/>
  <c r="G595" i="16"/>
  <c r="Q595" i="16" s="1"/>
  <c r="N595" i="16"/>
  <c r="X595" i="16" s="1"/>
  <c r="K595" i="16"/>
  <c r="U595" i="16" s="1"/>
  <c r="H595" i="16"/>
  <c r="R595" i="16" s="1"/>
  <c r="O595" i="16"/>
  <c r="Y595" i="16" s="1"/>
  <c r="J595" i="16"/>
  <c r="T595" i="16" s="1"/>
  <c r="F595" i="16"/>
  <c r="L595" i="16"/>
  <c r="V595" i="16" s="1"/>
  <c r="I595" i="16"/>
  <c r="S595" i="16" s="1"/>
  <c r="M600" i="16"/>
  <c r="W600" i="16" s="1"/>
  <c r="J600" i="16"/>
  <c r="T600" i="16" s="1"/>
  <c r="G600" i="16"/>
  <c r="Q600" i="16" s="1"/>
  <c r="O600" i="16"/>
  <c r="Y600" i="16" s="1"/>
  <c r="K600" i="16"/>
  <c r="U600" i="16" s="1"/>
  <c r="I600" i="16"/>
  <c r="S600" i="16" s="1"/>
  <c r="F600" i="16"/>
  <c r="N600" i="16"/>
  <c r="X600" i="16" s="1"/>
  <c r="L600" i="16"/>
  <c r="V600" i="16" s="1"/>
  <c r="H600" i="16"/>
  <c r="R600" i="16" s="1"/>
  <c r="M594" i="16"/>
  <c r="F594" i="16"/>
  <c r="O594" i="16"/>
  <c r="L594" i="16"/>
  <c r="G594" i="16"/>
  <c r="N594" i="16"/>
  <c r="J594" i="16"/>
  <c r="H594" i="16"/>
  <c r="K594" i="16"/>
  <c r="I594" i="16"/>
  <c r="M598" i="16"/>
  <c r="W598" i="16" s="1"/>
  <c r="J598" i="16"/>
  <c r="T598" i="16" s="1"/>
  <c r="F598" i="16"/>
  <c r="O598" i="16"/>
  <c r="Y598" i="16" s="1"/>
  <c r="K598" i="16"/>
  <c r="U598" i="16" s="1"/>
  <c r="I598" i="16"/>
  <c r="S598" i="16" s="1"/>
  <c r="H598" i="16"/>
  <c r="R598" i="16" s="1"/>
  <c r="N598" i="16"/>
  <c r="X598" i="16" s="1"/>
  <c r="L598" i="16"/>
  <c r="V598" i="16" s="1"/>
  <c r="G598" i="16"/>
  <c r="Q598" i="16" s="1"/>
  <c r="J597" i="16"/>
  <c r="T597" i="16" s="1"/>
  <c r="F597" i="16"/>
  <c r="O597" i="16"/>
  <c r="Y597" i="16" s="1"/>
  <c r="L597" i="16"/>
  <c r="V597" i="16" s="1"/>
  <c r="I597" i="16"/>
  <c r="S597" i="16" s="1"/>
  <c r="M597" i="16"/>
  <c r="W597" i="16" s="1"/>
  <c r="G597" i="16"/>
  <c r="Q597" i="16" s="1"/>
  <c r="N597" i="16"/>
  <c r="X597" i="16" s="1"/>
  <c r="K597" i="16"/>
  <c r="U597" i="16" s="1"/>
  <c r="H597" i="16"/>
  <c r="R597" i="16" s="1"/>
  <c r="O596" i="16"/>
  <c r="Y596" i="16" s="1"/>
  <c r="M596" i="16"/>
  <c r="W596" i="16" s="1"/>
  <c r="I596" i="16"/>
  <c r="S596" i="16" s="1"/>
  <c r="N596" i="16"/>
  <c r="X596" i="16" s="1"/>
  <c r="J596" i="16"/>
  <c r="T596" i="16" s="1"/>
  <c r="H596" i="16"/>
  <c r="R596" i="16" s="1"/>
  <c r="F596" i="16"/>
  <c r="L596" i="16"/>
  <c r="V596" i="16" s="1"/>
  <c r="G596" i="16"/>
  <c r="Q596" i="16" s="1"/>
  <c r="K596" i="16"/>
  <c r="U596" i="16" s="1"/>
  <c r="N602" i="16"/>
  <c r="X602" i="16" s="1"/>
  <c r="L602" i="16"/>
  <c r="V602" i="16" s="1"/>
  <c r="I602" i="16"/>
  <c r="S602" i="16" s="1"/>
  <c r="F602" i="16"/>
  <c r="M602" i="16"/>
  <c r="W602" i="16" s="1"/>
  <c r="K602" i="16"/>
  <c r="U602" i="16" s="1"/>
  <c r="H602" i="16"/>
  <c r="R602" i="16" s="1"/>
  <c r="O602" i="16"/>
  <c r="Y602" i="16" s="1"/>
  <c r="J602" i="16"/>
  <c r="T602" i="16" s="1"/>
  <c r="G602" i="16"/>
  <c r="Q602" i="16" s="1"/>
  <c r="N603" i="16"/>
  <c r="X603" i="16" s="1"/>
  <c r="K603" i="16"/>
  <c r="U603" i="16" s="1"/>
  <c r="H603" i="16"/>
  <c r="R603" i="16" s="1"/>
  <c r="M603" i="16"/>
  <c r="W603" i="16" s="1"/>
  <c r="J603" i="16"/>
  <c r="T603" i="16" s="1"/>
  <c r="F603" i="16"/>
  <c r="O603" i="16"/>
  <c r="Y603" i="16" s="1"/>
  <c r="L603" i="16"/>
  <c r="V603" i="16" s="1"/>
  <c r="I603" i="16"/>
  <c r="S603" i="16" s="1"/>
  <c r="G603" i="16"/>
  <c r="Q603" i="16" s="1"/>
  <c r="J599" i="16"/>
  <c r="T599" i="16" s="1"/>
  <c r="O599" i="16"/>
  <c r="Y599" i="16" s="1"/>
  <c r="M599" i="16"/>
  <c r="W599" i="16" s="1"/>
  <c r="K599" i="16"/>
  <c r="U599" i="16" s="1"/>
  <c r="G599" i="16"/>
  <c r="Q599" i="16" s="1"/>
  <c r="F599" i="16"/>
  <c r="N599" i="16"/>
  <c r="X599" i="16" s="1"/>
  <c r="L599" i="16"/>
  <c r="V599" i="16" s="1"/>
  <c r="H599" i="16"/>
  <c r="R599" i="16" s="1"/>
  <c r="I599" i="16"/>
  <c r="S599" i="16" s="1"/>
  <c r="O601" i="16"/>
  <c r="Y601" i="16" s="1"/>
  <c r="K601" i="16"/>
  <c r="U601" i="16" s="1"/>
  <c r="H601" i="16"/>
  <c r="R601" i="16" s="1"/>
  <c r="G601" i="16"/>
  <c r="Q601" i="16" s="1"/>
  <c r="N601" i="16"/>
  <c r="X601" i="16" s="1"/>
  <c r="M601" i="16"/>
  <c r="W601" i="16" s="1"/>
  <c r="I601" i="16"/>
  <c r="S601" i="16" s="1"/>
  <c r="F601" i="16"/>
  <c r="L601" i="16"/>
  <c r="V601" i="16" s="1"/>
  <c r="J601" i="16"/>
  <c r="T601" i="16" s="1"/>
  <c r="M663" i="16"/>
  <c r="W663" i="16" s="1"/>
  <c r="K663" i="16"/>
  <c r="U663" i="16" s="1"/>
  <c r="F663" i="16"/>
  <c r="N663" i="16"/>
  <c r="X663" i="16" s="1"/>
  <c r="L663" i="16"/>
  <c r="V663" i="16" s="1"/>
  <c r="I663" i="16"/>
  <c r="S663" i="16" s="1"/>
  <c r="G663" i="16"/>
  <c r="Q663" i="16" s="1"/>
  <c r="O663" i="16"/>
  <c r="Y663" i="16" s="1"/>
  <c r="J663" i="16"/>
  <c r="T663" i="16" s="1"/>
  <c r="H663" i="16"/>
  <c r="R663" i="16" s="1"/>
  <c r="O661" i="16"/>
  <c r="Y661" i="16" s="1"/>
  <c r="N661" i="16"/>
  <c r="X661" i="16" s="1"/>
  <c r="J661" i="16"/>
  <c r="T661" i="16" s="1"/>
  <c r="G661" i="16"/>
  <c r="Q661" i="16" s="1"/>
  <c r="L661" i="16"/>
  <c r="V661" i="16" s="1"/>
  <c r="K661" i="16"/>
  <c r="U661" i="16" s="1"/>
  <c r="H661" i="16"/>
  <c r="R661" i="16" s="1"/>
  <c r="F661" i="16"/>
  <c r="M661" i="16"/>
  <c r="W661" i="16" s="1"/>
  <c r="I661" i="16"/>
  <c r="S661" i="16" s="1"/>
  <c r="O660" i="16"/>
  <c r="Y660" i="16" s="1"/>
  <c r="J660" i="16"/>
  <c r="T660" i="16" s="1"/>
  <c r="G660" i="16"/>
  <c r="Q660" i="16" s="1"/>
  <c r="M660" i="16"/>
  <c r="W660" i="16" s="1"/>
  <c r="L660" i="16"/>
  <c r="V660" i="16" s="1"/>
  <c r="I660" i="16"/>
  <c r="S660" i="16" s="1"/>
  <c r="F660" i="16"/>
  <c r="N660" i="16"/>
  <c r="X660" i="16" s="1"/>
  <c r="K660" i="16"/>
  <c r="U660" i="16" s="1"/>
  <c r="H660" i="16"/>
  <c r="R660" i="16" s="1"/>
  <c r="N664" i="16"/>
  <c r="X664" i="16" s="1"/>
  <c r="L664" i="16"/>
  <c r="V664" i="16" s="1"/>
  <c r="I664" i="16"/>
  <c r="S664" i="16" s="1"/>
  <c r="F664" i="16"/>
  <c r="M664" i="16"/>
  <c r="W664" i="16" s="1"/>
  <c r="J664" i="16"/>
  <c r="T664" i="16" s="1"/>
  <c r="G664" i="16"/>
  <c r="Q664" i="16" s="1"/>
  <c r="O664" i="16"/>
  <c r="Y664" i="16" s="1"/>
  <c r="K664" i="16"/>
  <c r="U664" i="16" s="1"/>
  <c r="H664" i="16"/>
  <c r="R664" i="16" s="1"/>
  <c r="N662" i="16"/>
  <c r="X662" i="16" s="1"/>
  <c r="J662" i="16"/>
  <c r="T662" i="16" s="1"/>
  <c r="G662" i="16"/>
  <c r="Q662" i="16" s="1"/>
  <c r="O662" i="16"/>
  <c r="Y662" i="16" s="1"/>
  <c r="M662" i="16"/>
  <c r="W662" i="16" s="1"/>
  <c r="K662" i="16"/>
  <c r="U662" i="16" s="1"/>
  <c r="I662" i="16"/>
  <c r="S662" i="16" s="1"/>
  <c r="F662" i="16"/>
  <c r="L662" i="16"/>
  <c r="V662" i="16" s="1"/>
  <c r="H662" i="16"/>
  <c r="R662" i="16" s="1"/>
  <c r="O658" i="16"/>
  <c r="Y658" i="16" s="1"/>
  <c r="J658" i="16"/>
  <c r="T658" i="16" s="1"/>
  <c r="G658" i="16"/>
  <c r="Q658" i="16" s="1"/>
  <c r="F658" i="16"/>
  <c r="N658" i="16"/>
  <c r="X658" i="16" s="1"/>
  <c r="L658" i="16"/>
  <c r="V658" i="16" s="1"/>
  <c r="H658" i="16"/>
  <c r="R658" i="16" s="1"/>
  <c r="M658" i="16"/>
  <c r="W658" i="16" s="1"/>
  <c r="K658" i="16"/>
  <c r="U658" i="16" s="1"/>
  <c r="I658" i="16"/>
  <c r="S658" i="16" s="1"/>
  <c r="L657" i="16"/>
  <c r="V657" i="16" s="1"/>
  <c r="J657" i="16"/>
  <c r="T657" i="16" s="1"/>
  <c r="I657" i="16"/>
  <c r="S657" i="16" s="1"/>
  <c r="F657" i="16"/>
  <c r="N657" i="16"/>
  <c r="X657" i="16" s="1"/>
  <c r="K657" i="16"/>
  <c r="U657" i="16" s="1"/>
  <c r="H657" i="16"/>
  <c r="R657" i="16" s="1"/>
  <c r="G657" i="16"/>
  <c r="Q657" i="16" s="1"/>
  <c r="O657" i="16"/>
  <c r="Y657" i="16" s="1"/>
  <c r="M657" i="16"/>
  <c r="W657" i="16" s="1"/>
  <c r="O659" i="16"/>
  <c r="Y659" i="16" s="1"/>
  <c r="M659" i="16"/>
  <c r="W659" i="16" s="1"/>
  <c r="K659" i="16"/>
  <c r="U659" i="16" s="1"/>
  <c r="I659" i="16"/>
  <c r="S659" i="16" s="1"/>
  <c r="F659" i="16"/>
  <c r="L659" i="16"/>
  <c r="V659" i="16" s="1"/>
  <c r="H659" i="16"/>
  <c r="R659" i="16" s="1"/>
  <c r="N659" i="16"/>
  <c r="X659" i="16" s="1"/>
  <c r="J659" i="16"/>
  <c r="T659" i="16" s="1"/>
  <c r="G659" i="16"/>
  <c r="Q659" i="16" s="1"/>
  <c r="O655" i="16"/>
  <c r="L655" i="16"/>
  <c r="H655" i="16"/>
  <c r="F655" i="16"/>
  <c r="M655" i="16"/>
  <c r="J655" i="16"/>
  <c r="G655" i="16"/>
  <c r="N655" i="16"/>
  <c r="K655" i="16"/>
  <c r="I655" i="16"/>
  <c r="N656" i="16"/>
  <c r="X656" i="16" s="1"/>
  <c r="K656" i="16"/>
  <c r="U656" i="16" s="1"/>
  <c r="F656" i="16"/>
  <c r="O656" i="16"/>
  <c r="Y656" i="16" s="1"/>
  <c r="M656" i="16"/>
  <c r="W656" i="16" s="1"/>
  <c r="I656" i="16"/>
  <c r="S656" i="16" s="1"/>
  <c r="G656" i="16"/>
  <c r="Q656" i="16" s="1"/>
  <c r="L656" i="16"/>
  <c r="V656" i="16" s="1"/>
  <c r="J656" i="16"/>
  <c r="T656" i="16" s="1"/>
  <c r="H656" i="16"/>
  <c r="R656" i="16" s="1"/>
  <c r="O114" i="16"/>
  <c r="Y114" i="16" s="1"/>
  <c r="N114" i="16"/>
  <c r="X114" i="16" s="1"/>
  <c r="M114" i="16"/>
  <c r="W114" i="16" s="1"/>
  <c r="L114" i="16"/>
  <c r="V114" i="16" s="1"/>
  <c r="K114" i="16"/>
  <c r="U114" i="16" s="1"/>
  <c r="J114" i="16"/>
  <c r="T114" i="16" s="1"/>
  <c r="I114" i="16"/>
  <c r="S114" i="16" s="1"/>
  <c r="H114" i="16"/>
  <c r="R114" i="16" s="1"/>
  <c r="G114" i="16"/>
  <c r="Q114" i="16" s="1"/>
  <c r="F114" i="16"/>
  <c r="O115" i="16"/>
  <c r="Y115" i="16" s="1"/>
  <c r="N115" i="16"/>
  <c r="X115" i="16" s="1"/>
  <c r="M115" i="16"/>
  <c r="W115" i="16" s="1"/>
  <c r="L115" i="16"/>
  <c r="V115" i="16" s="1"/>
  <c r="K115" i="16"/>
  <c r="U115" i="16" s="1"/>
  <c r="J115" i="16"/>
  <c r="T115" i="16" s="1"/>
  <c r="I115" i="16"/>
  <c r="S115" i="16" s="1"/>
  <c r="H115" i="16"/>
  <c r="R115" i="16" s="1"/>
  <c r="G115" i="16"/>
  <c r="Q115" i="16" s="1"/>
  <c r="F115" i="16"/>
  <c r="O108" i="16"/>
  <c r="Y108" i="16" s="1"/>
  <c r="N108" i="16"/>
  <c r="X108" i="16" s="1"/>
  <c r="L108" i="16"/>
  <c r="V108" i="16" s="1"/>
  <c r="J108" i="16"/>
  <c r="T108" i="16" s="1"/>
  <c r="H108" i="16"/>
  <c r="R108" i="16" s="1"/>
  <c r="F108" i="16"/>
  <c r="M108" i="16"/>
  <c r="W108" i="16" s="1"/>
  <c r="K108" i="16"/>
  <c r="U108" i="16" s="1"/>
  <c r="I108" i="16"/>
  <c r="S108" i="16" s="1"/>
  <c r="G108" i="16"/>
  <c r="Q108" i="16" s="1"/>
  <c r="G111" i="16"/>
  <c r="Q111" i="16" s="1"/>
  <c r="F111" i="16"/>
  <c r="O111" i="16"/>
  <c r="Y111" i="16" s="1"/>
  <c r="N111" i="16"/>
  <c r="X111" i="16" s="1"/>
  <c r="M111" i="16"/>
  <c r="W111" i="16" s="1"/>
  <c r="L111" i="16"/>
  <c r="V111" i="16" s="1"/>
  <c r="K111" i="16"/>
  <c r="U111" i="16" s="1"/>
  <c r="J111" i="16"/>
  <c r="T111" i="16" s="1"/>
  <c r="I111" i="16"/>
  <c r="S111" i="16" s="1"/>
  <c r="H111" i="16"/>
  <c r="R111" i="16" s="1"/>
  <c r="O106" i="16"/>
  <c r="M106" i="16"/>
  <c r="K106" i="16"/>
  <c r="I106" i="16"/>
  <c r="H106" i="16"/>
  <c r="F106" i="16"/>
  <c r="N106" i="16"/>
  <c r="L106" i="16"/>
  <c r="J106" i="16"/>
  <c r="G106" i="16"/>
  <c r="O107" i="16"/>
  <c r="Y107" i="16" s="1"/>
  <c r="M107" i="16"/>
  <c r="W107" i="16" s="1"/>
  <c r="K107" i="16"/>
  <c r="U107" i="16" s="1"/>
  <c r="H107" i="16"/>
  <c r="R107" i="16" s="1"/>
  <c r="F107" i="16"/>
  <c r="N107" i="16"/>
  <c r="X107" i="16" s="1"/>
  <c r="L107" i="16"/>
  <c r="V107" i="16" s="1"/>
  <c r="J107" i="16"/>
  <c r="T107" i="16" s="1"/>
  <c r="I107" i="16"/>
  <c r="S107" i="16" s="1"/>
  <c r="G107" i="16"/>
  <c r="Q107" i="16" s="1"/>
  <c r="O109" i="16"/>
  <c r="Y109" i="16" s="1"/>
  <c r="M109" i="16"/>
  <c r="W109" i="16" s="1"/>
  <c r="K109" i="16"/>
  <c r="U109" i="16" s="1"/>
  <c r="J109" i="16"/>
  <c r="T109" i="16" s="1"/>
  <c r="G109" i="16"/>
  <c r="Q109" i="16" s="1"/>
  <c r="N109" i="16"/>
  <c r="X109" i="16" s="1"/>
  <c r="L109" i="16"/>
  <c r="V109" i="16" s="1"/>
  <c r="I109" i="16"/>
  <c r="S109" i="16" s="1"/>
  <c r="H109" i="16"/>
  <c r="R109" i="16" s="1"/>
  <c r="F109" i="16"/>
  <c r="O110" i="16"/>
  <c r="Y110" i="16" s="1"/>
  <c r="L110" i="16"/>
  <c r="V110" i="16" s="1"/>
  <c r="J110" i="16"/>
  <c r="T110" i="16" s="1"/>
  <c r="H110" i="16"/>
  <c r="R110" i="16" s="1"/>
  <c r="F110" i="16"/>
  <c r="N110" i="16"/>
  <c r="X110" i="16" s="1"/>
  <c r="M110" i="16"/>
  <c r="W110" i="16" s="1"/>
  <c r="K110" i="16"/>
  <c r="U110" i="16" s="1"/>
  <c r="I110" i="16"/>
  <c r="S110" i="16" s="1"/>
  <c r="G110" i="16"/>
  <c r="Q110" i="16" s="1"/>
  <c r="K112" i="16"/>
  <c r="U112" i="16" s="1"/>
  <c r="O112" i="16"/>
  <c r="Y112" i="16" s="1"/>
  <c r="N112" i="16"/>
  <c r="X112" i="16" s="1"/>
  <c r="M112" i="16"/>
  <c r="W112" i="16" s="1"/>
  <c r="L112" i="16"/>
  <c r="V112" i="16" s="1"/>
  <c r="J112" i="16"/>
  <c r="T112" i="16" s="1"/>
  <c r="I112" i="16"/>
  <c r="S112" i="16" s="1"/>
  <c r="H112" i="16"/>
  <c r="R112" i="16" s="1"/>
  <c r="G112" i="16"/>
  <c r="Q112" i="16" s="1"/>
  <c r="F112" i="16"/>
  <c r="O113" i="16"/>
  <c r="Y113" i="16" s="1"/>
  <c r="N113" i="16"/>
  <c r="X113" i="16" s="1"/>
  <c r="M113" i="16"/>
  <c r="W113" i="16" s="1"/>
  <c r="L113" i="16"/>
  <c r="V113" i="16" s="1"/>
  <c r="K113" i="16"/>
  <c r="U113" i="16" s="1"/>
  <c r="J113" i="16"/>
  <c r="T113" i="16" s="1"/>
  <c r="I113" i="16"/>
  <c r="S113" i="16" s="1"/>
  <c r="H113" i="16"/>
  <c r="R113" i="16" s="1"/>
  <c r="G113" i="16"/>
  <c r="Q113" i="16" s="1"/>
  <c r="F113" i="16"/>
  <c r="O167" i="16"/>
  <c r="N167" i="16"/>
  <c r="M167" i="16"/>
  <c r="L167" i="16"/>
  <c r="K167" i="16"/>
  <c r="J167" i="16"/>
  <c r="I167" i="16"/>
  <c r="H167" i="16"/>
  <c r="G167" i="16"/>
  <c r="F167" i="16"/>
  <c r="O168" i="16"/>
  <c r="Y168" i="16" s="1"/>
  <c r="N168" i="16"/>
  <c r="X168" i="16" s="1"/>
  <c r="M168" i="16"/>
  <c r="W168" i="16" s="1"/>
  <c r="L168" i="16"/>
  <c r="V168" i="16" s="1"/>
  <c r="K168" i="16"/>
  <c r="U168" i="16" s="1"/>
  <c r="J168" i="16"/>
  <c r="T168" i="16" s="1"/>
  <c r="I168" i="16"/>
  <c r="S168" i="16" s="1"/>
  <c r="H168" i="16"/>
  <c r="R168" i="16" s="1"/>
  <c r="G168" i="16"/>
  <c r="Q168" i="16" s="1"/>
  <c r="F168" i="16"/>
  <c r="O169" i="16"/>
  <c r="Y169" i="16" s="1"/>
  <c r="N169" i="16"/>
  <c r="X169" i="16" s="1"/>
  <c r="M169" i="16"/>
  <c r="W169" i="16" s="1"/>
  <c r="L169" i="16"/>
  <c r="V169" i="16" s="1"/>
  <c r="K169" i="16"/>
  <c r="U169" i="16" s="1"/>
  <c r="J169" i="16"/>
  <c r="T169" i="16" s="1"/>
  <c r="I169" i="16"/>
  <c r="S169" i="16" s="1"/>
  <c r="H169" i="16"/>
  <c r="R169" i="16" s="1"/>
  <c r="G169" i="16"/>
  <c r="Q169" i="16" s="1"/>
  <c r="F169" i="16"/>
  <c r="O170" i="16"/>
  <c r="Y170" i="16" s="1"/>
  <c r="N170" i="16"/>
  <c r="X170" i="16" s="1"/>
  <c r="M170" i="16"/>
  <c r="W170" i="16" s="1"/>
  <c r="L170" i="16"/>
  <c r="V170" i="16" s="1"/>
  <c r="K170" i="16"/>
  <c r="U170" i="16" s="1"/>
  <c r="J170" i="16"/>
  <c r="T170" i="16" s="1"/>
  <c r="I170" i="16"/>
  <c r="S170" i="16" s="1"/>
  <c r="H170" i="16"/>
  <c r="R170" i="16" s="1"/>
  <c r="G170" i="16"/>
  <c r="Q170" i="16" s="1"/>
  <c r="F170" i="16"/>
  <c r="O171" i="16"/>
  <c r="Y171" i="16" s="1"/>
  <c r="N171" i="16"/>
  <c r="X171" i="16" s="1"/>
  <c r="M171" i="16"/>
  <c r="W171" i="16" s="1"/>
  <c r="L171" i="16"/>
  <c r="V171" i="16" s="1"/>
  <c r="K171" i="16"/>
  <c r="U171" i="16" s="1"/>
  <c r="J171" i="16"/>
  <c r="T171" i="16" s="1"/>
  <c r="I171" i="16"/>
  <c r="S171" i="16" s="1"/>
  <c r="H171" i="16"/>
  <c r="R171" i="16" s="1"/>
  <c r="G171" i="16"/>
  <c r="Q171" i="16" s="1"/>
  <c r="F171" i="16"/>
  <c r="O172" i="16"/>
  <c r="Y172" i="16" s="1"/>
  <c r="N172" i="16"/>
  <c r="X172" i="16" s="1"/>
  <c r="M172" i="16"/>
  <c r="W172" i="16" s="1"/>
  <c r="L172" i="16"/>
  <c r="V172" i="16" s="1"/>
  <c r="K172" i="16"/>
  <c r="U172" i="16" s="1"/>
  <c r="J172" i="16"/>
  <c r="T172" i="16" s="1"/>
  <c r="I172" i="16"/>
  <c r="S172" i="16" s="1"/>
  <c r="H172" i="16"/>
  <c r="R172" i="16" s="1"/>
  <c r="G172" i="16"/>
  <c r="Q172" i="16" s="1"/>
  <c r="F172" i="16"/>
  <c r="O173" i="16"/>
  <c r="Y173" i="16" s="1"/>
  <c r="N173" i="16"/>
  <c r="X173" i="16" s="1"/>
  <c r="M173" i="16"/>
  <c r="W173" i="16" s="1"/>
  <c r="L173" i="16"/>
  <c r="V173" i="16" s="1"/>
  <c r="K173" i="16"/>
  <c r="U173" i="16" s="1"/>
  <c r="J173" i="16"/>
  <c r="T173" i="16" s="1"/>
  <c r="I173" i="16"/>
  <c r="S173" i="16" s="1"/>
  <c r="H173" i="16"/>
  <c r="R173" i="16" s="1"/>
  <c r="G173" i="16"/>
  <c r="Q173" i="16" s="1"/>
  <c r="F173" i="16"/>
  <c r="O174" i="16"/>
  <c r="Y174" i="16" s="1"/>
  <c r="N174" i="16"/>
  <c r="X174" i="16" s="1"/>
  <c r="M174" i="16"/>
  <c r="W174" i="16" s="1"/>
  <c r="L174" i="16"/>
  <c r="V174" i="16" s="1"/>
  <c r="K174" i="16"/>
  <c r="U174" i="16" s="1"/>
  <c r="J174" i="16"/>
  <c r="T174" i="16" s="1"/>
  <c r="I174" i="16"/>
  <c r="S174" i="16" s="1"/>
  <c r="H174" i="16"/>
  <c r="R174" i="16" s="1"/>
  <c r="G174" i="16"/>
  <c r="Q174" i="16" s="1"/>
  <c r="F174" i="16"/>
  <c r="O175" i="16"/>
  <c r="Y175" i="16" s="1"/>
  <c r="N175" i="16"/>
  <c r="X175" i="16" s="1"/>
  <c r="M175" i="16"/>
  <c r="W175" i="16" s="1"/>
  <c r="L175" i="16"/>
  <c r="V175" i="16" s="1"/>
  <c r="K175" i="16"/>
  <c r="U175" i="16" s="1"/>
  <c r="J175" i="16"/>
  <c r="T175" i="16" s="1"/>
  <c r="I175" i="16"/>
  <c r="S175" i="16" s="1"/>
  <c r="H175" i="16"/>
  <c r="R175" i="16" s="1"/>
  <c r="G175" i="16"/>
  <c r="Q175" i="16" s="1"/>
  <c r="F175" i="16"/>
  <c r="O176" i="16"/>
  <c r="Y176" i="16" s="1"/>
  <c r="N176" i="16"/>
  <c r="X176" i="16" s="1"/>
  <c r="M176" i="16"/>
  <c r="W176" i="16" s="1"/>
  <c r="L176" i="16"/>
  <c r="V176" i="16" s="1"/>
  <c r="K176" i="16"/>
  <c r="U176" i="16" s="1"/>
  <c r="J176" i="16"/>
  <c r="T176" i="16" s="1"/>
  <c r="I176" i="16"/>
  <c r="S176" i="16" s="1"/>
  <c r="H176" i="16"/>
  <c r="R176" i="16" s="1"/>
  <c r="G176" i="16"/>
  <c r="Q176" i="16" s="1"/>
  <c r="F176" i="16"/>
  <c r="N228" i="16"/>
  <c r="L228" i="16"/>
  <c r="J228" i="16"/>
  <c r="I228" i="16"/>
  <c r="G228" i="16"/>
  <c r="M228" i="16"/>
  <c r="F228" i="16"/>
  <c r="O228" i="16"/>
  <c r="K228" i="16"/>
  <c r="H228" i="16"/>
  <c r="N229" i="16"/>
  <c r="X229" i="16" s="1"/>
  <c r="L229" i="16"/>
  <c r="V229" i="16" s="1"/>
  <c r="I229" i="16"/>
  <c r="S229" i="16" s="1"/>
  <c r="F229" i="16"/>
  <c r="O229" i="16"/>
  <c r="Y229" i="16" s="1"/>
  <c r="M229" i="16"/>
  <c r="W229" i="16" s="1"/>
  <c r="K229" i="16"/>
  <c r="U229" i="16" s="1"/>
  <c r="J229" i="16"/>
  <c r="T229" i="16" s="1"/>
  <c r="H229" i="16"/>
  <c r="R229" i="16" s="1"/>
  <c r="G229" i="16"/>
  <c r="Q229" i="16" s="1"/>
  <c r="O231" i="16"/>
  <c r="Y231" i="16" s="1"/>
  <c r="L231" i="16"/>
  <c r="V231" i="16" s="1"/>
  <c r="H231" i="16"/>
  <c r="R231" i="16" s="1"/>
  <c r="F231" i="16"/>
  <c r="N231" i="16"/>
  <c r="X231" i="16" s="1"/>
  <c r="M231" i="16"/>
  <c r="W231" i="16" s="1"/>
  <c r="K231" i="16"/>
  <c r="U231" i="16" s="1"/>
  <c r="J231" i="16"/>
  <c r="T231" i="16" s="1"/>
  <c r="I231" i="16"/>
  <c r="S231" i="16" s="1"/>
  <c r="G231" i="16"/>
  <c r="Q231" i="16" s="1"/>
  <c r="O232" i="16"/>
  <c r="Y232" i="16" s="1"/>
  <c r="N232" i="16"/>
  <c r="X232" i="16" s="1"/>
  <c r="M232" i="16"/>
  <c r="W232" i="16" s="1"/>
  <c r="L232" i="16"/>
  <c r="V232" i="16" s="1"/>
  <c r="K232" i="16"/>
  <c r="U232" i="16" s="1"/>
  <c r="J232" i="16"/>
  <c r="T232" i="16" s="1"/>
  <c r="I232" i="16"/>
  <c r="S232" i="16" s="1"/>
  <c r="H232" i="16"/>
  <c r="R232" i="16" s="1"/>
  <c r="G232" i="16"/>
  <c r="Q232" i="16" s="1"/>
  <c r="F232" i="16"/>
  <c r="O234" i="16"/>
  <c r="Y234" i="16" s="1"/>
  <c r="N234" i="16"/>
  <c r="X234" i="16" s="1"/>
  <c r="M234" i="16"/>
  <c r="W234" i="16" s="1"/>
  <c r="L234" i="16"/>
  <c r="V234" i="16" s="1"/>
  <c r="K234" i="16"/>
  <c r="U234" i="16" s="1"/>
  <c r="J234" i="16"/>
  <c r="T234" i="16" s="1"/>
  <c r="I234" i="16"/>
  <c r="S234" i="16" s="1"/>
  <c r="H234" i="16"/>
  <c r="R234" i="16" s="1"/>
  <c r="G234" i="16"/>
  <c r="Q234" i="16" s="1"/>
  <c r="F234" i="16"/>
  <c r="O236" i="16"/>
  <c r="Y236" i="16" s="1"/>
  <c r="N236" i="16"/>
  <c r="X236" i="16" s="1"/>
  <c r="M236" i="16"/>
  <c r="W236" i="16" s="1"/>
  <c r="L236" i="16"/>
  <c r="V236" i="16" s="1"/>
  <c r="K236" i="16"/>
  <c r="U236" i="16" s="1"/>
  <c r="J236" i="16"/>
  <c r="T236" i="16" s="1"/>
  <c r="I236" i="16"/>
  <c r="S236" i="16" s="1"/>
  <c r="H236" i="16"/>
  <c r="R236" i="16" s="1"/>
  <c r="G236" i="16"/>
  <c r="Q236" i="16" s="1"/>
  <c r="F236" i="16"/>
  <c r="O237" i="16"/>
  <c r="Y237" i="16" s="1"/>
  <c r="N237" i="16"/>
  <c r="X237" i="16" s="1"/>
  <c r="M237" i="16"/>
  <c r="W237" i="16" s="1"/>
  <c r="L237" i="16"/>
  <c r="V237" i="16" s="1"/>
  <c r="K237" i="16"/>
  <c r="U237" i="16" s="1"/>
  <c r="J237" i="16"/>
  <c r="T237" i="16" s="1"/>
  <c r="I237" i="16"/>
  <c r="S237" i="16" s="1"/>
  <c r="H237" i="16"/>
  <c r="R237" i="16" s="1"/>
  <c r="G237" i="16"/>
  <c r="Q237" i="16" s="1"/>
  <c r="F237" i="16"/>
  <c r="O230" i="16"/>
  <c r="Y230" i="16" s="1"/>
  <c r="M230" i="16"/>
  <c r="W230" i="16" s="1"/>
  <c r="L230" i="16"/>
  <c r="V230" i="16" s="1"/>
  <c r="J230" i="16"/>
  <c r="T230" i="16" s="1"/>
  <c r="I230" i="16"/>
  <c r="S230" i="16" s="1"/>
  <c r="G230" i="16"/>
  <c r="Q230" i="16" s="1"/>
  <c r="F230" i="16"/>
  <c r="N230" i="16"/>
  <c r="X230" i="16" s="1"/>
  <c r="K230" i="16"/>
  <c r="U230" i="16" s="1"/>
  <c r="H230" i="16"/>
  <c r="R230" i="16" s="1"/>
  <c r="O235" i="16"/>
  <c r="Y235" i="16" s="1"/>
  <c r="N235" i="16"/>
  <c r="X235" i="16" s="1"/>
  <c r="M235" i="16"/>
  <c r="W235" i="16" s="1"/>
  <c r="L235" i="16"/>
  <c r="V235" i="16" s="1"/>
  <c r="K235" i="16"/>
  <c r="U235" i="16" s="1"/>
  <c r="J235" i="16"/>
  <c r="T235" i="16" s="1"/>
  <c r="I235" i="16"/>
  <c r="S235" i="16" s="1"/>
  <c r="H235" i="16"/>
  <c r="R235" i="16" s="1"/>
  <c r="G235" i="16"/>
  <c r="Q235" i="16" s="1"/>
  <c r="F235" i="16"/>
  <c r="O233" i="16"/>
  <c r="Y233" i="16" s="1"/>
  <c r="N233" i="16"/>
  <c r="X233" i="16" s="1"/>
  <c r="M233" i="16"/>
  <c r="W233" i="16" s="1"/>
  <c r="L233" i="16"/>
  <c r="V233" i="16" s="1"/>
  <c r="K233" i="16"/>
  <c r="U233" i="16" s="1"/>
  <c r="J233" i="16"/>
  <c r="T233" i="16" s="1"/>
  <c r="I233" i="16"/>
  <c r="S233" i="16" s="1"/>
  <c r="H233" i="16"/>
  <c r="R233" i="16" s="1"/>
  <c r="G233" i="16"/>
  <c r="Q233" i="16" s="1"/>
  <c r="F233" i="16"/>
  <c r="O351" i="16"/>
  <c r="Y351" i="16" s="1"/>
  <c r="N351" i="16"/>
  <c r="X351" i="16" s="1"/>
  <c r="M351" i="16"/>
  <c r="W351" i="16" s="1"/>
  <c r="O353" i="16"/>
  <c r="Y353" i="16" s="1"/>
  <c r="N353" i="16"/>
  <c r="X353" i="16" s="1"/>
  <c r="M353" i="16"/>
  <c r="W353" i="16" s="1"/>
  <c r="O355" i="16"/>
  <c r="Y355" i="16" s="1"/>
  <c r="N355" i="16"/>
  <c r="X355" i="16" s="1"/>
  <c r="M355" i="16"/>
  <c r="W355" i="16" s="1"/>
  <c r="O357" i="16"/>
  <c r="Y357" i="16" s="1"/>
  <c r="N357" i="16"/>
  <c r="X357" i="16" s="1"/>
  <c r="M357" i="16"/>
  <c r="W357" i="16" s="1"/>
  <c r="L357" i="16"/>
  <c r="V357" i="16" s="1"/>
  <c r="K357" i="16"/>
  <c r="U357" i="16" s="1"/>
  <c r="J357" i="16"/>
  <c r="T357" i="16" s="1"/>
  <c r="I357" i="16"/>
  <c r="S357" i="16" s="1"/>
  <c r="H357" i="16"/>
  <c r="R357" i="16" s="1"/>
  <c r="G357" i="16"/>
  <c r="Q357" i="16" s="1"/>
  <c r="F357" i="16"/>
  <c r="O358" i="16"/>
  <c r="Y358" i="16" s="1"/>
  <c r="N358" i="16"/>
  <c r="X358" i="16" s="1"/>
  <c r="M358" i="16"/>
  <c r="W358" i="16" s="1"/>
  <c r="L358" i="16"/>
  <c r="V358" i="16" s="1"/>
  <c r="K358" i="16"/>
  <c r="U358" i="16" s="1"/>
  <c r="J358" i="16"/>
  <c r="T358" i="16" s="1"/>
  <c r="I358" i="16"/>
  <c r="S358" i="16" s="1"/>
  <c r="H358" i="16"/>
  <c r="R358" i="16" s="1"/>
  <c r="G358" i="16"/>
  <c r="Q358" i="16" s="1"/>
  <c r="F358" i="16"/>
  <c r="O359" i="16"/>
  <c r="Y359" i="16" s="1"/>
  <c r="N359" i="16"/>
  <c r="X359" i="16" s="1"/>
  <c r="M359" i="16"/>
  <c r="W359" i="16" s="1"/>
  <c r="L359" i="16"/>
  <c r="V359" i="16" s="1"/>
  <c r="K359" i="16"/>
  <c r="U359" i="16" s="1"/>
  <c r="J359" i="16"/>
  <c r="T359" i="16" s="1"/>
  <c r="I359" i="16"/>
  <c r="S359" i="16" s="1"/>
  <c r="H359" i="16"/>
  <c r="R359" i="16" s="1"/>
  <c r="G359" i="16"/>
  <c r="Q359" i="16" s="1"/>
  <c r="F359" i="16"/>
  <c r="O356" i="16"/>
  <c r="Y356" i="16" s="1"/>
  <c r="N356" i="16"/>
  <c r="X356" i="16" s="1"/>
  <c r="M356" i="16"/>
  <c r="W356" i="16" s="1"/>
  <c r="L356" i="16"/>
  <c r="V356" i="16" s="1"/>
  <c r="K356" i="16"/>
  <c r="U356" i="16" s="1"/>
  <c r="J356" i="16"/>
  <c r="T356" i="16" s="1"/>
  <c r="I356" i="16"/>
  <c r="S356" i="16" s="1"/>
  <c r="H356" i="16"/>
  <c r="R356" i="16" s="1"/>
  <c r="G356" i="16"/>
  <c r="Q356" i="16" s="1"/>
  <c r="F356" i="16"/>
  <c r="O352" i="16"/>
  <c r="Y352" i="16" s="1"/>
  <c r="N352" i="16"/>
  <c r="X352" i="16" s="1"/>
  <c r="M352" i="16"/>
  <c r="W352" i="16" s="1"/>
  <c r="O354" i="16"/>
  <c r="Y354" i="16" s="1"/>
  <c r="N354" i="16"/>
  <c r="X354" i="16" s="1"/>
  <c r="M354" i="16"/>
  <c r="W354" i="16" s="1"/>
  <c r="O411" i="16"/>
  <c r="N411" i="16"/>
  <c r="M411" i="16"/>
  <c r="L411" i="16"/>
  <c r="K411" i="16"/>
  <c r="J411" i="16"/>
  <c r="I411" i="16"/>
  <c r="H411" i="16"/>
  <c r="G411" i="16"/>
  <c r="F411" i="16"/>
  <c r="O412" i="16"/>
  <c r="Y412" i="16" s="1"/>
  <c r="N412" i="16"/>
  <c r="X412" i="16" s="1"/>
  <c r="M412" i="16"/>
  <c r="W412" i="16" s="1"/>
  <c r="L412" i="16"/>
  <c r="V412" i="16" s="1"/>
  <c r="K412" i="16"/>
  <c r="U412" i="16" s="1"/>
  <c r="J412" i="16"/>
  <c r="T412" i="16" s="1"/>
  <c r="I412" i="16"/>
  <c r="S412" i="16" s="1"/>
  <c r="H412" i="16"/>
  <c r="R412" i="16" s="1"/>
  <c r="G412" i="16"/>
  <c r="Q412" i="16" s="1"/>
  <c r="F412" i="16"/>
  <c r="O414" i="16"/>
  <c r="Y414" i="16" s="1"/>
  <c r="N414" i="16"/>
  <c r="X414" i="16" s="1"/>
  <c r="M414" i="16"/>
  <c r="W414" i="16" s="1"/>
  <c r="L414" i="16"/>
  <c r="V414" i="16" s="1"/>
  <c r="K414" i="16"/>
  <c r="U414" i="16" s="1"/>
  <c r="J414" i="16"/>
  <c r="T414" i="16" s="1"/>
  <c r="I414" i="16"/>
  <c r="S414" i="16" s="1"/>
  <c r="H414" i="16"/>
  <c r="R414" i="16" s="1"/>
  <c r="G414" i="16"/>
  <c r="Q414" i="16" s="1"/>
  <c r="F414" i="16"/>
  <c r="O417" i="16"/>
  <c r="Y417" i="16" s="1"/>
  <c r="N417" i="16"/>
  <c r="X417" i="16" s="1"/>
  <c r="M417" i="16"/>
  <c r="W417" i="16" s="1"/>
  <c r="L417" i="16"/>
  <c r="V417" i="16" s="1"/>
  <c r="K417" i="16"/>
  <c r="U417" i="16" s="1"/>
  <c r="J417" i="16"/>
  <c r="T417" i="16" s="1"/>
  <c r="I417" i="16"/>
  <c r="S417" i="16" s="1"/>
  <c r="H417" i="16"/>
  <c r="R417" i="16" s="1"/>
  <c r="G417" i="16"/>
  <c r="Q417" i="16" s="1"/>
  <c r="F417" i="16"/>
  <c r="O416" i="16"/>
  <c r="Y416" i="16" s="1"/>
  <c r="N416" i="16"/>
  <c r="X416" i="16" s="1"/>
  <c r="M416" i="16"/>
  <c r="W416" i="16" s="1"/>
  <c r="L416" i="16"/>
  <c r="V416" i="16" s="1"/>
  <c r="K416" i="16"/>
  <c r="U416" i="16" s="1"/>
  <c r="J416" i="16"/>
  <c r="T416" i="16" s="1"/>
  <c r="I416" i="16"/>
  <c r="S416" i="16" s="1"/>
  <c r="H416" i="16"/>
  <c r="R416" i="16" s="1"/>
  <c r="G416" i="16"/>
  <c r="Q416" i="16" s="1"/>
  <c r="F416" i="16"/>
  <c r="O415" i="16"/>
  <c r="Y415" i="16" s="1"/>
  <c r="N415" i="16"/>
  <c r="X415" i="16" s="1"/>
  <c r="M415" i="16"/>
  <c r="W415" i="16" s="1"/>
  <c r="L415" i="16"/>
  <c r="V415" i="16" s="1"/>
  <c r="K415" i="16"/>
  <c r="U415" i="16" s="1"/>
  <c r="J415" i="16"/>
  <c r="T415" i="16" s="1"/>
  <c r="I415" i="16"/>
  <c r="S415" i="16" s="1"/>
  <c r="H415" i="16"/>
  <c r="R415" i="16" s="1"/>
  <c r="G415" i="16"/>
  <c r="Q415" i="16" s="1"/>
  <c r="F415" i="16"/>
  <c r="O413" i="16"/>
  <c r="Y413" i="16" s="1"/>
  <c r="N413" i="16"/>
  <c r="X413" i="16" s="1"/>
  <c r="M413" i="16"/>
  <c r="W413" i="16" s="1"/>
  <c r="L413" i="16"/>
  <c r="V413" i="16" s="1"/>
  <c r="K413" i="16"/>
  <c r="U413" i="16" s="1"/>
  <c r="J413" i="16"/>
  <c r="T413" i="16" s="1"/>
  <c r="I413" i="16"/>
  <c r="S413" i="16" s="1"/>
  <c r="H413" i="16"/>
  <c r="R413" i="16" s="1"/>
  <c r="G413" i="16"/>
  <c r="Q413" i="16" s="1"/>
  <c r="F413" i="16"/>
  <c r="O419" i="16"/>
  <c r="Y419" i="16" s="1"/>
  <c r="N419" i="16"/>
  <c r="X419" i="16" s="1"/>
  <c r="M419" i="16"/>
  <c r="W419" i="16" s="1"/>
  <c r="L419" i="16"/>
  <c r="V419" i="16" s="1"/>
  <c r="K419" i="16"/>
  <c r="U419" i="16" s="1"/>
  <c r="J419" i="16"/>
  <c r="T419" i="16" s="1"/>
  <c r="I419" i="16"/>
  <c r="S419" i="16" s="1"/>
  <c r="H419" i="16"/>
  <c r="R419" i="16" s="1"/>
  <c r="G419" i="16"/>
  <c r="Q419" i="16" s="1"/>
  <c r="F419" i="16"/>
  <c r="O420" i="16"/>
  <c r="Y420" i="16" s="1"/>
  <c r="N420" i="16"/>
  <c r="X420" i="16" s="1"/>
  <c r="M420" i="16"/>
  <c r="W420" i="16" s="1"/>
  <c r="L420" i="16"/>
  <c r="V420" i="16" s="1"/>
  <c r="K420" i="16"/>
  <c r="U420" i="16" s="1"/>
  <c r="J420" i="16"/>
  <c r="T420" i="16" s="1"/>
  <c r="I420" i="16"/>
  <c r="S420" i="16" s="1"/>
  <c r="H420" i="16"/>
  <c r="R420" i="16" s="1"/>
  <c r="G420" i="16"/>
  <c r="Q420" i="16" s="1"/>
  <c r="F420" i="16"/>
  <c r="O418" i="16"/>
  <c r="Y418" i="16" s="1"/>
  <c r="N418" i="16"/>
  <c r="X418" i="16" s="1"/>
  <c r="M418" i="16"/>
  <c r="W418" i="16" s="1"/>
  <c r="L418" i="16"/>
  <c r="V418" i="16" s="1"/>
  <c r="K418" i="16"/>
  <c r="U418" i="16" s="1"/>
  <c r="J418" i="16"/>
  <c r="T418" i="16" s="1"/>
  <c r="I418" i="16"/>
  <c r="S418" i="16" s="1"/>
  <c r="H418" i="16"/>
  <c r="R418" i="16" s="1"/>
  <c r="G418" i="16"/>
  <c r="Q418" i="16" s="1"/>
  <c r="F418" i="16"/>
  <c r="O294" i="16"/>
  <c r="Y294" i="16" s="1"/>
  <c r="N294" i="16"/>
  <c r="X294" i="16" s="1"/>
  <c r="M294" i="16"/>
  <c r="W294" i="16" s="1"/>
  <c r="L294" i="16"/>
  <c r="V294" i="16" s="1"/>
  <c r="K294" i="16"/>
  <c r="U294" i="16" s="1"/>
  <c r="J294" i="16"/>
  <c r="T294" i="16" s="1"/>
  <c r="I294" i="16"/>
  <c r="S294" i="16" s="1"/>
  <c r="H294" i="16"/>
  <c r="R294" i="16" s="1"/>
  <c r="G294" i="16"/>
  <c r="Q294" i="16" s="1"/>
  <c r="F294" i="16"/>
  <c r="O297" i="16"/>
  <c r="Y297" i="16" s="1"/>
  <c r="N297" i="16"/>
  <c r="X297" i="16" s="1"/>
  <c r="M297" i="16"/>
  <c r="W297" i="16" s="1"/>
  <c r="L297" i="16"/>
  <c r="V297" i="16" s="1"/>
  <c r="K297" i="16"/>
  <c r="U297" i="16" s="1"/>
  <c r="J297" i="16"/>
  <c r="T297" i="16" s="1"/>
  <c r="I297" i="16"/>
  <c r="S297" i="16" s="1"/>
  <c r="H297" i="16"/>
  <c r="R297" i="16" s="1"/>
  <c r="G297" i="16"/>
  <c r="Q297" i="16" s="1"/>
  <c r="F297" i="16"/>
  <c r="O293" i="16"/>
  <c r="Y293" i="16" s="1"/>
  <c r="N293" i="16"/>
  <c r="X293" i="16" s="1"/>
  <c r="M293" i="16"/>
  <c r="W293" i="16" s="1"/>
  <c r="L293" i="16"/>
  <c r="V293" i="16" s="1"/>
  <c r="K293" i="16"/>
  <c r="U293" i="16" s="1"/>
  <c r="J293" i="16"/>
  <c r="T293" i="16" s="1"/>
  <c r="I293" i="16"/>
  <c r="S293" i="16" s="1"/>
  <c r="H293" i="16"/>
  <c r="R293" i="16" s="1"/>
  <c r="G293" i="16"/>
  <c r="Q293" i="16" s="1"/>
  <c r="F293" i="16"/>
  <c r="K289" i="16"/>
  <c r="G289" i="16"/>
  <c r="O289" i="16"/>
  <c r="N289" i="16"/>
  <c r="M289" i="16"/>
  <c r="L289" i="16"/>
  <c r="J289" i="16"/>
  <c r="I289" i="16"/>
  <c r="H289" i="16"/>
  <c r="F289" i="16"/>
  <c r="O295" i="16"/>
  <c r="Y295" i="16" s="1"/>
  <c r="N295" i="16"/>
  <c r="X295" i="16" s="1"/>
  <c r="M295" i="16"/>
  <c r="W295" i="16" s="1"/>
  <c r="L295" i="16"/>
  <c r="V295" i="16" s="1"/>
  <c r="K295" i="16"/>
  <c r="U295" i="16" s="1"/>
  <c r="J295" i="16"/>
  <c r="T295" i="16" s="1"/>
  <c r="I295" i="16"/>
  <c r="S295" i="16" s="1"/>
  <c r="H295" i="16"/>
  <c r="R295" i="16" s="1"/>
  <c r="G295" i="16"/>
  <c r="Q295" i="16" s="1"/>
  <c r="F295" i="16"/>
  <c r="L292" i="16"/>
  <c r="V292" i="16" s="1"/>
  <c r="I292" i="16"/>
  <c r="S292" i="16" s="1"/>
  <c r="G292" i="16"/>
  <c r="Q292" i="16" s="1"/>
  <c r="O292" i="16"/>
  <c r="Y292" i="16" s="1"/>
  <c r="N292" i="16"/>
  <c r="X292" i="16" s="1"/>
  <c r="M292" i="16"/>
  <c r="W292" i="16" s="1"/>
  <c r="K292" i="16"/>
  <c r="U292" i="16" s="1"/>
  <c r="J292" i="16"/>
  <c r="T292" i="16" s="1"/>
  <c r="H292" i="16"/>
  <c r="R292" i="16" s="1"/>
  <c r="F292" i="16"/>
  <c r="M291" i="16"/>
  <c r="W291" i="16" s="1"/>
  <c r="I291" i="16"/>
  <c r="S291" i="16" s="1"/>
  <c r="G291" i="16"/>
  <c r="Q291" i="16" s="1"/>
  <c r="O291" i="16"/>
  <c r="Y291" i="16" s="1"/>
  <c r="N291" i="16"/>
  <c r="X291" i="16" s="1"/>
  <c r="L291" i="16"/>
  <c r="V291" i="16" s="1"/>
  <c r="K291" i="16"/>
  <c r="U291" i="16" s="1"/>
  <c r="J291" i="16"/>
  <c r="T291" i="16" s="1"/>
  <c r="H291" i="16"/>
  <c r="R291" i="16" s="1"/>
  <c r="F291" i="16"/>
  <c r="K290" i="16"/>
  <c r="U290" i="16" s="1"/>
  <c r="H290" i="16"/>
  <c r="R290" i="16" s="1"/>
  <c r="O290" i="16"/>
  <c r="Y290" i="16" s="1"/>
  <c r="N290" i="16"/>
  <c r="X290" i="16" s="1"/>
  <c r="M290" i="16"/>
  <c r="W290" i="16" s="1"/>
  <c r="L290" i="16"/>
  <c r="V290" i="16" s="1"/>
  <c r="J290" i="16"/>
  <c r="T290" i="16" s="1"/>
  <c r="I290" i="16"/>
  <c r="S290" i="16" s="1"/>
  <c r="G290" i="16"/>
  <c r="Q290" i="16" s="1"/>
  <c r="F290" i="16"/>
  <c r="O298" i="16"/>
  <c r="Y298" i="16" s="1"/>
  <c r="N298" i="16"/>
  <c r="X298" i="16" s="1"/>
  <c r="M298" i="16"/>
  <c r="W298" i="16" s="1"/>
  <c r="L298" i="16"/>
  <c r="V298" i="16" s="1"/>
  <c r="K298" i="16"/>
  <c r="U298" i="16" s="1"/>
  <c r="J298" i="16"/>
  <c r="T298" i="16" s="1"/>
  <c r="I298" i="16"/>
  <c r="S298" i="16" s="1"/>
  <c r="H298" i="16"/>
  <c r="R298" i="16" s="1"/>
  <c r="G298" i="16"/>
  <c r="Q298" i="16" s="1"/>
  <c r="F298" i="16"/>
  <c r="O296" i="16"/>
  <c r="Y296" i="16" s="1"/>
  <c r="N296" i="16"/>
  <c r="X296" i="16" s="1"/>
  <c r="M296" i="16"/>
  <c r="W296" i="16" s="1"/>
  <c r="L296" i="16"/>
  <c r="V296" i="16" s="1"/>
  <c r="K296" i="16"/>
  <c r="U296" i="16" s="1"/>
  <c r="J296" i="16"/>
  <c r="T296" i="16" s="1"/>
  <c r="I296" i="16"/>
  <c r="S296" i="16" s="1"/>
  <c r="H296" i="16"/>
  <c r="R296" i="16" s="1"/>
  <c r="G296" i="16"/>
  <c r="Q296" i="16" s="1"/>
  <c r="F296" i="16"/>
  <c r="O474" i="16"/>
  <c r="Y474" i="16" s="1"/>
  <c r="N474" i="16"/>
  <c r="X474" i="16" s="1"/>
  <c r="M474" i="16"/>
  <c r="W474" i="16" s="1"/>
  <c r="O475" i="16"/>
  <c r="Y475" i="16" s="1"/>
  <c r="N475" i="16"/>
  <c r="X475" i="16" s="1"/>
  <c r="M475" i="16"/>
  <c r="W475" i="16" s="1"/>
  <c r="K478" i="16"/>
  <c r="U478" i="16" s="1"/>
  <c r="O478" i="16"/>
  <c r="Y478" i="16" s="1"/>
  <c r="I478" i="16"/>
  <c r="S478" i="16" s="1"/>
  <c r="G478" i="16"/>
  <c r="Q478" i="16" s="1"/>
  <c r="M478" i="16"/>
  <c r="W478" i="16" s="1"/>
  <c r="H478" i="16"/>
  <c r="R478" i="16" s="1"/>
  <c r="L478" i="16"/>
  <c r="V478" i="16" s="1"/>
  <c r="J478" i="16"/>
  <c r="T478" i="16" s="1"/>
  <c r="F478" i="16"/>
  <c r="N478" i="16"/>
  <c r="X478" i="16" s="1"/>
  <c r="O476" i="16"/>
  <c r="Y476" i="16" s="1"/>
  <c r="N476" i="16"/>
  <c r="X476" i="16" s="1"/>
  <c r="M476" i="16"/>
  <c r="W476" i="16" s="1"/>
  <c r="O473" i="16"/>
  <c r="Y473" i="16" s="1"/>
  <c r="N473" i="16"/>
  <c r="X473" i="16" s="1"/>
  <c r="M473" i="16"/>
  <c r="W473" i="16" s="1"/>
  <c r="K480" i="16"/>
  <c r="U480" i="16" s="1"/>
  <c r="H480" i="16"/>
  <c r="R480" i="16" s="1"/>
  <c r="M480" i="16"/>
  <c r="W480" i="16" s="1"/>
  <c r="N480" i="16"/>
  <c r="X480" i="16" s="1"/>
  <c r="I480" i="16"/>
  <c r="S480" i="16" s="1"/>
  <c r="O480" i="16"/>
  <c r="Y480" i="16" s="1"/>
  <c r="J480" i="16"/>
  <c r="T480" i="16" s="1"/>
  <c r="G480" i="16"/>
  <c r="Q480" i="16" s="1"/>
  <c r="L480" i="16"/>
  <c r="V480" i="16" s="1"/>
  <c r="F480" i="16"/>
  <c r="J477" i="16"/>
  <c r="T477" i="16" s="1"/>
  <c r="F477" i="16"/>
  <c r="L477" i="16"/>
  <c r="V477" i="16" s="1"/>
  <c r="O477" i="16"/>
  <c r="Y477" i="16" s="1"/>
  <c r="H477" i="16"/>
  <c r="R477" i="16" s="1"/>
  <c r="M477" i="16"/>
  <c r="W477" i="16" s="1"/>
  <c r="I477" i="16"/>
  <c r="S477" i="16" s="1"/>
  <c r="N477" i="16"/>
  <c r="X477" i="16" s="1"/>
  <c r="K477" i="16"/>
  <c r="U477" i="16" s="1"/>
  <c r="G477" i="16"/>
  <c r="Q477" i="16" s="1"/>
  <c r="O479" i="16"/>
  <c r="Y479" i="16" s="1"/>
  <c r="I479" i="16"/>
  <c r="S479" i="16" s="1"/>
  <c r="M479" i="16"/>
  <c r="W479" i="16" s="1"/>
  <c r="J479" i="16"/>
  <c r="T479" i="16" s="1"/>
  <c r="F479" i="16"/>
  <c r="N479" i="16"/>
  <c r="X479" i="16" s="1"/>
  <c r="L479" i="16"/>
  <c r="V479" i="16" s="1"/>
  <c r="H479" i="16"/>
  <c r="R479" i="16" s="1"/>
  <c r="G479" i="16"/>
  <c r="Q479" i="16" s="1"/>
  <c r="K479" i="16"/>
  <c r="U479" i="16" s="1"/>
  <c r="M481" i="16"/>
  <c r="W481" i="16" s="1"/>
  <c r="G481" i="16"/>
  <c r="Q481" i="16" s="1"/>
  <c r="N481" i="16"/>
  <c r="X481" i="16" s="1"/>
  <c r="I481" i="16"/>
  <c r="S481" i="16" s="1"/>
  <c r="F481" i="16"/>
  <c r="K481" i="16"/>
  <c r="U481" i="16" s="1"/>
  <c r="L481" i="16"/>
  <c r="V481" i="16" s="1"/>
  <c r="H481" i="16"/>
  <c r="R481" i="16" s="1"/>
  <c r="O481" i="16"/>
  <c r="Y481" i="16" s="1"/>
  <c r="J481" i="16"/>
  <c r="T481" i="16" s="1"/>
  <c r="O51" i="16"/>
  <c r="Y51" i="16" s="1"/>
  <c r="M51" i="16"/>
  <c r="W51" i="16" s="1"/>
  <c r="K51" i="16"/>
  <c r="U51" i="16" s="1"/>
  <c r="J51" i="16"/>
  <c r="T51" i="16" s="1"/>
  <c r="H51" i="16"/>
  <c r="R51" i="16" s="1"/>
  <c r="G51" i="16"/>
  <c r="Q51" i="16" s="1"/>
  <c r="N51" i="16"/>
  <c r="X51" i="16" s="1"/>
  <c r="L51" i="16"/>
  <c r="V51" i="16" s="1"/>
  <c r="I51" i="16"/>
  <c r="S51" i="16" s="1"/>
  <c r="F51" i="16"/>
  <c r="N46" i="16"/>
  <c r="X46" i="16" s="1"/>
  <c r="G46" i="16"/>
  <c r="Q46" i="16" s="1"/>
  <c r="M46" i="16"/>
  <c r="W46" i="16" s="1"/>
  <c r="K46" i="16"/>
  <c r="U46" i="16" s="1"/>
  <c r="J46" i="16"/>
  <c r="T46" i="16" s="1"/>
  <c r="H46" i="16"/>
  <c r="R46" i="16" s="1"/>
  <c r="F46" i="16"/>
  <c r="O46" i="16"/>
  <c r="Y46" i="16" s="1"/>
  <c r="L46" i="16"/>
  <c r="V46" i="16" s="1"/>
  <c r="I46" i="16"/>
  <c r="S46" i="16" s="1"/>
  <c r="O48" i="16"/>
  <c r="Y48" i="16" s="1"/>
  <c r="J48" i="16"/>
  <c r="T48" i="16" s="1"/>
  <c r="F48" i="16"/>
  <c r="N48" i="16"/>
  <c r="X48" i="16" s="1"/>
  <c r="K48" i="16"/>
  <c r="U48" i="16" s="1"/>
  <c r="I48" i="16"/>
  <c r="S48" i="16" s="1"/>
  <c r="G48" i="16"/>
  <c r="Q48" i="16" s="1"/>
  <c r="M48" i="16"/>
  <c r="W48" i="16" s="1"/>
  <c r="L48" i="16"/>
  <c r="V48" i="16" s="1"/>
  <c r="H48" i="16"/>
  <c r="R48" i="16" s="1"/>
  <c r="N49" i="16"/>
  <c r="X49" i="16" s="1"/>
  <c r="K49" i="16"/>
  <c r="U49" i="16" s="1"/>
  <c r="I49" i="16"/>
  <c r="S49" i="16" s="1"/>
  <c r="G49" i="16"/>
  <c r="Q49" i="16" s="1"/>
  <c r="O49" i="16"/>
  <c r="Y49" i="16" s="1"/>
  <c r="M49" i="16"/>
  <c r="W49" i="16" s="1"/>
  <c r="L49" i="16"/>
  <c r="V49" i="16" s="1"/>
  <c r="J49" i="16"/>
  <c r="T49" i="16" s="1"/>
  <c r="H49" i="16"/>
  <c r="R49" i="16" s="1"/>
  <c r="F49" i="16"/>
  <c r="O50" i="16"/>
  <c r="Y50" i="16" s="1"/>
  <c r="J50" i="16"/>
  <c r="T50" i="16" s="1"/>
  <c r="G50" i="16"/>
  <c r="Q50" i="16" s="1"/>
  <c r="N50" i="16"/>
  <c r="X50" i="16" s="1"/>
  <c r="M50" i="16"/>
  <c r="W50" i="16" s="1"/>
  <c r="L50" i="16"/>
  <c r="V50" i="16" s="1"/>
  <c r="K50" i="16"/>
  <c r="U50" i="16" s="1"/>
  <c r="I50" i="16"/>
  <c r="S50" i="16" s="1"/>
  <c r="H50" i="16"/>
  <c r="R50" i="16" s="1"/>
  <c r="F50" i="16"/>
  <c r="O52" i="16"/>
  <c r="Y52" i="16" s="1"/>
  <c r="M52" i="16"/>
  <c r="W52" i="16" s="1"/>
  <c r="K52" i="16"/>
  <c r="U52" i="16" s="1"/>
  <c r="H52" i="16"/>
  <c r="R52" i="16" s="1"/>
  <c r="F52" i="16"/>
  <c r="N52" i="16"/>
  <c r="X52" i="16" s="1"/>
  <c r="L52" i="16"/>
  <c r="V52" i="16" s="1"/>
  <c r="J52" i="16"/>
  <c r="T52" i="16" s="1"/>
  <c r="I52" i="16"/>
  <c r="S52" i="16" s="1"/>
  <c r="G52" i="16"/>
  <c r="Q52" i="16" s="1"/>
  <c r="N54" i="16"/>
  <c r="X54" i="16" s="1"/>
  <c r="L54" i="16"/>
  <c r="V54" i="16" s="1"/>
  <c r="K54" i="16"/>
  <c r="U54" i="16" s="1"/>
  <c r="H54" i="16"/>
  <c r="R54" i="16" s="1"/>
  <c r="G54" i="16"/>
  <c r="Q54" i="16" s="1"/>
  <c r="O54" i="16"/>
  <c r="Y54" i="16" s="1"/>
  <c r="M54" i="16"/>
  <c r="W54" i="16" s="1"/>
  <c r="J54" i="16"/>
  <c r="T54" i="16" s="1"/>
  <c r="I54" i="16"/>
  <c r="S54" i="16" s="1"/>
  <c r="F54" i="16"/>
  <c r="F45" i="16"/>
  <c r="O45" i="16"/>
  <c r="L45" i="16"/>
  <c r="I45" i="16"/>
  <c r="G45" i="16"/>
  <c r="N45" i="16"/>
  <c r="K45" i="16"/>
  <c r="H45" i="16"/>
  <c r="M45" i="16"/>
  <c r="J45" i="16"/>
  <c r="O47" i="16"/>
  <c r="Y47" i="16" s="1"/>
  <c r="N47" i="16"/>
  <c r="X47" i="16" s="1"/>
  <c r="L47" i="16"/>
  <c r="V47" i="16" s="1"/>
  <c r="H47" i="16"/>
  <c r="R47" i="16" s="1"/>
  <c r="F47" i="16"/>
  <c r="M47" i="16"/>
  <c r="W47" i="16" s="1"/>
  <c r="J47" i="16"/>
  <c r="T47" i="16" s="1"/>
  <c r="G47" i="16"/>
  <c r="Q47" i="16" s="1"/>
  <c r="K47" i="16"/>
  <c r="U47" i="16" s="1"/>
  <c r="I47" i="16"/>
  <c r="S47" i="16" s="1"/>
  <c r="O53" i="16"/>
  <c r="Y53" i="16" s="1"/>
  <c r="N53" i="16"/>
  <c r="X53" i="16" s="1"/>
  <c r="M53" i="16"/>
  <c r="W53" i="16" s="1"/>
  <c r="L53" i="16"/>
  <c r="V53" i="16" s="1"/>
  <c r="K53" i="16"/>
  <c r="U53" i="16" s="1"/>
  <c r="J53" i="16"/>
  <c r="T53" i="16" s="1"/>
  <c r="I53" i="16"/>
  <c r="S53" i="16" s="1"/>
  <c r="H53" i="16"/>
  <c r="R53" i="16" s="1"/>
  <c r="G53" i="16"/>
  <c r="Q53" i="16" s="1"/>
  <c r="F53" i="16"/>
  <c r="O55" i="7"/>
  <c r="Y55" i="7" s="1"/>
  <c r="N55" i="7"/>
  <c r="X55" i="7" s="1"/>
  <c r="M55" i="7"/>
  <c r="W55" i="7" s="1"/>
  <c r="L55" i="7"/>
  <c r="V55" i="7" s="1"/>
  <c r="K55" i="7"/>
  <c r="U55" i="7" s="1"/>
  <c r="J55" i="7"/>
  <c r="T55" i="7" s="1"/>
  <c r="I55" i="7"/>
  <c r="S55" i="7" s="1"/>
  <c r="H55" i="7"/>
  <c r="R55" i="7" s="1"/>
  <c r="G55" i="7"/>
  <c r="Q55" i="7" s="1"/>
  <c r="F55" i="7"/>
  <c r="L54" i="7"/>
  <c r="V54" i="7" s="1"/>
  <c r="J54" i="7"/>
  <c r="T54" i="7" s="1"/>
  <c r="F54" i="7"/>
  <c r="O54" i="7"/>
  <c r="Y54" i="7" s="1"/>
  <c r="N54" i="7"/>
  <c r="X54" i="7" s="1"/>
  <c r="M54" i="7"/>
  <c r="W54" i="7" s="1"/>
  <c r="K54" i="7"/>
  <c r="U54" i="7" s="1"/>
  <c r="I54" i="7"/>
  <c r="S54" i="7" s="1"/>
  <c r="H54" i="7"/>
  <c r="R54" i="7" s="1"/>
  <c r="G54" i="7"/>
  <c r="Q54" i="7" s="1"/>
  <c r="O53" i="7"/>
  <c r="Y53" i="7" s="1"/>
  <c r="M53" i="7"/>
  <c r="W53" i="7" s="1"/>
  <c r="G53" i="7"/>
  <c r="Q53" i="7" s="1"/>
  <c r="N53" i="7"/>
  <c r="X53" i="7" s="1"/>
  <c r="L53" i="7"/>
  <c r="V53" i="7" s="1"/>
  <c r="K53" i="7"/>
  <c r="U53" i="7" s="1"/>
  <c r="J53" i="7"/>
  <c r="T53" i="7" s="1"/>
  <c r="I53" i="7"/>
  <c r="S53" i="7" s="1"/>
  <c r="H53" i="7"/>
  <c r="R53" i="7" s="1"/>
  <c r="F53" i="7"/>
  <c r="M47" i="7"/>
  <c r="W47" i="7" s="1"/>
  <c r="J47" i="7"/>
  <c r="T47" i="7" s="1"/>
  <c r="G47" i="7"/>
  <c r="Q47" i="7" s="1"/>
  <c r="O47" i="7"/>
  <c r="Y47" i="7" s="1"/>
  <c r="N47" i="7"/>
  <c r="X47" i="7" s="1"/>
  <c r="L47" i="7"/>
  <c r="V47" i="7" s="1"/>
  <c r="K47" i="7"/>
  <c r="U47" i="7" s="1"/>
  <c r="I47" i="7"/>
  <c r="S47" i="7" s="1"/>
  <c r="H47" i="7"/>
  <c r="R47" i="7" s="1"/>
  <c r="F47" i="7"/>
  <c r="O46" i="7"/>
  <c r="L46" i="7"/>
  <c r="I46" i="7"/>
  <c r="F46" i="7"/>
  <c r="N46" i="7"/>
  <c r="M46" i="7"/>
  <c r="K46" i="7"/>
  <c r="J46" i="7"/>
  <c r="H46" i="7"/>
  <c r="G46" i="7"/>
  <c r="O53" i="6"/>
  <c r="Y53" i="6" s="1"/>
  <c r="N53" i="6"/>
  <c r="X53" i="6" s="1"/>
  <c r="M53" i="6"/>
  <c r="W53" i="6" s="1"/>
  <c r="L53" i="6"/>
  <c r="V53" i="6" s="1"/>
  <c r="K53" i="6"/>
  <c r="U53" i="6" s="1"/>
  <c r="J53" i="6"/>
  <c r="T53" i="6" s="1"/>
  <c r="I53" i="6"/>
  <c r="S53" i="6" s="1"/>
  <c r="H53" i="6"/>
  <c r="R53" i="6" s="1"/>
  <c r="G53" i="6"/>
  <c r="Q53" i="6" s="1"/>
  <c r="F53" i="6"/>
  <c r="O55" i="6"/>
  <c r="Y55" i="6" s="1"/>
  <c r="N55" i="6"/>
  <c r="X55" i="6" s="1"/>
  <c r="M55" i="6"/>
  <c r="W55" i="6" s="1"/>
  <c r="L55" i="6"/>
  <c r="V55" i="6" s="1"/>
  <c r="K55" i="6"/>
  <c r="U55" i="6" s="1"/>
  <c r="J55" i="6"/>
  <c r="T55" i="6" s="1"/>
  <c r="I55" i="6"/>
  <c r="S55" i="6" s="1"/>
  <c r="H55" i="6"/>
  <c r="R55" i="6" s="1"/>
  <c r="G55" i="6"/>
  <c r="Q55" i="6" s="1"/>
  <c r="F55" i="6"/>
  <c r="O54" i="6"/>
  <c r="Y54" i="6" s="1"/>
  <c r="N54" i="6"/>
  <c r="X54" i="6" s="1"/>
  <c r="M54" i="6"/>
  <c r="W54" i="6" s="1"/>
  <c r="L54" i="6"/>
  <c r="V54" i="6" s="1"/>
  <c r="K54" i="6"/>
  <c r="U54" i="6" s="1"/>
  <c r="J54" i="6"/>
  <c r="T54" i="6" s="1"/>
  <c r="I54" i="6"/>
  <c r="S54" i="6" s="1"/>
  <c r="H54" i="6"/>
  <c r="R54" i="6" s="1"/>
  <c r="G54" i="6"/>
  <c r="Q54" i="6" s="1"/>
  <c r="F54" i="6"/>
  <c r="O52" i="6"/>
  <c r="Y52" i="6" s="1"/>
  <c r="N52" i="6"/>
  <c r="X52" i="6" s="1"/>
  <c r="M52" i="6"/>
  <c r="W52" i="6" s="1"/>
  <c r="L52" i="6"/>
  <c r="V52" i="6" s="1"/>
  <c r="K52" i="6"/>
  <c r="U52" i="6" s="1"/>
  <c r="J52" i="6"/>
  <c r="T52" i="6" s="1"/>
  <c r="I52" i="6"/>
  <c r="S52" i="6" s="1"/>
  <c r="H52" i="6"/>
  <c r="R52" i="6" s="1"/>
  <c r="G52" i="6"/>
  <c r="Q52" i="6" s="1"/>
  <c r="F52" i="6"/>
  <c r="O51" i="6"/>
  <c r="Y51" i="6" s="1"/>
  <c r="N51" i="6"/>
  <c r="X51" i="6" s="1"/>
  <c r="M51" i="6"/>
  <c r="W51" i="6" s="1"/>
  <c r="O50" i="6"/>
  <c r="Y50" i="6" s="1"/>
  <c r="N50" i="6"/>
  <c r="X50" i="6" s="1"/>
  <c r="M50" i="6"/>
  <c r="W50" i="6" s="1"/>
  <c r="N48" i="6"/>
  <c r="X48" i="6" s="1"/>
  <c r="O48" i="6"/>
  <c r="Y48" i="6" s="1"/>
  <c r="M48" i="6"/>
  <c r="W48" i="6" s="1"/>
  <c r="O47" i="6"/>
  <c r="Y47" i="6" s="1"/>
  <c r="M47" i="6"/>
  <c r="W47" i="6" s="1"/>
  <c r="N47" i="6"/>
  <c r="X47" i="6" s="1"/>
  <c r="O49" i="6"/>
  <c r="Y49" i="6" s="1"/>
  <c r="N49" i="6"/>
  <c r="X49" i="6" s="1"/>
  <c r="M49" i="6"/>
  <c r="W49" i="6" s="1"/>
  <c r="O49" i="5"/>
  <c r="Y49" i="5" s="1"/>
  <c r="N49" i="5"/>
  <c r="X49" i="5" s="1"/>
  <c r="M49" i="5"/>
  <c r="W49" i="5" s="1"/>
  <c r="O54" i="5"/>
  <c r="Y54" i="5" s="1"/>
  <c r="N54" i="5"/>
  <c r="X54" i="5" s="1"/>
  <c r="M54" i="5"/>
  <c r="W54" i="5" s="1"/>
  <c r="L54" i="5"/>
  <c r="V54" i="5" s="1"/>
  <c r="K54" i="5"/>
  <c r="U54" i="5" s="1"/>
  <c r="J54" i="5"/>
  <c r="T54" i="5" s="1"/>
  <c r="I54" i="5"/>
  <c r="S54" i="5" s="1"/>
  <c r="H54" i="5"/>
  <c r="R54" i="5" s="1"/>
  <c r="G54" i="5"/>
  <c r="Q54" i="5" s="1"/>
  <c r="F54" i="5"/>
  <c r="O48" i="5"/>
  <c r="Y48" i="5" s="1"/>
  <c r="N48" i="5"/>
  <c r="X48" i="5" s="1"/>
  <c r="M48" i="5"/>
  <c r="W48" i="5" s="1"/>
  <c r="O55" i="5"/>
  <c r="Y55" i="5" s="1"/>
  <c r="N55" i="5"/>
  <c r="X55" i="5" s="1"/>
  <c r="M55" i="5"/>
  <c r="W55" i="5" s="1"/>
  <c r="L55" i="5"/>
  <c r="V55" i="5" s="1"/>
  <c r="K55" i="5"/>
  <c r="U55" i="5" s="1"/>
  <c r="J55" i="5"/>
  <c r="T55" i="5" s="1"/>
  <c r="I55" i="5"/>
  <c r="S55" i="5" s="1"/>
  <c r="H55" i="5"/>
  <c r="R55" i="5" s="1"/>
  <c r="G55" i="5"/>
  <c r="Q55" i="5" s="1"/>
  <c r="F55" i="5"/>
  <c r="O47" i="5"/>
  <c r="Y47" i="5" s="1"/>
  <c r="N47" i="5"/>
  <c r="X47" i="5" s="1"/>
  <c r="M47" i="5"/>
  <c r="W47" i="5" s="1"/>
  <c r="O53" i="5"/>
  <c r="Y53" i="5" s="1"/>
  <c r="N53" i="5"/>
  <c r="X53" i="5" s="1"/>
  <c r="M53" i="5"/>
  <c r="W53" i="5" s="1"/>
  <c r="O52" i="5"/>
  <c r="Y52" i="5" s="1"/>
  <c r="N52" i="5"/>
  <c r="X52" i="5" s="1"/>
  <c r="M52" i="5"/>
  <c r="W52" i="5" s="1"/>
  <c r="O51" i="5"/>
  <c r="Y51" i="5" s="1"/>
  <c r="N51" i="5"/>
  <c r="X51" i="5" s="1"/>
  <c r="M51" i="5"/>
  <c r="W51" i="5" s="1"/>
  <c r="O50" i="5"/>
  <c r="Y50" i="5" s="1"/>
  <c r="N50" i="5"/>
  <c r="X50" i="5" s="1"/>
  <c r="M50" i="5"/>
  <c r="W50" i="5" s="1"/>
  <c r="L51" i="6" l="1"/>
  <c r="V51" i="6" s="1"/>
  <c r="J51" i="6"/>
  <c r="T51" i="6" s="1"/>
  <c r="I51" i="6"/>
  <c r="S51" i="6" s="1"/>
  <c r="H51" i="6"/>
  <c r="R51" i="6" s="1"/>
  <c r="G51" i="6"/>
  <c r="Q51" i="6" s="1"/>
  <c r="F51" i="6"/>
  <c r="P51" i="6" s="1"/>
  <c r="K51" i="6"/>
  <c r="L50" i="6"/>
  <c r="V50" i="6" s="1"/>
  <c r="K50" i="6"/>
  <c r="U50" i="6" s="1"/>
  <c r="J50" i="6"/>
  <c r="T50" i="6" s="1"/>
  <c r="I50" i="6"/>
  <c r="S50" i="6" s="1"/>
  <c r="G50" i="6"/>
  <c r="Q50" i="6" s="1"/>
  <c r="H50" i="6"/>
  <c r="R50" i="6" s="1"/>
  <c r="F50" i="6"/>
  <c r="F49" i="6"/>
  <c r="L49" i="6"/>
  <c r="V49" i="6" s="1"/>
  <c r="K49" i="6"/>
  <c r="U49" i="6" s="1"/>
  <c r="J49" i="6"/>
  <c r="T49" i="6" s="1"/>
  <c r="I49" i="6"/>
  <c r="S49" i="6" s="1"/>
  <c r="H49" i="6"/>
  <c r="R49" i="6" s="1"/>
  <c r="G49" i="6"/>
  <c r="Q49" i="6" s="1"/>
  <c r="D86" i="7"/>
  <c r="Q86" i="7"/>
  <c r="Q87" i="7"/>
  <c r="D87" i="7"/>
  <c r="Q88" i="7"/>
  <c r="D88" i="7"/>
  <c r="Q89" i="7"/>
  <c r="D89" i="7"/>
  <c r="D90" i="7"/>
  <c r="Q90" i="7"/>
  <c r="D91" i="7"/>
  <c r="Q91" i="7"/>
  <c r="D92" i="7"/>
  <c r="Q92" i="7"/>
  <c r="D93" i="7"/>
  <c r="Q93" i="7"/>
  <c r="Q94" i="7"/>
  <c r="D94" i="7"/>
  <c r="Q95" i="7"/>
  <c r="D95" i="7"/>
  <c r="Q96" i="7"/>
  <c r="D96" i="7"/>
  <c r="Q97" i="7"/>
  <c r="D97" i="7"/>
  <c r="D98" i="7"/>
  <c r="Q98" i="7"/>
  <c r="Q99" i="7"/>
  <c r="D99" i="7"/>
  <c r="Q73" i="7"/>
  <c r="D73" i="7"/>
  <c r="D100" i="7"/>
  <c r="Q100" i="7"/>
  <c r="D101" i="7"/>
  <c r="Q101" i="7"/>
  <c r="Q102" i="7"/>
  <c r="D102" i="7"/>
  <c r="Q65" i="7"/>
  <c r="D65" i="7"/>
  <c r="Q66" i="7"/>
  <c r="D66" i="7"/>
  <c r="Q67" i="7"/>
  <c r="D67" i="7"/>
  <c r="Q68" i="7"/>
  <c r="D68" i="7"/>
  <c r="D69" i="7"/>
  <c r="Q69" i="7"/>
  <c r="Q70" i="7"/>
  <c r="D70" i="7"/>
  <c r="Q71" i="7"/>
  <c r="D71" i="7"/>
  <c r="Q72" i="7"/>
  <c r="D72" i="7"/>
  <c r="Q74" i="7"/>
  <c r="D74" i="7"/>
  <c r="Q75" i="7"/>
  <c r="D75" i="7"/>
  <c r="Q76" i="7"/>
  <c r="D76" i="7"/>
  <c r="Q80" i="7"/>
  <c r="D80" i="7"/>
  <c r="D81" i="7"/>
  <c r="Q81" i="7"/>
  <c r="Q82" i="7"/>
  <c r="D82" i="7"/>
  <c r="Q83" i="7"/>
  <c r="D83" i="7"/>
  <c r="Q84" i="7"/>
  <c r="D84" i="7"/>
  <c r="D85" i="7"/>
  <c r="Q85" i="7"/>
  <c r="I48" i="6"/>
  <c r="S48" i="6" s="1"/>
  <c r="L48" i="6"/>
  <c r="V48" i="6" s="1"/>
  <c r="G48" i="6"/>
  <c r="Q48" i="6" s="1"/>
  <c r="K48" i="6"/>
  <c r="U48" i="6" s="1"/>
  <c r="H48" i="6"/>
  <c r="R48" i="6" s="1"/>
  <c r="F48" i="6"/>
  <c r="J48" i="6"/>
  <c r="T48" i="6" s="1"/>
  <c r="L46" i="6"/>
  <c r="F46" i="6"/>
  <c r="O46" i="6"/>
  <c r="I46" i="6"/>
  <c r="K46" i="6"/>
  <c r="H46" i="6"/>
  <c r="M46" i="6"/>
  <c r="J46" i="6"/>
  <c r="G46" i="6"/>
  <c r="N46" i="6"/>
  <c r="J47" i="6"/>
  <c r="T47" i="6" s="1"/>
  <c r="L47" i="6"/>
  <c r="V47" i="6" s="1"/>
  <c r="F47" i="6"/>
  <c r="I47" i="6"/>
  <c r="S47" i="6" s="1"/>
  <c r="G47" i="6"/>
  <c r="Q47" i="6" s="1"/>
  <c r="K47" i="6"/>
  <c r="U47" i="6" s="1"/>
  <c r="H47" i="6"/>
  <c r="R47" i="6" s="1"/>
  <c r="Q65" i="6"/>
  <c r="D65" i="6"/>
  <c r="Q67" i="6"/>
  <c r="Q69" i="6"/>
  <c r="Q71" i="6"/>
  <c r="D71" i="6"/>
  <c r="D66" i="6"/>
  <c r="Q66" i="6"/>
  <c r="Q68" i="6"/>
  <c r="Q70" i="6"/>
  <c r="Q75" i="6"/>
  <c r="Q114" i="8"/>
  <c r="D114" i="8"/>
  <c r="D74" i="8"/>
  <c r="Q74" i="8"/>
  <c r="Q73" i="8"/>
  <c r="D73" i="8"/>
  <c r="Q72" i="8"/>
  <c r="D72" i="8"/>
  <c r="Q71" i="8"/>
  <c r="D71" i="8"/>
  <c r="Q70" i="8"/>
  <c r="D70" i="8"/>
  <c r="Q87" i="8"/>
  <c r="D87" i="8"/>
  <c r="D88" i="8"/>
  <c r="Q88" i="8"/>
  <c r="D89" i="8"/>
  <c r="Q89" i="8"/>
  <c r="O46" i="8"/>
  <c r="L46" i="8"/>
  <c r="H46" i="8"/>
  <c r="J46" i="8"/>
  <c r="K46" i="8"/>
  <c r="G46" i="8"/>
  <c r="N46" i="8"/>
  <c r="F46" i="8"/>
  <c r="M46" i="8"/>
  <c r="I46" i="8"/>
  <c r="L47" i="8"/>
  <c r="V47" i="8" s="1"/>
  <c r="H47" i="8"/>
  <c r="R47" i="8" s="1"/>
  <c r="K47" i="8"/>
  <c r="U47" i="8" s="1"/>
  <c r="G47" i="8"/>
  <c r="Q47" i="8" s="1"/>
  <c r="F47" i="8"/>
  <c r="J47" i="8"/>
  <c r="T47" i="8" s="1"/>
  <c r="I47" i="8"/>
  <c r="S47" i="8" s="1"/>
  <c r="H48" i="8"/>
  <c r="R48" i="8" s="1"/>
  <c r="J48" i="8"/>
  <c r="T48" i="8" s="1"/>
  <c r="F48" i="8"/>
  <c r="G48" i="8"/>
  <c r="Q48" i="8" s="1"/>
  <c r="I48" i="8"/>
  <c r="S48" i="8" s="1"/>
  <c r="L48" i="8"/>
  <c r="V48" i="8" s="1"/>
  <c r="K48" i="8"/>
  <c r="U48" i="8" s="1"/>
  <c r="J50" i="8"/>
  <c r="T50" i="8" s="1"/>
  <c r="G50" i="8"/>
  <c r="Q50" i="8" s="1"/>
  <c r="I50" i="8"/>
  <c r="S50" i="8" s="1"/>
  <c r="H50" i="8"/>
  <c r="R50" i="8" s="1"/>
  <c r="K50" i="8"/>
  <c r="U50" i="8" s="1"/>
  <c r="L50" i="8"/>
  <c r="V50" i="8" s="1"/>
  <c r="F50" i="8"/>
  <c r="D69" i="8"/>
  <c r="Q69" i="8"/>
  <c r="Q65" i="8"/>
  <c r="D65" i="8"/>
  <c r="D66" i="8"/>
  <c r="Q66" i="8"/>
  <c r="D67" i="8"/>
  <c r="Q67" i="8"/>
  <c r="H49" i="8"/>
  <c r="R49" i="8" s="1"/>
  <c r="I49" i="8"/>
  <c r="S49" i="8" s="1"/>
  <c r="J49" i="8"/>
  <c r="T49" i="8" s="1"/>
  <c r="L49" i="8"/>
  <c r="V49" i="8" s="1"/>
  <c r="K49" i="8"/>
  <c r="U49" i="8" s="1"/>
  <c r="G49" i="8"/>
  <c r="Q49" i="8" s="1"/>
  <c r="F49" i="8"/>
  <c r="P49" i="8" s="1"/>
  <c r="Q118" i="8"/>
  <c r="D118" i="8"/>
  <c r="D124" i="8"/>
  <c r="Q124" i="8"/>
  <c r="D123" i="8"/>
  <c r="Q123" i="8"/>
  <c r="D122" i="8"/>
  <c r="Q122" i="8"/>
  <c r="D121" i="8"/>
  <c r="Q121" i="8"/>
  <c r="D120" i="8"/>
  <c r="Q120" i="8"/>
  <c r="Q119" i="8"/>
  <c r="D119" i="8"/>
  <c r="Q117" i="8"/>
  <c r="D117" i="8"/>
  <c r="Q116" i="8"/>
  <c r="D116" i="8"/>
  <c r="Q115" i="8"/>
  <c r="D115" i="8"/>
  <c r="Q68" i="8"/>
  <c r="D68" i="8"/>
  <c r="D113" i="8"/>
  <c r="Q113" i="8"/>
  <c r="D112" i="8"/>
  <c r="Q112" i="8"/>
  <c r="Q111" i="8"/>
  <c r="D111" i="8"/>
  <c r="D110" i="8"/>
  <c r="Q110" i="8"/>
  <c r="D109" i="8"/>
  <c r="Q109" i="8"/>
  <c r="D108" i="8"/>
  <c r="Q108" i="8"/>
  <c r="Q107" i="8"/>
  <c r="D107" i="8"/>
  <c r="Q106" i="8"/>
  <c r="D106" i="8"/>
  <c r="D105" i="8"/>
  <c r="Q105" i="8"/>
  <c r="D104" i="8"/>
  <c r="Q104" i="8"/>
  <c r="Q103" i="8"/>
  <c r="D103" i="8"/>
  <c r="Q102" i="8"/>
  <c r="D102" i="8"/>
  <c r="D101" i="8"/>
  <c r="Q101" i="8"/>
  <c r="D100" i="8"/>
  <c r="Q100" i="8"/>
  <c r="D99" i="8"/>
  <c r="Q99" i="8"/>
  <c r="D98" i="8"/>
  <c r="Q98" i="8"/>
  <c r="Q97" i="8"/>
  <c r="D97" i="8"/>
  <c r="D96" i="8"/>
  <c r="Q96" i="8"/>
  <c r="D95" i="8"/>
  <c r="Q95" i="8"/>
  <c r="D94" i="8"/>
  <c r="Q94" i="8"/>
  <c r="D93" i="8"/>
  <c r="Q93" i="8"/>
  <c r="Q92" i="8"/>
  <c r="D92" i="8"/>
  <c r="D91" i="8"/>
  <c r="Q91" i="8"/>
  <c r="Q90" i="8"/>
  <c r="D90" i="8"/>
  <c r="D79" i="8"/>
  <c r="Q79" i="8"/>
  <c r="D77" i="8"/>
  <c r="Q77" i="8"/>
  <c r="Q76" i="8"/>
  <c r="D76" i="8"/>
  <c r="Q75" i="8"/>
  <c r="D75" i="8"/>
  <c r="Q81" i="8"/>
  <c r="D81" i="8"/>
  <c r="D80" i="8"/>
  <c r="Q80" i="8"/>
  <c r="Q78" i="8"/>
  <c r="D78" i="8"/>
  <c r="E80" i="8"/>
  <c r="E72" i="8"/>
  <c r="E71" i="8"/>
  <c r="E70" i="8"/>
  <c r="E69" i="8"/>
  <c r="E68" i="8"/>
  <c r="E65" i="8"/>
  <c r="J65" i="8" s="1"/>
  <c r="H66" i="8" s="1"/>
  <c r="E89" i="8"/>
  <c r="E88" i="8"/>
  <c r="E87" i="8"/>
  <c r="E85" i="8"/>
  <c r="E82" i="8"/>
  <c r="E86" i="8"/>
  <c r="E67" i="8"/>
  <c r="E66" i="8"/>
  <c r="E84" i="8"/>
  <c r="E77" i="8"/>
  <c r="E104" i="8"/>
  <c r="E106" i="8"/>
  <c r="E96" i="8"/>
  <c r="E101" i="8"/>
  <c r="E98" i="8"/>
  <c r="E105" i="8"/>
  <c r="E92" i="8"/>
  <c r="E97" i="8"/>
  <c r="E76" i="8"/>
  <c r="E100" i="8"/>
  <c r="E103" i="8"/>
  <c r="E94" i="8"/>
  <c r="E91" i="8"/>
  <c r="E90" i="8"/>
  <c r="E79" i="8"/>
  <c r="E74" i="8"/>
  <c r="E95" i="8"/>
  <c r="E73" i="8"/>
  <c r="E102" i="8"/>
  <c r="E99" i="8"/>
  <c r="E93" i="8"/>
  <c r="E81" i="8"/>
  <c r="E119" i="8"/>
  <c r="E116" i="8"/>
  <c r="E121" i="8"/>
  <c r="E120" i="8"/>
  <c r="E117" i="8"/>
  <c r="E124" i="8"/>
  <c r="E78" i="8"/>
  <c r="E75" i="8"/>
  <c r="E123" i="8"/>
  <c r="E122" i="8"/>
  <c r="E118" i="8"/>
  <c r="E115" i="8"/>
  <c r="E114" i="8"/>
  <c r="E113" i="8"/>
  <c r="E112" i="8"/>
  <c r="E111" i="8"/>
  <c r="E110" i="8"/>
  <c r="E109" i="8"/>
  <c r="E108" i="8"/>
  <c r="E107" i="8"/>
  <c r="E83" i="8"/>
  <c r="D103" i="7"/>
  <c r="Q103" i="7"/>
  <c r="D104" i="7"/>
  <c r="Q104" i="7"/>
  <c r="D105" i="7"/>
  <c r="Q105" i="7"/>
  <c r="D106" i="7"/>
  <c r="Q106" i="7"/>
  <c r="Q107" i="7"/>
  <c r="D107" i="7"/>
  <c r="D109" i="7"/>
  <c r="Q109" i="7"/>
  <c r="D110" i="7"/>
  <c r="Q110" i="7"/>
  <c r="D111" i="7"/>
  <c r="Q111" i="7"/>
  <c r="Q112" i="7"/>
  <c r="D112" i="7"/>
  <c r="Q113" i="7"/>
  <c r="D113" i="7"/>
  <c r="Q114" i="7"/>
  <c r="D114" i="7"/>
  <c r="Q115" i="7"/>
  <c r="D115" i="7"/>
  <c r="Q116" i="7"/>
  <c r="D116" i="7"/>
  <c r="Q118" i="7"/>
  <c r="D118" i="7"/>
  <c r="Q120" i="7"/>
  <c r="D120" i="7"/>
  <c r="D122" i="7"/>
  <c r="Q122" i="7"/>
  <c r="D108" i="7"/>
  <c r="Q108" i="7"/>
  <c r="Q119" i="7"/>
  <c r="D119" i="7"/>
  <c r="D123" i="7"/>
  <c r="Q123" i="7"/>
  <c r="D124" i="7"/>
  <c r="Q124" i="7"/>
  <c r="D121" i="7"/>
  <c r="Q121" i="7"/>
  <c r="D117" i="7"/>
  <c r="Q117" i="7"/>
  <c r="O106" i="6"/>
  <c r="O107" i="6"/>
  <c r="O108" i="6"/>
  <c r="O115" i="6"/>
  <c r="O98" i="6"/>
  <c r="O124" i="6"/>
  <c r="O99" i="6"/>
  <c r="O100" i="6"/>
  <c r="O101" i="6"/>
  <c r="Q112" i="6"/>
  <c r="D112" i="6"/>
  <c r="Q113" i="6"/>
  <c r="D113" i="6"/>
  <c r="D114" i="6"/>
  <c r="Q114" i="6"/>
  <c r="D115" i="6"/>
  <c r="Q115" i="6"/>
  <c r="Q116" i="6"/>
  <c r="D116" i="6"/>
  <c r="Q118" i="6"/>
  <c r="D118" i="6"/>
  <c r="D119" i="6"/>
  <c r="Q119" i="6"/>
  <c r="D120" i="6"/>
  <c r="Q120" i="6"/>
  <c r="D121" i="6"/>
  <c r="Q121" i="6"/>
  <c r="Q122" i="6"/>
  <c r="D122" i="6"/>
  <c r="Q102" i="6"/>
  <c r="D102" i="6"/>
  <c r="D123" i="6"/>
  <c r="Q123" i="6"/>
  <c r="Q124" i="6"/>
  <c r="D124" i="6"/>
  <c r="D103" i="6"/>
  <c r="Q103" i="6"/>
  <c r="Q106" i="6"/>
  <c r="D106" i="6"/>
  <c r="Q107" i="6"/>
  <c r="D107" i="6"/>
  <c r="Q109" i="6"/>
  <c r="D109" i="6"/>
  <c r="D110" i="6"/>
  <c r="Q110" i="6"/>
  <c r="Q117" i="6"/>
  <c r="D117" i="6"/>
  <c r="Q99" i="6"/>
  <c r="D99" i="6"/>
  <c r="D100" i="6"/>
  <c r="Q100" i="6"/>
  <c r="D101" i="6"/>
  <c r="Q101" i="6"/>
  <c r="O83" i="7"/>
  <c r="B21" i="7"/>
  <c r="O86" i="7"/>
  <c r="O84" i="7"/>
  <c r="O88" i="7"/>
  <c r="O80" i="7"/>
  <c r="O89" i="7"/>
  <c r="O85" i="7"/>
  <c r="O113" i="7"/>
  <c r="O82" i="7"/>
  <c r="O87" i="7"/>
  <c r="O81" i="7"/>
  <c r="O92" i="7"/>
  <c r="O95" i="7"/>
  <c r="O103" i="7"/>
  <c r="O105" i="7"/>
  <c r="O107" i="7"/>
  <c r="O110" i="7"/>
  <c r="O114" i="7"/>
  <c r="O112" i="7"/>
  <c r="O115" i="7"/>
  <c r="O124" i="7"/>
  <c r="O119" i="7"/>
  <c r="O90" i="7"/>
  <c r="O93" i="7"/>
  <c r="O98" i="7"/>
  <c r="O100" i="7"/>
  <c r="O102" i="7"/>
  <c r="O106" i="7"/>
  <c r="O108" i="7"/>
  <c r="O116" i="7"/>
  <c r="O111" i="7"/>
  <c r="O121" i="7"/>
  <c r="O120" i="7"/>
  <c r="O123" i="7"/>
  <c r="O118" i="7"/>
  <c r="O117" i="7"/>
  <c r="O91" i="7"/>
  <c r="O94" i="7"/>
  <c r="O96" i="7"/>
  <c r="O97" i="7"/>
  <c r="O99" i="7"/>
  <c r="O101" i="7"/>
  <c r="O104" i="7"/>
  <c r="O109" i="7"/>
  <c r="O122" i="7"/>
  <c r="O87" i="6"/>
  <c r="O88" i="6"/>
  <c r="O89" i="6"/>
  <c r="O90" i="6"/>
  <c r="O123" i="6"/>
  <c r="O85" i="6"/>
  <c r="O86" i="6"/>
  <c r="B21" i="6"/>
  <c r="O102" i="6"/>
  <c r="O103" i="6"/>
  <c r="O112" i="6"/>
  <c r="O92" i="6"/>
  <c r="O93" i="6"/>
  <c r="O94" i="6"/>
  <c r="O95" i="6"/>
  <c r="O96" i="6"/>
  <c r="O97" i="6"/>
  <c r="O105" i="6"/>
  <c r="O109" i="6"/>
  <c r="O110" i="6"/>
  <c r="O111" i="6"/>
  <c r="O113" i="6"/>
  <c r="O91" i="6"/>
  <c r="O114" i="6"/>
  <c r="O116" i="6"/>
  <c r="O117" i="6"/>
  <c r="O118" i="6"/>
  <c r="O119" i="6"/>
  <c r="O120" i="6"/>
  <c r="O121" i="6"/>
  <c r="O122" i="6"/>
  <c r="O104" i="6"/>
  <c r="Q76" i="6"/>
  <c r="Q77" i="6"/>
  <c r="Q78" i="6"/>
  <c r="Q79" i="6"/>
  <c r="Q80" i="6"/>
  <c r="Q81" i="6"/>
  <c r="Q82" i="6"/>
  <c r="Q83" i="6"/>
  <c r="Q84" i="6"/>
  <c r="D85" i="6"/>
  <c r="Q85" i="6"/>
  <c r="D86" i="6"/>
  <c r="Q86" i="6"/>
  <c r="D87" i="6"/>
  <c r="Q87" i="6"/>
  <c r="D88" i="6"/>
  <c r="Q88" i="6"/>
  <c r="D89" i="6"/>
  <c r="Q89" i="6"/>
  <c r="D90" i="6"/>
  <c r="Q90" i="6"/>
  <c r="Q91" i="6"/>
  <c r="D91" i="6"/>
  <c r="D92" i="6"/>
  <c r="Q92" i="6"/>
  <c r="Q93" i="6"/>
  <c r="D93" i="6"/>
  <c r="D94" i="6"/>
  <c r="Q94" i="6"/>
  <c r="Q95" i="6"/>
  <c r="D95" i="6"/>
  <c r="D96" i="6"/>
  <c r="Q96" i="6"/>
  <c r="Q97" i="6"/>
  <c r="D97" i="6"/>
  <c r="D98" i="6"/>
  <c r="Q98" i="6"/>
  <c r="D104" i="6"/>
  <c r="Q104" i="6"/>
  <c r="Q105" i="6"/>
  <c r="D105" i="6"/>
  <c r="D108" i="6"/>
  <c r="Q108" i="6"/>
  <c r="Q111" i="6"/>
  <c r="D111" i="6"/>
  <c r="L475" i="16"/>
  <c r="V475" i="16" s="1"/>
  <c r="K475" i="16"/>
  <c r="U475" i="16" s="1"/>
  <c r="J475" i="16"/>
  <c r="T475" i="16" s="1"/>
  <c r="I475" i="16"/>
  <c r="S475" i="16" s="1"/>
  <c r="H475" i="16"/>
  <c r="R475" i="16" s="1"/>
  <c r="G475" i="16"/>
  <c r="Q475" i="16" s="1"/>
  <c r="F475" i="16"/>
  <c r="L476" i="16"/>
  <c r="V476" i="16" s="1"/>
  <c r="K476" i="16"/>
  <c r="U476" i="16" s="1"/>
  <c r="J476" i="16"/>
  <c r="T476" i="16" s="1"/>
  <c r="I476" i="16"/>
  <c r="S476" i="16" s="1"/>
  <c r="H476" i="16"/>
  <c r="R476" i="16" s="1"/>
  <c r="G476" i="16"/>
  <c r="Q476" i="16" s="1"/>
  <c r="F476" i="16"/>
  <c r="L355" i="16"/>
  <c r="V355" i="16" s="1"/>
  <c r="K355" i="16"/>
  <c r="U355" i="16" s="1"/>
  <c r="J355" i="16"/>
  <c r="T355" i="16" s="1"/>
  <c r="I355" i="16"/>
  <c r="S355" i="16" s="1"/>
  <c r="H355" i="16"/>
  <c r="R355" i="16" s="1"/>
  <c r="G355" i="16"/>
  <c r="Q355" i="16" s="1"/>
  <c r="F355" i="16"/>
  <c r="L51" i="5"/>
  <c r="V51" i="5" s="1"/>
  <c r="K51" i="5"/>
  <c r="U51" i="5" s="1"/>
  <c r="J51" i="5"/>
  <c r="T51" i="5" s="1"/>
  <c r="I51" i="5"/>
  <c r="S51" i="5" s="1"/>
  <c r="H51" i="5"/>
  <c r="R51" i="5" s="1"/>
  <c r="G51" i="5"/>
  <c r="Q51" i="5" s="1"/>
  <c r="F51" i="5"/>
  <c r="L50" i="5"/>
  <c r="V50" i="5" s="1"/>
  <c r="K50" i="5"/>
  <c r="U50" i="5" s="1"/>
  <c r="J50" i="5"/>
  <c r="T50" i="5" s="1"/>
  <c r="I50" i="5"/>
  <c r="S50" i="5" s="1"/>
  <c r="H50" i="5"/>
  <c r="R50" i="5" s="1"/>
  <c r="G50" i="5"/>
  <c r="Q50" i="5" s="1"/>
  <c r="F50" i="5"/>
  <c r="L52" i="5"/>
  <c r="V52" i="5" s="1"/>
  <c r="K52" i="5"/>
  <c r="U52" i="5" s="1"/>
  <c r="J52" i="5"/>
  <c r="T52" i="5" s="1"/>
  <c r="I52" i="5"/>
  <c r="S52" i="5" s="1"/>
  <c r="H52" i="5"/>
  <c r="R52" i="5" s="1"/>
  <c r="G52" i="5"/>
  <c r="Q52" i="5" s="1"/>
  <c r="F52" i="5"/>
  <c r="L53" i="5"/>
  <c r="V53" i="5" s="1"/>
  <c r="K53" i="5"/>
  <c r="U53" i="5" s="1"/>
  <c r="J53" i="5"/>
  <c r="T53" i="5" s="1"/>
  <c r="I53" i="5"/>
  <c r="S53" i="5" s="1"/>
  <c r="H53" i="5"/>
  <c r="R53" i="5" s="1"/>
  <c r="G53" i="5"/>
  <c r="Q53" i="5" s="1"/>
  <c r="F53" i="5"/>
  <c r="L353" i="16"/>
  <c r="V353" i="16" s="1"/>
  <c r="K353" i="16"/>
  <c r="U353" i="16" s="1"/>
  <c r="J353" i="16"/>
  <c r="T353" i="16" s="1"/>
  <c r="I353" i="16"/>
  <c r="S353" i="16" s="1"/>
  <c r="H353" i="16"/>
  <c r="R353" i="16" s="1"/>
  <c r="G353" i="16"/>
  <c r="Q353" i="16" s="1"/>
  <c r="F353" i="16"/>
  <c r="L354" i="16"/>
  <c r="V354" i="16" s="1"/>
  <c r="K354" i="16"/>
  <c r="U354" i="16" s="1"/>
  <c r="J354" i="16"/>
  <c r="T354" i="16" s="1"/>
  <c r="I354" i="16"/>
  <c r="S354" i="16" s="1"/>
  <c r="H354" i="16"/>
  <c r="R354" i="16" s="1"/>
  <c r="G354" i="16"/>
  <c r="Q354" i="16" s="1"/>
  <c r="F354" i="16"/>
  <c r="Q87" i="5"/>
  <c r="Q88" i="5"/>
  <c r="D103" i="5"/>
  <c r="Q103" i="5"/>
  <c r="D104" i="5"/>
  <c r="Q104" i="5"/>
  <c r="O106" i="5"/>
  <c r="B21" i="5"/>
  <c r="C8" i="3"/>
  <c r="O89" i="5"/>
  <c r="O90" i="5"/>
  <c r="O91" i="5"/>
  <c r="O92" i="5"/>
  <c r="O93" i="5"/>
  <c r="O94" i="5"/>
  <c r="O95" i="5"/>
  <c r="O96" i="5"/>
  <c r="O97" i="5"/>
  <c r="O98" i="5"/>
  <c r="O99" i="5"/>
  <c r="O100" i="5"/>
  <c r="O101" i="5"/>
  <c r="O102" i="5"/>
  <c r="O103" i="5"/>
  <c r="O104" i="5"/>
  <c r="O116" i="5"/>
  <c r="O105" i="5"/>
  <c r="O107" i="5"/>
  <c r="O108" i="5"/>
  <c r="O110" i="5"/>
  <c r="O113" i="5"/>
  <c r="O114" i="5"/>
  <c r="O117" i="5"/>
  <c r="O121" i="5"/>
  <c r="O122" i="5"/>
  <c r="O123" i="5"/>
  <c r="O118" i="5"/>
  <c r="O115" i="5"/>
  <c r="O124" i="5"/>
  <c r="O120" i="5"/>
  <c r="O109" i="5"/>
  <c r="O119" i="5"/>
  <c r="O111" i="5"/>
  <c r="D105" i="5"/>
  <c r="Q105" i="5"/>
  <c r="Q83" i="5"/>
  <c r="Q86" i="5"/>
  <c r="D106" i="5"/>
  <c r="Q106" i="5"/>
  <c r="Q112" i="5"/>
  <c r="D112" i="5"/>
  <c r="D110" i="5"/>
  <c r="Q110" i="5"/>
  <c r="D113" i="5"/>
  <c r="Q113" i="5"/>
  <c r="Q114" i="5"/>
  <c r="D114" i="5"/>
  <c r="Q116" i="5"/>
  <c r="D116" i="5"/>
  <c r="Q118" i="5"/>
  <c r="D118" i="5"/>
  <c r="D121" i="5"/>
  <c r="Q121" i="5"/>
  <c r="Q122" i="5"/>
  <c r="D122" i="5"/>
  <c r="Q124" i="5"/>
  <c r="D124" i="5"/>
  <c r="Q77" i="5"/>
  <c r="Q78" i="5"/>
  <c r="Q81" i="5"/>
  <c r="Q84" i="5"/>
  <c r="Q91" i="5"/>
  <c r="D91" i="5"/>
  <c r="Q69" i="5"/>
  <c r="Q70" i="5"/>
  <c r="Q71" i="5"/>
  <c r="Q72" i="5"/>
  <c r="Q73" i="5"/>
  <c r="Q74" i="5"/>
  <c r="Q75" i="5"/>
  <c r="Q76" i="5"/>
  <c r="Q80" i="5"/>
  <c r="Q82" i="5"/>
  <c r="Q85" i="5"/>
  <c r="D89" i="5"/>
  <c r="Q89" i="5"/>
  <c r="Q90" i="5"/>
  <c r="D90" i="5"/>
  <c r="D92" i="5"/>
  <c r="Q92" i="5"/>
  <c r="Q93" i="5"/>
  <c r="D93" i="5"/>
  <c r="Q94" i="5"/>
  <c r="D94" i="5"/>
  <c r="Q95" i="5"/>
  <c r="D95" i="5"/>
  <c r="D96" i="5"/>
  <c r="Q96" i="5"/>
  <c r="Q97" i="5"/>
  <c r="D97" i="5"/>
  <c r="D98" i="5"/>
  <c r="Q98" i="5"/>
  <c r="D99" i="5"/>
  <c r="Q99" i="5"/>
  <c r="Q100" i="5"/>
  <c r="D100" i="5"/>
  <c r="Q101" i="5"/>
  <c r="D101" i="5"/>
  <c r="D102" i="5"/>
  <c r="Q102" i="5"/>
  <c r="P51" i="8"/>
  <c r="Z51" i="8" s="1"/>
  <c r="AA51" i="8"/>
  <c r="P55" i="8"/>
  <c r="Z55" i="8" s="1"/>
  <c r="AA55" i="8"/>
  <c r="P53" i="8"/>
  <c r="Z53" i="8" s="1"/>
  <c r="AA53" i="8"/>
  <c r="Y48" i="8"/>
  <c r="X48" i="8"/>
  <c r="W48" i="8"/>
  <c r="AA52" i="8"/>
  <c r="P52" i="8"/>
  <c r="Z52" i="8" s="1"/>
  <c r="AA54" i="8"/>
  <c r="P54" i="8"/>
  <c r="Z54" i="8" s="1"/>
  <c r="O472" i="16"/>
  <c r="N472" i="16"/>
  <c r="M472" i="16"/>
  <c r="L472" i="16"/>
  <c r="K472" i="16"/>
  <c r="J472" i="16"/>
  <c r="I472" i="16"/>
  <c r="H472" i="16"/>
  <c r="G472" i="16"/>
  <c r="F472" i="16"/>
  <c r="L473" i="16"/>
  <c r="V473" i="16" s="1"/>
  <c r="K473" i="16"/>
  <c r="U473" i="16" s="1"/>
  <c r="J473" i="16"/>
  <c r="T473" i="16" s="1"/>
  <c r="I473" i="16"/>
  <c r="S473" i="16" s="1"/>
  <c r="H473" i="16"/>
  <c r="R473" i="16" s="1"/>
  <c r="G473" i="16"/>
  <c r="Q473" i="16" s="1"/>
  <c r="F473" i="16"/>
  <c r="L474" i="16"/>
  <c r="V474" i="16" s="1"/>
  <c r="K474" i="16"/>
  <c r="U474" i="16" s="1"/>
  <c r="J474" i="16"/>
  <c r="T474" i="16" s="1"/>
  <c r="I474" i="16"/>
  <c r="S474" i="16" s="1"/>
  <c r="H474" i="16"/>
  <c r="R474" i="16" s="1"/>
  <c r="G474" i="16"/>
  <c r="Q474" i="16" s="1"/>
  <c r="F474" i="16"/>
  <c r="L49" i="5"/>
  <c r="V49" i="5" s="1"/>
  <c r="K49" i="5"/>
  <c r="U49" i="5" s="1"/>
  <c r="J49" i="5"/>
  <c r="T49" i="5" s="1"/>
  <c r="I49" i="5"/>
  <c r="S49" i="5" s="1"/>
  <c r="O350" i="16"/>
  <c r="N350" i="16"/>
  <c r="M350" i="16"/>
  <c r="L350" i="16"/>
  <c r="K350" i="16"/>
  <c r="J350" i="16"/>
  <c r="I350" i="16"/>
  <c r="H350" i="16"/>
  <c r="G350" i="16"/>
  <c r="F350" i="16"/>
  <c r="L351" i="16"/>
  <c r="V351" i="16" s="1"/>
  <c r="K351" i="16"/>
  <c r="U351" i="16" s="1"/>
  <c r="J351" i="16"/>
  <c r="T351" i="16" s="1"/>
  <c r="I351" i="16"/>
  <c r="S351" i="16" s="1"/>
  <c r="H351" i="16"/>
  <c r="R351" i="16" s="1"/>
  <c r="G351" i="16"/>
  <c r="Q351" i="16" s="1"/>
  <c r="F351" i="16"/>
  <c r="F352" i="16"/>
  <c r="L352" i="16"/>
  <c r="V352" i="16" s="1"/>
  <c r="K352" i="16"/>
  <c r="U352" i="16" s="1"/>
  <c r="J352" i="16"/>
  <c r="T352" i="16" s="1"/>
  <c r="I352" i="16"/>
  <c r="S352" i="16" s="1"/>
  <c r="H352" i="16"/>
  <c r="R352" i="16" s="1"/>
  <c r="G352" i="16"/>
  <c r="Q352" i="16" s="1"/>
  <c r="Q107" i="5"/>
  <c r="D107" i="5"/>
  <c r="D108" i="5"/>
  <c r="Q108" i="5"/>
  <c r="Q109" i="5"/>
  <c r="D109" i="5"/>
  <c r="D111" i="5"/>
  <c r="Q111" i="5"/>
  <c r="Q115" i="5"/>
  <c r="D115" i="5"/>
  <c r="Q117" i="5"/>
  <c r="D117" i="5"/>
  <c r="D119" i="5"/>
  <c r="Q119" i="5"/>
  <c r="D120" i="5"/>
  <c r="Q120" i="5"/>
  <c r="Q123" i="5"/>
  <c r="D123" i="5"/>
  <c r="I46" i="5"/>
  <c r="J46" i="5"/>
  <c r="K46" i="5"/>
  <c r="L46" i="5"/>
  <c r="N46" i="5"/>
  <c r="O46" i="5"/>
  <c r="F46" i="5"/>
  <c r="M46" i="5"/>
  <c r="G46" i="5"/>
  <c r="H46" i="5"/>
  <c r="G47" i="5"/>
  <c r="Q47" i="5" s="1"/>
  <c r="L47" i="5"/>
  <c r="V47" i="5" s="1"/>
  <c r="F47" i="5"/>
  <c r="K47" i="5"/>
  <c r="U47" i="5" s="1"/>
  <c r="J47" i="5"/>
  <c r="T47" i="5" s="1"/>
  <c r="I47" i="5"/>
  <c r="S47" i="5" s="1"/>
  <c r="H47" i="5"/>
  <c r="R47" i="5" s="1"/>
  <c r="L48" i="5"/>
  <c r="V48" i="5" s="1"/>
  <c r="I48" i="5"/>
  <c r="S48" i="5" s="1"/>
  <c r="G48" i="5"/>
  <c r="Q48" i="5" s="1"/>
  <c r="F48" i="5"/>
  <c r="H48" i="5"/>
  <c r="R48" i="5" s="1"/>
  <c r="J48" i="5"/>
  <c r="T48" i="5" s="1"/>
  <c r="K48" i="5"/>
  <c r="U48" i="5" s="1"/>
  <c r="F49" i="5"/>
  <c r="G49" i="5"/>
  <c r="Q49" i="5" s="1"/>
  <c r="H49" i="5"/>
  <c r="R49" i="5" s="1"/>
  <c r="Q79" i="5"/>
  <c r="AA541" i="16"/>
  <c r="P541" i="16"/>
  <c r="Z541" i="16" s="1"/>
  <c r="P534" i="16"/>
  <c r="Z534" i="16" s="1"/>
  <c r="AA534" i="16"/>
  <c r="P535" i="16"/>
  <c r="Z535" i="16" s="1"/>
  <c r="AA535" i="16"/>
  <c r="P536" i="16"/>
  <c r="Z536" i="16" s="1"/>
  <c r="AA536" i="16"/>
  <c r="P537" i="16"/>
  <c r="Z537" i="16" s="1"/>
  <c r="AA537" i="16"/>
  <c r="P538" i="16"/>
  <c r="Z538" i="16" s="1"/>
  <c r="AA538" i="16"/>
  <c r="P539" i="16"/>
  <c r="Z539" i="16" s="1"/>
  <c r="AA539" i="16"/>
  <c r="U533" i="16"/>
  <c r="U543" i="16" s="1"/>
  <c r="K543" i="16"/>
  <c r="H543" i="16"/>
  <c r="R533" i="16"/>
  <c r="R543" i="16" s="1"/>
  <c r="J543" i="16"/>
  <c r="T533" i="16"/>
  <c r="T543" i="16" s="1"/>
  <c r="O543" i="16"/>
  <c r="Y533" i="16"/>
  <c r="Y543" i="16" s="1"/>
  <c r="G543" i="16"/>
  <c r="Q533" i="16"/>
  <c r="I543" i="16"/>
  <c r="S533" i="16"/>
  <c r="S543" i="16" s="1"/>
  <c r="N543" i="16"/>
  <c r="X533" i="16"/>
  <c r="X543" i="16" s="1"/>
  <c r="P533" i="16"/>
  <c r="F543" i="16"/>
  <c r="AA533" i="16"/>
  <c r="M543" i="16"/>
  <c r="W533" i="16"/>
  <c r="W543" i="16" s="1"/>
  <c r="L543" i="16"/>
  <c r="V533" i="16"/>
  <c r="V543" i="16" s="1"/>
  <c r="AA540" i="16"/>
  <c r="P540" i="16"/>
  <c r="AA542" i="16"/>
  <c r="P542" i="16"/>
  <c r="Z542" i="16" s="1"/>
  <c r="P52" i="7"/>
  <c r="Z52" i="7" s="1"/>
  <c r="AA52" i="7"/>
  <c r="P51" i="7"/>
  <c r="Z51" i="7" s="1"/>
  <c r="AA51" i="7"/>
  <c r="AA50" i="7"/>
  <c r="P50" i="7"/>
  <c r="Z50" i="7" s="1"/>
  <c r="AA49" i="7"/>
  <c r="P49" i="7"/>
  <c r="Z49" i="7" s="1"/>
  <c r="P48" i="7"/>
  <c r="Z48" i="7" s="1"/>
  <c r="D79" i="7" s="1"/>
  <c r="AA48" i="7"/>
  <c r="P595" i="16"/>
  <c r="Z595" i="16" s="1"/>
  <c r="AA595" i="16"/>
  <c r="P600" i="16"/>
  <c r="Z600" i="16" s="1"/>
  <c r="AA600" i="16"/>
  <c r="W594" i="16"/>
  <c r="W604" i="16" s="1"/>
  <c r="M604" i="16"/>
  <c r="P594" i="16"/>
  <c r="AA594" i="16"/>
  <c r="F604" i="16"/>
  <c r="Y594" i="16"/>
  <c r="Y604" i="16" s="1"/>
  <c r="O604" i="16"/>
  <c r="V594" i="16"/>
  <c r="V604" i="16" s="1"/>
  <c r="L604" i="16"/>
  <c r="Q594" i="16"/>
  <c r="Q604" i="16" s="1"/>
  <c r="G604" i="16"/>
  <c r="X594" i="16"/>
  <c r="X604" i="16" s="1"/>
  <c r="N604" i="16"/>
  <c r="J604" i="16"/>
  <c r="T594" i="16"/>
  <c r="T604" i="16" s="1"/>
  <c r="R594" i="16"/>
  <c r="R604" i="16" s="1"/>
  <c r="H604" i="16"/>
  <c r="U594" i="16"/>
  <c r="U604" i="16" s="1"/>
  <c r="K604" i="16"/>
  <c r="S594" i="16"/>
  <c r="S604" i="16" s="1"/>
  <c r="I604" i="16"/>
  <c r="P598" i="16"/>
  <c r="Z598" i="16" s="1"/>
  <c r="AA598" i="16"/>
  <c r="P597" i="16"/>
  <c r="Z597" i="16" s="1"/>
  <c r="AA597" i="16"/>
  <c r="P596" i="16"/>
  <c r="Z596" i="16" s="1"/>
  <c r="AA596" i="16"/>
  <c r="P602" i="16"/>
  <c r="Z602" i="16" s="1"/>
  <c r="AA602" i="16"/>
  <c r="P603" i="16"/>
  <c r="Z603" i="16" s="1"/>
  <c r="AA603" i="16"/>
  <c r="AA599" i="16"/>
  <c r="P599" i="16"/>
  <c r="Z599" i="16" s="1"/>
  <c r="P601" i="16"/>
  <c r="Z601" i="16" s="1"/>
  <c r="AA601" i="16"/>
  <c r="P663" i="16"/>
  <c r="Z663" i="16" s="1"/>
  <c r="AA663" i="16"/>
  <c r="P661" i="16"/>
  <c r="Z661" i="16" s="1"/>
  <c r="AA661" i="16"/>
  <c r="AA660" i="16"/>
  <c r="P660" i="16"/>
  <c r="Z660" i="16" s="1"/>
  <c r="AA664" i="16"/>
  <c r="P664" i="16"/>
  <c r="Z664" i="16" s="1"/>
  <c r="AA662" i="16"/>
  <c r="P662" i="16"/>
  <c r="Z662" i="16" s="1"/>
  <c r="P658" i="16"/>
  <c r="Z658" i="16" s="1"/>
  <c r="AA658" i="16"/>
  <c r="P657" i="16"/>
  <c r="Z657" i="16" s="1"/>
  <c r="AA657" i="16"/>
  <c r="P659" i="16"/>
  <c r="Z659" i="16" s="1"/>
  <c r="AA659" i="16"/>
  <c r="Y655" i="16"/>
  <c r="Y665" i="16" s="1"/>
  <c r="O665" i="16"/>
  <c r="L665" i="16"/>
  <c r="V655" i="16"/>
  <c r="V665" i="16" s="1"/>
  <c r="R655" i="16"/>
  <c r="R665" i="16" s="1"/>
  <c r="H665" i="16"/>
  <c r="F665" i="16"/>
  <c r="AA655" i="16"/>
  <c r="P655" i="16"/>
  <c r="M665" i="16"/>
  <c r="W655" i="16"/>
  <c r="W665" i="16" s="1"/>
  <c r="T655" i="16"/>
  <c r="T665" i="16" s="1"/>
  <c r="J665" i="16"/>
  <c r="Q655" i="16"/>
  <c r="Q665" i="16" s="1"/>
  <c r="G665" i="16"/>
  <c r="X655" i="16"/>
  <c r="X665" i="16" s="1"/>
  <c r="N665" i="16"/>
  <c r="U655" i="16"/>
  <c r="U665" i="16" s="1"/>
  <c r="K665" i="16"/>
  <c r="S655" i="16"/>
  <c r="S665" i="16" s="1"/>
  <c r="I665" i="16"/>
  <c r="P656" i="16"/>
  <c r="Z656" i="16" s="1"/>
  <c r="AA656" i="16"/>
  <c r="P114" i="16"/>
  <c r="Z114" i="16" s="1"/>
  <c r="AA114" i="16"/>
  <c r="P115" i="16"/>
  <c r="Z115" i="16" s="1"/>
  <c r="AA115" i="16"/>
  <c r="AA108" i="16"/>
  <c r="P108" i="16"/>
  <c r="Z108" i="16" s="1"/>
  <c r="P111" i="16"/>
  <c r="Z111" i="16" s="1"/>
  <c r="AA111" i="16"/>
  <c r="Y106" i="16"/>
  <c r="Y116" i="16" s="1"/>
  <c r="O116" i="16"/>
  <c r="W106" i="16"/>
  <c r="W116" i="16" s="1"/>
  <c r="M116" i="16"/>
  <c r="U106" i="16"/>
  <c r="U116" i="16" s="1"/>
  <c r="K116" i="16"/>
  <c r="I116" i="16"/>
  <c r="S106" i="16"/>
  <c r="S116" i="16" s="1"/>
  <c r="R106" i="16"/>
  <c r="R116" i="16" s="1"/>
  <c r="H116" i="16"/>
  <c r="P106" i="16"/>
  <c r="AA106" i="16"/>
  <c r="F116" i="16"/>
  <c r="X106" i="16"/>
  <c r="X116" i="16" s="1"/>
  <c r="N116" i="16"/>
  <c r="V106" i="16"/>
  <c r="V116" i="16" s="1"/>
  <c r="L116" i="16"/>
  <c r="T106" i="16"/>
  <c r="T116" i="16" s="1"/>
  <c r="J116" i="16"/>
  <c r="Q106" i="16"/>
  <c r="Q116" i="16" s="1"/>
  <c r="G116" i="16"/>
  <c r="P107" i="16"/>
  <c r="Z107" i="16" s="1"/>
  <c r="AA107" i="16"/>
  <c r="P109" i="16"/>
  <c r="Z109" i="16" s="1"/>
  <c r="AA109" i="16"/>
  <c r="AA110" i="16"/>
  <c r="P110" i="16"/>
  <c r="Z110" i="16" s="1"/>
  <c r="P112" i="16"/>
  <c r="Z112" i="16" s="1"/>
  <c r="AA112" i="16"/>
  <c r="P113" i="16"/>
  <c r="Z113" i="16" s="1"/>
  <c r="AA113" i="16"/>
  <c r="Y167" i="16"/>
  <c r="Y177" i="16" s="1"/>
  <c r="O177" i="16"/>
  <c r="X167" i="16"/>
  <c r="X177" i="16" s="1"/>
  <c r="N177" i="16"/>
  <c r="W167" i="16"/>
  <c r="W177" i="16" s="1"/>
  <c r="M177" i="16"/>
  <c r="V167" i="16"/>
  <c r="V177" i="16" s="1"/>
  <c r="L177" i="16"/>
  <c r="U167" i="16"/>
  <c r="U177" i="16" s="1"/>
  <c r="K177" i="16"/>
  <c r="T167" i="16"/>
  <c r="T177" i="16" s="1"/>
  <c r="J177" i="16"/>
  <c r="S167" i="16"/>
  <c r="S177" i="16" s="1"/>
  <c r="I177" i="16"/>
  <c r="R167" i="16"/>
  <c r="R177" i="16" s="1"/>
  <c r="H177" i="16"/>
  <c r="Q167" i="16"/>
  <c r="Q177" i="16" s="1"/>
  <c r="G177" i="16"/>
  <c r="P167" i="16"/>
  <c r="AA167" i="16"/>
  <c r="F177" i="16"/>
  <c r="P168" i="16"/>
  <c r="Z168" i="16" s="1"/>
  <c r="AA168" i="16"/>
  <c r="P169" i="16"/>
  <c r="Z169" i="16" s="1"/>
  <c r="AA169" i="16"/>
  <c r="P170" i="16"/>
  <c r="Z170" i="16" s="1"/>
  <c r="AA170" i="16"/>
  <c r="P171" i="16"/>
  <c r="Z171" i="16" s="1"/>
  <c r="AA171" i="16"/>
  <c r="P172" i="16"/>
  <c r="Z172" i="16" s="1"/>
  <c r="AA172" i="16"/>
  <c r="P173" i="16"/>
  <c r="Z173" i="16" s="1"/>
  <c r="AA173" i="16"/>
  <c r="P174" i="16"/>
  <c r="Z174" i="16" s="1"/>
  <c r="AA174" i="16"/>
  <c r="P175" i="16"/>
  <c r="Z175" i="16" s="1"/>
  <c r="AA175" i="16"/>
  <c r="P176" i="16"/>
  <c r="Z176" i="16" s="1"/>
  <c r="AA176" i="16"/>
  <c r="X228" i="16"/>
  <c r="X238" i="16" s="1"/>
  <c r="N238" i="16"/>
  <c r="L238" i="16"/>
  <c r="V228" i="16"/>
  <c r="V238" i="16" s="1"/>
  <c r="T228" i="16"/>
  <c r="T238" i="16" s="1"/>
  <c r="J238" i="16"/>
  <c r="S228" i="16"/>
  <c r="S238" i="16" s="1"/>
  <c r="I238" i="16"/>
  <c r="Q228" i="16"/>
  <c r="Q238" i="16" s="1"/>
  <c r="G238" i="16"/>
  <c r="W228" i="16"/>
  <c r="W238" i="16" s="1"/>
  <c r="M238" i="16"/>
  <c r="P228" i="16"/>
  <c r="F238" i="16"/>
  <c r="AA228" i="16"/>
  <c r="O238" i="16"/>
  <c r="Y228" i="16"/>
  <c r="Y238" i="16" s="1"/>
  <c r="K238" i="16"/>
  <c r="U228" i="16"/>
  <c r="U238" i="16" s="1"/>
  <c r="R228" i="16"/>
  <c r="R238" i="16" s="1"/>
  <c r="H238" i="16"/>
  <c r="AA229" i="16"/>
  <c r="P229" i="16"/>
  <c r="Z229" i="16" s="1"/>
  <c r="P231" i="16"/>
  <c r="Z231" i="16" s="1"/>
  <c r="AA231" i="16"/>
  <c r="P232" i="16"/>
  <c r="Z232" i="16" s="1"/>
  <c r="AA232" i="16"/>
  <c r="P234" i="16"/>
  <c r="Z234" i="16" s="1"/>
  <c r="AA234" i="16"/>
  <c r="P236" i="16"/>
  <c r="Z236" i="16" s="1"/>
  <c r="AA236" i="16"/>
  <c r="P237" i="16"/>
  <c r="Z237" i="16" s="1"/>
  <c r="AA237" i="16"/>
  <c r="P230" i="16"/>
  <c r="Z230" i="16" s="1"/>
  <c r="AA230" i="16"/>
  <c r="P235" i="16"/>
  <c r="Z235" i="16" s="1"/>
  <c r="AA235" i="16"/>
  <c r="P233" i="16"/>
  <c r="Z233" i="16" s="1"/>
  <c r="AA233" i="16"/>
  <c r="P357" i="16"/>
  <c r="Z357" i="16" s="1"/>
  <c r="AA357" i="16"/>
  <c r="P358" i="16"/>
  <c r="Z358" i="16" s="1"/>
  <c r="AA358" i="16"/>
  <c r="P359" i="16"/>
  <c r="Z359" i="16" s="1"/>
  <c r="AA359" i="16"/>
  <c r="P356" i="16"/>
  <c r="Z356" i="16" s="1"/>
  <c r="AA356" i="16"/>
  <c r="Y411" i="16"/>
  <c r="Y421" i="16" s="1"/>
  <c r="O421" i="16"/>
  <c r="X411" i="16"/>
  <c r="X421" i="16" s="1"/>
  <c r="N421" i="16"/>
  <c r="W411" i="16"/>
  <c r="W421" i="16" s="1"/>
  <c r="M421" i="16"/>
  <c r="V411" i="16"/>
  <c r="V421" i="16" s="1"/>
  <c r="L421" i="16"/>
  <c r="U411" i="16"/>
  <c r="U421" i="16" s="1"/>
  <c r="K421" i="16"/>
  <c r="T411" i="16"/>
  <c r="T421" i="16" s="1"/>
  <c r="J421" i="16"/>
  <c r="S411" i="16"/>
  <c r="S421" i="16" s="1"/>
  <c r="I421" i="16"/>
  <c r="R411" i="16"/>
  <c r="R421" i="16" s="1"/>
  <c r="H421" i="16"/>
  <c r="Q411" i="16"/>
  <c r="Q421" i="16" s="1"/>
  <c r="G421" i="16"/>
  <c r="P411" i="16"/>
  <c r="AA411" i="16"/>
  <c r="F421" i="16"/>
  <c r="P412" i="16"/>
  <c r="Z412" i="16" s="1"/>
  <c r="AA412" i="16"/>
  <c r="P414" i="16"/>
  <c r="Z414" i="16" s="1"/>
  <c r="AA414" i="16"/>
  <c r="P417" i="16"/>
  <c r="Z417" i="16" s="1"/>
  <c r="AA417" i="16"/>
  <c r="P416" i="16"/>
  <c r="Z416" i="16" s="1"/>
  <c r="AA416" i="16"/>
  <c r="P415" i="16"/>
  <c r="Z415" i="16" s="1"/>
  <c r="AA415" i="16"/>
  <c r="P413" i="16"/>
  <c r="Z413" i="16" s="1"/>
  <c r="AA413" i="16"/>
  <c r="P419" i="16"/>
  <c r="Z419" i="16" s="1"/>
  <c r="AA419" i="16"/>
  <c r="P420" i="16"/>
  <c r="Z420" i="16" s="1"/>
  <c r="AA420" i="16"/>
  <c r="P418" i="16"/>
  <c r="Z418" i="16" s="1"/>
  <c r="AA418" i="16"/>
  <c r="P294" i="16"/>
  <c r="Z294" i="16" s="1"/>
  <c r="AA294" i="16"/>
  <c r="P297" i="16"/>
  <c r="Z297" i="16" s="1"/>
  <c r="AA297" i="16"/>
  <c r="P293" i="16"/>
  <c r="Z293" i="16" s="1"/>
  <c r="AA293" i="16"/>
  <c r="U289" i="16"/>
  <c r="U299" i="16" s="1"/>
  <c r="K299" i="16"/>
  <c r="G299" i="16"/>
  <c r="Q289" i="16"/>
  <c r="Q299" i="16" s="1"/>
  <c r="Y289" i="16"/>
  <c r="Y299" i="16" s="1"/>
  <c r="O299" i="16"/>
  <c r="X289" i="16"/>
  <c r="X299" i="16" s="1"/>
  <c r="N299" i="16"/>
  <c r="W289" i="16"/>
  <c r="W299" i="16" s="1"/>
  <c r="M299" i="16"/>
  <c r="V289" i="16"/>
  <c r="V299" i="16" s="1"/>
  <c r="L299" i="16"/>
  <c r="T289" i="16"/>
  <c r="T299" i="16" s="1"/>
  <c r="J299" i="16"/>
  <c r="S289" i="16"/>
  <c r="S299" i="16" s="1"/>
  <c r="I299" i="16"/>
  <c r="R289" i="16"/>
  <c r="R299" i="16" s="1"/>
  <c r="H299" i="16"/>
  <c r="AA289" i="16"/>
  <c r="P289" i="16"/>
  <c r="F299" i="16"/>
  <c r="P295" i="16"/>
  <c r="Z295" i="16" s="1"/>
  <c r="AA295" i="16"/>
  <c r="P292" i="16"/>
  <c r="Z292" i="16" s="1"/>
  <c r="AA292" i="16"/>
  <c r="P291" i="16"/>
  <c r="Z291" i="16" s="1"/>
  <c r="AA291" i="16"/>
  <c r="P290" i="16"/>
  <c r="Z290" i="16" s="1"/>
  <c r="AA290" i="16"/>
  <c r="P298" i="16"/>
  <c r="Z298" i="16" s="1"/>
  <c r="AA298" i="16"/>
  <c r="P296" i="16"/>
  <c r="Z296" i="16" s="1"/>
  <c r="AA296" i="16"/>
  <c r="AA478" i="16"/>
  <c r="P478" i="16"/>
  <c r="Z478" i="16" s="1"/>
  <c r="P480" i="16"/>
  <c r="Z480" i="16" s="1"/>
  <c r="AA480" i="16"/>
  <c r="P477" i="16"/>
  <c r="Z477" i="16" s="1"/>
  <c r="AA477" i="16"/>
  <c r="AA479" i="16"/>
  <c r="P479" i="16"/>
  <c r="Z479" i="16" s="1"/>
  <c r="AA481" i="16"/>
  <c r="P481" i="16"/>
  <c r="Z481" i="16" s="1"/>
  <c r="P51" i="16"/>
  <c r="Z51" i="16" s="1"/>
  <c r="AA51" i="16"/>
  <c r="P46" i="16"/>
  <c r="Z46" i="16" s="1"/>
  <c r="AA46" i="16"/>
  <c r="P48" i="16"/>
  <c r="Z48" i="16" s="1"/>
  <c r="AA48" i="16"/>
  <c r="P49" i="16"/>
  <c r="Z49" i="16" s="1"/>
  <c r="AA49" i="16"/>
  <c r="P50" i="16"/>
  <c r="Z50" i="16" s="1"/>
  <c r="AA50" i="16"/>
  <c r="AA52" i="16"/>
  <c r="P52" i="16"/>
  <c r="Z52" i="16" s="1"/>
  <c r="P54" i="16"/>
  <c r="Z54" i="16" s="1"/>
  <c r="AA54" i="16"/>
  <c r="P45" i="16"/>
  <c r="AA45" i="16"/>
  <c r="F55" i="16"/>
  <c r="Y45" i="16"/>
  <c r="Y55" i="16" s="1"/>
  <c r="O55" i="16"/>
  <c r="L55" i="16"/>
  <c r="V45" i="16"/>
  <c r="V55" i="16" s="1"/>
  <c r="S45" i="16"/>
  <c r="S55" i="16" s="1"/>
  <c r="I55" i="16"/>
  <c r="G55" i="16"/>
  <c r="Q45" i="16"/>
  <c r="Q55" i="16" s="1"/>
  <c r="N55" i="16"/>
  <c r="X45" i="16"/>
  <c r="X55" i="16" s="1"/>
  <c r="U45" i="16"/>
  <c r="U55" i="16" s="1"/>
  <c r="K55" i="16"/>
  <c r="R45" i="16"/>
  <c r="R55" i="16" s="1"/>
  <c r="H55" i="16"/>
  <c r="W45" i="16"/>
  <c r="W55" i="16" s="1"/>
  <c r="M55" i="16"/>
  <c r="T45" i="16"/>
  <c r="T55" i="16" s="1"/>
  <c r="J55" i="16"/>
  <c r="P47" i="16"/>
  <c r="Z47" i="16" s="1"/>
  <c r="AA47" i="16"/>
  <c r="P53" i="16"/>
  <c r="Z53" i="16" s="1"/>
  <c r="AA53" i="16"/>
  <c r="P55" i="7"/>
  <c r="Z55" i="7" s="1"/>
  <c r="AA55" i="7"/>
  <c r="P54" i="7"/>
  <c r="Z54" i="7" s="1"/>
  <c r="AA54" i="7"/>
  <c r="P53" i="7"/>
  <c r="Z53" i="7" s="1"/>
  <c r="AA53" i="7"/>
  <c r="AA47" i="7"/>
  <c r="P47" i="7"/>
  <c r="Z47" i="7" s="1"/>
  <c r="D78" i="7" s="1"/>
  <c r="Y46" i="7"/>
  <c r="Y56" i="7" s="1"/>
  <c r="O56" i="7"/>
  <c r="V46" i="7"/>
  <c r="V56" i="7" s="1"/>
  <c r="L56" i="7"/>
  <c r="S46" i="7"/>
  <c r="S56" i="7" s="1"/>
  <c r="I56" i="7"/>
  <c r="P46" i="7"/>
  <c r="AA46" i="7"/>
  <c r="F56" i="7"/>
  <c r="X46" i="7"/>
  <c r="X56" i="7" s="1"/>
  <c r="N56" i="7"/>
  <c r="W46" i="7"/>
  <c r="W56" i="7" s="1"/>
  <c r="M56" i="7"/>
  <c r="U46" i="7"/>
  <c r="U56" i="7" s="1"/>
  <c r="K56" i="7"/>
  <c r="T46" i="7"/>
  <c r="T56" i="7" s="1"/>
  <c r="J56" i="7"/>
  <c r="R46" i="7"/>
  <c r="R56" i="7" s="1"/>
  <c r="H56" i="7"/>
  <c r="Q46" i="7"/>
  <c r="Q56" i="7" s="1"/>
  <c r="G56" i="7"/>
  <c r="P53" i="6"/>
  <c r="Z53" i="6" s="1"/>
  <c r="AA53" i="6"/>
  <c r="P55" i="6"/>
  <c r="Z55" i="6" s="1"/>
  <c r="AA55" i="6"/>
  <c r="P54" i="6"/>
  <c r="Z54" i="6" s="1"/>
  <c r="AA54" i="6"/>
  <c r="P52" i="6"/>
  <c r="Z52" i="6" s="1"/>
  <c r="AA52" i="6"/>
  <c r="P54" i="5"/>
  <c r="Z54" i="5" s="1"/>
  <c r="AA54" i="5"/>
  <c r="P55" i="5"/>
  <c r="Z55" i="5" s="1"/>
  <c r="AA55" i="5"/>
  <c r="U51" i="6" l="1"/>
  <c r="Z51" i="6" s="1"/>
  <c r="D84" i="6" s="1"/>
  <c r="AA51" i="6"/>
  <c r="P50" i="6"/>
  <c r="Z50" i="6" s="1"/>
  <c r="AA50" i="6"/>
  <c r="P49" i="6"/>
  <c r="Z49" i="6" s="1"/>
  <c r="D70" i="6" s="1"/>
  <c r="V37" i="3" s="1"/>
  <c r="AA49" i="6"/>
  <c r="Z49" i="8"/>
  <c r="D85" i="8" s="1"/>
  <c r="F56" i="8"/>
  <c r="L65" i="7"/>
  <c r="G65" i="7"/>
  <c r="AA48" i="6"/>
  <c r="P48" i="6"/>
  <c r="Z48" i="6" s="1"/>
  <c r="L56" i="6"/>
  <c r="V46" i="6"/>
  <c r="V56" i="6" s="1"/>
  <c r="AA46" i="6"/>
  <c r="P46" i="6"/>
  <c r="F56" i="6"/>
  <c r="O56" i="6"/>
  <c r="Y46" i="6"/>
  <c r="Y56" i="6" s="1"/>
  <c r="I56" i="6"/>
  <c r="S46" i="6"/>
  <c r="S56" i="6" s="1"/>
  <c r="K56" i="6"/>
  <c r="U46" i="6"/>
  <c r="U56" i="6" s="1"/>
  <c r="R46" i="6"/>
  <c r="R56" i="6" s="1"/>
  <c r="H56" i="6"/>
  <c r="W46" i="6"/>
  <c r="W56" i="6" s="1"/>
  <c r="M56" i="6"/>
  <c r="J56" i="6"/>
  <c r="T46" i="6"/>
  <c r="T56" i="6" s="1"/>
  <c r="G56" i="6"/>
  <c r="Q46" i="6"/>
  <c r="Q56" i="6" s="1"/>
  <c r="X46" i="6"/>
  <c r="X56" i="6" s="1"/>
  <c r="N56" i="6"/>
  <c r="P47" i="6"/>
  <c r="Z47" i="6" s="1"/>
  <c r="AA47" i="6"/>
  <c r="G65" i="6"/>
  <c r="L65" i="6"/>
  <c r="P47" i="8"/>
  <c r="Z47" i="8" s="1"/>
  <c r="D83" i="8" s="1"/>
  <c r="X50" i="3" s="1"/>
  <c r="AA47" i="8"/>
  <c r="P50" i="8"/>
  <c r="Z50" i="8" s="1"/>
  <c r="D86" i="8" s="1"/>
  <c r="AA50" i="8"/>
  <c r="AA49" i="8"/>
  <c r="Y46" i="8"/>
  <c r="Y56" i="8" s="1"/>
  <c r="O56" i="8"/>
  <c r="V46" i="8"/>
  <c r="V56" i="8" s="1"/>
  <c r="L56" i="8"/>
  <c r="R46" i="8"/>
  <c r="R56" i="8" s="1"/>
  <c r="H56" i="8"/>
  <c r="T46" i="8"/>
  <c r="T56" i="8" s="1"/>
  <c r="J56" i="8"/>
  <c r="U46" i="8"/>
  <c r="U56" i="8" s="1"/>
  <c r="K56" i="8"/>
  <c r="Q46" i="8"/>
  <c r="Q56" i="8" s="1"/>
  <c r="G56" i="8"/>
  <c r="X46" i="8"/>
  <c r="X56" i="8" s="1"/>
  <c r="N56" i="8"/>
  <c r="W46" i="8"/>
  <c r="W56" i="8" s="1"/>
  <c r="M56" i="8"/>
  <c r="S46" i="8"/>
  <c r="S56" i="8" s="1"/>
  <c r="I56" i="8"/>
  <c r="P48" i="8"/>
  <c r="Z48" i="8" s="1"/>
  <c r="AA48" i="8"/>
  <c r="G65" i="8"/>
  <c r="L65" i="8"/>
  <c r="P46" i="8"/>
  <c r="AA46" i="8"/>
  <c r="E91" i="7"/>
  <c r="E94" i="7"/>
  <c r="E97" i="7"/>
  <c r="E100" i="7"/>
  <c r="E102" i="7"/>
  <c r="E106" i="7"/>
  <c r="E109" i="7"/>
  <c r="E111" i="7"/>
  <c r="E113" i="7"/>
  <c r="E115" i="7"/>
  <c r="E117" i="7"/>
  <c r="E119" i="7"/>
  <c r="E124" i="7"/>
  <c r="E123" i="7"/>
  <c r="E80" i="7"/>
  <c r="E66" i="7"/>
  <c r="E79" i="7"/>
  <c r="E65" i="7"/>
  <c r="J65" i="7" s="1"/>
  <c r="H66" i="7" s="1"/>
  <c r="E78" i="7"/>
  <c r="E77" i="7"/>
  <c r="E76" i="7"/>
  <c r="E89" i="7"/>
  <c r="E75" i="7"/>
  <c r="E88" i="7"/>
  <c r="E74" i="7"/>
  <c r="E87" i="7"/>
  <c r="E73" i="7"/>
  <c r="E86" i="7"/>
  <c r="E72" i="7"/>
  <c r="E85" i="7"/>
  <c r="E71" i="7"/>
  <c r="E84" i="7"/>
  <c r="E70" i="7"/>
  <c r="E83" i="7"/>
  <c r="E69" i="7"/>
  <c r="E82" i="7"/>
  <c r="E68" i="7"/>
  <c r="E81" i="7"/>
  <c r="E67" i="7"/>
  <c r="E93" i="7"/>
  <c r="E96" i="7"/>
  <c r="E99" i="7"/>
  <c r="E101" i="7"/>
  <c r="E103" i="7"/>
  <c r="E105" i="7"/>
  <c r="E110" i="7"/>
  <c r="E114" i="7"/>
  <c r="E120" i="7"/>
  <c r="E122" i="7"/>
  <c r="E90" i="7"/>
  <c r="E92" i="7"/>
  <c r="E95" i="7"/>
  <c r="E98" i="7"/>
  <c r="E104" i="7"/>
  <c r="E107" i="7"/>
  <c r="E108" i="7"/>
  <c r="E112" i="7"/>
  <c r="E116" i="7"/>
  <c r="E118" i="7"/>
  <c r="E121" i="7"/>
  <c r="E76" i="6"/>
  <c r="E75" i="6"/>
  <c r="E74" i="6"/>
  <c r="E73" i="6"/>
  <c r="E71" i="6"/>
  <c r="E70" i="6"/>
  <c r="E69" i="6"/>
  <c r="E68" i="6"/>
  <c r="E72" i="6"/>
  <c r="E67" i="6"/>
  <c r="E66" i="6"/>
  <c r="E86" i="6"/>
  <c r="E65" i="6"/>
  <c r="J65" i="6" s="1"/>
  <c r="H66" i="6" s="1"/>
  <c r="E85" i="6"/>
  <c r="E84" i="6"/>
  <c r="E83" i="6"/>
  <c r="E87" i="6"/>
  <c r="E82" i="6"/>
  <c r="E81" i="6"/>
  <c r="E105" i="6"/>
  <c r="E80" i="6"/>
  <c r="E90" i="6"/>
  <c r="E79" i="6"/>
  <c r="E89" i="6"/>
  <c r="E78" i="6"/>
  <c r="E88" i="6"/>
  <c r="E77" i="6"/>
  <c r="E91" i="6"/>
  <c r="E92" i="6"/>
  <c r="E93" i="6"/>
  <c r="E94" i="6"/>
  <c r="E95" i="6"/>
  <c r="E96" i="6"/>
  <c r="E97" i="6"/>
  <c r="E98" i="6"/>
  <c r="E108" i="6"/>
  <c r="E111" i="6"/>
  <c r="E112" i="6"/>
  <c r="E113" i="6"/>
  <c r="E114" i="6"/>
  <c r="E116" i="6"/>
  <c r="E117" i="6"/>
  <c r="E118" i="6"/>
  <c r="E119" i="6"/>
  <c r="E120" i="6"/>
  <c r="E121" i="6"/>
  <c r="E122" i="6"/>
  <c r="E123" i="6"/>
  <c r="E124" i="6"/>
  <c r="E101" i="6"/>
  <c r="E102" i="6"/>
  <c r="E106" i="6"/>
  <c r="E107" i="6"/>
  <c r="E109" i="6"/>
  <c r="E110" i="6"/>
  <c r="E115" i="6"/>
  <c r="E99" i="6"/>
  <c r="E100" i="6"/>
  <c r="E103" i="6"/>
  <c r="E104" i="6"/>
  <c r="P475" i="16"/>
  <c r="Z475" i="16" s="1"/>
  <c r="AA475" i="16"/>
  <c r="AA476" i="16"/>
  <c r="P476" i="16"/>
  <c r="Z476" i="16" s="1"/>
  <c r="P355" i="16"/>
  <c r="Z355" i="16" s="1"/>
  <c r="AA355" i="16"/>
  <c r="P51" i="5"/>
  <c r="Z51" i="5" s="1"/>
  <c r="D86" i="5" s="1"/>
  <c r="AA51" i="5"/>
  <c r="P50" i="5"/>
  <c r="Z50" i="5" s="1"/>
  <c r="AA50" i="5"/>
  <c r="P52" i="5"/>
  <c r="Z52" i="5" s="1"/>
  <c r="AA52" i="5"/>
  <c r="P53" i="5"/>
  <c r="Z53" i="5" s="1"/>
  <c r="AA53" i="5"/>
  <c r="P353" i="16"/>
  <c r="Z353" i="16" s="1"/>
  <c r="AA353" i="16"/>
  <c r="P354" i="16"/>
  <c r="Z354" i="16" s="1"/>
  <c r="AA354" i="16"/>
  <c r="E115" i="5"/>
  <c r="E92" i="5"/>
  <c r="E68" i="5"/>
  <c r="E119" i="5"/>
  <c r="E107" i="5"/>
  <c r="E93" i="5"/>
  <c r="E79" i="5"/>
  <c r="E71" i="5"/>
  <c r="E67" i="5"/>
  <c r="E121" i="5"/>
  <c r="E112" i="5"/>
  <c r="E100" i="5"/>
  <c r="E99" i="5"/>
  <c r="E95" i="5"/>
  <c r="E122" i="5"/>
  <c r="E85" i="5"/>
  <c r="E90" i="5"/>
  <c r="E69" i="5"/>
  <c r="E103" i="5"/>
  <c r="E91" i="5"/>
  <c r="E120" i="5"/>
  <c r="E78" i="5"/>
  <c r="E113" i="5"/>
  <c r="E101" i="5"/>
  <c r="E98" i="5"/>
  <c r="E116" i="5"/>
  <c r="E94" i="5"/>
  <c r="E88" i="5"/>
  <c r="E66" i="5"/>
  <c r="E106" i="5"/>
  <c r="E110" i="5"/>
  <c r="E70" i="5"/>
  <c r="E105" i="5"/>
  <c r="E83" i="5"/>
  <c r="E77" i="5"/>
  <c r="E114" i="5"/>
  <c r="E97" i="5"/>
  <c r="E89" i="5"/>
  <c r="W50" i="3"/>
  <c r="B51" i="3"/>
  <c r="T51" i="3" s="1"/>
  <c r="V51" i="3"/>
  <c r="W40" i="3"/>
  <c r="B41" i="3"/>
  <c r="T41" i="3" s="1"/>
  <c r="C41" i="3"/>
  <c r="W41" i="3"/>
  <c r="X41" i="3"/>
  <c r="W42" i="3"/>
  <c r="B43" i="3"/>
  <c r="T43" i="3" s="1"/>
  <c r="C43" i="3"/>
  <c r="X44" i="3"/>
  <c r="B45" i="3"/>
  <c r="T45" i="3" s="1"/>
  <c r="X46" i="3"/>
  <c r="X47" i="3"/>
  <c r="B48" i="3"/>
  <c r="T48" i="3" s="1"/>
  <c r="X48" i="3"/>
  <c r="B49" i="3"/>
  <c r="T49" i="3" s="1"/>
  <c r="W49" i="3"/>
  <c r="B50" i="3"/>
  <c r="T50" i="3" s="1"/>
  <c r="C52" i="3"/>
  <c r="B32" i="3"/>
  <c r="T32" i="3" s="1"/>
  <c r="W33" i="3"/>
  <c r="B34" i="3"/>
  <c r="T34" i="3" s="1"/>
  <c r="B35" i="3"/>
  <c r="T35" i="3" s="1"/>
  <c r="B36" i="3"/>
  <c r="T36" i="3" s="1"/>
  <c r="X36" i="3"/>
  <c r="C37" i="3"/>
  <c r="X37" i="3"/>
  <c r="B38" i="3"/>
  <c r="T38" i="3" s="1"/>
  <c r="W38" i="3"/>
  <c r="C39" i="3"/>
  <c r="W39" i="3"/>
  <c r="X39" i="3"/>
  <c r="B40" i="3"/>
  <c r="T40" i="3" s="1"/>
  <c r="X40" i="3"/>
  <c r="B42" i="3"/>
  <c r="T42" i="3" s="1"/>
  <c r="C42" i="3"/>
  <c r="E72" i="5"/>
  <c r="E104" i="5"/>
  <c r="E87" i="5"/>
  <c r="E96" i="5"/>
  <c r="E65" i="5"/>
  <c r="J65" i="5" s="1"/>
  <c r="H66" i="5" s="1"/>
  <c r="E76" i="5"/>
  <c r="E124" i="5"/>
  <c r="E82" i="5"/>
  <c r="E86" i="5"/>
  <c r="E81" i="5"/>
  <c r="E123" i="5"/>
  <c r="E102" i="5"/>
  <c r="E80" i="5"/>
  <c r="E84" i="5"/>
  <c r="E75" i="5"/>
  <c r="E111" i="5"/>
  <c r="E117" i="5"/>
  <c r="E73" i="5"/>
  <c r="E74" i="5"/>
  <c r="E118" i="5"/>
  <c r="E109" i="5"/>
  <c r="E108" i="5"/>
  <c r="D87" i="3"/>
  <c r="E87" i="3"/>
  <c r="F87" i="3"/>
  <c r="G87" i="3"/>
  <c r="H87" i="3"/>
  <c r="B88" i="3"/>
  <c r="C88" i="3"/>
  <c r="D88" i="3"/>
  <c r="E88" i="3"/>
  <c r="F88" i="3"/>
  <c r="G88" i="3"/>
  <c r="H88" i="3"/>
  <c r="B89" i="3"/>
  <c r="C89" i="3"/>
  <c r="D89" i="3"/>
  <c r="E89" i="3"/>
  <c r="F89" i="3"/>
  <c r="G89" i="3"/>
  <c r="H89" i="3"/>
  <c r="B90" i="3"/>
  <c r="C90" i="3"/>
  <c r="D90" i="3"/>
  <c r="E90" i="3"/>
  <c r="F90" i="3"/>
  <c r="G90" i="3"/>
  <c r="H90" i="3"/>
  <c r="B91" i="3"/>
  <c r="C91" i="3"/>
  <c r="D91" i="3"/>
  <c r="E91" i="3"/>
  <c r="C32" i="3"/>
  <c r="C33" i="3"/>
  <c r="C34" i="3"/>
  <c r="C35" i="3"/>
  <c r="W55" i="3"/>
  <c r="X55" i="3"/>
  <c r="C56" i="3"/>
  <c r="D56" i="3"/>
  <c r="F56" i="3"/>
  <c r="T56" i="3"/>
  <c r="U56" i="3"/>
  <c r="X56" i="3"/>
  <c r="C57" i="3"/>
  <c r="D57" i="3"/>
  <c r="F57" i="3"/>
  <c r="G57" i="3"/>
  <c r="T57" i="3"/>
  <c r="W57" i="3"/>
  <c r="B58" i="3"/>
  <c r="E58" i="3"/>
  <c r="F58" i="3"/>
  <c r="H58" i="3"/>
  <c r="T58" i="3"/>
  <c r="V58" i="3"/>
  <c r="B59" i="3"/>
  <c r="D59" i="3"/>
  <c r="F59" i="3"/>
  <c r="T59" i="3"/>
  <c r="B60" i="3"/>
  <c r="E60" i="3"/>
  <c r="C68" i="3"/>
  <c r="D68" i="3"/>
  <c r="E68" i="3"/>
  <c r="F68" i="3"/>
  <c r="G68" i="3"/>
  <c r="H68" i="3"/>
  <c r="B69" i="3"/>
  <c r="C69" i="3"/>
  <c r="D69" i="3"/>
  <c r="E69" i="3"/>
  <c r="F69" i="3"/>
  <c r="G69" i="3"/>
  <c r="H69" i="3"/>
  <c r="B70" i="3"/>
  <c r="D70" i="3"/>
  <c r="G70" i="3"/>
  <c r="H70" i="3"/>
  <c r="C71" i="3"/>
  <c r="D71" i="3"/>
  <c r="F71" i="3"/>
  <c r="G71" i="3"/>
  <c r="F72" i="3"/>
  <c r="G72" i="3"/>
  <c r="B73" i="3"/>
  <c r="C73" i="3"/>
  <c r="F73" i="3"/>
  <c r="H73" i="3"/>
  <c r="B74" i="3"/>
  <c r="D74" i="3"/>
  <c r="E74" i="3"/>
  <c r="G74" i="3"/>
  <c r="H74" i="3"/>
  <c r="C75" i="3"/>
  <c r="E75" i="3"/>
  <c r="H75" i="3"/>
  <c r="D79" i="3"/>
  <c r="E79" i="3"/>
  <c r="F79" i="3"/>
  <c r="G79" i="3"/>
  <c r="H79" i="3"/>
  <c r="B80" i="3"/>
  <c r="C80" i="3"/>
  <c r="D80" i="3"/>
  <c r="E80" i="3"/>
  <c r="F80" i="3"/>
  <c r="G80" i="3"/>
  <c r="B81" i="3"/>
  <c r="C81" i="3"/>
  <c r="D81" i="3"/>
  <c r="F81" i="3"/>
  <c r="G81" i="3"/>
  <c r="B82" i="3"/>
  <c r="D82" i="3"/>
  <c r="G82" i="3"/>
  <c r="H82" i="3"/>
  <c r="B83" i="3"/>
  <c r="C83" i="3"/>
  <c r="E83" i="3"/>
  <c r="H83" i="3"/>
  <c r="B84" i="3"/>
  <c r="C84" i="3"/>
  <c r="D84" i="3"/>
  <c r="F84" i="3"/>
  <c r="G84" i="3"/>
  <c r="B85" i="3"/>
  <c r="C85" i="3"/>
  <c r="C54" i="3"/>
  <c r="X54" i="3"/>
  <c r="B56" i="3"/>
  <c r="E56" i="3"/>
  <c r="G56" i="3"/>
  <c r="H56" i="3"/>
  <c r="V56" i="3"/>
  <c r="W56" i="3"/>
  <c r="Y56" i="3"/>
  <c r="B57" i="3"/>
  <c r="E57" i="3"/>
  <c r="H57" i="3"/>
  <c r="U57" i="3"/>
  <c r="V57" i="3"/>
  <c r="X57" i="3"/>
  <c r="C58" i="3"/>
  <c r="D58" i="3"/>
  <c r="G58" i="3"/>
  <c r="U58" i="3"/>
  <c r="W58" i="3"/>
  <c r="X58" i="3"/>
  <c r="Y58" i="3"/>
  <c r="C59" i="3"/>
  <c r="E59" i="3"/>
  <c r="G59" i="3"/>
  <c r="H59" i="3"/>
  <c r="V59" i="3"/>
  <c r="X59" i="3"/>
  <c r="D60" i="3"/>
  <c r="B68" i="3"/>
  <c r="C70" i="3"/>
  <c r="E70" i="3"/>
  <c r="F70" i="3"/>
  <c r="B71" i="3"/>
  <c r="E71" i="3"/>
  <c r="H71" i="3"/>
  <c r="B72" i="3"/>
  <c r="C72" i="3"/>
  <c r="D72" i="3"/>
  <c r="E72" i="3"/>
  <c r="H72" i="3"/>
  <c r="D73" i="3"/>
  <c r="E73" i="3"/>
  <c r="G73" i="3"/>
  <c r="C74" i="3"/>
  <c r="F74" i="3"/>
  <c r="B75" i="3"/>
  <c r="D75" i="3"/>
  <c r="F75" i="3"/>
  <c r="G75" i="3"/>
  <c r="B76" i="3"/>
  <c r="C76" i="3"/>
  <c r="D76" i="3"/>
  <c r="E76" i="3"/>
  <c r="F76" i="3"/>
  <c r="G76" i="3"/>
  <c r="H76" i="3"/>
  <c r="B77" i="3"/>
  <c r="C77" i="3"/>
  <c r="D77" i="3"/>
  <c r="X52" i="3"/>
  <c r="F77" i="3"/>
  <c r="G77" i="3"/>
  <c r="H77" i="3"/>
  <c r="B78" i="3"/>
  <c r="C78" i="3"/>
  <c r="D78" i="3"/>
  <c r="E78" i="3"/>
  <c r="F78" i="3"/>
  <c r="G78" i="3"/>
  <c r="H78" i="3"/>
  <c r="B79" i="3"/>
  <c r="Y57" i="3"/>
  <c r="H80" i="3"/>
  <c r="E81" i="3"/>
  <c r="H81" i="3"/>
  <c r="C82" i="3"/>
  <c r="E82" i="3"/>
  <c r="F82" i="3"/>
  <c r="D83" i="3"/>
  <c r="F83" i="3"/>
  <c r="G83" i="3"/>
  <c r="E84" i="3"/>
  <c r="H84" i="3"/>
  <c r="F91" i="3"/>
  <c r="G91" i="3"/>
  <c r="H91" i="3"/>
  <c r="U59" i="3"/>
  <c r="W59" i="3"/>
  <c r="Y59" i="3"/>
  <c r="C60" i="3"/>
  <c r="E77" i="3"/>
  <c r="W60" i="3"/>
  <c r="Y60" i="3"/>
  <c r="C61" i="3"/>
  <c r="D61" i="3"/>
  <c r="E61" i="3"/>
  <c r="G61" i="3"/>
  <c r="V61" i="3"/>
  <c r="B53" i="3"/>
  <c r="T53" i="3" s="1"/>
  <c r="C53" i="3"/>
  <c r="V53" i="3"/>
  <c r="W53" i="3"/>
  <c r="X53" i="3"/>
  <c r="B54" i="3"/>
  <c r="T54" i="3" s="1"/>
  <c r="V54" i="3"/>
  <c r="W54" i="3"/>
  <c r="B55" i="3"/>
  <c r="T55" i="3" s="1"/>
  <c r="C55" i="3"/>
  <c r="V55" i="3"/>
  <c r="V60" i="3"/>
  <c r="D85" i="3"/>
  <c r="E85" i="3"/>
  <c r="F85" i="3"/>
  <c r="G85" i="3"/>
  <c r="H85" i="3"/>
  <c r="B86" i="3"/>
  <c r="C86" i="3"/>
  <c r="C79" i="3"/>
  <c r="D86" i="3"/>
  <c r="E86" i="3"/>
  <c r="F86" i="3"/>
  <c r="G86" i="3"/>
  <c r="H86" i="3"/>
  <c r="B87" i="3"/>
  <c r="C87" i="3"/>
  <c r="X42" i="3"/>
  <c r="W43" i="3"/>
  <c r="X43" i="3"/>
  <c r="B44" i="3"/>
  <c r="T44" i="3" s="1"/>
  <c r="C44" i="3"/>
  <c r="C45" i="3"/>
  <c r="W45" i="3"/>
  <c r="X45" i="3"/>
  <c r="B46" i="3"/>
  <c r="T46" i="3" s="1"/>
  <c r="C46" i="3"/>
  <c r="W46" i="3"/>
  <c r="B47" i="3"/>
  <c r="T47" i="3" s="1"/>
  <c r="C47" i="3"/>
  <c r="W47" i="3"/>
  <c r="C48" i="3"/>
  <c r="W48" i="3"/>
  <c r="C49" i="3"/>
  <c r="C50" i="3"/>
  <c r="C51" i="3"/>
  <c r="W51" i="3"/>
  <c r="B52" i="3"/>
  <c r="T52" i="3" s="1"/>
  <c r="V52" i="3"/>
  <c r="W52" i="3"/>
  <c r="F60" i="3"/>
  <c r="G60" i="3"/>
  <c r="H60" i="3"/>
  <c r="U60" i="3"/>
  <c r="X60" i="3"/>
  <c r="B61" i="3"/>
  <c r="F61" i="3"/>
  <c r="H61" i="3"/>
  <c r="T61" i="3"/>
  <c r="U61" i="3"/>
  <c r="W61" i="3"/>
  <c r="X61" i="3"/>
  <c r="Y61" i="3"/>
  <c r="B62" i="3"/>
  <c r="C62" i="3"/>
  <c r="D62" i="3"/>
  <c r="E62" i="3"/>
  <c r="F62" i="3"/>
  <c r="G62" i="3"/>
  <c r="H62" i="3"/>
  <c r="B63" i="3"/>
  <c r="C63" i="3"/>
  <c r="D63" i="3"/>
  <c r="E63" i="3"/>
  <c r="F63" i="3"/>
  <c r="G63" i="3"/>
  <c r="H63" i="3"/>
  <c r="B64" i="3"/>
  <c r="C64" i="3"/>
  <c r="D64" i="3"/>
  <c r="E64" i="3"/>
  <c r="F64" i="3"/>
  <c r="G64" i="3"/>
  <c r="H64" i="3"/>
  <c r="B65" i="3"/>
  <c r="C65" i="3"/>
  <c r="D65" i="3"/>
  <c r="E65" i="3"/>
  <c r="F65" i="3"/>
  <c r="G65" i="3"/>
  <c r="H65" i="3"/>
  <c r="B66" i="3"/>
  <c r="C66" i="3"/>
  <c r="D66" i="3"/>
  <c r="E66" i="3"/>
  <c r="F66" i="3"/>
  <c r="G66" i="3"/>
  <c r="H66" i="3"/>
  <c r="B67" i="3"/>
  <c r="C67" i="3"/>
  <c r="D67" i="3"/>
  <c r="E67" i="3"/>
  <c r="T60" i="3"/>
  <c r="G67" i="3"/>
  <c r="H67" i="3"/>
  <c r="V32" i="3"/>
  <c r="W32" i="3"/>
  <c r="X32" i="3"/>
  <c r="B33" i="3"/>
  <c r="T33" i="3" s="1"/>
  <c r="V33" i="3"/>
  <c r="X33" i="3"/>
  <c r="W34" i="3"/>
  <c r="X34" i="3"/>
  <c r="W35" i="3"/>
  <c r="X35" i="3"/>
  <c r="C36" i="3"/>
  <c r="W36" i="3"/>
  <c r="B37" i="3"/>
  <c r="T37" i="3" s="1"/>
  <c r="W37" i="3"/>
  <c r="C38" i="3"/>
  <c r="V38" i="3"/>
  <c r="X38" i="3"/>
  <c r="B39" i="3"/>
  <c r="T39" i="3" s="1"/>
  <c r="C40" i="3"/>
  <c r="F67" i="3"/>
  <c r="Y472" i="16"/>
  <c r="Y482" i="16" s="1"/>
  <c r="O482" i="16"/>
  <c r="X472" i="16"/>
  <c r="X482" i="16" s="1"/>
  <c r="N482" i="16"/>
  <c r="M482" i="16"/>
  <c r="W472" i="16"/>
  <c r="W482" i="16" s="1"/>
  <c r="V472" i="16"/>
  <c r="V482" i="16" s="1"/>
  <c r="L482" i="16"/>
  <c r="U472" i="16"/>
  <c r="U482" i="16" s="1"/>
  <c r="K482" i="16"/>
  <c r="T472" i="16"/>
  <c r="T482" i="16" s="1"/>
  <c r="J482" i="16"/>
  <c r="I482" i="16"/>
  <c r="S472" i="16"/>
  <c r="S482" i="16" s="1"/>
  <c r="R472" i="16"/>
  <c r="R482" i="16" s="1"/>
  <c r="H482" i="16"/>
  <c r="Q472" i="16"/>
  <c r="Q482" i="16" s="1"/>
  <c r="G482" i="16"/>
  <c r="P472" i="16"/>
  <c r="F482" i="16"/>
  <c r="AA472" i="16"/>
  <c r="AA473" i="16"/>
  <c r="P473" i="16"/>
  <c r="Z473" i="16" s="1"/>
  <c r="J66" i="8"/>
  <c r="H67" i="8" s="1"/>
  <c r="L66" i="8"/>
  <c r="P474" i="16"/>
  <c r="Z474" i="16" s="1"/>
  <c r="AA474" i="16"/>
  <c r="Y350" i="16"/>
  <c r="Y360" i="16" s="1"/>
  <c r="O360" i="16"/>
  <c r="X350" i="16"/>
  <c r="X360" i="16" s="1"/>
  <c r="N360" i="16"/>
  <c r="W350" i="16"/>
  <c r="W360" i="16" s="1"/>
  <c r="M360" i="16"/>
  <c r="V350" i="16"/>
  <c r="V360" i="16" s="1"/>
  <c r="L360" i="16"/>
  <c r="U350" i="16"/>
  <c r="U360" i="16" s="1"/>
  <c r="K360" i="16"/>
  <c r="T350" i="16"/>
  <c r="T360" i="16" s="1"/>
  <c r="J360" i="16"/>
  <c r="S350" i="16"/>
  <c r="S360" i="16" s="1"/>
  <c r="I360" i="16"/>
  <c r="H360" i="16"/>
  <c r="R350" i="16"/>
  <c r="R360" i="16" s="1"/>
  <c r="G360" i="16"/>
  <c r="Q350" i="16"/>
  <c r="Q360" i="16" s="1"/>
  <c r="AA350" i="16"/>
  <c r="F360" i="16"/>
  <c r="P350" i="16"/>
  <c r="P351" i="16"/>
  <c r="Z351" i="16" s="1"/>
  <c r="AA351" i="16"/>
  <c r="P352" i="16"/>
  <c r="Z352" i="16" s="1"/>
  <c r="AA352" i="16"/>
  <c r="Q543" i="16"/>
  <c r="Z533" i="16"/>
  <c r="S46" i="5"/>
  <c r="S56" i="5" s="1"/>
  <c r="I56" i="5"/>
  <c r="T46" i="5"/>
  <c r="T56" i="5" s="1"/>
  <c r="J56" i="5"/>
  <c r="U46" i="5"/>
  <c r="U56" i="5" s="1"/>
  <c r="K56" i="5"/>
  <c r="V46" i="5"/>
  <c r="V56" i="5" s="1"/>
  <c r="L56" i="5"/>
  <c r="X46" i="5"/>
  <c r="X56" i="5" s="1"/>
  <c r="N56" i="5"/>
  <c r="Y46" i="5"/>
  <c r="Y56" i="5" s="1"/>
  <c r="O56" i="5"/>
  <c r="P46" i="5"/>
  <c r="AA46" i="5"/>
  <c r="F56" i="5"/>
  <c r="W46" i="5"/>
  <c r="W56" i="5" s="1"/>
  <c r="M56" i="5"/>
  <c r="Q46" i="5"/>
  <c r="Q56" i="5" s="1"/>
  <c r="G56" i="5"/>
  <c r="H56" i="5"/>
  <c r="R46" i="5"/>
  <c r="R56" i="5" s="1"/>
  <c r="P47" i="5"/>
  <c r="Z47" i="5" s="1"/>
  <c r="AA47" i="5"/>
  <c r="P48" i="5"/>
  <c r="Z48" i="5" s="1"/>
  <c r="AA48" i="5"/>
  <c r="P49" i="5"/>
  <c r="Z49" i="5" s="1"/>
  <c r="AA49" i="5"/>
  <c r="AA543" i="16"/>
  <c r="Z540" i="16"/>
  <c r="P543" i="16"/>
  <c r="AA56" i="7"/>
  <c r="Z594" i="16"/>
  <c r="Z604" i="16" s="1"/>
  <c r="P604" i="16"/>
  <c r="Z655" i="16"/>
  <c r="Z665" i="16" s="1"/>
  <c r="P665" i="16"/>
  <c r="P116" i="16"/>
  <c r="Z106" i="16"/>
  <c r="Z116" i="16" s="1"/>
  <c r="Z167" i="16"/>
  <c r="Z177" i="16" s="1"/>
  <c r="P177" i="16"/>
  <c r="Z228" i="16"/>
  <c r="Z238" i="16" s="1"/>
  <c r="P238" i="16"/>
  <c r="Z411" i="16"/>
  <c r="Z421" i="16" s="1"/>
  <c r="P421" i="16"/>
  <c r="Z289" i="16"/>
  <c r="Z299" i="16" s="1"/>
  <c r="P299" i="16"/>
  <c r="Z45" i="16"/>
  <c r="Z55" i="16" s="1"/>
  <c r="B57" i="16" s="1"/>
  <c r="P55" i="16"/>
  <c r="P56" i="7"/>
  <c r="Z46" i="7"/>
  <c r="AA299" i="16"/>
  <c r="AA604" i="16"/>
  <c r="AA665" i="16"/>
  <c r="AA116" i="16"/>
  <c r="AA177" i="16"/>
  <c r="AA238" i="16"/>
  <c r="AA421" i="16"/>
  <c r="AA55" i="16"/>
  <c r="D81" i="6" l="1"/>
  <c r="V48" i="3" s="1"/>
  <c r="D69" i="6"/>
  <c r="V36" i="3" s="1"/>
  <c r="D80" i="6"/>
  <c r="V47" i="3" s="1"/>
  <c r="D68" i="6"/>
  <c r="V35" i="3" s="1"/>
  <c r="D83" i="6"/>
  <c r="D82" i="6"/>
  <c r="V49" i="3" s="1"/>
  <c r="D78" i="6"/>
  <c r="V45" i="3" s="1"/>
  <c r="D82" i="5"/>
  <c r="U49" i="3" s="1"/>
  <c r="D83" i="5"/>
  <c r="U50" i="3" s="1"/>
  <c r="U53" i="3"/>
  <c r="G53" i="3"/>
  <c r="D84" i="5"/>
  <c r="U51" i="3" s="1"/>
  <c r="D87" i="5"/>
  <c r="D85" i="5"/>
  <c r="D88" i="5"/>
  <c r="D80" i="5"/>
  <c r="U52" i="3"/>
  <c r="G52" i="3"/>
  <c r="D74" i="6"/>
  <c r="V41" i="3" s="1"/>
  <c r="D77" i="6"/>
  <c r="V44" i="3" s="1"/>
  <c r="D76" i="6"/>
  <c r="V43" i="3" s="1"/>
  <c r="D79" i="5"/>
  <c r="AA56" i="6"/>
  <c r="K65" i="8"/>
  <c r="I65" i="8"/>
  <c r="G66" i="8" s="1"/>
  <c r="AA56" i="8"/>
  <c r="C23" i="3"/>
  <c r="C24" i="3"/>
  <c r="C25" i="3"/>
  <c r="C22" i="3"/>
  <c r="I65" i="7"/>
  <c r="G66" i="7" s="1"/>
  <c r="K65" i="7"/>
  <c r="Z46" i="6"/>
  <c r="D73" i="6" s="1"/>
  <c r="V40" i="3" s="1"/>
  <c r="P56" i="6"/>
  <c r="I65" i="6"/>
  <c r="G66" i="6" s="1"/>
  <c r="K65" i="6"/>
  <c r="Z46" i="8"/>
  <c r="P56" i="8"/>
  <c r="D84" i="8"/>
  <c r="L66" i="7"/>
  <c r="J66" i="7"/>
  <c r="H67" i="7" s="1"/>
  <c r="Z56" i="7"/>
  <c r="D77" i="7"/>
  <c r="W44" i="3" s="1"/>
  <c r="L66" i="6"/>
  <c r="J66" i="6"/>
  <c r="H67" i="6" s="1"/>
  <c r="D72" i="6"/>
  <c r="C21" i="3"/>
  <c r="J66" i="5"/>
  <c r="H67" i="5" s="1"/>
  <c r="J67" i="5" s="1"/>
  <c r="H68" i="5" s="1"/>
  <c r="D75" i="5"/>
  <c r="AA482" i="16"/>
  <c r="P482" i="16"/>
  <c r="Z472" i="16"/>
  <c r="Z482" i="16" s="1"/>
  <c r="L67" i="8"/>
  <c r="J67" i="8"/>
  <c r="H68" i="8" s="1"/>
  <c r="AA360" i="16"/>
  <c r="C26" i="3"/>
  <c r="Z350" i="16"/>
  <c r="Z360" i="16" s="1"/>
  <c r="P360" i="16"/>
  <c r="Z543" i="16"/>
  <c r="C27" i="3"/>
  <c r="AA56" i="5"/>
  <c r="Z46" i="5"/>
  <c r="D78" i="5" s="1"/>
  <c r="P56" i="5"/>
  <c r="B606" i="16"/>
  <c r="B667" i="16"/>
  <c r="B118" i="16"/>
  <c r="B179" i="16"/>
  <c r="B240" i="16"/>
  <c r="B423" i="16"/>
  <c r="B301" i="16"/>
  <c r="B58" i="16"/>
  <c r="B302" i="16"/>
  <c r="B119" i="16"/>
  <c r="B180" i="16"/>
  <c r="B241" i="16"/>
  <c r="B424" i="16"/>
  <c r="B668" i="16"/>
  <c r="B607" i="16"/>
  <c r="D66" i="5" l="1"/>
  <c r="D72" i="5"/>
  <c r="D79" i="6"/>
  <c r="D67" i="6"/>
  <c r="V34" i="3" s="1"/>
  <c r="V50" i="3"/>
  <c r="G50" i="3"/>
  <c r="D81" i="5"/>
  <c r="D67" i="5"/>
  <c r="U54" i="3"/>
  <c r="G54" i="3"/>
  <c r="G55" i="3"/>
  <c r="U55" i="3"/>
  <c r="U47" i="3"/>
  <c r="G47" i="3"/>
  <c r="Z56" i="6"/>
  <c r="D75" i="6"/>
  <c r="D70" i="5"/>
  <c r="D69" i="5"/>
  <c r="D76" i="5"/>
  <c r="D77" i="5"/>
  <c r="V39" i="3"/>
  <c r="U46" i="3"/>
  <c r="G45" i="3"/>
  <c r="U45" i="3"/>
  <c r="I66" i="8"/>
  <c r="G67" i="8" s="1"/>
  <c r="K66" i="8"/>
  <c r="K66" i="7"/>
  <c r="I66" i="7"/>
  <c r="G67" i="7" s="1"/>
  <c r="K66" i="6"/>
  <c r="I66" i="6"/>
  <c r="D82" i="8"/>
  <c r="Z56" i="8"/>
  <c r="C20" i="3"/>
  <c r="C28" i="3" s="1"/>
  <c r="L67" i="7"/>
  <c r="J67" i="7"/>
  <c r="H68" i="7" s="1"/>
  <c r="G14" i="3"/>
  <c r="B59" i="7"/>
  <c r="B58" i="7"/>
  <c r="J67" i="6"/>
  <c r="H68" i="6" s="1"/>
  <c r="G51" i="3"/>
  <c r="X51" i="3"/>
  <c r="D71" i="5"/>
  <c r="D68" i="5"/>
  <c r="D73" i="5"/>
  <c r="D74" i="5"/>
  <c r="U42" i="3"/>
  <c r="L68" i="8"/>
  <c r="J68" i="8"/>
  <c r="H69" i="8" s="1"/>
  <c r="B484" i="16"/>
  <c r="B485" i="16"/>
  <c r="C17" i="4"/>
  <c r="B545" i="16"/>
  <c r="B546" i="16"/>
  <c r="B363" i="16"/>
  <c r="B362" i="16"/>
  <c r="Z56" i="5"/>
  <c r="D65" i="5"/>
  <c r="U32" i="3" s="1"/>
  <c r="J68" i="5"/>
  <c r="H69" i="5" s="1"/>
  <c r="U33" i="3" l="1"/>
  <c r="G33" i="3"/>
  <c r="G48" i="3"/>
  <c r="U48" i="3"/>
  <c r="C18" i="4"/>
  <c r="C19" i="4"/>
  <c r="V46" i="3"/>
  <c r="G46" i="3"/>
  <c r="U39" i="3"/>
  <c r="G39" i="3"/>
  <c r="G67" i="6"/>
  <c r="C15" i="4"/>
  <c r="C16" i="4"/>
  <c r="X49" i="3"/>
  <c r="G49" i="3"/>
  <c r="C13" i="4"/>
  <c r="U34" i="3"/>
  <c r="G34" i="3"/>
  <c r="G43" i="3"/>
  <c r="U43" i="3"/>
  <c r="B58" i="6"/>
  <c r="G13" i="3"/>
  <c r="B59" i="6"/>
  <c r="V42" i="3"/>
  <c r="G42" i="3"/>
  <c r="U37" i="3"/>
  <c r="G37" i="3"/>
  <c r="U36" i="3"/>
  <c r="G36" i="3"/>
  <c r="U44" i="3"/>
  <c r="G44" i="3"/>
  <c r="C10" i="4"/>
  <c r="C14" i="4"/>
  <c r="I67" i="8"/>
  <c r="G68" i="8" s="1"/>
  <c r="K67" i="8"/>
  <c r="I67" i="7"/>
  <c r="G68" i="7" s="1"/>
  <c r="K67" i="7"/>
  <c r="B59" i="8"/>
  <c r="B58" i="8"/>
  <c r="G15" i="3"/>
  <c r="J68" i="7"/>
  <c r="H69" i="7" s="1"/>
  <c r="L68" i="7"/>
  <c r="J68" i="6"/>
  <c r="H69" i="6" s="1"/>
  <c r="G38" i="3"/>
  <c r="U38" i="3"/>
  <c r="G35" i="3"/>
  <c r="U35" i="3"/>
  <c r="U40" i="3"/>
  <c r="G40" i="3"/>
  <c r="U41" i="3"/>
  <c r="G41" i="3"/>
  <c r="C12" i="4"/>
  <c r="C11" i="4"/>
  <c r="L69" i="8"/>
  <c r="J69" i="8"/>
  <c r="H70" i="8" s="1"/>
  <c r="G32" i="3"/>
  <c r="L65" i="5"/>
  <c r="G65" i="5"/>
  <c r="B59" i="5"/>
  <c r="C9" i="4"/>
  <c r="G12" i="3"/>
  <c r="B58" i="5"/>
  <c r="C4" i="3"/>
  <c r="J69" i="5"/>
  <c r="H70" i="5" s="1"/>
  <c r="I67" i="6" l="1"/>
  <c r="G68" i="6" s="1"/>
  <c r="K67" i="6"/>
  <c r="I68" i="8"/>
  <c r="G69" i="8" s="1"/>
  <c r="K68" i="8"/>
  <c r="I68" i="7"/>
  <c r="G69" i="7" s="1"/>
  <c r="K68" i="7"/>
  <c r="C7" i="3"/>
  <c r="L69" i="7"/>
  <c r="J69" i="7"/>
  <c r="H70" i="7" s="1"/>
  <c r="J69" i="6"/>
  <c r="H70" i="6" s="1"/>
  <c r="L70" i="8"/>
  <c r="J70" i="8"/>
  <c r="H71" i="8" s="1"/>
  <c r="J71" i="8" s="1"/>
  <c r="H72" i="8" s="1"/>
  <c r="I65" i="5"/>
  <c r="G66" i="5" s="1"/>
  <c r="K65" i="5"/>
  <c r="G16" i="3"/>
  <c r="D21" i="3"/>
  <c r="D22" i="3"/>
  <c r="D23" i="3"/>
  <c r="D24" i="3"/>
  <c r="D25" i="3"/>
  <c r="D26" i="3"/>
  <c r="D27" i="3"/>
  <c r="D4" i="3"/>
  <c r="D20" i="3"/>
  <c r="J70" i="5"/>
  <c r="H71" i="5" s="1"/>
  <c r="I68" i="6" l="1"/>
  <c r="G69" i="6" s="1"/>
  <c r="K68" i="6"/>
  <c r="I69" i="8"/>
  <c r="G70" i="8" s="1"/>
  <c r="K69" i="8"/>
  <c r="K69" i="7"/>
  <c r="I69" i="7"/>
  <c r="G70" i="7" s="1"/>
  <c r="L70" i="7"/>
  <c r="J70" i="7"/>
  <c r="H71" i="7" s="1"/>
  <c r="J70" i="6"/>
  <c r="H71" i="6" s="1"/>
  <c r="L71" i="8"/>
  <c r="I66" i="5"/>
  <c r="G67" i="5" s="1"/>
  <c r="K66" i="5"/>
  <c r="L72" i="8"/>
  <c r="J72" i="8"/>
  <c r="H73" i="8" s="1"/>
  <c r="J71" i="5"/>
  <c r="H72" i="5" s="1"/>
  <c r="K69" i="6" l="1"/>
  <c r="I69" i="6"/>
  <c r="G70" i="6" s="1"/>
  <c r="K70" i="8"/>
  <c r="I70" i="8"/>
  <c r="G71" i="8" s="1"/>
  <c r="K70" i="7"/>
  <c r="I70" i="7"/>
  <c r="G71" i="7" s="1"/>
  <c r="L71" i="7"/>
  <c r="J71" i="7"/>
  <c r="H72" i="7" s="1"/>
  <c r="L71" i="6"/>
  <c r="J71" i="6"/>
  <c r="H72" i="6" s="1"/>
  <c r="J72" i="6" s="1"/>
  <c r="H73" i="6" s="1"/>
  <c r="K67" i="5"/>
  <c r="I67" i="5"/>
  <c r="G68" i="5" s="1"/>
  <c r="L73" i="8"/>
  <c r="J73" i="8"/>
  <c r="H74" i="8" s="1"/>
  <c r="J72" i="5"/>
  <c r="H73" i="5" s="1"/>
  <c r="I70" i="6" l="1"/>
  <c r="G71" i="6" s="1"/>
  <c r="K70" i="6"/>
  <c r="K71" i="8"/>
  <c r="I71" i="8"/>
  <c r="G72" i="8" s="1"/>
  <c r="I71" i="7"/>
  <c r="G72" i="7" s="1"/>
  <c r="K71" i="7"/>
  <c r="J72" i="7"/>
  <c r="H73" i="7" s="1"/>
  <c r="L72" i="7"/>
  <c r="K68" i="5"/>
  <c r="I68" i="5"/>
  <c r="G69" i="5" s="1"/>
  <c r="L74" i="8"/>
  <c r="J74" i="8"/>
  <c r="H75" i="8" s="1"/>
  <c r="J73" i="6"/>
  <c r="H74" i="6" s="1"/>
  <c r="J73" i="5"/>
  <c r="H74" i="5" s="1"/>
  <c r="I71" i="6" l="1"/>
  <c r="G72" i="6" s="1"/>
  <c r="K71" i="6"/>
  <c r="I72" i="8"/>
  <c r="G73" i="8" s="1"/>
  <c r="K72" i="8"/>
  <c r="I72" i="7"/>
  <c r="G73" i="7" s="1"/>
  <c r="K72" i="7"/>
  <c r="L73" i="7"/>
  <c r="J73" i="7"/>
  <c r="H74" i="7" s="1"/>
  <c r="I69" i="5"/>
  <c r="G70" i="5" s="1"/>
  <c r="K69" i="5"/>
  <c r="L75" i="8"/>
  <c r="J75" i="8"/>
  <c r="H76" i="8" s="1"/>
  <c r="J74" i="6"/>
  <c r="H75" i="6" s="1"/>
  <c r="J74" i="5"/>
  <c r="H75" i="5" s="1"/>
  <c r="I72" i="6" l="1"/>
  <c r="G73" i="6" s="1"/>
  <c r="K72" i="6"/>
  <c r="I73" i="8"/>
  <c r="G74" i="8" s="1"/>
  <c r="K73" i="8"/>
  <c r="I73" i="7"/>
  <c r="G74" i="7" s="1"/>
  <c r="K73" i="7"/>
  <c r="L74" i="7"/>
  <c r="J74" i="7"/>
  <c r="H75" i="7" s="1"/>
  <c r="K70" i="5"/>
  <c r="I70" i="5"/>
  <c r="G71" i="5" s="1"/>
  <c r="L76" i="8"/>
  <c r="J76" i="8"/>
  <c r="H77" i="8" s="1"/>
  <c r="J75" i="6"/>
  <c r="H76" i="6" s="1"/>
  <c r="J75" i="5"/>
  <c r="H76" i="5" s="1"/>
  <c r="I73" i="6" l="1"/>
  <c r="G74" i="6" s="1"/>
  <c r="K73" i="6"/>
  <c r="K74" i="8"/>
  <c r="I74" i="8"/>
  <c r="G75" i="8" s="1"/>
  <c r="I74" i="7"/>
  <c r="G75" i="7" s="1"/>
  <c r="K74" i="7"/>
  <c r="L75" i="7"/>
  <c r="J75" i="7"/>
  <c r="H76" i="7" s="1"/>
  <c r="K71" i="5"/>
  <c r="I71" i="5"/>
  <c r="G72" i="5" s="1"/>
  <c r="L77" i="8"/>
  <c r="J77" i="8"/>
  <c r="H78" i="8" s="1"/>
  <c r="J76" i="6"/>
  <c r="H77" i="6" s="1"/>
  <c r="J76" i="5"/>
  <c r="H77" i="5" s="1"/>
  <c r="K74" i="6" l="1"/>
  <c r="I74" i="6"/>
  <c r="G75" i="6" s="1"/>
  <c r="K75" i="8"/>
  <c r="I75" i="8"/>
  <c r="G76" i="8" s="1"/>
  <c r="I75" i="7"/>
  <c r="G76" i="7" s="1"/>
  <c r="K75" i="7"/>
  <c r="L76" i="7"/>
  <c r="J76" i="7"/>
  <c r="H77" i="7" s="1"/>
  <c r="J77" i="7" s="1"/>
  <c r="H78" i="7" s="1"/>
  <c r="I72" i="5"/>
  <c r="G73" i="5" s="1"/>
  <c r="K72" i="5"/>
  <c r="L78" i="8"/>
  <c r="J78" i="8"/>
  <c r="H79" i="8" s="1"/>
  <c r="J77" i="6"/>
  <c r="H78" i="6" s="1"/>
  <c r="J77" i="5"/>
  <c r="H78" i="5" s="1"/>
  <c r="I75" i="6" l="1"/>
  <c r="G76" i="6" s="1"/>
  <c r="K75" i="6"/>
  <c r="K76" i="8"/>
  <c r="I76" i="8"/>
  <c r="G77" i="8" s="1"/>
  <c r="I76" i="7"/>
  <c r="G77" i="7" s="1"/>
  <c r="K76" i="7"/>
  <c r="K73" i="5"/>
  <c r="I73" i="5"/>
  <c r="G74" i="5" s="1"/>
  <c r="J79" i="8"/>
  <c r="H80" i="8" s="1"/>
  <c r="L79" i="8"/>
  <c r="J78" i="7"/>
  <c r="H79" i="7" s="1"/>
  <c r="J78" i="6"/>
  <c r="H79" i="6" s="1"/>
  <c r="J78" i="5"/>
  <c r="H79" i="5" s="1"/>
  <c r="K76" i="6" l="1"/>
  <c r="I76" i="6"/>
  <c r="G77" i="6" s="1"/>
  <c r="K77" i="8"/>
  <c r="I77" i="8"/>
  <c r="G78" i="8" s="1"/>
  <c r="K77" i="7"/>
  <c r="I77" i="7"/>
  <c r="G78" i="7" s="1"/>
  <c r="K74" i="5"/>
  <c r="I74" i="5"/>
  <c r="G75" i="5" s="1"/>
  <c r="J80" i="8"/>
  <c r="H81" i="8" s="1"/>
  <c r="L80" i="8"/>
  <c r="J79" i="7"/>
  <c r="H80" i="7" s="1"/>
  <c r="J79" i="6"/>
  <c r="H80" i="6" s="1"/>
  <c r="J79" i="5"/>
  <c r="H80" i="5" s="1"/>
  <c r="I77" i="6" l="1"/>
  <c r="G78" i="6" s="1"/>
  <c r="K77" i="6"/>
  <c r="I78" i="8"/>
  <c r="G79" i="8" s="1"/>
  <c r="K78" i="8"/>
  <c r="I78" i="7"/>
  <c r="G79" i="7" s="1"/>
  <c r="K78" i="7"/>
  <c r="K75" i="5"/>
  <c r="I75" i="5"/>
  <c r="G76" i="5" s="1"/>
  <c r="J81" i="8"/>
  <c r="H82" i="8" s="1"/>
  <c r="L81" i="8"/>
  <c r="L80" i="7"/>
  <c r="J80" i="7"/>
  <c r="H81" i="7" s="1"/>
  <c r="J80" i="6"/>
  <c r="H81" i="6" s="1"/>
  <c r="J80" i="5"/>
  <c r="H81" i="5" s="1"/>
  <c r="I78" i="6" l="1"/>
  <c r="G79" i="6" s="1"/>
  <c r="K78" i="6"/>
  <c r="K79" i="8"/>
  <c r="I79" i="8"/>
  <c r="G80" i="8" s="1"/>
  <c r="I79" i="7"/>
  <c r="G80" i="7" s="1"/>
  <c r="K79" i="7"/>
  <c r="I76" i="5"/>
  <c r="G77" i="5" s="1"/>
  <c r="K76" i="5"/>
  <c r="J82" i="8"/>
  <c r="H83" i="8" s="1"/>
  <c r="L81" i="7"/>
  <c r="J81" i="7"/>
  <c r="H82" i="7" s="1"/>
  <c r="J81" i="6"/>
  <c r="H82" i="6" s="1"/>
  <c r="J81" i="5"/>
  <c r="H82" i="5" s="1"/>
  <c r="K79" i="6" l="1"/>
  <c r="I79" i="6"/>
  <c r="G80" i="6" s="1"/>
  <c r="K80" i="8"/>
  <c r="I80" i="8"/>
  <c r="G81" i="8" s="1"/>
  <c r="I80" i="7"/>
  <c r="G81" i="7" s="1"/>
  <c r="K80" i="7"/>
  <c r="K77" i="5"/>
  <c r="I77" i="5"/>
  <c r="G78" i="5" s="1"/>
  <c r="J83" i="8"/>
  <c r="H84" i="8" s="1"/>
  <c r="J82" i="7"/>
  <c r="H83" i="7" s="1"/>
  <c r="L82" i="7"/>
  <c r="J82" i="6"/>
  <c r="H83" i="6" s="1"/>
  <c r="J82" i="5"/>
  <c r="H83" i="5" s="1"/>
  <c r="K80" i="6" l="1"/>
  <c r="I80" i="6"/>
  <c r="G81" i="6" s="1"/>
  <c r="K81" i="8"/>
  <c r="I81" i="8"/>
  <c r="G82" i="8" s="1"/>
  <c r="I81" i="7"/>
  <c r="G82" i="7" s="1"/>
  <c r="K81" i="7"/>
  <c r="K78" i="5"/>
  <c r="I78" i="5"/>
  <c r="G79" i="5" s="1"/>
  <c r="J84" i="8"/>
  <c r="H85" i="8" s="1"/>
  <c r="J83" i="7"/>
  <c r="H84" i="7" s="1"/>
  <c r="L83" i="7"/>
  <c r="J83" i="6"/>
  <c r="H84" i="6" s="1"/>
  <c r="J83" i="5"/>
  <c r="H84" i="5" s="1"/>
  <c r="K81" i="6" l="1"/>
  <c r="I81" i="6"/>
  <c r="G82" i="6" s="1"/>
  <c r="I82" i="8"/>
  <c r="G83" i="8" s="1"/>
  <c r="K82" i="8"/>
  <c r="I82" i="7"/>
  <c r="G83" i="7" s="1"/>
  <c r="K82" i="7"/>
  <c r="K79" i="5"/>
  <c r="I79" i="5"/>
  <c r="G80" i="5" s="1"/>
  <c r="J85" i="8"/>
  <c r="H86" i="8" s="1"/>
  <c r="J84" i="7"/>
  <c r="H85" i="7" s="1"/>
  <c r="L84" i="7"/>
  <c r="J84" i="6"/>
  <c r="H85" i="6" s="1"/>
  <c r="J84" i="5"/>
  <c r="H85" i="5" s="1"/>
  <c r="I82" i="6" l="1"/>
  <c r="G83" i="6" s="1"/>
  <c r="K82" i="6"/>
  <c r="K83" i="8"/>
  <c r="I83" i="8"/>
  <c r="G84" i="8" s="1"/>
  <c r="I83" i="7"/>
  <c r="G84" i="7" s="1"/>
  <c r="K83" i="7"/>
  <c r="K80" i="5"/>
  <c r="I80" i="5"/>
  <c r="G81" i="5" s="1"/>
  <c r="J86" i="8"/>
  <c r="H87" i="8" s="1"/>
  <c r="J85" i="7"/>
  <c r="H86" i="7" s="1"/>
  <c r="L85" i="7"/>
  <c r="L85" i="6"/>
  <c r="J85" i="6"/>
  <c r="H86" i="6" s="1"/>
  <c r="J85" i="5"/>
  <c r="H86" i="5" s="1"/>
  <c r="I83" i="6" l="1"/>
  <c r="G84" i="6" s="1"/>
  <c r="K83" i="6"/>
  <c r="K84" i="8"/>
  <c r="I84" i="8"/>
  <c r="G85" i="8" s="1"/>
  <c r="I84" i="7"/>
  <c r="G85" i="7" s="1"/>
  <c r="K84" i="7"/>
  <c r="I81" i="5"/>
  <c r="G82" i="5" s="1"/>
  <c r="K81" i="5"/>
  <c r="J87" i="8"/>
  <c r="H88" i="8" s="1"/>
  <c r="L87" i="8"/>
  <c r="J86" i="7"/>
  <c r="H87" i="7" s="1"/>
  <c r="L86" i="7"/>
  <c r="L86" i="6"/>
  <c r="J86" i="6"/>
  <c r="H87" i="6" s="1"/>
  <c r="J86" i="5"/>
  <c r="H87" i="5" s="1"/>
  <c r="K84" i="6" l="1"/>
  <c r="I84" i="6"/>
  <c r="G85" i="6" s="1"/>
  <c r="I85" i="8"/>
  <c r="G86" i="8" s="1"/>
  <c r="K85" i="8"/>
  <c r="I85" i="7"/>
  <c r="G86" i="7" s="1"/>
  <c r="K85" i="7"/>
  <c r="I82" i="5"/>
  <c r="G83" i="5" s="1"/>
  <c r="K82" i="5"/>
  <c r="L88" i="8"/>
  <c r="J88" i="8"/>
  <c r="H89" i="8" s="1"/>
  <c r="J87" i="7"/>
  <c r="H88" i="7" s="1"/>
  <c r="L87" i="7"/>
  <c r="J87" i="6"/>
  <c r="H88" i="6" s="1"/>
  <c r="L87" i="6"/>
  <c r="J87" i="5"/>
  <c r="H88" i="5" s="1"/>
  <c r="I85" i="6" l="1"/>
  <c r="G86" i="6" s="1"/>
  <c r="K85" i="6"/>
  <c r="K86" i="8"/>
  <c r="I86" i="8"/>
  <c r="G87" i="8" s="1"/>
  <c r="I86" i="7"/>
  <c r="G87" i="7" s="1"/>
  <c r="K86" i="7"/>
  <c r="K83" i="5"/>
  <c r="I83" i="5"/>
  <c r="G84" i="5" s="1"/>
  <c r="L89" i="8"/>
  <c r="J89" i="8"/>
  <c r="H90" i="8" s="1"/>
  <c r="J88" i="7"/>
  <c r="H89" i="7" s="1"/>
  <c r="L88" i="7"/>
  <c r="L88" i="6"/>
  <c r="J88" i="6"/>
  <c r="H89" i="6" s="1"/>
  <c r="J88" i="5"/>
  <c r="H89" i="5" s="1"/>
  <c r="I86" i="6" l="1"/>
  <c r="G87" i="6" s="1"/>
  <c r="K86" i="6"/>
  <c r="I87" i="8"/>
  <c r="G88" i="8" s="1"/>
  <c r="K87" i="8"/>
  <c r="I87" i="7"/>
  <c r="G88" i="7" s="1"/>
  <c r="K87" i="7"/>
  <c r="I84" i="5"/>
  <c r="G85" i="5" s="1"/>
  <c r="K84" i="5"/>
  <c r="J90" i="8"/>
  <c r="H91" i="8" s="1"/>
  <c r="L90" i="8"/>
  <c r="J89" i="7"/>
  <c r="H90" i="7" s="1"/>
  <c r="L89" i="7"/>
  <c r="J89" i="6"/>
  <c r="H90" i="6" s="1"/>
  <c r="L89" i="6"/>
  <c r="L89" i="5"/>
  <c r="J89" i="5"/>
  <c r="H90" i="5" s="1"/>
  <c r="I87" i="6" l="1"/>
  <c r="G88" i="6" s="1"/>
  <c r="K87" i="6"/>
  <c r="K88" i="8"/>
  <c r="I88" i="8"/>
  <c r="G89" i="8" s="1"/>
  <c r="I88" i="7"/>
  <c r="G89" i="7" s="1"/>
  <c r="K88" i="7"/>
  <c r="I85" i="5"/>
  <c r="G86" i="5" s="1"/>
  <c r="K85" i="5"/>
  <c r="J91" i="8"/>
  <c r="H92" i="8" s="1"/>
  <c r="L91" i="8"/>
  <c r="J90" i="7"/>
  <c r="H91" i="7" s="1"/>
  <c r="L90" i="7"/>
  <c r="J90" i="6"/>
  <c r="H91" i="6" s="1"/>
  <c r="L90" i="6"/>
  <c r="L90" i="5"/>
  <c r="J90" i="5"/>
  <c r="H91" i="5" s="1"/>
  <c r="I88" i="6" l="1"/>
  <c r="G89" i="6" s="1"/>
  <c r="K88" i="6"/>
  <c r="I89" i="8"/>
  <c r="G90" i="8" s="1"/>
  <c r="K89" i="8"/>
  <c r="K89" i="7"/>
  <c r="I89" i="7"/>
  <c r="G90" i="7" s="1"/>
  <c r="I86" i="5"/>
  <c r="G87" i="5" s="1"/>
  <c r="K86" i="5"/>
  <c r="J92" i="8"/>
  <c r="H93" i="8" s="1"/>
  <c r="L92" i="8"/>
  <c r="J91" i="7"/>
  <c r="H92" i="7" s="1"/>
  <c r="L91" i="7"/>
  <c r="J91" i="6"/>
  <c r="H92" i="6" s="1"/>
  <c r="L91" i="6"/>
  <c r="L91" i="5"/>
  <c r="J91" i="5"/>
  <c r="H92" i="5" s="1"/>
  <c r="I89" i="6" l="1"/>
  <c r="G90" i="6" s="1"/>
  <c r="I90" i="6" s="1"/>
  <c r="G91" i="6" s="1"/>
  <c r="K89" i="6"/>
  <c r="I90" i="8"/>
  <c r="G91" i="8" s="1"/>
  <c r="K90" i="8"/>
  <c r="K90" i="7"/>
  <c r="I90" i="7"/>
  <c r="G91" i="7" s="1"/>
  <c r="K90" i="6"/>
  <c r="K87" i="5"/>
  <c r="I87" i="5"/>
  <c r="G88" i="5" s="1"/>
  <c r="L93" i="8"/>
  <c r="J93" i="8"/>
  <c r="H94" i="8" s="1"/>
  <c r="J92" i="7"/>
  <c r="H93" i="7" s="1"/>
  <c r="L92" i="7"/>
  <c r="J92" i="6"/>
  <c r="H93" i="6" s="1"/>
  <c r="L92" i="6"/>
  <c r="L92" i="5"/>
  <c r="J92" i="5"/>
  <c r="H93" i="5" s="1"/>
  <c r="I91" i="8" l="1"/>
  <c r="G92" i="8" s="1"/>
  <c r="K91" i="8"/>
  <c r="I91" i="7"/>
  <c r="G92" i="7" s="1"/>
  <c r="K91" i="7"/>
  <c r="I91" i="6"/>
  <c r="G92" i="6" s="1"/>
  <c r="K91" i="6"/>
  <c r="K88" i="5"/>
  <c r="I88" i="5"/>
  <c r="G89" i="5" s="1"/>
  <c r="L94" i="8"/>
  <c r="J94" i="8"/>
  <c r="H95" i="8" s="1"/>
  <c r="J93" i="7"/>
  <c r="H94" i="7" s="1"/>
  <c r="L93" i="7"/>
  <c r="J93" i="6"/>
  <c r="H94" i="6" s="1"/>
  <c r="L93" i="6"/>
  <c r="L93" i="5"/>
  <c r="J93" i="5"/>
  <c r="H94" i="5" s="1"/>
  <c r="K92" i="8" l="1"/>
  <c r="I92" i="8"/>
  <c r="G93" i="8" s="1"/>
  <c r="I92" i="7"/>
  <c r="G93" i="7" s="1"/>
  <c r="K92" i="7"/>
  <c r="I92" i="6"/>
  <c r="G93" i="6" s="1"/>
  <c r="K92" i="6"/>
  <c r="I89" i="5"/>
  <c r="G90" i="5" s="1"/>
  <c r="K89" i="5"/>
  <c r="L95" i="8"/>
  <c r="J95" i="8"/>
  <c r="H96" i="8" s="1"/>
  <c r="J94" i="7"/>
  <c r="H95" i="7" s="1"/>
  <c r="L94" i="7"/>
  <c r="J94" i="6"/>
  <c r="H95" i="6" s="1"/>
  <c r="L94" i="6"/>
  <c r="L94" i="5"/>
  <c r="J94" i="5"/>
  <c r="H95" i="5" s="1"/>
  <c r="I93" i="8" l="1"/>
  <c r="G94" i="8" s="1"/>
  <c r="K93" i="8"/>
  <c r="I93" i="7"/>
  <c r="G94" i="7" s="1"/>
  <c r="K93" i="7"/>
  <c r="I93" i="6"/>
  <c r="G94" i="6" s="1"/>
  <c r="K93" i="6"/>
  <c r="I90" i="5"/>
  <c r="G91" i="5" s="1"/>
  <c r="K90" i="5"/>
  <c r="L96" i="8"/>
  <c r="J96" i="8"/>
  <c r="H97" i="8" s="1"/>
  <c r="L95" i="7"/>
  <c r="J95" i="7"/>
  <c r="H96" i="7" s="1"/>
  <c r="J95" i="6"/>
  <c r="H96" i="6" s="1"/>
  <c r="L95" i="6"/>
  <c r="L95" i="5"/>
  <c r="J95" i="5"/>
  <c r="H96" i="5" s="1"/>
  <c r="I94" i="8" l="1"/>
  <c r="G95" i="8" s="1"/>
  <c r="K94" i="8"/>
  <c r="I94" i="7"/>
  <c r="G95" i="7" s="1"/>
  <c r="K94" i="7"/>
  <c r="K94" i="6"/>
  <c r="I94" i="6"/>
  <c r="G95" i="6" s="1"/>
  <c r="I91" i="5"/>
  <c r="G92" i="5" s="1"/>
  <c r="K91" i="5"/>
  <c r="L97" i="8"/>
  <c r="J97" i="8"/>
  <c r="H98" i="8" s="1"/>
  <c r="J96" i="7"/>
  <c r="H97" i="7" s="1"/>
  <c r="L96" i="7"/>
  <c r="J96" i="6"/>
  <c r="H97" i="6" s="1"/>
  <c r="L96" i="6"/>
  <c r="L96" i="5"/>
  <c r="J96" i="5"/>
  <c r="H97" i="5" s="1"/>
  <c r="I95" i="8" l="1"/>
  <c r="G96" i="8" s="1"/>
  <c r="K95" i="8"/>
  <c r="I95" i="7"/>
  <c r="G96" i="7" s="1"/>
  <c r="K95" i="7"/>
  <c r="I95" i="6"/>
  <c r="G96" i="6" s="1"/>
  <c r="K95" i="6"/>
  <c r="K92" i="5"/>
  <c r="I92" i="5"/>
  <c r="G93" i="5" s="1"/>
  <c r="L98" i="8"/>
  <c r="J98" i="8"/>
  <c r="H99" i="8" s="1"/>
  <c r="J97" i="7"/>
  <c r="H98" i="7" s="1"/>
  <c r="L97" i="7"/>
  <c r="J97" i="6"/>
  <c r="H98" i="6" s="1"/>
  <c r="L97" i="6"/>
  <c r="L97" i="5"/>
  <c r="J97" i="5"/>
  <c r="H98" i="5" s="1"/>
  <c r="K96" i="8" l="1"/>
  <c r="I96" i="8"/>
  <c r="G97" i="8" s="1"/>
  <c r="I96" i="7"/>
  <c r="G97" i="7" s="1"/>
  <c r="K96" i="7"/>
  <c r="K96" i="6"/>
  <c r="I96" i="6"/>
  <c r="G97" i="6" s="1"/>
  <c r="K93" i="5"/>
  <c r="I93" i="5"/>
  <c r="G94" i="5" s="1"/>
  <c r="J99" i="8"/>
  <c r="H100" i="8" s="1"/>
  <c r="L99" i="8"/>
  <c r="J98" i="7"/>
  <c r="H99" i="7" s="1"/>
  <c r="L98" i="7"/>
  <c r="J98" i="6"/>
  <c r="H99" i="6" s="1"/>
  <c r="L98" i="6"/>
  <c r="L98" i="5"/>
  <c r="J98" i="5"/>
  <c r="H99" i="5" s="1"/>
  <c r="K97" i="8" l="1"/>
  <c r="I97" i="8"/>
  <c r="G98" i="8" s="1"/>
  <c r="I97" i="7"/>
  <c r="G98" i="7" s="1"/>
  <c r="K97" i="7"/>
  <c r="K97" i="6"/>
  <c r="I97" i="6"/>
  <c r="G98" i="6" s="1"/>
  <c r="K94" i="5"/>
  <c r="I94" i="5"/>
  <c r="G95" i="5" s="1"/>
  <c r="L100" i="8"/>
  <c r="J100" i="8"/>
  <c r="H101" i="8" s="1"/>
  <c r="J99" i="7"/>
  <c r="H100" i="7" s="1"/>
  <c r="L99" i="7"/>
  <c r="J99" i="6"/>
  <c r="H100" i="6" s="1"/>
  <c r="L99" i="6"/>
  <c r="L99" i="5"/>
  <c r="J99" i="5"/>
  <c r="H100" i="5" s="1"/>
  <c r="K98" i="8" l="1"/>
  <c r="I98" i="8"/>
  <c r="G99" i="8" s="1"/>
  <c r="I98" i="7"/>
  <c r="G99" i="7" s="1"/>
  <c r="K98" i="7"/>
  <c r="I98" i="6"/>
  <c r="G99" i="6" s="1"/>
  <c r="K98" i="6"/>
  <c r="K95" i="5"/>
  <c r="I95" i="5"/>
  <c r="G96" i="5" s="1"/>
  <c r="L101" i="8"/>
  <c r="J101" i="8"/>
  <c r="H102" i="8" s="1"/>
  <c r="J100" i="7"/>
  <c r="H101" i="7" s="1"/>
  <c r="L100" i="7"/>
  <c r="J100" i="6"/>
  <c r="H101" i="6" s="1"/>
  <c r="L100" i="6"/>
  <c r="L100" i="5"/>
  <c r="J100" i="5"/>
  <c r="H101" i="5" s="1"/>
  <c r="K99" i="7" l="1"/>
  <c r="I99" i="7"/>
  <c r="G100" i="7" s="1"/>
  <c r="K99" i="8"/>
  <c r="I99" i="8"/>
  <c r="G100" i="8" s="1"/>
  <c r="I99" i="6"/>
  <c r="G100" i="6" s="1"/>
  <c r="K99" i="6"/>
  <c r="K96" i="5"/>
  <c r="I96" i="5"/>
  <c r="G97" i="5" s="1"/>
  <c r="L102" i="8"/>
  <c r="J102" i="8"/>
  <c r="H103" i="8" s="1"/>
  <c r="J101" i="7"/>
  <c r="H102" i="7" s="1"/>
  <c r="L101" i="7"/>
  <c r="J101" i="6"/>
  <c r="H102" i="6" s="1"/>
  <c r="L101" i="6"/>
  <c r="L101" i="5"/>
  <c r="J101" i="5"/>
  <c r="H102" i="5" s="1"/>
  <c r="I100" i="7" l="1"/>
  <c r="G101" i="7" s="1"/>
  <c r="K100" i="7"/>
  <c r="I100" i="8"/>
  <c r="G101" i="8" s="1"/>
  <c r="K100" i="8"/>
  <c r="I100" i="6"/>
  <c r="G101" i="6" s="1"/>
  <c r="K100" i="6"/>
  <c r="I97" i="5"/>
  <c r="G98" i="5" s="1"/>
  <c r="K97" i="5"/>
  <c r="L103" i="8"/>
  <c r="J103" i="8"/>
  <c r="H104" i="8" s="1"/>
  <c r="J102" i="7"/>
  <c r="H103" i="7" s="1"/>
  <c r="L102" i="7"/>
  <c r="J102" i="6"/>
  <c r="H103" i="6" s="1"/>
  <c r="L102" i="6"/>
  <c r="L102" i="5"/>
  <c r="J102" i="5"/>
  <c r="H103" i="5" s="1"/>
  <c r="I101" i="7" l="1"/>
  <c r="G102" i="7" s="1"/>
  <c r="K101" i="7"/>
  <c r="I101" i="8"/>
  <c r="G102" i="8" s="1"/>
  <c r="K101" i="8"/>
  <c r="I101" i="6"/>
  <c r="G102" i="6" s="1"/>
  <c r="K101" i="6"/>
  <c r="K98" i="5"/>
  <c r="I98" i="5"/>
  <c r="G99" i="5" s="1"/>
  <c r="J104" i="8"/>
  <c r="H105" i="8" s="1"/>
  <c r="L104" i="8"/>
  <c r="L103" i="7"/>
  <c r="J103" i="7"/>
  <c r="H104" i="7" s="1"/>
  <c r="J103" i="6"/>
  <c r="H104" i="6" s="1"/>
  <c r="L103" i="6"/>
  <c r="L103" i="5"/>
  <c r="J103" i="5"/>
  <c r="H104" i="5" s="1"/>
  <c r="K102" i="8" l="1"/>
  <c r="I102" i="8"/>
  <c r="G103" i="8" s="1"/>
  <c r="I102" i="7"/>
  <c r="G103" i="7" s="1"/>
  <c r="K102" i="7"/>
  <c r="I102" i="6"/>
  <c r="G103" i="6" s="1"/>
  <c r="K102" i="6"/>
  <c r="I99" i="5"/>
  <c r="G100" i="5" s="1"/>
  <c r="K99" i="5"/>
  <c r="L105" i="8"/>
  <c r="J105" i="8"/>
  <c r="H106" i="8" s="1"/>
  <c r="J104" i="7"/>
  <c r="H105" i="7" s="1"/>
  <c r="L104" i="7"/>
  <c r="J104" i="6"/>
  <c r="H105" i="6" s="1"/>
  <c r="L104" i="6"/>
  <c r="L104" i="5"/>
  <c r="J104" i="5"/>
  <c r="H105" i="5" s="1"/>
  <c r="K103" i="8" l="1"/>
  <c r="I103" i="8"/>
  <c r="G104" i="8" s="1"/>
  <c r="I103" i="7"/>
  <c r="G104" i="7" s="1"/>
  <c r="K103" i="7"/>
  <c r="I103" i="6"/>
  <c r="G104" i="6" s="1"/>
  <c r="K103" i="6"/>
  <c r="K100" i="5"/>
  <c r="I100" i="5"/>
  <c r="G101" i="5" s="1"/>
  <c r="L106" i="8"/>
  <c r="J106" i="8"/>
  <c r="H107" i="8" s="1"/>
  <c r="J105" i="7"/>
  <c r="H106" i="7" s="1"/>
  <c r="L105" i="7"/>
  <c r="J105" i="6"/>
  <c r="H106" i="6" s="1"/>
  <c r="L105" i="6"/>
  <c r="L105" i="5"/>
  <c r="J105" i="5"/>
  <c r="H106" i="5" s="1"/>
  <c r="K104" i="8" l="1"/>
  <c r="I104" i="8"/>
  <c r="G105" i="8" s="1"/>
  <c r="I104" i="7"/>
  <c r="G105" i="7" s="1"/>
  <c r="K104" i="7"/>
  <c r="I104" i="6"/>
  <c r="G105" i="6" s="1"/>
  <c r="K104" i="6"/>
  <c r="K101" i="5"/>
  <c r="I101" i="5"/>
  <c r="G102" i="5" s="1"/>
  <c r="L107" i="8"/>
  <c r="J107" i="8"/>
  <c r="H108" i="8" s="1"/>
  <c r="J106" i="7"/>
  <c r="H107" i="7" s="1"/>
  <c r="L106" i="7"/>
  <c r="J106" i="6"/>
  <c r="H107" i="6" s="1"/>
  <c r="L106" i="6"/>
  <c r="L106" i="5"/>
  <c r="J106" i="5"/>
  <c r="H107" i="5" s="1"/>
  <c r="K105" i="7" l="1"/>
  <c r="I105" i="7"/>
  <c r="G106" i="7" s="1"/>
  <c r="I105" i="8"/>
  <c r="G106" i="8" s="1"/>
  <c r="K105" i="8"/>
  <c r="I105" i="6"/>
  <c r="G106" i="6" s="1"/>
  <c r="K105" i="6"/>
  <c r="K102" i="5"/>
  <c r="I102" i="5"/>
  <c r="G103" i="5" s="1"/>
  <c r="L108" i="8"/>
  <c r="J108" i="8"/>
  <c r="H109" i="8" s="1"/>
  <c r="J107" i="7"/>
  <c r="H108" i="7" s="1"/>
  <c r="L107" i="7"/>
  <c r="J107" i="6"/>
  <c r="H108" i="6" s="1"/>
  <c r="L107" i="6"/>
  <c r="L107" i="5"/>
  <c r="J107" i="5"/>
  <c r="H108" i="5" s="1"/>
  <c r="I106" i="8" l="1"/>
  <c r="G107" i="8" s="1"/>
  <c r="K106" i="8"/>
  <c r="I106" i="7"/>
  <c r="G107" i="7" s="1"/>
  <c r="K106" i="7"/>
  <c r="I106" i="6"/>
  <c r="G107" i="6" s="1"/>
  <c r="K106" i="6"/>
  <c r="K103" i="5"/>
  <c r="I103" i="5"/>
  <c r="G104" i="5" s="1"/>
  <c r="L109" i="8"/>
  <c r="J109" i="8"/>
  <c r="H110" i="8" s="1"/>
  <c r="J108" i="7"/>
  <c r="H109" i="7" s="1"/>
  <c r="L108" i="7"/>
  <c r="L108" i="6"/>
  <c r="J108" i="6"/>
  <c r="H109" i="6" s="1"/>
  <c r="L108" i="5"/>
  <c r="J108" i="5"/>
  <c r="H109" i="5" s="1"/>
  <c r="I107" i="8" l="1"/>
  <c r="G108" i="8" s="1"/>
  <c r="K107" i="8"/>
  <c r="K107" i="7"/>
  <c r="I107" i="7"/>
  <c r="G108" i="7" s="1"/>
  <c r="I107" i="6"/>
  <c r="G108" i="6" s="1"/>
  <c r="K107" i="6"/>
  <c r="K104" i="5"/>
  <c r="I104" i="5"/>
  <c r="G105" i="5" s="1"/>
  <c r="J110" i="8"/>
  <c r="H111" i="8" s="1"/>
  <c r="L110" i="8"/>
  <c r="L109" i="7"/>
  <c r="J109" i="7"/>
  <c r="H110" i="7" s="1"/>
  <c r="J109" i="6"/>
  <c r="H110" i="6" s="1"/>
  <c r="L109" i="6"/>
  <c r="L109" i="5"/>
  <c r="J109" i="5"/>
  <c r="H110" i="5" s="1"/>
  <c r="K108" i="8" l="1"/>
  <c r="I108" i="8"/>
  <c r="G109" i="8" s="1"/>
  <c r="I108" i="7"/>
  <c r="G109" i="7" s="1"/>
  <c r="K108" i="7"/>
  <c r="K108" i="6"/>
  <c r="I108" i="6"/>
  <c r="G109" i="6" s="1"/>
  <c r="K105" i="5"/>
  <c r="I105" i="5"/>
  <c r="G106" i="5" s="1"/>
  <c r="L111" i="8"/>
  <c r="J111" i="8"/>
  <c r="H112" i="8" s="1"/>
  <c r="L110" i="7"/>
  <c r="J110" i="7"/>
  <c r="H111" i="7" s="1"/>
  <c r="J110" i="6"/>
  <c r="H111" i="6" s="1"/>
  <c r="L110" i="6"/>
  <c r="L110" i="5"/>
  <c r="J110" i="5"/>
  <c r="H111" i="5" s="1"/>
  <c r="K109" i="8" l="1"/>
  <c r="I109" i="8"/>
  <c r="G110" i="8" s="1"/>
  <c r="I109" i="7"/>
  <c r="G110" i="7" s="1"/>
  <c r="K109" i="7"/>
  <c r="I109" i="6"/>
  <c r="G110" i="6" s="1"/>
  <c r="K109" i="6"/>
  <c r="K106" i="5"/>
  <c r="I106" i="5"/>
  <c r="G107" i="5" s="1"/>
  <c r="L112" i="8"/>
  <c r="J112" i="8"/>
  <c r="H113" i="8" s="1"/>
  <c r="J111" i="7"/>
  <c r="H112" i="7" s="1"/>
  <c r="L111" i="7"/>
  <c r="J111" i="6"/>
  <c r="H112" i="6" s="1"/>
  <c r="L111" i="6"/>
  <c r="L111" i="5"/>
  <c r="J111" i="5"/>
  <c r="H112" i="5" s="1"/>
  <c r="K110" i="8" l="1"/>
  <c r="I110" i="8"/>
  <c r="G111" i="8" s="1"/>
  <c r="I110" i="7"/>
  <c r="G111" i="7" s="1"/>
  <c r="K110" i="7"/>
  <c r="I110" i="6"/>
  <c r="G111" i="6" s="1"/>
  <c r="K110" i="6"/>
  <c r="K107" i="5"/>
  <c r="I107" i="5"/>
  <c r="G108" i="5" s="1"/>
  <c r="L113" i="8"/>
  <c r="J113" i="8"/>
  <c r="H114" i="8" s="1"/>
  <c r="L112" i="7"/>
  <c r="J112" i="7"/>
  <c r="H113" i="7" s="1"/>
  <c r="J112" i="6"/>
  <c r="H113" i="6" s="1"/>
  <c r="L112" i="6"/>
  <c r="L112" i="5"/>
  <c r="J112" i="5"/>
  <c r="H113" i="5" s="1"/>
  <c r="I111" i="8" l="1"/>
  <c r="G112" i="8" s="1"/>
  <c r="K111" i="8"/>
  <c r="I111" i="7"/>
  <c r="G112" i="7" s="1"/>
  <c r="K111" i="7"/>
  <c r="I111" i="6"/>
  <c r="G112" i="6" s="1"/>
  <c r="K111" i="6"/>
  <c r="K108" i="5"/>
  <c r="I108" i="5"/>
  <c r="G109" i="5" s="1"/>
  <c r="J114" i="8"/>
  <c r="H115" i="8" s="1"/>
  <c r="L114" i="8"/>
  <c r="J113" i="7"/>
  <c r="H114" i="7" s="1"/>
  <c r="L113" i="7"/>
  <c r="J113" i="6"/>
  <c r="H114" i="6" s="1"/>
  <c r="L113" i="6"/>
  <c r="L113" i="5"/>
  <c r="J113" i="5"/>
  <c r="H114" i="5" s="1"/>
  <c r="I112" i="8" l="1"/>
  <c r="G113" i="8" s="1"/>
  <c r="K112" i="8"/>
  <c r="I112" i="7"/>
  <c r="G113" i="7" s="1"/>
  <c r="K112" i="7"/>
  <c r="K112" i="6"/>
  <c r="I112" i="6"/>
  <c r="G113" i="6" s="1"/>
  <c r="K109" i="5"/>
  <c r="I109" i="5"/>
  <c r="G110" i="5" s="1"/>
  <c r="L115" i="8"/>
  <c r="J115" i="8"/>
  <c r="H116" i="8" s="1"/>
  <c r="J114" i="7"/>
  <c r="H115" i="7" s="1"/>
  <c r="L114" i="7"/>
  <c r="J114" i="6"/>
  <c r="H115" i="6" s="1"/>
  <c r="L114" i="6"/>
  <c r="L114" i="5"/>
  <c r="J114" i="5"/>
  <c r="H115" i="5" s="1"/>
  <c r="I113" i="8" l="1"/>
  <c r="G114" i="8" s="1"/>
  <c r="K113" i="8"/>
  <c r="I113" i="7"/>
  <c r="G114" i="7" s="1"/>
  <c r="K113" i="7"/>
  <c r="I113" i="6"/>
  <c r="G114" i="6" s="1"/>
  <c r="K113" i="6"/>
  <c r="I110" i="5"/>
  <c r="G111" i="5" s="1"/>
  <c r="K110" i="5"/>
  <c r="J116" i="8"/>
  <c r="H117" i="8" s="1"/>
  <c r="L116" i="8"/>
  <c r="J115" i="7"/>
  <c r="H116" i="7" s="1"/>
  <c r="L115" i="7"/>
  <c r="J115" i="6"/>
  <c r="H116" i="6" s="1"/>
  <c r="L115" i="6"/>
  <c r="L115" i="5"/>
  <c r="J115" i="5"/>
  <c r="H116" i="5" s="1"/>
  <c r="I114" i="8" l="1"/>
  <c r="G115" i="8" s="1"/>
  <c r="K114" i="8"/>
  <c r="I114" i="7"/>
  <c r="G115" i="7" s="1"/>
  <c r="K114" i="7"/>
  <c r="I114" i="6"/>
  <c r="G115" i="6" s="1"/>
  <c r="K114" i="6"/>
  <c r="K111" i="5"/>
  <c r="I111" i="5"/>
  <c r="G112" i="5" s="1"/>
  <c r="J117" i="8"/>
  <c r="H118" i="8" s="1"/>
  <c r="L117" i="8"/>
  <c r="J116" i="7"/>
  <c r="H117" i="7" s="1"/>
  <c r="L116" i="7"/>
  <c r="J116" i="6"/>
  <c r="H117" i="6" s="1"/>
  <c r="L116" i="6"/>
  <c r="L116" i="5"/>
  <c r="J116" i="5"/>
  <c r="H117" i="5" s="1"/>
  <c r="K115" i="8" l="1"/>
  <c r="I115" i="8"/>
  <c r="G116" i="8" s="1"/>
  <c r="I115" i="7"/>
  <c r="G116" i="7" s="1"/>
  <c r="K115" i="7"/>
  <c r="K115" i="6"/>
  <c r="I115" i="6"/>
  <c r="G116" i="6" s="1"/>
  <c r="K112" i="5"/>
  <c r="I112" i="5"/>
  <c r="G113" i="5" s="1"/>
  <c r="L118" i="8"/>
  <c r="J118" i="8"/>
  <c r="H119" i="8" s="1"/>
  <c r="J117" i="7"/>
  <c r="H118" i="7" s="1"/>
  <c r="L117" i="7"/>
  <c r="J117" i="6"/>
  <c r="H118" i="6" s="1"/>
  <c r="L117" i="6"/>
  <c r="L117" i="5"/>
  <c r="J117" i="5"/>
  <c r="H118" i="5" s="1"/>
  <c r="K116" i="8" l="1"/>
  <c r="I116" i="8"/>
  <c r="G117" i="8" s="1"/>
  <c r="I116" i="7"/>
  <c r="G117" i="7" s="1"/>
  <c r="K116" i="7"/>
  <c r="K116" i="6"/>
  <c r="I116" i="6"/>
  <c r="G117" i="6" s="1"/>
  <c r="I113" i="5"/>
  <c r="G114" i="5" s="1"/>
  <c r="K113" i="5"/>
  <c r="J119" i="8"/>
  <c r="H120" i="8" s="1"/>
  <c r="L119" i="8"/>
  <c r="J118" i="7"/>
  <c r="H119" i="7" s="1"/>
  <c r="L118" i="7"/>
  <c r="J118" i="6"/>
  <c r="H119" i="6" s="1"/>
  <c r="L118" i="6"/>
  <c r="L118" i="5"/>
  <c r="J118" i="5"/>
  <c r="H119" i="5" s="1"/>
  <c r="K117" i="8" l="1"/>
  <c r="I117" i="8"/>
  <c r="G118" i="8" s="1"/>
  <c r="I117" i="7"/>
  <c r="G118" i="7" s="1"/>
  <c r="K117" i="7"/>
  <c r="I117" i="6"/>
  <c r="G118" i="6" s="1"/>
  <c r="K117" i="6"/>
  <c r="K114" i="5"/>
  <c r="I114" i="5"/>
  <c r="G115" i="5" s="1"/>
  <c r="L120" i="8"/>
  <c r="J120" i="8"/>
  <c r="H121" i="8" s="1"/>
  <c r="L119" i="7"/>
  <c r="J119" i="7"/>
  <c r="H120" i="7" s="1"/>
  <c r="J119" i="6"/>
  <c r="H120" i="6" s="1"/>
  <c r="L119" i="6"/>
  <c r="L119" i="5"/>
  <c r="J119" i="5"/>
  <c r="H120" i="5" s="1"/>
  <c r="I118" i="8" l="1"/>
  <c r="G119" i="8" s="1"/>
  <c r="K118" i="8"/>
  <c r="I118" i="7"/>
  <c r="G119" i="7" s="1"/>
  <c r="K118" i="7"/>
  <c r="K118" i="6"/>
  <c r="I118" i="6"/>
  <c r="G119" i="6" s="1"/>
  <c r="K115" i="5"/>
  <c r="I115" i="5"/>
  <c r="G116" i="5" s="1"/>
  <c r="J121" i="8"/>
  <c r="H122" i="8" s="1"/>
  <c r="L121" i="8"/>
  <c r="L120" i="7"/>
  <c r="J120" i="7"/>
  <c r="H121" i="7" s="1"/>
  <c r="J120" i="6"/>
  <c r="H121" i="6" s="1"/>
  <c r="L120" i="6"/>
  <c r="L120" i="5"/>
  <c r="J120" i="5"/>
  <c r="H121" i="5" s="1"/>
  <c r="I119" i="8" l="1"/>
  <c r="G120" i="8" s="1"/>
  <c r="K119" i="8"/>
  <c r="K119" i="7"/>
  <c r="I119" i="7"/>
  <c r="G120" i="7" s="1"/>
  <c r="I119" i="6"/>
  <c r="G120" i="6" s="1"/>
  <c r="K119" i="6"/>
  <c r="K116" i="5"/>
  <c r="I116" i="5"/>
  <c r="G117" i="5" s="1"/>
  <c r="J122" i="8"/>
  <c r="H123" i="8" s="1"/>
  <c r="L122" i="8"/>
  <c r="J121" i="7"/>
  <c r="H122" i="7" s="1"/>
  <c r="L121" i="7"/>
  <c r="J121" i="6"/>
  <c r="H122" i="6" s="1"/>
  <c r="L121" i="6"/>
  <c r="L121" i="5"/>
  <c r="J121" i="5"/>
  <c r="H122" i="5" s="1"/>
  <c r="K120" i="8" l="1"/>
  <c r="I120" i="8"/>
  <c r="G121" i="8" s="1"/>
  <c r="I120" i="7"/>
  <c r="G121" i="7" s="1"/>
  <c r="K120" i="7"/>
  <c r="I120" i="6"/>
  <c r="G121" i="6" s="1"/>
  <c r="K120" i="6"/>
  <c r="K117" i="5"/>
  <c r="I117" i="5"/>
  <c r="G118" i="5" s="1"/>
  <c r="J123" i="8"/>
  <c r="H124" i="8" s="1"/>
  <c r="L123" i="8"/>
  <c r="J122" i="7"/>
  <c r="H123" i="7" s="1"/>
  <c r="L122" i="7"/>
  <c r="J122" i="6"/>
  <c r="H123" i="6" s="1"/>
  <c r="L122" i="6"/>
  <c r="L122" i="5"/>
  <c r="J122" i="5"/>
  <c r="H123" i="5" s="1"/>
  <c r="K121" i="8" l="1"/>
  <c r="I121" i="8"/>
  <c r="G122" i="8" s="1"/>
  <c r="I121" i="6"/>
  <c r="G122" i="6" s="1"/>
  <c r="K121" i="6"/>
  <c r="I121" i="7"/>
  <c r="G122" i="7" s="1"/>
  <c r="K121" i="7"/>
  <c r="K118" i="5"/>
  <c r="I118" i="5"/>
  <c r="G119" i="5" s="1"/>
  <c r="L124" i="8"/>
  <c r="J124" i="8"/>
  <c r="J123" i="7"/>
  <c r="H124" i="7" s="1"/>
  <c r="L123" i="7"/>
  <c r="J123" i="6"/>
  <c r="H124" i="6" s="1"/>
  <c r="L123" i="6"/>
  <c r="L123" i="5"/>
  <c r="J123" i="5"/>
  <c r="H124" i="5" s="1"/>
  <c r="I122" i="8" l="1"/>
  <c r="G123" i="8" s="1"/>
  <c r="K122" i="8"/>
  <c r="K122" i="6"/>
  <c r="I122" i="6"/>
  <c r="G123" i="6" s="1"/>
  <c r="I122" i="7"/>
  <c r="G123" i="7" s="1"/>
  <c r="K122" i="7"/>
  <c r="K119" i="5"/>
  <c r="I119" i="5"/>
  <c r="G120" i="5" s="1"/>
  <c r="J124" i="7"/>
  <c r="L124" i="7"/>
  <c r="J124" i="6"/>
  <c r="L124" i="6"/>
  <c r="L124" i="5"/>
  <c r="J124" i="5"/>
  <c r="I123" i="8" l="1"/>
  <c r="G124" i="8" s="1"/>
  <c r="K123" i="8"/>
  <c r="I123" i="6"/>
  <c r="G124" i="6" s="1"/>
  <c r="K123" i="6"/>
  <c r="I123" i="7"/>
  <c r="G124" i="7" s="1"/>
  <c r="K123" i="7"/>
  <c r="K120" i="5"/>
  <c r="I120" i="5"/>
  <c r="G121" i="5" s="1"/>
  <c r="L86" i="8"/>
  <c r="L84" i="8"/>
  <c r="L85" i="8"/>
  <c r="L83" i="8"/>
  <c r="L82" i="8"/>
  <c r="L79" i="7"/>
  <c r="L78" i="7"/>
  <c r="L77" i="7"/>
  <c r="L72" i="6"/>
  <c r="I124" i="8" l="1"/>
  <c r="K124" i="8"/>
  <c r="B126" i="8" s="1"/>
  <c r="M65" i="8" s="1"/>
  <c r="O65" i="8" s="1"/>
  <c r="I124" i="6"/>
  <c r="K124" i="6"/>
  <c r="B126" i="6" s="1"/>
  <c r="I124" i="7"/>
  <c r="K124" i="7"/>
  <c r="B126" i="7" s="1"/>
  <c r="M65" i="7" s="1"/>
  <c r="O65" i="7" s="1"/>
  <c r="K121" i="5"/>
  <c r="I121" i="5"/>
  <c r="G122" i="5" s="1"/>
  <c r="B127" i="7"/>
  <c r="B127" i="8"/>
  <c r="L75" i="6" l="1"/>
  <c r="L74" i="6"/>
  <c r="L73" i="6"/>
  <c r="L76" i="6"/>
  <c r="L78" i="6"/>
  <c r="L77" i="6"/>
  <c r="L67" i="6"/>
  <c r="L68" i="6"/>
  <c r="L69" i="6"/>
  <c r="L70" i="6"/>
  <c r="M65" i="6"/>
  <c r="O65" i="6" s="1"/>
  <c r="L79" i="6"/>
  <c r="L80" i="6"/>
  <c r="L81" i="6"/>
  <c r="L82" i="6"/>
  <c r="L83" i="6"/>
  <c r="L84" i="6"/>
  <c r="I122" i="5"/>
  <c r="G123" i="5" s="1"/>
  <c r="K122" i="5"/>
  <c r="N116" i="7"/>
  <c r="N121" i="7"/>
  <c r="N93" i="7"/>
  <c r="N103" i="7"/>
  <c r="N109" i="7"/>
  <c r="N113" i="7"/>
  <c r="N119" i="7"/>
  <c r="N122" i="7"/>
  <c r="N94" i="7"/>
  <c r="N97" i="7"/>
  <c r="N101" i="7"/>
  <c r="N107" i="7"/>
  <c r="N114" i="7"/>
  <c r="N115" i="7"/>
  <c r="N120" i="7"/>
  <c r="N124" i="7"/>
  <c r="N79" i="7"/>
  <c r="N77" i="7"/>
  <c r="N89" i="7"/>
  <c r="N75" i="7"/>
  <c r="N88" i="7"/>
  <c r="N74" i="7"/>
  <c r="N73" i="7"/>
  <c r="N90" i="7"/>
  <c r="N96" i="7"/>
  <c r="N99" i="7"/>
  <c r="N102" i="7"/>
  <c r="N106" i="7"/>
  <c r="N110" i="7"/>
  <c r="N118" i="7"/>
  <c r="N123" i="7"/>
  <c r="N65" i="7"/>
  <c r="P65" i="7" s="1"/>
  <c r="M66" i="7" s="1"/>
  <c r="N92" i="7"/>
  <c r="N95" i="7"/>
  <c r="N100" i="7"/>
  <c r="N104" i="7"/>
  <c r="N108" i="7"/>
  <c r="N112" i="7"/>
  <c r="N117" i="7"/>
  <c r="N80" i="7"/>
  <c r="N78" i="7"/>
  <c r="N66" i="7"/>
  <c r="N68" i="7"/>
  <c r="N98" i="7"/>
  <c r="N111" i="7"/>
  <c r="N86" i="7"/>
  <c r="N72" i="7"/>
  <c r="N85" i="7"/>
  <c r="N71" i="7"/>
  <c r="N84" i="7"/>
  <c r="N70" i="7"/>
  <c r="N83" i="7"/>
  <c r="N69" i="7"/>
  <c r="N82" i="7"/>
  <c r="N81" i="7"/>
  <c r="N67" i="7"/>
  <c r="N91" i="7"/>
  <c r="N105" i="7"/>
  <c r="N87" i="7"/>
  <c r="N76" i="7"/>
  <c r="N65" i="8"/>
  <c r="P65" i="8" s="1"/>
  <c r="M66" i="8" s="1"/>
  <c r="N84" i="8"/>
  <c r="N67" i="8"/>
  <c r="N85" i="8"/>
  <c r="N88" i="8"/>
  <c r="N68" i="8"/>
  <c r="N70" i="8"/>
  <c r="N80" i="8"/>
  <c r="N107" i="8"/>
  <c r="N110" i="8"/>
  <c r="N113" i="8"/>
  <c r="N115" i="8"/>
  <c r="N123" i="8"/>
  <c r="N75" i="8"/>
  <c r="N120" i="8"/>
  <c r="N116" i="8"/>
  <c r="N81" i="8"/>
  <c r="N73" i="8"/>
  <c r="N79" i="8"/>
  <c r="N94" i="8"/>
  <c r="N100" i="8"/>
  <c r="N92" i="8"/>
  <c r="N101" i="8"/>
  <c r="N104" i="8"/>
  <c r="N77" i="8"/>
  <c r="N66" i="8"/>
  <c r="N86" i="8"/>
  <c r="N87" i="8"/>
  <c r="N89" i="8"/>
  <c r="N69" i="8"/>
  <c r="N71" i="8"/>
  <c r="N83" i="8"/>
  <c r="N109" i="8"/>
  <c r="N112" i="8"/>
  <c r="N114" i="8"/>
  <c r="N122" i="8"/>
  <c r="N78" i="8"/>
  <c r="N117" i="8"/>
  <c r="N121" i="8"/>
  <c r="N119" i="8"/>
  <c r="N93" i="8"/>
  <c r="N102" i="8"/>
  <c r="N74" i="8"/>
  <c r="N90" i="8"/>
  <c r="N91" i="8"/>
  <c r="N103" i="8"/>
  <c r="N97" i="8"/>
  <c r="N105" i="8"/>
  <c r="N98" i="8"/>
  <c r="N106" i="8"/>
  <c r="N82" i="8"/>
  <c r="N72" i="8"/>
  <c r="N108" i="8"/>
  <c r="N111" i="8"/>
  <c r="N118" i="8"/>
  <c r="N124" i="8"/>
  <c r="N99" i="8"/>
  <c r="N95" i="8"/>
  <c r="N76" i="8"/>
  <c r="N96" i="8"/>
  <c r="O66" i="7"/>
  <c r="B127" i="6" l="1"/>
  <c r="I123" i="5"/>
  <c r="G124" i="5" s="1"/>
  <c r="K123" i="5"/>
  <c r="P66" i="7"/>
  <c r="M67" i="7" s="1"/>
  <c r="O66" i="8"/>
  <c r="P66" i="8" s="1"/>
  <c r="M67" i="8" s="1"/>
  <c r="O67" i="7"/>
  <c r="N104" i="6" l="1"/>
  <c r="N103" i="6"/>
  <c r="N100" i="6"/>
  <c r="N99" i="6"/>
  <c r="N115" i="6"/>
  <c r="N110" i="6"/>
  <c r="N84" i="6"/>
  <c r="N112" i="6"/>
  <c r="N111" i="6"/>
  <c r="N68" i="6"/>
  <c r="N82" i="6"/>
  <c r="N87" i="6"/>
  <c r="N83" i="6"/>
  <c r="N66" i="6"/>
  <c r="N108" i="6"/>
  <c r="N94" i="6"/>
  <c r="N93" i="6"/>
  <c r="N69" i="6"/>
  <c r="N119" i="6"/>
  <c r="N118" i="6"/>
  <c r="N88" i="6"/>
  <c r="N78" i="6"/>
  <c r="N79" i="6"/>
  <c r="N90" i="6"/>
  <c r="N105" i="6"/>
  <c r="N86" i="6"/>
  <c r="N120" i="6"/>
  <c r="N122" i="6"/>
  <c r="N113" i="6"/>
  <c r="N98" i="6"/>
  <c r="N97" i="6"/>
  <c r="N117" i="6"/>
  <c r="N85" i="6"/>
  <c r="N67" i="6"/>
  <c r="N70" i="6"/>
  <c r="N109" i="6"/>
  <c r="N107" i="6"/>
  <c r="N106" i="6"/>
  <c r="N102" i="6"/>
  <c r="N101" i="6"/>
  <c r="N124" i="6"/>
  <c r="N123" i="6"/>
  <c r="N77" i="6"/>
  <c r="N89" i="6"/>
  <c r="N80" i="6"/>
  <c r="N121" i="6"/>
  <c r="N72" i="6"/>
  <c r="N116" i="6"/>
  <c r="N114" i="6"/>
  <c r="N92" i="6"/>
  <c r="N91" i="6"/>
  <c r="N96" i="6"/>
  <c r="N95" i="6"/>
  <c r="N81" i="6"/>
  <c r="N74" i="6"/>
  <c r="N71" i="6"/>
  <c r="N75" i="6"/>
  <c r="N76" i="6"/>
  <c r="N65" i="6"/>
  <c r="P65" i="6" s="1"/>
  <c r="M66" i="6" s="1"/>
  <c r="O66" i="6" s="1"/>
  <c r="N73" i="6"/>
  <c r="K124" i="5"/>
  <c r="B126" i="5" s="1"/>
  <c r="I124" i="5"/>
  <c r="P67" i="7"/>
  <c r="M68" i="7" s="1"/>
  <c r="O67" i="8"/>
  <c r="P67" i="8" s="1"/>
  <c r="M68" i="8" s="1"/>
  <c r="O68" i="7"/>
  <c r="L77" i="5"/>
  <c r="L80" i="5" l="1"/>
  <c r="L79" i="5"/>
  <c r="L78" i="5"/>
  <c r="P66" i="6"/>
  <c r="M67" i="6" s="1"/>
  <c r="O67" i="6" s="1"/>
  <c r="P67" i="6" s="1"/>
  <c r="M68" i="6" s="1"/>
  <c r="L76" i="5"/>
  <c r="L75" i="5"/>
  <c r="L81" i="5"/>
  <c r="L72" i="5"/>
  <c r="L73" i="5"/>
  <c r="L74" i="5"/>
  <c r="L86" i="5"/>
  <c r="L87" i="5"/>
  <c r="L88" i="5"/>
  <c r="L68" i="5"/>
  <c r="L82" i="5"/>
  <c r="L83" i="5"/>
  <c r="L84" i="5"/>
  <c r="L85" i="5"/>
  <c r="L67" i="5"/>
  <c r="L66" i="5"/>
  <c r="L69" i="5"/>
  <c r="L70" i="5"/>
  <c r="L71" i="5"/>
  <c r="C6" i="3"/>
  <c r="M65" i="5"/>
  <c r="P68" i="7"/>
  <c r="M69" i="7" s="1"/>
  <c r="O68" i="8"/>
  <c r="P68" i="8" s="1"/>
  <c r="M69" i="8" s="1"/>
  <c r="O69" i="7"/>
  <c r="B127" i="5" l="1"/>
  <c r="O68" i="6"/>
  <c r="P68" i="6" s="1"/>
  <c r="M69" i="6" s="1"/>
  <c r="O65" i="5"/>
  <c r="F32" i="3" s="1"/>
  <c r="D32" i="3"/>
  <c r="D6" i="3"/>
  <c r="B93" i="3"/>
  <c r="P69" i="7"/>
  <c r="M70" i="7" s="1"/>
  <c r="O69" i="8"/>
  <c r="P69" i="8" s="1"/>
  <c r="M70" i="8" s="1"/>
  <c r="O70" i="7"/>
  <c r="N74" i="5" l="1"/>
  <c r="E41" i="3" s="1"/>
  <c r="Y41" i="3" s="1"/>
  <c r="N73" i="5"/>
  <c r="E40" i="3" s="1"/>
  <c r="Y40" i="3" s="1"/>
  <c r="N66" i="5"/>
  <c r="E33" i="3" s="1"/>
  <c r="Y33" i="3" s="1"/>
  <c r="N112" i="5"/>
  <c r="N101" i="5"/>
  <c r="N98" i="5"/>
  <c r="N100" i="5"/>
  <c r="N121" i="5"/>
  <c r="N103" i="5"/>
  <c r="N99" i="5"/>
  <c r="N95" i="5"/>
  <c r="N91" i="5"/>
  <c r="N90" i="5"/>
  <c r="N88" i="5"/>
  <c r="E55" i="3" s="1"/>
  <c r="Y55" i="3" s="1"/>
  <c r="N122" i="5"/>
  <c r="N120" i="5"/>
  <c r="N85" i="5"/>
  <c r="E52" i="3" s="1"/>
  <c r="Y52" i="3" s="1"/>
  <c r="N78" i="5"/>
  <c r="E45" i="3" s="1"/>
  <c r="Y45" i="3" s="1"/>
  <c r="N113" i="5"/>
  <c r="N94" i="5"/>
  <c r="N105" i="5"/>
  <c r="N106" i="5"/>
  <c r="N110" i="5"/>
  <c r="N96" i="5"/>
  <c r="N70" i="5"/>
  <c r="E37" i="3" s="1"/>
  <c r="Y37" i="3" s="1"/>
  <c r="N123" i="5"/>
  <c r="N117" i="5"/>
  <c r="N116" i="5"/>
  <c r="N76" i="5"/>
  <c r="E43" i="3" s="1"/>
  <c r="Y43" i="3" s="1"/>
  <c r="N111" i="5"/>
  <c r="N109" i="5"/>
  <c r="N104" i="5"/>
  <c r="N82" i="5"/>
  <c r="E49" i="3" s="1"/>
  <c r="Y49" i="3" s="1"/>
  <c r="N124" i="5"/>
  <c r="N108" i="5"/>
  <c r="N86" i="5"/>
  <c r="E53" i="3" s="1"/>
  <c r="Y53" i="3" s="1"/>
  <c r="N115" i="5"/>
  <c r="N83" i="5"/>
  <c r="E50" i="3" s="1"/>
  <c r="Y50" i="3" s="1"/>
  <c r="N84" i="5"/>
  <c r="E51" i="3" s="1"/>
  <c r="Y51" i="3" s="1"/>
  <c r="N87" i="5"/>
  <c r="E54" i="3" s="1"/>
  <c r="Y54" i="3" s="1"/>
  <c r="N81" i="5"/>
  <c r="E48" i="3" s="1"/>
  <c r="Y48" i="3" s="1"/>
  <c r="N65" i="5"/>
  <c r="P65" i="5" s="1"/>
  <c r="N79" i="5"/>
  <c r="E46" i="3" s="1"/>
  <c r="Y46" i="3" s="1"/>
  <c r="N71" i="5"/>
  <c r="E38" i="3" s="1"/>
  <c r="Y38" i="3" s="1"/>
  <c r="N69" i="5"/>
  <c r="E36" i="3" s="1"/>
  <c r="Y36" i="3" s="1"/>
  <c r="N67" i="5"/>
  <c r="E34" i="3" s="1"/>
  <c r="Y34" i="3" s="1"/>
  <c r="N80" i="5"/>
  <c r="E47" i="3" s="1"/>
  <c r="Y47" i="3" s="1"/>
  <c r="N77" i="5"/>
  <c r="E44" i="3" s="1"/>
  <c r="Y44" i="3" s="1"/>
  <c r="N118" i="5"/>
  <c r="N114" i="5"/>
  <c r="N102" i="5"/>
  <c r="N97" i="5"/>
  <c r="N89" i="5"/>
  <c r="N92" i="5"/>
  <c r="N72" i="5"/>
  <c r="E39" i="3" s="1"/>
  <c r="Y39" i="3" s="1"/>
  <c r="N68" i="5"/>
  <c r="E35" i="3" s="1"/>
  <c r="Y35" i="3" s="1"/>
  <c r="N119" i="5"/>
  <c r="N107" i="5"/>
  <c r="N93" i="5"/>
  <c r="N75" i="5"/>
  <c r="E42" i="3" s="1"/>
  <c r="Y42" i="3" s="1"/>
  <c r="O69" i="6"/>
  <c r="P69" i="6" s="1"/>
  <c r="M70" i="6" s="1"/>
  <c r="P70" i="7"/>
  <c r="M71" i="7" s="1"/>
  <c r="O70" i="8"/>
  <c r="P70" i="8" s="1"/>
  <c r="M71" i="8" s="1"/>
  <c r="O71" i="7"/>
  <c r="C5" i="3" l="1"/>
  <c r="E32" i="3"/>
  <c r="Y32" i="3" s="1"/>
  <c r="O70" i="6"/>
  <c r="P70" i="6" s="1"/>
  <c r="M71" i="6" s="1"/>
  <c r="P71" i="7"/>
  <c r="M72" i="7" s="1"/>
  <c r="O71" i="8"/>
  <c r="P71" i="8" s="1"/>
  <c r="M72" i="8" s="1"/>
  <c r="O72" i="7"/>
  <c r="M66" i="5"/>
  <c r="H32" i="3"/>
  <c r="O71" i="6" l="1"/>
  <c r="P71" i="6" s="1"/>
  <c r="M72" i="6" s="1"/>
  <c r="P72" i="7"/>
  <c r="M73" i="7" s="1"/>
  <c r="O72" i="8"/>
  <c r="P72" i="8" s="1"/>
  <c r="M73" i="8" s="1"/>
  <c r="O73" i="7"/>
  <c r="O66" i="5"/>
  <c r="D33" i="3"/>
  <c r="O72" i="6" l="1"/>
  <c r="P72" i="6" s="1"/>
  <c r="M73" i="6" s="1"/>
  <c r="P73" i="7"/>
  <c r="M74" i="7" s="1"/>
  <c r="O73" i="8"/>
  <c r="P73" i="8" s="1"/>
  <c r="M74" i="8" s="1"/>
  <c r="O74" i="7"/>
  <c r="P66" i="5"/>
  <c r="F33" i="3"/>
  <c r="O73" i="6" l="1"/>
  <c r="P73" i="6" s="1"/>
  <c r="M74" i="6" s="1"/>
  <c r="P74" i="7"/>
  <c r="M75" i="7" s="1"/>
  <c r="O74" i="8"/>
  <c r="P74" i="8" s="1"/>
  <c r="M75" i="8" s="1"/>
  <c r="O75" i="7"/>
  <c r="H33" i="3"/>
  <c r="M67" i="5"/>
  <c r="O74" i="6" l="1"/>
  <c r="P74" i="6" s="1"/>
  <c r="M75" i="6" s="1"/>
  <c r="O75" i="6" s="1"/>
  <c r="P75" i="6" s="1"/>
  <c r="M76" i="6" s="1"/>
  <c r="O76" i="6" s="1"/>
  <c r="P75" i="7"/>
  <c r="M76" i="7" s="1"/>
  <c r="O75" i="8"/>
  <c r="P75" i="8" s="1"/>
  <c r="M76" i="8" s="1"/>
  <c r="O76" i="7"/>
  <c r="D34" i="3"/>
  <c r="O67" i="5"/>
  <c r="P76" i="6" l="1"/>
  <c r="M77" i="6" s="1"/>
  <c r="O77" i="6" s="1"/>
  <c r="P76" i="7"/>
  <c r="M77" i="7" s="1"/>
  <c r="O76" i="8"/>
  <c r="P76" i="8" s="1"/>
  <c r="M77" i="8" s="1"/>
  <c r="O77" i="7"/>
  <c r="F34" i="3"/>
  <c r="P67" i="5"/>
  <c r="P77" i="6" l="1"/>
  <c r="M78" i="6" s="1"/>
  <c r="O78" i="6" s="1"/>
  <c r="P77" i="7"/>
  <c r="M78" i="7" s="1"/>
  <c r="O77" i="8"/>
  <c r="P77" i="8" s="1"/>
  <c r="M78" i="8" s="1"/>
  <c r="O78" i="7"/>
  <c r="H34" i="3"/>
  <c r="M68" i="5"/>
  <c r="P78" i="6" l="1"/>
  <c r="M79" i="6" s="1"/>
  <c r="O79" i="6" s="1"/>
  <c r="P78" i="7"/>
  <c r="M79" i="7" s="1"/>
  <c r="O78" i="8"/>
  <c r="P78" i="8" s="1"/>
  <c r="M79" i="8" s="1"/>
  <c r="O79" i="7"/>
  <c r="O68" i="5"/>
  <c r="D35" i="3"/>
  <c r="P79" i="6" l="1"/>
  <c r="M80" i="6" s="1"/>
  <c r="O80" i="6" s="1"/>
  <c r="P80" i="6" s="1"/>
  <c r="M81" i="6" s="1"/>
  <c r="P79" i="7"/>
  <c r="M80" i="7" s="1"/>
  <c r="P80" i="7" s="1"/>
  <c r="M81" i="7" s="1"/>
  <c r="P81" i="7" s="1"/>
  <c r="M82" i="7" s="1"/>
  <c r="P82" i="7" s="1"/>
  <c r="M83" i="7" s="1"/>
  <c r="P83" i="7" s="1"/>
  <c r="M84" i="7" s="1"/>
  <c r="P84" i="7" s="1"/>
  <c r="M85" i="7" s="1"/>
  <c r="P85" i="7" s="1"/>
  <c r="M86" i="7" s="1"/>
  <c r="P86" i="7" s="1"/>
  <c r="M87" i="7" s="1"/>
  <c r="P87" i="7" s="1"/>
  <c r="M88" i="7" s="1"/>
  <c r="P88" i="7" s="1"/>
  <c r="M89" i="7" s="1"/>
  <c r="P89" i="7" s="1"/>
  <c r="M90" i="7" s="1"/>
  <c r="P90" i="7" s="1"/>
  <c r="M91" i="7" s="1"/>
  <c r="P91" i="7" s="1"/>
  <c r="M92" i="7" s="1"/>
  <c r="P92" i="7" s="1"/>
  <c r="M93" i="7" s="1"/>
  <c r="P93" i="7" s="1"/>
  <c r="M94" i="7" s="1"/>
  <c r="P94" i="7" s="1"/>
  <c r="M95" i="7" s="1"/>
  <c r="P95" i="7" s="1"/>
  <c r="M96" i="7" s="1"/>
  <c r="P96" i="7" s="1"/>
  <c r="M97" i="7" s="1"/>
  <c r="P97" i="7" s="1"/>
  <c r="M98" i="7" s="1"/>
  <c r="P98" i="7" s="1"/>
  <c r="M99" i="7" s="1"/>
  <c r="P99" i="7" s="1"/>
  <c r="M100" i="7" s="1"/>
  <c r="P100" i="7" s="1"/>
  <c r="M101" i="7" s="1"/>
  <c r="P101" i="7" s="1"/>
  <c r="M102" i="7" s="1"/>
  <c r="P102" i="7" s="1"/>
  <c r="M103" i="7" s="1"/>
  <c r="P103" i="7" s="1"/>
  <c r="M104" i="7" s="1"/>
  <c r="P104" i="7" s="1"/>
  <c r="M105" i="7" s="1"/>
  <c r="P105" i="7" s="1"/>
  <c r="M106" i="7" s="1"/>
  <c r="P106" i="7" s="1"/>
  <c r="M107" i="7" s="1"/>
  <c r="P107" i="7" s="1"/>
  <c r="M108" i="7" s="1"/>
  <c r="P108" i="7" s="1"/>
  <c r="M109" i="7" s="1"/>
  <c r="P109" i="7" s="1"/>
  <c r="M110" i="7" s="1"/>
  <c r="P110" i="7" s="1"/>
  <c r="M111" i="7" s="1"/>
  <c r="P111" i="7" s="1"/>
  <c r="M112" i="7" s="1"/>
  <c r="P112" i="7" s="1"/>
  <c r="M113" i="7" s="1"/>
  <c r="P113" i="7" s="1"/>
  <c r="M114" i="7" s="1"/>
  <c r="P114" i="7" s="1"/>
  <c r="M115" i="7" s="1"/>
  <c r="P115" i="7" s="1"/>
  <c r="M116" i="7" s="1"/>
  <c r="P116" i="7" s="1"/>
  <c r="M117" i="7" s="1"/>
  <c r="P117" i="7" s="1"/>
  <c r="M118" i="7" s="1"/>
  <c r="P118" i="7" s="1"/>
  <c r="M119" i="7" s="1"/>
  <c r="P119" i="7" s="1"/>
  <c r="M120" i="7" s="1"/>
  <c r="P120" i="7" s="1"/>
  <c r="M121" i="7" s="1"/>
  <c r="P121" i="7" s="1"/>
  <c r="M122" i="7" s="1"/>
  <c r="P122" i="7" s="1"/>
  <c r="M123" i="7" s="1"/>
  <c r="P123" i="7" s="1"/>
  <c r="M124" i="7" s="1"/>
  <c r="P124" i="7" s="1"/>
  <c r="O79" i="8"/>
  <c r="P79" i="8" s="1"/>
  <c r="M80" i="8" s="1"/>
  <c r="F35" i="3"/>
  <c r="P68" i="5"/>
  <c r="O81" i="6" l="1"/>
  <c r="P81" i="6" s="1"/>
  <c r="M82" i="6" s="1"/>
  <c r="O80" i="8"/>
  <c r="P80" i="8" s="1"/>
  <c r="M81" i="8" s="1"/>
  <c r="H35" i="3"/>
  <c r="M69" i="5"/>
  <c r="O82" i="6" l="1"/>
  <c r="P82" i="6" s="1"/>
  <c r="M83" i="6" s="1"/>
  <c r="O81" i="8"/>
  <c r="P81" i="8" s="1"/>
  <c r="M82" i="8" s="1"/>
  <c r="O69" i="5"/>
  <c r="D36" i="3"/>
  <c r="O83" i="6" l="1"/>
  <c r="P83" i="6" s="1"/>
  <c r="M84" i="6" s="1"/>
  <c r="O82" i="8"/>
  <c r="P69" i="5"/>
  <c r="F36" i="3"/>
  <c r="O84" i="6" l="1"/>
  <c r="P84" i="6" s="1"/>
  <c r="M85" i="6" s="1"/>
  <c r="P85" i="6" s="1"/>
  <c r="M86" i="6" s="1"/>
  <c r="P86" i="6" s="1"/>
  <c r="M87" i="6" s="1"/>
  <c r="P87" i="6" s="1"/>
  <c r="M88" i="6" s="1"/>
  <c r="P88" i="6" s="1"/>
  <c r="M89" i="6" s="1"/>
  <c r="P89" i="6" s="1"/>
  <c r="M90" i="6" s="1"/>
  <c r="P90" i="6" s="1"/>
  <c r="M91" i="6" s="1"/>
  <c r="P91" i="6" s="1"/>
  <c r="M92" i="6" s="1"/>
  <c r="P92" i="6" s="1"/>
  <c r="M93" i="6" s="1"/>
  <c r="P93" i="6" s="1"/>
  <c r="M94" i="6" s="1"/>
  <c r="P94" i="6" s="1"/>
  <c r="M95" i="6" s="1"/>
  <c r="P95" i="6" s="1"/>
  <c r="M96" i="6" s="1"/>
  <c r="P96" i="6" s="1"/>
  <c r="M97" i="6" s="1"/>
  <c r="P97" i="6" s="1"/>
  <c r="M98" i="6" s="1"/>
  <c r="P98" i="6" s="1"/>
  <c r="M99" i="6" s="1"/>
  <c r="P99" i="6" s="1"/>
  <c r="M100" i="6" s="1"/>
  <c r="P100" i="6" s="1"/>
  <c r="M101" i="6" s="1"/>
  <c r="P101" i="6" s="1"/>
  <c r="M102" i="6" s="1"/>
  <c r="P102" i="6" s="1"/>
  <c r="M103" i="6" s="1"/>
  <c r="P103" i="6" s="1"/>
  <c r="M104" i="6" s="1"/>
  <c r="P104" i="6" s="1"/>
  <c r="M105" i="6" s="1"/>
  <c r="P105" i="6" s="1"/>
  <c r="M106" i="6" s="1"/>
  <c r="P106" i="6" s="1"/>
  <c r="M107" i="6" s="1"/>
  <c r="P107" i="6" s="1"/>
  <c r="M108" i="6" s="1"/>
  <c r="P108" i="6" s="1"/>
  <c r="M109" i="6" s="1"/>
  <c r="P109" i="6" s="1"/>
  <c r="M110" i="6" s="1"/>
  <c r="P110" i="6" s="1"/>
  <c r="M111" i="6" s="1"/>
  <c r="P111" i="6" s="1"/>
  <c r="M112" i="6" s="1"/>
  <c r="P112" i="6" s="1"/>
  <c r="M113" i="6" s="1"/>
  <c r="P113" i="6" s="1"/>
  <c r="M114" i="6" s="1"/>
  <c r="P114" i="6" s="1"/>
  <c r="M115" i="6" s="1"/>
  <c r="P115" i="6" s="1"/>
  <c r="M116" i="6" s="1"/>
  <c r="P116" i="6" s="1"/>
  <c r="M117" i="6" s="1"/>
  <c r="P117" i="6" s="1"/>
  <c r="M118" i="6" s="1"/>
  <c r="P118" i="6" s="1"/>
  <c r="M119" i="6" s="1"/>
  <c r="P119" i="6" s="1"/>
  <c r="M120" i="6" s="1"/>
  <c r="P120" i="6" s="1"/>
  <c r="M121" i="6" s="1"/>
  <c r="P121" i="6" s="1"/>
  <c r="M122" i="6" s="1"/>
  <c r="P122" i="6" s="1"/>
  <c r="M123" i="6" s="1"/>
  <c r="P123" i="6" s="1"/>
  <c r="M124" i="6" s="1"/>
  <c r="P124" i="6" s="1"/>
  <c r="P82" i="8"/>
  <c r="H36" i="3"/>
  <c r="M70" i="5"/>
  <c r="M83" i="8" l="1"/>
  <c r="D37" i="3"/>
  <c r="O70" i="5"/>
  <c r="O83" i="8" l="1"/>
  <c r="F37" i="3"/>
  <c r="P70" i="5"/>
  <c r="P83" i="8" l="1"/>
  <c r="M71" i="5"/>
  <c r="H37" i="3"/>
  <c r="M84" i="8" l="1"/>
  <c r="D38" i="3"/>
  <c r="O71" i="5"/>
  <c r="O84" i="8" l="1"/>
  <c r="F38" i="3"/>
  <c r="P71" i="5"/>
  <c r="P84" i="8" l="1"/>
  <c r="M72" i="5"/>
  <c r="H38" i="3"/>
  <c r="M85" i="8" l="1"/>
  <c r="D39" i="3"/>
  <c r="O72" i="5"/>
  <c r="O85" i="8" l="1"/>
  <c r="F39" i="3"/>
  <c r="P72" i="5"/>
  <c r="P85" i="8" l="1"/>
  <c r="M86" i="8" s="1"/>
  <c r="H39" i="3"/>
  <c r="M73" i="5"/>
  <c r="O86" i="8" l="1"/>
  <c r="O73" i="5"/>
  <c r="D40" i="3"/>
  <c r="P86" i="8" l="1"/>
  <c r="M87" i="8" s="1"/>
  <c r="P87" i="8" s="1"/>
  <c r="M88" i="8" s="1"/>
  <c r="P88" i="8" s="1"/>
  <c r="M89" i="8" s="1"/>
  <c r="P89" i="8" s="1"/>
  <c r="M90" i="8" s="1"/>
  <c r="P90" i="8" s="1"/>
  <c r="M91" i="8" s="1"/>
  <c r="P91" i="8" s="1"/>
  <c r="M92" i="8" s="1"/>
  <c r="P92" i="8" s="1"/>
  <c r="M93" i="8" s="1"/>
  <c r="P93" i="8" s="1"/>
  <c r="M94" i="8" s="1"/>
  <c r="P94" i="8" s="1"/>
  <c r="M95" i="8" s="1"/>
  <c r="P95" i="8" s="1"/>
  <c r="M96" i="8" s="1"/>
  <c r="P96" i="8" s="1"/>
  <c r="M97" i="8" s="1"/>
  <c r="P97" i="8" s="1"/>
  <c r="M98" i="8" s="1"/>
  <c r="P98" i="8" s="1"/>
  <c r="M99" i="8" s="1"/>
  <c r="P99" i="8" s="1"/>
  <c r="M100" i="8" s="1"/>
  <c r="P100" i="8" s="1"/>
  <c r="M101" i="8" s="1"/>
  <c r="P101" i="8" s="1"/>
  <c r="M102" i="8" s="1"/>
  <c r="P102" i="8" s="1"/>
  <c r="M103" i="8" s="1"/>
  <c r="P103" i="8" s="1"/>
  <c r="M104" i="8" s="1"/>
  <c r="P104" i="8" s="1"/>
  <c r="M105" i="8" s="1"/>
  <c r="P105" i="8" s="1"/>
  <c r="M106" i="8" s="1"/>
  <c r="P106" i="8" s="1"/>
  <c r="M107" i="8" s="1"/>
  <c r="P107" i="8" s="1"/>
  <c r="M108" i="8" s="1"/>
  <c r="P108" i="8" s="1"/>
  <c r="M109" i="8" s="1"/>
  <c r="P109" i="8" s="1"/>
  <c r="M110" i="8" s="1"/>
  <c r="P110" i="8" s="1"/>
  <c r="M111" i="8" s="1"/>
  <c r="P111" i="8" s="1"/>
  <c r="M112" i="8" s="1"/>
  <c r="P112" i="8" s="1"/>
  <c r="M113" i="8" s="1"/>
  <c r="P113" i="8" s="1"/>
  <c r="M114" i="8" s="1"/>
  <c r="P114" i="8" s="1"/>
  <c r="M115" i="8" s="1"/>
  <c r="P115" i="8" s="1"/>
  <c r="M116" i="8" s="1"/>
  <c r="P116" i="8" s="1"/>
  <c r="M117" i="8" s="1"/>
  <c r="P117" i="8" s="1"/>
  <c r="M118" i="8" s="1"/>
  <c r="P118" i="8" s="1"/>
  <c r="M119" i="8" s="1"/>
  <c r="P119" i="8" s="1"/>
  <c r="M120" i="8" s="1"/>
  <c r="P120" i="8" s="1"/>
  <c r="M121" i="8" s="1"/>
  <c r="P121" i="8" s="1"/>
  <c r="M122" i="8" s="1"/>
  <c r="P122" i="8" s="1"/>
  <c r="M123" i="8" s="1"/>
  <c r="P123" i="8" s="1"/>
  <c r="M124" i="8" s="1"/>
  <c r="P124" i="8" s="1"/>
  <c r="P73" i="5"/>
  <c r="F40" i="3"/>
  <c r="M74" i="5" l="1"/>
  <c r="H40" i="3"/>
  <c r="D41" i="3" l="1"/>
  <c r="O74" i="5"/>
  <c r="F41" i="3" l="1"/>
  <c r="P74" i="5"/>
  <c r="H41" i="3" l="1"/>
  <c r="M75" i="5"/>
  <c r="D42" i="3" l="1"/>
  <c r="O75" i="5"/>
  <c r="F42" i="3" l="1"/>
  <c r="P75" i="5"/>
  <c r="H42" i="3" l="1"/>
  <c r="M76" i="5"/>
  <c r="O76" i="5" l="1"/>
  <c r="D43" i="3"/>
  <c r="P76" i="5" l="1"/>
  <c r="F43" i="3"/>
  <c r="M77" i="5" l="1"/>
  <c r="D44" i="3" s="1"/>
  <c r="H43" i="3"/>
  <c r="O77" i="5"/>
  <c r="F44" i="3" s="1"/>
  <c r="P77" i="5" l="1"/>
  <c r="M78" i="5" l="1"/>
  <c r="H44" i="3"/>
  <c r="D45" i="3" l="1"/>
  <c r="O78" i="5"/>
  <c r="F45" i="3" l="1"/>
  <c r="P78" i="5"/>
  <c r="M79" i="5" s="1"/>
  <c r="H45" i="3"/>
  <c r="D46" i="3" l="1"/>
  <c r="O79" i="5"/>
  <c r="F46" i="3" l="1"/>
  <c r="P79" i="5"/>
  <c r="H46" i="3" l="1"/>
  <c r="M80" i="5"/>
  <c r="D47" i="3" l="1"/>
  <c r="O80" i="5"/>
  <c r="F47" i="3" l="1"/>
  <c r="P80" i="5"/>
  <c r="M81" i="5" l="1"/>
  <c r="H47" i="3"/>
  <c r="O81" i="5" l="1"/>
  <c r="D48" i="3"/>
  <c r="P81" i="5" l="1"/>
  <c r="F48" i="3"/>
  <c r="H48" i="3" l="1"/>
  <c r="M82" i="5"/>
  <c r="D49" i="3" l="1"/>
  <c r="O82" i="5"/>
  <c r="F49" i="3" l="1"/>
  <c r="P82" i="5"/>
  <c r="M83" i="5" l="1"/>
  <c r="H49" i="3"/>
  <c r="D50" i="3" l="1"/>
  <c r="O83" i="5"/>
  <c r="F50" i="3" l="1"/>
  <c r="P83" i="5"/>
  <c r="H50" i="3" l="1"/>
  <c r="M84" i="5"/>
  <c r="D51" i="3" l="1"/>
  <c r="O84" i="5"/>
  <c r="F51" i="3" l="1"/>
  <c r="P84" i="5"/>
  <c r="H51" i="3" l="1"/>
  <c r="M85" i="5"/>
  <c r="D52" i="3" l="1"/>
  <c r="O85" i="5"/>
  <c r="F52" i="3" l="1"/>
  <c r="P85" i="5"/>
  <c r="H52" i="3" l="1"/>
  <c r="M86" i="5"/>
  <c r="O86" i="5" l="1"/>
  <c r="D53" i="3"/>
  <c r="P86" i="5" l="1"/>
  <c r="F53" i="3"/>
  <c r="H53" i="3" l="1"/>
  <c r="M87" i="5"/>
  <c r="D54" i="3" l="1"/>
  <c r="O87" i="5"/>
  <c r="F54" i="3" l="1"/>
  <c r="P87" i="5"/>
  <c r="M88" i="5" l="1"/>
  <c r="H54" i="3"/>
  <c r="D55" i="3" l="1"/>
  <c r="O88" i="5"/>
  <c r="F55" i="3" l="1"/>
  <c r="P88" i="5"/>
  <c r="M89" i="5" s="1"/>
  <c r="P89" i="5" s="1"/>
  <c r="M90" i="5" s="1"/>
  <c r="P90" i="5" s="1"/>
  <c r="M91" i="5" s="1"/>
  <c r="P91" i="5" s="1"/>
  <c r="M92" i="5" s="1"/>
  <c r="P92" i="5" s="1"/>
  <c r="M93" i="5" s="1"/>
  <c r="P93" i="5" s="1"/>
  <c r="M94" i="5" s="1"/>
  <c r="P94" i="5" s="1"/>
  <c r="M95" i="5" s="1"/>
  <c r="P95" i="5" s="1"/>
  <c r="M96" i="5" s="1"/>
  <c r="P96" i="5" s="1"/>
  <c r="M97" i="5" s="1"/>
  <c r="P97" i="5" s="1"/>
  <c r="M98" i="5" s="1"/>
  <c r="P98" i="5" s="1"/>
  <c r="M99" i="5" s="1"/>
  <c r="P99" i="5" s="1"/>
  <c r="M100" i="5" s="1"/>
  <c r="P100" i="5" s="1"/>
  <c r="M101" i="5" s="1"/>
  <c r="P101" i="5" s="1"/>
  <c r="M102" i="5" s="1"/>
  <c r="P102" i="5" s="1"/>
  <c r="M103" i="5" s="1"/>
  <c r="P103" i="5" s="1"/>
  <c r="M104" i="5" s="1"/>
  <c r="P104" i="5" s="1"/>
  <c r="M105" i="5" s="1"/>
  <c r="P105" i="5" s="1"/>
  <c r="M106" i="5" s="1"/>
  <c r="P106" i="5" s="1"/>
  <c r="M107" i="5" s="1"/>
  <c r="P107" i="5" s="1"/>
  <c r="M108" i="5" s="1"/>
  <c r="P108" i="5" s="1"/>
  <c r="M109" i="5" s="1"/>
  <c r="P109" i="5" s="1"/>
  <c r="M110" i="5" s="1"/>
  <c r="P110" i="5" s="1"/>
  <c r="M111" i="5" s="1"/>
  <c r="P111" i="5" s="1"/>
  <c r="M112" i="5" s="1"/>
  <c r="P112" i="5" s="1"/>
  <c r="M113" i="5" s="1"/>
  <c r="P113" i="5" s="1"/>
  <c r="M114" i="5" s="1"/>
  <c r="P114" i="5" s="1"/>
  <c r="M115" i="5" s="1"/>
  <c r="P115" i="5" s="1"/>
  <c r="M116" i="5" s="1"/>
  <c r="P116" i="5" s="1"/>
  <c r="M117" i="5" s="1"/>
  <c r="P117" i="5" s="1"/>
  <c r="M118" i="5" s="1"/>
  <c r="P118" i="5" s="1"/>
  <c r="M119" i="5" s="1"/>
  <c r="P119" i="5" s="1"/>
  <c r="M120" i="5" s="1"/>
  <c r="P120" i="5" s="1"/>
  <c r="M121" i="5" s="1"/>
  <c r="P121" i="5" s="1"/>
  <c r="M122" i="5" s="1"/>
  <c r="P122" i="5" s="1"/>
  <c r="M123" i="5" s="1"/>
  <c r="P123" i="5" s="1"/>
  <c r="M124" i="5" s="1"/>
  <c r="P124" i="5" s="1"/>
  <c r="H55" i="3"/>
  <c r="B95" i="3" l="1"/>
</calcChain>
</file>

<file path=xl/sharedStrings.xml><?xml version="1.0" encoding="utf-8"?>
<sst xmlns="http://schemas.openxmlformats.org/spreadsheetml/2006/main" count="13384" uniqueCount="2088">
  <si>
    <t>Children's Future Education Fund - your inputs</t>
  </si>
  <si>
    <t>Fill in the yellow cells. Leave a cell blank to use the researched figure or default. Results are on the Dashboard.</t>
  </si>
  <si>
    <t>Family</t>
  </si>
  <si>
    <t>Value used</t>
  </si>
  <si>
    <t>Number of children (1-4)</t>
  </si>
  <si>
    <t>Children beyond this number are ignored.</t>
  </si>
  <si>
    <t>Country where your family lives</t>
  </si>
  <si>
    <t>Pakistan</t>
  </si>
  <si>
    <t>Used for first-travel estimates.</t>
  </si>
  <si>
    <t>Children's nationality</t>
  </si>
  <si>
    <t>Decides local or international fees and visa costs.</t>
  </si>
  <si>
    <t>Show results in (currency)</t>
  </si>
  <si>
    <t>USD</t>
  </si>
  <si>
    <t>'Automatic' uses Child 1's study country currency.</t>
  </si>
  <si>
    <t>Covered by scholarship / part-time work</t>
  </si>
  <si>
    <t>Reduces tuition, university fees and living costs. Visa and travel are not reduced.</t>
  </si>
  <si>
    <t>Investment return per year (blank = default for the currency)</t>
  </si>
  <si>
    <t>An assumption, not a guarantee.</t>
  </si>
  <si>
    <t>Yearly increase in your savings</t>
  </si>
  <si>
    <t>0% = the same amount every year.</t>
  </si>
  <si>
    <t>Compare countries for child number</t>
  </si>
  <si>
    <t>Used on the Compare Countries sheet.</t>
  </si>
  <si>
    <t>Children</t>
  </si>
  <si>
    <t>Child 1</t>
  </si>
  <si>
    <t>Child 2</t>
  </si>
  <si>
    <t>Child 3</t>
  </si>
  <si>
    <t>Child 4</t>
  </si>
  <si>
    <t>Name (optional)</t>
  </si>
  <si>
    <t>Current age (0-18)</t>
  </si>
  <si>
    <t>Current school class (0-13, for your reference)</t>
  </si>
  <si>
    <t>Education country</t>
  </si>
  <si>
    <t>Qualification</t>
  </si>
  <si>
    <t>College-entry age (usually 18)</t>
  </si>
  <si>
    <t>Your own fee increase per year (blank = researched default)</t>
  </si>
  <si>
    <t>Your own living-cost increase per year (blank = default)</t>
  </si>
  <si>
    <t>Your own cost figures (optional) - per year unless one-time, today's prices, in the education country's currency</t>
  </si>
  <si>
    <t>Tuition</t>
  </si>
  <si>
    <t>Accommodation</t>
  </si>
  <si>
    <t>Food</t>
  </si>
  <si>
    <t>Local transport</t>
  </si>
  <si>
    <t>Health insurance</t>
  </si>
  <si>
    <t>Books and supplies</t>
  </si>
  <si>
    <t>Other university and course fees</t>
  </si>
  <si>
    <t>Admission and one-time fees (one-time)</t>
  </si>
  <si>
    <t>Visa and application (one-time)</t>
  </si>
  <si>
    <t>Travel and relocation (one-time)</t>
  </si>
  <si>
    <t>Pre-stage tuition (e.g. pre-medical degree)</t>
  </si>
  <si>
    <t>Pre-stage other fees</t>
  </si>
  <si>
    <t>Researched figures and their sources are on each child's sheet (Child 1 to Child 4). Figures marked 'Estimated — please review' are planning estimates, not official fees.</t>
  </si>
  <si>
    <t>Children's Future Education Fund Calculator</t>
  </si>
  <si>
    <t>Sindhi Connect - sindhiconnect.org</t>
  </si>
  <si>
    <t>How to use</t>
  </si>
  <si>
    <t>1. Go to the Inputs sheet and fill in the yellow cells: your family details and, for each child, age, education country and qualification.</t>
  </si>
  <si>
    <t>2. Open the Dashboard: total education fund required, required yearly savings, amount needed now, each child, cost breakdown and the year-by-year plan.</t>
  </si>
  <si>
    <t>3. Compare Countries shows the same course in all 11 study countries.</t>
  </si>
  <si>
    <t>4. Each child's sheet shows every cost line with its status (Published figure / Estimated — please review / Not needed / Your figure) and the full calculation.</t>
  </si>
  <si>
    <t>5. To use your own figures, type them in the 'Your own cost figures' rows on the Inputs sheet (today's prices, education country's currency).</t>
  </si>
  <si>
    <t>Important</t>
  </si>
  <si>
    <t>Educational planning tool only. Fees, living costs, inflation, exchange rates and investment returns may differ from these figures. Figures marked 'Estimated — please review' are planning estimates, not official fees. Investment returns are assumptions, not guarantees. Always confirm fees with the university.</t>
  </si>
  <si>
    <t>Results are in US dollars unless you choose another currency. The workbook uses formulas only (no macros). It follows the same method as the calculator on the website; see the Sources and Method sheet.</t>
  </si>
  <si>
    <t>Fees checked on 2026-10-15. Exchange rates of 2026-10-01 (you can enter your own on the Assumptions and Currency sheet).</t>
  </si>
  <si>
    <t>Children's Future Education Fund - dashboard</t>
  </si>
  <si>
    <t>Total education fund required</t>
  </si>
  <si>
    <t>Required yearly savings (this year)</t>
  </si>
  <si>
    <t>Amount needed now</t>
  </si>
  <si>
    <t>Plan length (years)</t>
  </si>
  <si>
    <t>Each child</t>
  </si>
  <si>
    <t>Child</t>
  </si>
  <si>
    <t>Course length (years)</t>
  </si>
  <si>
    <t>Education starts in</t>
  </si>
  <si>
    <t>Message</t>
  </si>
  <si>
    <t>All children</t>
  </si>
  <si>
    <t>Where the money goes</t>
  </si>
  <si>
    <t>Cost type</t>
  </si>
  <si>
    <t>Share</t>
  </si>
  <si>
    <t>Visa, application, travel and relocation</t>
  </si>
  <si>
    <t>Total</t>
  </si>
  <si>
    <t>Year-by-year plan - how the education fund builds up and is spent</t>
  </si>
  <si>
    <t>Year</t>
  </si>
  <si>
    <t>Studying</t>
  </si>
  <si>
    <t>Opening fund</t>
  </si>
  <si>
    <t>Family savings added</t>
  </si>
  <si>
    <t>Investment growth</t>
  </si>
  <si>
    <t>Education expenses</t>
  </si>
  <si>
    <t>Closing fund</t>
  </si>
  <si>
    <t>Family savings</t>
  </si>
  <si>
    <t>Each year: opening fund - education expenses (paid at the start of the year) + investment growth + family savings (added at the end of the year) = closing fund, which becomes the next year's opening fund.</t>
  </si>
  <si>
    <t>Compare countries</t>
  </si>
  <si>
    <t>Current plan</t>
  </si>
  <si>
    <t>Country</t>
  </si>
  <si>
    <t>Note</t>
  </si>
  <si>
    <t>India</t>
  </si>
  <si>
    <t>USA</t>
  </si>
  <si>
    <t>UK</t>
  </si>
  <si>
    <t>Australia</t>
  </si>
  <si>
    <t>Germany</t>
  </si>
  <si>
    <t>Singapore</t>
  </si>
  <si>
    <t>Malaysia</t>
  </si>
  <si>
    <t>Ireland</t>
  </si>
  <si>
    <t>Qatar</t>
  </si>
  <si>
    <t>United Arab Emirates</t>
  </si>
  <si>
    <t>Each total covers the full course in that country (its usual length), at future prices, after your scholarship / part-time-work percentage. The current plan's row is your plan exactly. For other countries your own fee and living-cost increases are used, but your own cost figures are not carried over, because they are in another country's currency.</t>
  </si>
  <si>
    <t>Child 1 - cost and savings calculation</t>
  </si>
  <si>
    <t>All formulas. Change inputs on the Inputs sheet. Amounts in the cost lines table are in the education country's currency; everything else is in the results currency.</t>
  </si>
  <si>
    <t>Included (1 = yes)</t>
  </si>
  <si>
    <t>Current age</t>
  </si>
  <si>
    <t>College-entry age</t>
  </si>
  <si>
    <t>Fee status</t>
  </si>
  <si>
    <t>Lookup key</t>
  </si>
  <si>
    <t>Cost database row</t>
  </si>
  <si>
    <t>Education currency</t>
  </si>
  <si>
    <t>Offered in this country (1/0)</t>
  </si>
  <si>
    <t>Pre-stage years</t>
  </si>
  <si>
    <t>Fee increase used</t>
  </si>
  <si>
    <t>Living-cost increase used</t>
  </si>
  <si>
    <t>Years until college</t>
  </si>
  <si>
    <t>Study years</t>
  </si>
  <si>
    <t>Plan years</t>
  </si>
  <si>
    <t>Saving years</t>
  </si>
  <si>
    <t>Calculated (1 = yes)</t>
  </si>
  <si>
    <t>Exchange rate (education to results currency)</t>
  </si>
  <si>
    <t>Published fee records used</t>
  </si>
  <si>
    <t>Fee records currency</t>
  </si>
  <si>
    <t>Living costs row</t>
  </si>
  <si>
    <t>Visa row</t>
  </si>
  <si>
    <t>Travel row</t>
  </si>
  <si>
    <t>Cost line</t>
  </si>
  <si>
    <t>Researched (education currency)</t>
  </si>
  <si>
    <t>Your figure</t>
  </si>
  <si>
    <t>Amount used</t>
  </si>
  <si>
    <t>Price year</t>
  </si>
  <si>
    <t>Status code</t>
  </si>
  <si>
    <t>Status</t>
  </si>
  <si>
    <t>Increase</t>
  </si>
  <si>
    <t>Timing</t>
  </si>
  <si>
    <t>Scholarship applies</t>
  </si>
  <si>
    <t>tuition</t>
  </si>
  <si>
    <t>annual</t>
  </si>
  <si>
    <t>Yes</t>
  </si>
  <si>
    <t>living</t>
  </si>
  <si>
    <t>Admission and one-time fees</t>
  </si>
  <si>
    <t>once</t>
  </si>
  <si>
    <t>Visa and application</t>
  </si>
  <si>
    <t>No</t>
  </si>
  <si>
    <t>Travel and relocation</t>
  </si>
  <si>
    <t>Study year (0 = first)</t>
  </si>
  <si>
    <t>Calendar year</t>
  </si>
  <si>
    <t>Fraction of year</t>
  </si>
  <si>
    <t>In pre-stage (1/0)</t>
  </si>
  <si>
    <t>In course (1/0)</t>
  </si>
  <si>
    <t>Tuition (gross)</t>
  </si>
  <si>
    <t>Accommodation (gross)</t>
  </si>
  <si>
    <t>Food (gross)</t>
  </si>
  <si>
    <t>Local transport (gross)</t>
  </si>
  <si>
    <t>Health insurance (gross)</t>
  </si>
  <si>
    <t>Books and supplies (gross)</t>
  </si>
  <si>
    <t>Other university and course fees (gross)</t>
  </si>
  <si>
    <t>Admission and one-time fees (gross)</t>
  </si>
  <si>
    <t>Visa and application (gross)</t>
  </si>
  <si>
    <t>Travel and relocation (gross)</t>
  </si>
  <si>
    <t>Before scholarship</t>
  </si>
  <si>
    <t>Total estimated education cost (results currency)</t>
  </si>
  <si>
    <t>Tuition figure status</t>
  </si>
  <si>
    <t>Some costs have no figure (1/0)</t>
  </si>
  <si>
    <t>Savings and yearly fund (results currency). Costs are paid at the start of each year, savings added at the end.</t>
  </si>
  <si>
    <t>Plan year</t>
  </si>
  <si>
    <t>Study year</t>
  </si>
  <si>
    <t>Saving factor</t>
  </si>
  <si>
    <t>Growth factor</t>
  </si>
  <si>
    <t>a (no saving)</t>
  </si>
  <si>
    <t>b (per 1 saved)</t>
  </si>
  <si>
    <t>A carried</t>
  </si>
  <si>
    <t>B carried</t>
  </si>
  <si>
    <t>Needed-now candidate</t>
  </si>
  <si>
    <t>Saving candidate</t>
  </si>
  <si>
    <t>Studying (1/0)</t>
  </si>
  <si>
    <t>Required yearly saving (first year)</t>
  </si>
  <si>
    <t>Child 2 - cost and savings calculation</t>
  </si>
  <si>
    <t>Child 3 - cost and savings calculation</t>
  </si>
  <si>
    <t>Child 4 - cost and savings calculation</t>
  </si>
  <si>
    <t>Cost database - university fees by country, qualification and fee status</t>
  </si>
  <si>
    <t>Published fees are averaged live from the Fee Records sheet. The columns below hold planning estimates (used only where no published fee exists), pre-stage fees and course lengths. Read-only; edit data/education/education-costs.json and rebuild instead.</t>
  </si>
  <si>
    <t>Key</t>
  </si>
  <si>
    <t>Offered (1/0)</t>
  </si>
  <si>
    <t>Pre-stage qualification</t>
  </si>
  <si>
    <t>Default fee increase</t>
  </si>
  <si>
    <t>Published records</t>
  </si>
  <si>
    <t>Records currency</t>
  </si>
  <si>
    <t>Estimate status</t>
  </si>
  <si>
    <t>Estimate currency</t>
  </si>
  <si>
    <t>Estimate base year</t>
  </si>
  <si>
    <t>Estimate tuition</t>
  </si>
  <si>
    <t>Estimate other fees</t>
  </si>
  <si>
    <t>Estimate admission</t>
  </si>
  <si>
    <t>Pre-stage status</t>
  </si>
  <si>
    <t>Pre-stage currency</t>
  </si>
  <si>
    <t>Pre-stage base year</t>
  </si>
  <si>
    <t>Pre-stage tuition</t>
  </si>
  <si>
    <t>Pre-stage admission</t>
  </si>
  <si>
    <t>Basis / note</t>
  </si>
  <si>
    <t>Pakistan|Medicine (MBBS/MD)|domestic</t>
  </si>
  <si>
    <t>Medicine (MBBS/MD)</t>
  </si>
  <si>
    <t>domestic</t>
  </si>
  <si>
    <t>PKR</t>
  </si>
  <si>
    <t>Published fees from 2 record(s). MBBS is 5 years, followed by a 1-year paid house job (no tuition).</t>
  </si>
  <si>
    <t>Pakistan|Medicine (MBBS/MD)|international</t>
  </si>
  <si>
    <t>international</t>
  </si>
  <si>
    <t>Published fees from 1 record(s). MBBS is 5 years, followed by a 1-year paid house job (no tuition).</t>
  </si>
  <si>
    <t>Pakistan|Dentistry|domestic</t>
  </si>
  <si>
    <t>Dentistry</t>
  </si>
  <si>
    <t>Published fees from 1 record(s). BDS is 4 years, followed by a 1-year paid house job.</t>
  </si>
  <si>
    <t>Pakistan|Dentistry|international</t>
  </si>
  <si>
    <t>Pakistan|Pharmacy|domestic</t>
  </si>
  <si>
    <t>Pharmacy</t>
  </si>
  <si>
    <t>Published fees from 1 record(s). Doctor of Pharmacy (Pharm-D) is a 5-year degree.</t>
  </si>
  <si>
    <t>Pakistan|Pharmacy|international</t>
  </si>
  <si>
    <t>Pakistan|Nursing|domestic</t>
  </si>
  <si>
    <t>Nursing</t>
  </si>
  <si>
    <t>Published fees from 1 record(s). BS Nursing (BSN) is 4 years.</t>
  </si>
  <si>
    <t>Pakistan|Nursing|international</t>
  </si>
  <si>
    <t>Pakistan|Physiotherapy|domestic</t>
  </si>
  <si>
    <t>Physiotherapy</t>
  </si>
  <si>
    <t>Published fees from 1 record(s). Doctor of Physical Therapy (DPT) is a 5-year degree.</t>
  </si>
  <si>
    <t>Pakistan|Physiotherapy|international</t>
  </si>
  <si>
    <t>Pakistan|Engineering|domestic</t>
  </si>
  <si>
    <t>Engineering</t>
  </si>
  <si>
    <t>Published fees from 2 record(s). Bachelor of Engineering (BE/BSc Engg), 4 years.</t>
  </si>
  <si>
    <t>Pakistan|Engineering|international</t>
  </si>
  <si>
    <t>Published fees from 1 record(s). Bachelor of Engineering (BE/BSc Engg), 4 years.</t>
  </si>
  <si>
    <t>Pakistan|Computer Science|domestic</t>
  </si>
  <si>
    <t>Computer Science</t>
  </si>
  <si>
    <t>Published fees from 4 record(s). BS, 4 years.</t>
  </si>
  <si>
    <t>Pakistan|Computer Science|international</t>
  </si>
  <si>
    <t>Published fees from 1 record(s). BS, 4 years.</t>
  </si>
  <si>
    <t>Pakistan|Software Engineering|domestic</t>
  </si>
  <si>
    <t>Software Engineering</t>
  </si>
  <si>
    <t>Published fees from 2 record(s). BE/BS Software Engineering, 4 years.</t>
  </si>
  <si>
    <t>Pakistan|Software Engineering|international</t>
  </si>
  <si>
    <t>Published fees from 1 record(s). BE/BS Software Engineering, 4 years.</t>
  </si>
  <si>
    <t>Pakistan|Artificial Intelligence|domestic</t>
  </si>
  <si>
    <t>Artificial Intelligence</t>
  </si>
  <si>
    <t>Published fees from 2 record(s). BS Artificial Intelligence, 4 years.</t>
  </si>
  <si>
    <t>Pakistan|Artificial Intelligence|international</t>
  </si>
  <si>
    <t>Published fees from 1 record(s). BS Artificial Intelligence, 4 years.</t>
  </si>
  <si>
    <t>Pakistan|Data Science|domestic</t>
  </si>
  <si>
    <t>Data Science</t>
  </si>
  <si>
    <t>Published fees from 2 record(s). BS Data Science, 4 years.</t>
  </si>
  <si>
    <t>Pakistan|Data Science|international</t>
  </si>
  <si>
    <t>Published fees from 1 record(s). BS Data Science, 4 years.</t>
  </si>
  <si>
    <t>Pakistan|Cybersecurity|domestic</t>
  </si>
  <si>
    <t>Cybersecurity</t>
  </si>
  <si>
    <t>Published fees from 2 record(s). BE Information Security / BS Cyber Security, 4 years.</t>
  </si>
  <si>
    <t>Pakistan|Cybersecurity|international</t>
  </si>
  <si>
    <t>Published fees from 1 record(s). BE Information Security / BS Cyber Security, 4 years.</t>
  </si>
  <si>
    <t>Pakistan|Business Administration|domestic</t>
  </si>
  <si>
    <t>Business Administration</t>
  </si>
  <si>
    <t>Published fees from 4 record(s). BBA, 4 years.</t>
  </si>
  <si>
    <t>Pakistan|Business Administration|international</t>
  </si>
  <si>
    <t>Published fees from 1 record(s). BBA, 4 years.</t>
  </si>
  <si>
    <t>Pakistan|Finance|domestic</t>
  </si>
  <si>
    <t>Finance</t>
  </si>
  <si>
    <t>estimated</t>
  </si>
  <si>
    <t>Estimated — finance degrees in Pakistan are usually charged at the business-school rate; the accounting and finance fee is used. BS Finance / BBA (Finance), 4 years.</t>
  </si>
  <si>
    <t>Pakistan|Finance|international</t>
  </si>
  <si>
    <t>Pakistan|Accounting and Finance|domestic</t>
  </si>
  <si>
    <t>Accounting and Finance</t>
  </si>
  <si>
    <t>Published fees from 4 record(s). BS Accounting &amp; Finance, 4 years.</t>
  </si>
  <si>
    <t>Pakistan|Accounting and Finance|international</t>
  </si>
  <si>
    <t>Published fees from 1 record(s). BS Accounting &amp; Finance, 4 years.</t>
  </si>
  <si>
    <t>Pakistan|ACCA|domestic</t>
  </si>
  <si>
    <t>ACCA</t>
  </si>
  <si>
    <t>GBP</t>
  </si>
  <si>
    <t>Estimated — ACCA exam and membership fees only, from ACCA's official 2026 fee list (reduced rates shown for Pakistan): 13 exams (3 Applied Knowledge, 6 Applied Skills, 4 Strategic Professional) plus the Ethics module and a yearly subscription, spread over about 3 years. Tuition classes, if used, are extra and often the biggest cost. About 3 years to pass the 13 ACCA exams; exemptions from a related degree can shorten this. Practical experience is completed while working.</t>
  </si>
  <si>
    <t>Pakistan|ACCA|international</t>
  </si>
  <si>
    <t>Pakistan|CPA|domestic</t>
  </si>
  <si>
    <t>CPA</t>
  </si>
  <si>
    <t>missing</t>
  </si>
  <si>
    <t>No published fee found yet for this course in this country. Please enter your own estimate. CPA is a US (or Australian) qualification. Choose USA or Australia to plan for it.</t>
  </si>
  <si>
    <t>Pakistan|CPA|international</t>
  </si>
  <si>
    <t>Pakistan|Chartered Accountancy (CA)|domestic</t>
  </si>
  <si>
    <t>Chartered Accountancy (CA)</t>
  </si>
  <si>
    <t>Estimated — ICAP fees from 1 July 2026: about 20 exam papers (PRC PKR 6,100, CAF PKR 7,400, CFAP and MSA PKR 11,300 each) plus the PKR 6,500 yearly subscription, over about 4 years; registration PKR 22,000. Coaching classes are extra. Trainees receive a stipend during articleship. ICAP Chartered Accountancy usually takes about 4 years including the training contract (articleship), during which students receive a stipend.</t>
  </si>
  <si>
    <t>Pakistan|Chartered Accountancy (CA)|international</t>
  </si>
  <si>
    <t>Pakistan|Law|domestic</t>
  </si>
  <si>
    <t>Law</t>
  </si>
  <si>
    <t>Published fees from 1 record(s). LLB is a 5-year degree.</t>
  </si>
  <si>
    <t>Pakistan|Law|international</t>
  </si>
  <si>
    <t>Pakistan|Architecture|domestic</t>
  </si>
  <si>
    <t>Architecture</t>
  </si>
  <si>
    <t>Published fees from 1 record(s). Bachelor of Architecture, 5 years.</t>
  </si>
  <si>
    <t>Pakistan|Architecture|international</t>
  </si>
  <si>
    <t>Pakistan|Psychology|domestic</t>
  </si>
  <si>
    <t>Psychology</t>
  </si>
  <si>
    <t>Published fees from 1 record(s). BS Psychology, 4 years.</t>
  </si>
  <si>
    <t>Pakistan|Psychology|international</t>
  </si>
  <si>
    <t>Pakistan|Biotechnology|domestic</t>
  </si>
  <si>
    <t>Biotechnology</t>
  </si>
  <si>
    <t>Published fees from 1 record(s). BS Biotechnology, 4 years.</t>
  </si>
  <si>
    <t>Pakistan|Biotechnology|international</t>
  </si>
  <si>
    <t>Pakistan|Other Qualification|domestic</t>
  </si>
  <si>
    <t>Other Qualification</t>
  </si>
  <si>
    <t>Estimated — average of the published fees for Pakistan's other non-medical degrees. Please replace it with the fee of the course you are considering. Most bachelor's degrees in Pakistan are 4 years.</t>
  </si>
  <si>
    <t>Pakistan|Other Qualification|international</t>
  </si>
  <si>
    <t>India|Medicine (MBBS/MD)|domestic</t>
  </si>
  <si>
    <t>INR</t>
  </si>
  <si>
    <t>Published fees from 1 record(s). MBBS is 5.5 years: 4.5 years of study plus a 1-year paid internship (no tuition).</t>
  </si>
  <si>
    <t>India|Medicine (MBBS/MD)|international</t>
  </si>
  <si>
    <t>Estimated — Indian universities charge foreign nationals more than Indian nationals. CHRIST University's published international BBA fee (USD 5,800) is about twice its Indian-national fee, so twice the Indian-national fee is used. Please check the university's foreign-national fee. MBBS is 5.5 years: 4.5 years of study plus a 1-year paid internship (no tuition).</t>
  </si>
  <si>
    <t>India|Dentistry|domestic</t>
  </si>
  <si>
    <t>Published fees from 2 record(s). BDS is 4 years of study plus a 1-year internship.</t>
  </si>
  <si>
    <t>India|Dentistry|international</t>
  </si>
  <si>
    <t>Estimated — twice the Indian-national fee (see the ratio at CHRIST University). Please check the university's foreign-national fee. BDS is 4 years of study plus a 1-year internship.</t>
  </si>
  <si>
    <t>India|Pharmacy|domestic</t>
  </si>
  <si>
    <t>Published fees from 1 record(s). B.Pharm, 4 years (Pharm.D is 6 years).</t>
  </si>
  <si>
    <t>India|Pharmacy|international</t>
  </si>
  <si>
    <t>Estimated — twice the Indian-national fee (see the ratio at CHRIST University). Please check the university's foreign-national fee. B.Pharm, 4 years (Pharm.D is 6 years).</t>
  </si>
  <si>
    <t>India|Nursing|domestic</t>
  </si>
  <si>
    <t>Published fees from 1 record(s). B.Sc Nursing, 4 years.</t>
  </si>
  <si>
    <t>India|Nursing|international</t>
  </si>
  <si>
    <t>Estimated — twice the Indian-national fee (see the ratio at CHRIST University). Please check the university's foreign-national fee. B.Sc Nursing, 4 years.</t>
  </si>
  <si>
    <t>India|Physiotherapy|domestic</t>
  </si>
  <si>
    <t>Published fees from 1 record(s). BPT is 4 years plus a 6-month internship.</t>
  </si>
  <si>
    <t>India|Physiotherapy|international</t>
  </si>
  <si>
    <t>Estimated — twice the Indian-national fee (see the ratio at CHRIST University). Please check the university's foreign-national fee. BPT is 4 years plus a 6-month internship.</t>
  </si>
  <si>
    <t>India|Engineering|domestic</t>
  </si>
  <si>
    <t>Published fees from 2 record(s). B.Tech / B.E., 4 years.</t>
  </si>
  <si>
    <t>India|Engineering|international</t>
  </si>
  <si>
    <t>Estimated — twice the Indian-national fee (see the ratio at CHRIST University). Please check the university's foreign-national fee. B.Tech / B.E., 4 years.</t>
  </si>
  <si>
    <t>India|Computer Science|domestic</t>
  </si>
  <si>
    <t>Published fees from 3 record(s). B.Tech Computer Science, 4 years.</t>
  </si>
  <si>
    <t>India|Computer Science|international</t>
  </si>
  <si>
    <t>Estimated — twice the Indian-national fee (see the ratio at CHRIST University). Please check the university's foreign-national fee. B.Tech Computer Science, 4 years.</t>
  </si>
  <si>
    <t>India|Software Engineering|domestic</t>
  </si>
  <si>
    <t>Estimated — software engineering is usually taught as a B.Tech in Computer Science; the computer science fee is used. B.Tech, 4 years.</t>
  </si>
  <si>
    <t>India|Software Engineering|international</t>
  </si>
  <si>
    <t>Estimated — twice the Indian-national computer science fee (see the ratio at CHRIST University). Please check the university's foreign-national fee. B.Tech, 4 years.</t>
  </si>
  <si>
    <t>India|Artificial Intelligence|domestic</t>
  </si>
  <si>
    <t>Published fees from 1 record(s). B.Tech (AI), 4 years.</t>
  </si>
  <si>
    <t>India|Artificial Intelligence|international</t>
  </si>
  <si>
    <t>Estimated — twice the Indian-national fee (see the ratio at CHRIST University). Please check the university's foreign-national fee. B.Tech (AI), 4 years.</t>
  </si>
  <si>
    <t>India|Data Science|domestic</t>
  </si>
  <si>
    <t>Published fees from 1 record(s). B.Tech (Data Science), 4 years.</t>
  </si>
  <si>
    <t>India|Data Science|international</t>
  </si>
  <si>
    <t>Estimated — twice the Indian-national fee (see the ratio at CHRIST University). Please check the university's foreign-national fee. B.Tech (Data Science), 4 years.</t>
  </si>
  <si>
    <t>India|Cybersecurity|domestic</t>
  </si>
  <si>
    <t>Published fees from 1 record(s). B.Tech (Cyber Security), 4 years.</t>
  </si>
  <si>
    <t>India|Cybersecurity|international</t>
  </si>
  <si>
    <t>Estimated — twice the Indian-national fee (see the ratio at CHRIST University). Please check the university's foreign-national fee. B.Tech (Cyber Security), 4 years.</t>
  </si>
  <si>
    <t>India|Business Administration|domestic</t>
  </si>
  <si>
    <t>Published fees from 3 record(s). BBA is usually 3 years; some universities now offer a 4-year honours option.</t>
  </si>
  <si>
    <t>India|Business Administration|international</t>
  </si>
  <si>
    <t>Published fees from 1 record(s). BBA is usually 3 years; some universities now offer a 4-year honours option.</t>
  </si>
  <si>
    <t>India|Finance|domestic</t>
  </si>
  <si>
    <t>Published fees from 1 record(s). B.Com / BBA (Finance), usually 3 years.</t>
  </si>
  <si>
    <t>India|Finance|international</t>
  </si>
  <si>
    <t>Estimated — twice the Indian-national fee (see the ratio at CHRIST University). Please check the university's foreign-national fee. B.Com / BBA (Finance), usually 3 years.</t>
  </si>
  <si>
    <t>India|Accounting and Finance|domestic</t>
  </si>
  <si>
    <t>Published fees from 3 record(s). B.Com (Accounting &amp; Finance), usually 3 years.</t>
  </si>
  <si>
    <t>India|Accounting and Finance|international</t>
  </si>
  <si>
    <t>Estimated — twice the Indian-national fee (see the ratio at CHRIST University). Please check the university's foreign-national fee. B.Com (Accounting &amp; Finance), usually 3 years.</t>
  </si>
  <si>
    <t>India|ACCA|domestic</t>
  </si>
  <si>
    <t>Estimated — ACCA exam and membership fees only, from ACCA's official 2026 fee list (rates shown for India): 13 exams plus the Ethics module and a yearly subscription, spread over about 3 years. Tuition classes, if used, are extra and often the biggest cost. About 3 years to pass the 13 ACCA exams; exemptions can shorten this.</t>
  </si>
  <si>
    <t>India|ACCA|international</t>
  </si>
  <si>
    <t>India|CPA|domestic</t>
  </si>
  <si>
    <t>India|CPA|international</t>
  </si>
  <si>
    <t>India|Chartered Accountancy (CA)|domestic</t>
  </si>
  <si>
    <t>Estimated — ICAI: registration for Foundation (Rs 9,000), Intermediate (Rs 18,000) and Final (Rs 22,000) plus one attempt at each exam (Rs 1,500, 2,700 and 3,300), spread over about 4.5 years. Coaching classes are extra and usually the largest cost. ICAI Chartered Accountancy (Foundation, Intermediate, practical training and Final) usually takes about 4.5–5 years; articleship pays a stipend.</t>
  </si>
  <si>
    <t>India|Chartered Accountancy (CA)|international</t>
  </si>
  <si>
    <t>India|Law|domestic</t>
  </si>
  <si>
    <t>Published fees from 1 record(s). Integrated BA LLB, 5 years.</t>
  </si>
  <si>
    <t>India|Law|international</t>
  </si>
  <si>
    <t>Estimated — twice the Indian-national fee (see the ratio at CHRIST University). Please check the university's foreign-national fee. Integrated BA LLB, 5 years.</t>
  </si>
  <si>
    <t>India|Architecture|domestic</t>
  </si>
  <si>
    <t>Published fees from 1 record(s). B.Arch, 5 years.</t>
  </si>
  <si>
    <t>India|Architecture|international</t>
  </si>
  <si>
    <t>Estimated — twice the Indian-national fee (see the ratio at CHRIST University). Please check the university's foreign-national fee. B.Arch, 5 years.</t>
  </si>
  <si>
    <t>India|Psychology|domestic</t>
  </si>
  <si>
    <t>Published fees from 1 record(s). BA/B.Sc Psychology, usually 3 years.</t>
  </si>
  <si>
    <t>India|Psychology|international</t>
  </si>
  <si>
    <t>Estimated — twice the Indian-national fee (see the ratio at CHRIST University). Please check the university's foreign-national fee. BA/B.Sc Psychology, usually 3 years.</t>
  </si>
  <si>
    <t>India|Biotechnology|domestic</t>
  </si>
  <si>
    <t>Published fees from 1 record(s). B.Tech Biotechnology, 4 years (B.Sc is 3 years).</t>
  </si>
  <si>
    <t>India|Biotechnology|international</t>
  </si>
  <si>
    <t>Estimated — twice the Indian-national fee (see the ratio at CHRIST University). Please check the university's foreign-national fee. B.Tech Biotechnology, 4 years (B.Sc is 3 years).</t>
  </si>
  <si>
    <t>India|Other Qualification|domestic</t>
  </si>
  <si>
    <t>Estimated — average of the published fees for India's other non-medical degrees. Please replace it with the fee of the course you are considering. Many bachelor's degrees in India are 3 years (4 with honours).</t>
  </si>
  <si>
    <t>India|Other Qualification|international</t>
  </si>
  <si>
    <t>Estimated — the only published international fee collected for India so far (CHRIST University BBA, USD 5,800 a year) is used. Please replace it with the fee of the course you are considering. Many bachelor's degrees in India are 3 years (4 with honours).</t>
  </si>
  <si>
    <t>USA|Medicine (MBBS/MD)|domestic</t>
  </si>
  <si>
    <t>verified</t>
  </si>
  <si>
    <t>Published fees from 3 record(s). Medicine in the USA is a graduate degree: a 4-year bachelor's degree first, then a 4-year MD.</t>
  </si>
  <si>
    <t>USA|Medicine (MBBS/MD)|international</t>
  </si>
  <si>
    <t>Estimated — few US medical schools admit international students; those that do usually charge at least the non-resident rate. The average non-resident MD fee at Michigan, Maryland and UNC is used. Medicine in the USA is a graduate degree: a 4-year bachelor's degree first, then a 4-year MD.</t>
  </si>
  <si>
    <t>USA|Dentistry|domestic</t>
  </si>
  <si>
    <t>Published fees from 1 record(s). A 4-year bachelor's degree first, then a 4-year DDS/DMD.</t>
  </si>
  <si>
    <t>USA|Dentistry|international</t>
  </si>
  <si>
    <t>Estimated — international students are assumed to pay the non-resident rate: University of Michigan DDS non-resident tuition and fees (D1 USD 75,409, D2–D4 USD 89,588; 2025-26 rates), 4-year average. A 4-year bachelor's degree first, then a 4-year DDS/DMD.</t>
  </si>
  <si>
    <t>USA|Pharmacy|domestic</t>
  </si>
  <si>
    <t>Published fees from 1 record(s). Usually 2 years of pre-pharmacy study, then a 4-year Doctor of Pharmacy (PharmD).</t>
  </si>
  <si>
    <t>USA|Pharmacy|international</t>
  </si>
  <si>
    <t>Estimated — international students are assumed to pay the out-of-state rate: University of Michigan PharmD out-of-state tuition and fees 2026-27, 4-year average. Usually 2 years of pre-pharmacy study, then a 4-year Doctor of Pharmacy (PharmD).</t>
  </si>
  <si>
    <t>USA|Nursing|domestic</t>
  </si>
  <si>
    <t>Published fees from 2 record(s). Bachelor of Science in Nursing (BSN), 4 years.</t>
  </si>
  <si>
    <t>USA|Nursing|international</t>
  </si>
  <si>
    <t>USA|Physiotherapy|domestic</t>
  </si>
  <si>
    <t>Estimated — no published Doctor of Physical Therapy fee has been collected yet; the PharmD fee (a clinical doctorate of similar length at a public university) is used as a planning figure. Please replace it with the fee of a DPT programme you are considering. A 4-year bachelor's degree first, then a 3-year Doctor of Physical Therapy (DPT).</t>
  </si>
  <si>
    <t>USA|Physiotherapy|international</t>
  </si>
  <si>
    <t>Estimated — no published Doctor of Physical Therapy fee has been collected yet; the University of Michigan PharmD out-of-state fee (a clinical doctorate of similar length) is used as a planning figure. Please replace it with the fee of a DPT programme you are considering. A 4-year bachelor's degree first, then a 3-year Doctor of Physical Therapy (DPT).</t>
  </si>
  <si>
    <t>USA|Engineering|domestic</t>
  </si>
  <si>
    <t>Published fees from 2 record(s). Bachelor of Science in Engineering, 4 years.</t>
  </si>
  <si>
    <t>USA|Engineering|international</t>
  </si>
  <si>
    <t>Published fees from 3 record(s). Bachelor of Science in Engineering, 4 years.</t>
  </si>
  <si>
    <t>USA|Computer Science|domestic</t>
  </si>
  <si>
    <t>Published fees from 2 record(s). Bachelor's degree, 4 years.</t>
  </si>
  <si>
    <t>USA|Computer Science|international</t>
  </si>
  <si>
    <t>Published fees from 3 record(s). Bachelor's degree, 4 years.</t>
  </si>
  <si>
    <t>USA|Software Engineering|domestic</t>
  </si>
  <si>
    <t>Estimated — US universities usually charge computing majors such as software engineering the same as computer science; the computer science fee is used. Bachelor's degree, 4 years.</t>
  </si>
  <si>
    <t>USA|Software Engineering|international</t>
  </si>
  <si>
    <t>USA|Artificial Intelligence|domestic</t>
  </si>
  <si>
    <t>Estimated — US universities usually charge computing majors such as artificial intelligence the same as computer science; the computer science fee is used. Bachelor's degree, 4 years.</t>
  </si>
  <si>
    <t>USA|Artificial Intelligence|international</t>
  </si>
  <si>
    <t>USA|Data Science|domestic</t>
  </si>
  <si>
    <t>Published fees from 1 record(s). Bachelor's degree, 4 years.</t>
  </si>
  <si>
    <t>USA|Data Science|international</t>
  </si>
  <si>
    <t>USA|Cybersecurity|domestic</t>
  </si>
  <si>
    <t>USA|Cybersecurity|international</t>
  </si>
  <si>
    <t>USA|Business Administration|domestic</t>
  </si>
  <si>
    <t>USA|Business Administration|international</t>
  </si>
  <si>
    <t>USA|Finance|domestic</t>
  </si>
  <si>
    <t>USA|Finance|international</t>
  </si>
  <si>
    <t>USA|Accounting and Finance|domestic</t>
  </si>
  <si>
    <t>USA|Accounting and Finance|international</t>
  </si>
  <si>
    <t>USA|ACCA|domestic</t>
  </si>
  <si>
    <t>Estimated — ACCA exam and membership fees only, from ACCA's official 2026 fee list (standard rates): 13 exams plus the Ethics module and a yearly subscription, spread over about 3 years. Tuition classes, if used, are extra. About 3 years to pass the 13 ACCA exams; ACCA is less common in the USA than CPA.</t>
  </si>
  <si>
    <t>USA|ACCA|international</t>
  </si>
  <si>
    <t>USA|CPA|domestic</t>
  </si>
  <si>
    <t>Estimated — US CPA exam: 4 sections at about USD 268.59 each plus application and education-evaluation fees (example state: Washington, via NASBA). Fees vary by state. CPA review courses, if used, are extra. Applies to the CPA year after the accounting degree. A 4-year accounting degree first (most states need 150 credit hours), then about a year to pass the 4 CPA exam sections.</t>
  </si>
  <si>
    <t>USA|CPA|international</t>
  </si>
  <si>
    <t>USA|Chartered Accountancy (CA)|domestic</t>
  </si>
  <si>
    <t>No published fee found yet for this course in this country. Please enter your own estimate. The USA uses the CPA qualification instead of CA. Choose CPA.</t>
  </si>
  <si>
    <t>USA|Chartered Accountancy (CA)|international</t>
  </si>
  <si>
    <t>USA|Law|domestic</t>
  </si>
  <si>
    <t>Published fees from 1 record(s). Law in the USA is a graduate degree: a 4-year bachelor's degree first, then a 3-year JD.</t>
  </si>
  <si>
    <t>USA|Law|international</t>
  </si>
  <si>
    <t>Estimated — international students are assumed to pay the non-resident rate: University of Michigan Law JD non-resident tuition and fees 2026-27. Law in the USA is a graduate degree: a 4-year bachelor's degree first, then a 3-year JD.</t>
  </si>
  <si>
    <t>USA|Architecture|domestic</t>
  </si>
  <si>
    <t>Estimated — the standard undergraduate rate (no programme differential) at Purdue and Kentucky is used; architecture schools may add studio fees. Bachelor of Architecture (B.Arch), 5 years.</t>
  </si>
  <si>
    <t>USA|Architecture|international</t>
  </si>
  <si>
    <t>USA|Psychology|domestic</t>
  </si>
  <si>
    <t>USA|Psychology|international</t>
  </si>
  <si>
    <t>USA|Biotechnology|domestic</t>
  </si>
  <si>
    <t>USA|Biotechnology|international</t>
  </si>
  <si>
    <t>USA|Other Qualification|domestic</t>
  </si>
  <si>
    <t>Estimated — average of the published fees for the USA's other non-medical degrees. Please replace it with the fee of the course you are considering. Most US bachelor's degrees are 4 years.</t>
  </si>
  <si>
    <t>USA|Other Qualification|international</t>
  </si>
  <si>
    <t>UK|Medicine (MBBS/MD)|domestic</t>
  </si>
  <si>
    <t>Published fees from 1 record(s). MBChB/BMBS, 5 years (6 with an intercalated degree).</t>
  </si>
  <si>
    <t>UK|Medicine (MBBS/MD)|international</t>
  </si>
  <si>
    <t>Published fees from 3 record(s). MBChB/BMBS, 5 years (6 with an intercalated degree).</t>
  </si>
  <si>
    <t>UK|Dentistry|domestic</t>
  </si>
  <si>
    <t>Published fees from 1 record(s). BDS, 5 years.</t>
  </si>
  <si>
    <t>UK|Dentistry|international</t>
  </si>
  <si>
    <t>Published fees from 3 record(s). BDS, 5 years.</t>
  </si>
  <si>
    <t>UK|Pharmacy|domestic</t>
  </si>
  <si>
    <t>Published fees from 1 record(s). MPharm, 4 years (a foundation training year follows, usually paid).</t>
  </si>
  <si>
    <t>UK|Pharmacy|international</t>
  </si>
  <si>
    <t>Published fees from 2 record(s). MPharm, 4 years (a foundation training year follows, usually paid).</t>
  </si>
  <si>
    <t>UK|Nursing|domestic</t>
  </si>
  <si>
    <t>Published fees from 1 record(s). BNurs/BSc Nursing, 3 years.</t>
  </si>
  <si>
    <t>UK|Nursing|international</t>
  </si>
  <si>
    <t>Published fees from 3 record(s). BNurs/BSc Nursing, 3 years.</t>
  </si>
  <si>
    <t>UK|Physiotherapy|domestic</t>
  </si>
  <si>
    <t>Published fees from 1 record(s). BSc Physiotherapy, 3 years.</t>
  </si>
  <si>
    <t>UK|Physiotherapy|international</t>
  </si>
  <si>
    <t>Published fees from 2 record(s). BSc Physiotherapy, 3 years.</t>
  </si>
  <si>
    <t>UK|Engineering|domestic</t>
  </si>
  <si>
    <t>Published fees from 1 record(s). BEng is 3 years; an MEng is 4 years.</t>
  </si>
  <si>
    <t>UK|Engineering|international</t>
  </si>
  <si>
    <t>Published fees from 4 record(s). BEng is 3 years; an MEng is 4 years.</t>
  </si>
  <si>
    <t>UK|Computer Science|domestic</t>
  </si>
  <si>
    <t>Published fees from 1 record(s). BSc, 3 years.</t>
  </si>
  <si>
    <t>UK|Computer Science|international</t>
  </si>
  <si>
    <t>Published fees from 4 record(s). BSc, 3 years.</t>
  </si>
  <si>
    <t>UK|Software Engineering|domestic</t>
  </si>
  <si>
    <t>Published fees from 1 record(s). BSc/BEng, 3 years.</t>
  </si>
  <si>
    <t>UK|Software Engineering|international</t>
  </si>
  <si>
    <t>Published fees from 2 record(s). BSc/BEng, 3 years.</t>
  </si>
  <si>
    <t>UK|Artificial Intelligence|domestic</t>
  </si>
  <si>
    <t>Published fees from 1 record(s). BSc, 3 years (MEng options are 4 years).</t>
  </si>
  <si>
    <t>UK|Artificial Intelligence|international</t>
  </si>
  <si>
    <t>Published fees from 3 record(s). BSc, 3 years (MEng options are 4 years).</t>
  </si>
  <si>
    <t>UK|Data Science|domestic</t>
  </si>
  <si>
    <t>UK|Data Science|international</t>
  </si>
  <si>
    <t>Published fees from 2 record(s). BSc, 3 years.</t>
  </si>
  <si>
    <t>UK|Cybersecurity|domestic</t>
  </si>
  <si>
    <t>UK|Cybersecurity|international</t>
  </si>
  <si>
    <t>Published fees from 2 record(s). BSc, 3 years (MEng options are 4 years).</t>
  </si>
  <si>
    <t>UK|Business Administration|domestic</t>
  </si>
  <si>
    <t>Published fees from 1 record(s). BSc Management/Business, 3 years.</t>
  </si>
  <si>
    <t>UK|Business Administration|international</t>
  </si>
  <si>
    <t>UK|Finance|domestic</t>
  </si>
  <si>
    <t>Published fees from 1 record(s). BSc/BAEcon Finance, 3 years.</t>
  </si>
  <si>
    <t>UK|Finance|international</t>
  </si>
  <si>
    <t>Published fees from 2 record(s). BSc/BAEcon Finance, 3 years.</t>
  </si>
  <si>
    <t>UK|Accounting and Finance|domestic</t>
  </si>
  <si>
    <t>Published fees from 1 record(s). BSc Accounting and Finance, 3 years.</t>
  </si>
  <si>
    <t>UK|Accounting and Finance|international</t>
  </si>
  <si>
    <t>Published fees from 4 record(s). BSc Accounting and Finance, 3 years.</t>
  </si>
  <si>
    <t>UK|ACCA|domestic</t>
  </si>
  <si>
    <t>Estimated — ACCA exam and membership fees only, from ACCA's official 2026 fee list (standard rates): 13 exams plus the Ethics module and a yearly subscription, spread over about 3 years. Tuition classes, if used, are extra. About 3 years to pass the 13 ACCA exams; exemptions can shorten this.</t>
  </si>
  <si>
    <t>UK|ACCA|international</t>
  </si>
  <si>
    <t>UK|CPA|domestic</t>
  </si>
  <si>
    <t>UK|CPA|international</t>
  </si>
  <si>
    <t>UK|Chartered Accountancy (CA)|domestic</t>
  </si>
  <si>
    <t>Estimated — ICAEW ACA 2026: 6 Certificate exams at GBP 99, 6 Professional at GBP 133, 2 Advanced at GBP 220 and the Case Study at GBP 297, plus the GBP 216 yearly student fee, over 3 years. Training employers usually pay these. ICAEW ACA usually takes 3 years alongside a training contract; employers normally pay the training and exam fees.</t>
  </si>
  <si>
    <t>UK|Chartered Accountancy (CA)|international</t>
  </si>
  <si>
    <t>UK|Law|domestic</t>
  </si>
  <si>
    <t>Published fees from 1 record(s). LLB, 3 years.</t>
  </si>
  <si>
    <t>UK|Law|international</t>
  </si>
  <si>
    <t>Published fees from 4 record(s). LLB, 3 years.</t>
  </si>
  <si>
    <t>UK|Architecture|domestic</t>
  </si>
  <si>
    <t>Published fees from 1 record(s). BA/BArch is RIBA Part 1 (3 years). Registering as an architect also needs Part 2 (a 2-year master's) and Part 3.</t>
  </si>
  <si>
    <t>UK|Architecture|international</t>
  </si>
  <si>
    <t>Published fees from 2 record(s). BA/BArch is RIBA Part 1 (3 years). Registering as an architect also needs Part 2 (a 2-year master's) and Part 3.</t>
  </si>
  <si>
    <t>UK|Psychology|domestic</t>
  </si>
  <si>
    <t>Published fees from 1 record(s). BSc Psychology, 3 years.</t>
  </si>
  <si>
    <t>UK|Psychology|international</t>
  </si>
  <si>
    <t>Published fees from 4 record(s). BSc Psychology, 3 years.</t>
  </si>
  <si>
    <t>UK|Biotechnology|domestic</t>
  </si>
  <si>
    <t>UK|Biotechnology|international</t>
  </si>
  <si>
    <t>UK|Other Qualification|domestic</t>
  </si>
  <si>
    <t>Estimated — average of the published fees for the UK's other non-medical degrees. Please replace it with the fee of the course you are considering. Most bachelor's degrees in England are 3 years (4 in Scotland).</t>
  </si>
  <si>
    <t>UK|Other Qualification|international</t>
  </si>
  <si>
    <t>Australia|Medicine (MBBS/MD)|domestic</t>
  </si>
  <si>
    <t>AUD</t>
  </si>
  <si>
    <t>Published fees from 1 record(s). Undergraduate-entry medicine such as UNSW's Bachelor of Medical Studies / Doctor of Medicine is 6 years. Graduate-entry MD programmes are 4 years after a bachelor's degree.</t>
  </si>
  <si>
    <t>Australia|Medicine (MBBS/MD)|international</t>
  </si>
  <si>
    <t>Australia|Dentistry|domestic</t>
  </si>
  <si>
    <t>Published fees from 1 record(s). Undergraduate dentistry, 5 years (graduate-entry DMD is 4 years after a degree).</t>
  </si>
  <si>
    <t>Australia|Dentistry|international</t>
  </si>
  <si>
    <t>Australia|Pharmacy|domestic</t>
  </si>
  <si>
    <t>Published fees from 1 record(s). Bachelor of Pharmacy (Honours), 4 years.</t>
  </si>
  <si>
    <t>Australia|Pharmacy|international</t>
  </si>
  <si>
    <t>Australia|Nursing|domestic</t>
  </si>
  <si>
    <t>Published fees from 1 record(s). Bachelor of Nursing, 3 years.</t>
  </si>
  <si>
    <t>Australia|Nursing|international</t>
  </si>
  <si>
    <t>Australia|Physiotherapy|domestic</t>
  </si>
  <si>
    <t>Published fees from 1 record(s). Bachelor of Physiotherapy, 4 years.</t>
  </si>
  <si>
    <t>Australia|Physiotherapy|international</t>
  </si>
  <si>
    <t>Australia|Engineering|domestic</t>
  </si>
  <si>
    <t>Published fees from 1 record(s). Bachelor of Engineering (Honours), 4 years.</t>
  </si>
  <si>
    <t>Australia|Engineering|international</t>
  </si>
  <si>
    <t>Published fees from 2 record(s). Bachelor of Engineering (Honours), 4 years.</t>
  </si>
  <si>
    <t>Australia|Computer Science|domestic</t>
  </si>
  <si>
    <t>Published fees from 1 record(s). Bachelor of Computer Science, 3 years.</t>
  </si>
  <si>
    <t>Australia|Computer Science|international</t>
  </si>
  <si>
    <t>Published fees from 2 record(s). Bachelor of Computer Science, 3 years.</t>
  </si>
  <si>
    <t>Australia|Software Engineering|domestic</t>
  </si>
  <si>
    <t>Published fees from 1 record(s). Bachelor of Engineering (Honours) in Software Engineering, 4 years.</t>
  </si>
  <si>
    <t>Australia|Software Engineering|international</t>
  </si>
  <si>
    <t>Australia|Artificial Intelligence|domestic</t>
  </si>
  <si>
    <t>Published fees from 1 record(s). Bachelor's degree, 3 years.</t>
  </si>
  <si>
    <t>Australia|Artificial Intelligence|international</t>
  </si>
  <si>
    <t>Australia|Data Science|domestic</t>
  </si>
  <si>
    <t>Australia|Data Science|international</t>
  </si>
  <si>
    <t>Australia|Cybersecurity|domestic</t>
  </si>
  <si>
    <t>Australia|Cybersecurity|international</t>
  </si>
  <si>
    <t>Australia|Business Administration|domestic</t>
  </si>
  <si>
    <t>Published fees from 1 record(s). Bachelor of Commerce/Business, 3 years.</t>
  </si>
  <si>
    <t>Australia|Business Administration|international</t>
  </si>
  <si>
    <t>Published fees from 2 record(s). Bachelor of Commerce/Business, 3 years.</t>
  </si>
  <si>
    <t>Australia|Finance|domestic</t>
  </si>
  <si>
    <t>Published fees from 1 record(s). Bachelor of Commerce (Finance), 3 years.</t>
  </si>
  <si>
    <t>Australia|Finance|international</t>
  </si>
  <si>
    <t>Australia|Accounting and Finance|domestic</t>
  </si>
  <si>
    <t>Published fees from 1 record(s). Bachelor of Commerce (Accounting &amp; Finance), 3 years.</t>
  </si>
  <si>
    <t>Australia|Accounting and Finance|international</t>
  </si>
  <si>
    <t>Published fees from 2 record(s). Bachelor of Commerce (Accounting &amp; Finance), 3 years.</t>
  </si>
  <si>
    <t>Australia|ACCA|domestic</t>
  </si>
  <si>
    <t>Estimated — ACCA exam and membership fees only, from ACCA's official 2026 fee list (standard rates): 13 exams plus the Ethics module and a yearly subscription, spread over about 3 years. Tuition classes, if used, are extra. About 3 years to pass the 13 ACCA exams.</t>
  </si>
  <si>
    <t>Australia|ACCA|international</t>
  </si>
  <si>
    <t>Australia|CPA|domestic</t>
  </si>
  <si>
    <t>Estimated — CPA Australia Program: 6 subjects at AUD 1,597 each plus associate membership AUD 399.50 a year, over about 2 years; application fee AUD 225.50 (2026 fees). Applies to the years after the accounting degree. A 3-year accounting degree, then the CPA Australia Program (usually about 2 years, often while working).</t>
  </si>
  <si>
    <t>Australia|CPA|international</t>
  </si>
  <si>
    <t>Australia|Chartered Accountancy (CA)|domestic</t>
  </si>
  <si>
    <t>Estimated — CA ANZ Program 2026–27: Core 1 AUD 430, 6 further core subjects at AUD 1,068 and 2 electives at AUD 855, plus the AUD 452 yearly subscription, over about 3 years. Applies to the years after the accounting degree. A 3-year accounting degree, then the CA ANZ Program (about 3 years, while working).</t>
  </si>
  <si>
    <t>Australia|Chartered Accountancy (CA)|international</t>
  </si>
  <si>
    <t>Australia|Law|domestic</t>
  </si>
  <si>
    <t>Published fees from 1 record(s). LLB, 4 years (5 years as a double degree; the graduate JD is 3 years).</t>
  </si>
  <si>
    <t>Australia|Law|international</t>
  </si>
  <si>
    <t>Australia|Architecture|domestic</t>
  </si>
  <si>
    <t>Published fees from 1 record(s). A 3-year design bachelor's plus a 2-year Master of Architecture to qualify.</t>
  </si>
  <si>
    <t>Australia|Architecture|international</t>
  </si>
  <si>
    <t>Australia|Psychology|domestic</t>
  </si>
  <si>
    <t>Published fees from 1 record(s). A 3-year degree plus a 4th (honours) year, needed for the path to registration.</t>
  </si>
  <si>
    <t>Australia|Psychology|international</t>
  </si>
  <si>
    <t>Australia|Biotechnology|domestic</t>
  </si>
  <si>
    <t>Australia|Biotechnology|international</t>
  </si>
  <si>
    <t>Australia|Other Qualification|domestic</t>
  </si>
  <si>
    <t>Estimated — average of the published fees for Australia's other non-medical degrees. Please replace it with the fee of the course you are considering. Most Australian bachelor's degrees are 3 years.</t>
  </si>
  <si>
    <t>Australia|Other Qualification|international</t>
  </si>
  <si>
    <t>Germany|Medicine (MBBS/MD)|domestic</t>
  </si>
  <si>
    <t>EUR</t>
  </si>
  <si>
    <t>Published fees from 1 record(s). Medicine (Staatsexamen) takes about 6 years and 3 months.</t>
  </si>
  <si>
    <t>Germany|Medicine (MBBS/MD)|international</t>
  </si>
  <si>
    <t>Germany|Dentistry|domestic</t>
  </si>
  <si>
    <t>Published fees from 1 record(s). Dentistry (Staatsexamen), about 5 years.</t>
  </si>
  <si>
    <t>Germany|Dentistry|international</t>
  </si>
  <si>
    <t>Germany|Pharmacy|domestic</t>
  </si>
  <si>
    <t>Published fees from 1 record(s). Pharmacy (Staatsexamen), 4 years of study plus a 1-year practical year.</t>
  </si>
  <si>
    <t>Germany|Pharmacy|international</t>
  </si>
  <si>
    <t>Germany|Nursing|domestic</t>
  </si>
  <si>
    <t>Estimated — German public universities charge the same state-set fees for every bachelor's programme, so the average psychology fee is used. Nursing is also often studied as paid vocational training with no fees. University nursing degrees take 3–3.5 years; vocational nursing training is usually paid.</t>
  </si>
  <si>
    <t>Germany|Nursing|international</t>
  </si>
  <si>
    <t>Germany|Physiotherapy|domestic</t>
  </si>
  <si>
    <t>Published fees from 1 record(s). Mostly 3-year vocational training; some universities offer a 3.5–4-year degree.</t>
  </si>
  <si>
    <t>Germany|Physiotherapy|international</t>
  </si>
  <si>
    <t>Germany|Engineering|domestic</t>
  </si>
  <si>
    <t>Published fees from 1 record(s). Bachelor of Science, usually 6–7 semesters (3–3.5 years).</t>
  </si>
  <si>
    <t>Germany|Engineering|international</t>
  </si>
  <si>
    <t>Published fees from 2 record(s). Bachelor of Science, usually 6–7 semesters (3–3.5 years).</t>
  </si>
  <si>
    <t>Germany|Computer Science|domestic</t>
  </si>
  <si>
    <t>Published fees from 2 record(s). Bachelor of Science, 3 years.</t>
  </si>
  <si>
    <t>Germany|Computer Science|international</t>
  </si>
  <si>
    <t>Published fees from 3 record(s). Bachelor of Science, 3 years.</t>
  </si>
  <si>
    <t>Germany|Software Engineering|domestic</t>
  </si>
  <si>
    <t>Published fees from 1 record(s). Bachelor of Science, 3 years.</t>
  </si>
  <si>
    <t>Germany|Software Engineering|international</t>
  </si>
  <si>
    <t>Germany|Artificial Intelligence|domestic</t>
  </si>
  <si>
    <t>Germany|Artificial Intelligence|international</t>
  </si>
  <si>
    <t>Germany|Data Science|domestic</t>
  </si>
  <si>
    <t>Estimated — German public universities charge the same state-set fees for every bachelor's programme, so the average computer science fee is used. Bachelor of Science, 3 years.</t>
  </si>
  <si>
    <t>Germany|Data Science|international</t>
  </si>
  <si>
    <t>Germany|Cybersecurity|domestic</t>
  </si>
  <si>
    <t>Germany|Cybersecurity|international</t>
  </si>
  <si>
    <t>Germany|Business Administration|domestic</t>
  </si>
  <si>
    <t>Published fees from 2 record(s). Bachelor's degree, 3 years.</t>
  </si>
  <si>
    <t>Germany|Business Administration|international</t>
  </si>
  <si>
    <t>Germany|Finance|domestic</t>
  </si>
  <si>
    <t>Estimated — German public universities charge the same state-set fees for every bachelor's programme, so the average business administration fee is used. Bachelor's degree, 3 years.</t>
  </si>
  <si>
    <t>Germany|Finance|international</t>
  </si>
  <si>
    <t>Germany|Accounting and Finance|domestic</t>
  </si>
  <si>
    <t>Germany|Accounting and Finance|international</t>
  </si>
  <si>
    <t>Germany|ACCA|domestic</t>
  </si>
  <si>
    <t>Germany|ACCA|international</t>
  </si>
  <si>
    <t>Germany|CPA|domestic</t>
  </si>
  <si>
    <t>Germany|CPA|international</t>
  </si>
  <si>
    <t>Germany|Chartered Accountancy (CA)|domestic</t>
  </si>
  <si>
    <t>No published fee found yet for this course in this country. Please enter your own estimate. Germany has no CA qualification (its auditor route, Wirtschaftsprüfer, is different and is not modelled).</t>
  </si>
  <si>
    <t>Germany|Chartered Accountancy (CA)|international</t>
  </si>
  <si>
    <t>Germany|Law|domestic</t>
  </si>
  <si>
    <t>Published fees from 1 record(s). Law (First State Exam) usually takes 4.5–5 years, followed by a paid legal traineeship.</t>
  </si>
  <si>
    <t>Germany|Law|international</t>
  </si>
  <si>
    <t>Germany|Architecture|domestic</t>
  </si>
  <si>
    <t>Published fees from 1 record(s). Bachelor's degree 3–4 years; a 2-year master's is usually needed to register.</t>
  </si>
  <si>
    <t>Germany|Architecture|international</t>
  </si>
  <si>
    <t>Germany|Psychology|domestic</t>
  </si>
  <si>
    <t>Germany|Psychology|international</t>
  </si>
  <si>
    <t>Germany|Biotechnology|domestic</t>
  </si>
  <si>
    <t>Germany|Biotechnology|international</t>
  </si>
  <si>
    <t>Germany|Other Qualification|domestic</t>
  </si>
  <si>
    <t>Estimated — average of the published fees for Germany's other non-medical degrees. Please replace it with the fee of the course you are considering. Most German bachelor's degrees are 3 years.</t>
  </si>
  <si>
    <t>Germany|Other Qualification|international</t>
  </si>
  <si>
    <t>Singapore|Medicine (MBBS/MD)|domestic</t>
  </si>
  <si>
    <t>SGD</t>
  </si>
  <si>
    <t>Published fees from 2 record(s). MBBS, 5 years.</t>
  </si>
  <si>
    <t>Singapore|Medicine (MBBS/MD)|international</t>
  </si>
  <si>
    <t>Singapore|Dentistry|domestic</t>
  </si>
  <si>
    <t>Published fees from 1 record(s). BDS, 4 years.</t>
  </si>
  <si>
    <t>Singapore|Dentistry|international</t>
  </si>
  <si>
    <t>Singapore|Pharmacy|domestic</t>
  </si>
  <si>
    <t>Published fees from 1 record(s). BPharm (Honours), 4 years.</t>
  </si>
  <si>
    <t>Singapore|Pharmacy|international</t>
  </si>
  <si>
    <t>Singapore|Nursing|domestic</t>
  </si>
  <si>
    <t>Published fees from 1 record(s). BSc Nursing, 3 years (4 with Honours).</t>
  </si>
  <si>
    <t>Singapore|Nursing|international</t>
  </si>
  <si>
    <t>Singapore|Physiotherapy|domestic</t>
  </si>
  <si>
    <t>Estimated — Singapore's physiotherapy degree is at the Singapore Institute of Technology, whose fee page could not be read; NUS's published Nursing fee is used. Please check SIT's fee. Physiotherapy is taught at the Singapore Institute of Technology.</t>
  </si>
  <si>
    <t>Singapore|Physiotherapy|international</t>
  </si>
  <si>
    <t>Singapore|Engineering|domestic</t>
  </si>
  <si>
    <t>Published fees from 2 record(s). BEng, 4 years.</t>
  </si>
  <si>
    <t>Singapore|Engineering|international</t>
  </si>
  <si>
    <t>Singapore|Computer Science|domestic</t>
  </si>
  <si>
    <t>Published fees from 2 record(s). BComp/BSc, 4 years.</t>
  </si>
  <si>
    <t>Singapore|Computer Science|international</t>
  </si>
  <si>
    <t>Singapore|Software Engineering|domestic</t>
  </si>
  <si>
    <t>Published fees from 1 record(s). 4 years.</t>
  </si>
  <si>
    <t>Singapore|Software Engineering|international</t>
  </si>
  <si>
    <t>Singapore|Artificial Intelligence|domestic</t>
  </si>
  <si>
    <t>Singapore|Artificial Intelligence|international</t>
  </si>
  <si>
    <t>Singapore|Data Science|domestic</t>
  </si>
  <si>
    <t>Published fees from 2 record(s). 4 years.</t>
  </si>
  <si>
    <t>Singapore|Data Science|international</t>
  </si>
  <si>
    <t>Singapore|Cybersecurity|domestic</t>
  </si>
  <si>
    <t>Published fees from 1 record(s). BComp Information Security, 4 years.</t>
  </si>
  <si>
    <t>Singapore|Cybersecurity|international</t>
  </si>
  <si>
    <t>Singapore|Business Administration|domestic</t>
  </si>
  <si>
    <t>Singapore|Business Administration|international</t>
  </si>
  <si>
    <t>Singapore|Finance|domestic</t>
  </si>
  <si>
    <t>Singapore|Finance|international</t>
  </si>
  <si>
    <t>Singapore|Accounting and Finance|domestic</t>
  </si>
  <si>
    <t>Published fees from 2 record(s). NUS BBA (Accountancy) 4 years; NTU Accountancy 3 years.</t>
  </si>
  <si>
    <t>Singapore|Accounting and Finance|international</t>
  </si>
  <si>
    <t>Singapore|ACCA|domestic</t>
  </si>
  <si>
    <t>Singapore|ACCA|international</t>
  </si>
  <si>
    <t>Singapore|CPA|domestic</t>
  </si>
  <si>
    <t>Singapore|CPA|international</t>
  </si>
  <si>
    <t>Singapore|Chartered Accountancy (CA)|domestic</t>
  </si>
  <si>
    <t>Estimated — Singapore CA Qualification Professional Programme: 5 module exams at S$975 each for non-students (fees cut from June 2024) plus 9% GST, over about 2 years; the yearly candidature fee is not included. Applies to the years after the accounting degree. A 4-year accounting degree, then the Singapore CA Qualification Professional Programme (about 2 years, with 3 years' practical experience).</t>
  </si>
  <si>
    <t>Singapore|Chartered Accountancy (CA)|international</t>
  </si>
  <si>
    <t>Singapore|Law|domestic</t>
  </si>
  <si>
    <t>Published fees from 1 record(s). LLB, 4 years.</t>
  </si>
  <si>
    <t>Singapore|Law|international</t>
  </si>
  <si>
    <t>Singapore|Architecture|domestic</t>
  </si>
  <si>
    <t>Published fees from 1 record(s). BA Architecture, 4 years; registering as an architect also needs a 2-year master's.</t>
  </si>
  <si>
    <t>Singapore|Architecture|international</t>
  </si>
  <si>
    <t>Singapore|Psychology|domestic</t>
  </si>
  <si>
    <t>Published fees from 2 record(s). 4 years with Honours (3 without).</t>
  </si>
  <si>
    <t>Singapore|Psychology|international</t>
  </si>
  <si>
    <t>Singapore|Biotechnology|domestic</t>
  </si>
  <si>
    <t>Singapore|Biotechnology|international</t>
  </si>
  <si>
    <t>Singapore|Other Qualification|domestic</t>
  </si>
  <si>
    <t>Estimated — average of the published fees for Singapore's other non-medical degrees. Please replace it with the fee of the course you are considering. Most Singapore bachelor's degrees are 4 years (Honours).</t>
  </si>
  <si>
    <t>Singapore|Other Qualification|international</t>
  </si>
  <si>
    <t>Malaysia|Medicine (MBBS/MD)|domestic</t>
  </si>
  <si>
    <t>MYR</t>
  </si>
  <si>
    <t>Published fees from 2 record(s). MBBS / MD, 5 years.</t>
  </si>
  <si>
    <t>Malaysia|Medicine (MBBS/MD)|international</t>
  </si>
  <si>
    <t>Malaysia|Dentistry|domestic</t>
  </si>
  <si>
    <t>Estimated — no current published dental fee was found (IMU's fee list could not be read); private dental degrees in Malaysia cost about as much as medicine, so the published Medicine fees are used. BDS, 5 years.</t>
  </si>
  <si>
    <t>Malaysia|Dentistry|international</t>
  </si>
  <si>
    <t>Malaysia|Pharmacy|domestic</t>
  </si>
  <si>
    <t>Published fees from 2 record(s). BPharm (Honours), 4 years.</t>
  </si>
  <si>
    <t>Malaysia|Pharmacy|international</t>
  </si>
  <si>
    <t>Malaysia|Nursing|domestic</t>
  </si>
  <si>
    <t>Estimated — IMU's Bachelor of Nursing Science (Honours) as listed on a course-search website (about RM 22,000 a year for Malaysians), not an official fee list. Please check with the university. BSc Nursing (Honours), about 4 years.</t>
  </si>
  <si>
    <t>Malaysia|Nursing|international</t>
  </si>
  <si>
    <t>Estimated — IMU's Bachelor of Nursing Science (Honours) as listed on a course-search website (about RM 24,750 a year for international students), not an official fee list. Please check with the university. BSc Nursing (Honours), about 4 years.</t>
  </si>
  <si>
    <t>Malaysia|Physiotherapy|domestic</t>
  </si>
  <si>
    <t>Estimated — no published physiotherapy fee was found for Monash or Taylor's; the published health-science (Medical Bioscience and Biotechnology) fees are used. Bachelor of Physiotherapy (Honours), about 4 years.</t>
  </si>
  <si>
    <t>Malaysia|Physiotherapy|international</t>
  </si>
  <si>
    <t>Malaysia|Engineering|domestic</t>
  </si>
  <si>
    <t>Published fees from 2 record(s). BEng (Honours), 4 years.</t>
  </si>
  <si>
    <t>Malaysia|Engineering|international</t>
  </si>
  <si>
    <t>Malaysia|Computer Science|domestic</t>
  </si>
  <si>
    <t>Published fees from 2 record(s). 3 years.</t>
  </si>
  <si>
    <t>Malaysia|Computer Science|international</t>
  </si>
  <si>
    <t>Malaysia|Software Engineering|domestic</t>
  </si>
  <si>
    <t>Published fees from 2 record(s). 3 years at Taylor's; 4 at Monash.</t>
  </si>
  <si>
    <t>Malaysia|Software Engineering|international</t>
  </si>
  <si>
    <t>Malaysia|Artificial Intelligence|domestic</t>
  </si>
  <si>
    <t>Published fees from 1 record(s). 3 years.</t>
  </si>
  <si>
    <t>Malaysia|Artificial Intelligence|international</t>
  </si>
  <si>
    <t>Malaysia|Data Science|domestic</t>
  </si>
  <si>
    <t>Malaysia|Data Science|international</t>
  </si>
  <si>
    <t>Malaysia|Cybersecurity|domestic</t>
  </si>
  <si>
    <t>Estimated — the published Computer Science fees are used. About 3 years.</t>
  </si>
  <si>
    <t>Malaysia|Cybersecurity|international</t>
  </si>
  <si>
    <t>Malaysia|Business Administration|domestic</t>
  </si>
  <si>
    <t>Malaysia|Business Administration|international</t>
  </si>
  <si>
    <t>Malaysia|Finance|domestic</t>
  </si>
  <si>
    <t>Malaysia|Finance|international</t>
  </si>
  <si>
    <t>Malaysia|Accounting and Finance|domestic</t>
  </si>
  <si>
    <t>Published fees from 2 record(s). 3 years at Monash; 3.5 at Taylor's.</t>
  </si>
  <si>
    <t>Malaysia|Accounting and Finance|international</t>
  </si>
  <si>
    <t>Malaysia|ACCA|domestic</t>
  </si>
  <si>
    <t>Malaysia|ACCA|international</t>
  </si>
  <si>
    <t>Malaysia|CPA|domestic</t>
  </si>
  <si>
    <t>Malaysia|CPA|international</t>
  </si>
  <si>
    <t>Malaysia|Chartered Accountancy (CA)|domestic</t>
  </si>
  <si>
    <t>No published fee found yet for this course in this country. Please enter your own estimate. In Malaysia, Chartered Accountant (CA(M)) status comes from MIA membership after a professional qualification such as ACCA. Choose ACCA.</t>
  </si>
  <si>
    <t>Malaysia|Chartered Accountancy (CA)|international</t>
  </si>
  <si>
    <t>Malaysia|Law|domestic</t>
  </si>
  <si>
    <t>Published fees from 1 record(s). LLB (Honours), 3 years.</t>
  </si>
  <si>
    <t>Malaysia|Law|international</t>
  </si>
  <si>
    <t>Malaysia|Architecture|domestic</t>
  </si>
  <si>
    <t>Published fees from 1 record(s). BSc Architecture (LAM Part 1), 3 years; registration needs further study.</t>
  </si>
  <si>
    <t>Malaysia|Architecture|international</t>
  </si>
  <si>
    <t>Malaysia|Psychology|domestic</t>
  </si>
  <si>
    <t>Malaysia|Psychology|international</t>
  </si>
  <si>
    <t>Malaysia|Biotechnology|domestic</t>
  </si>
  <si>
    <t>Malaysia|Biotechnology|international</t>
  </si>
  <si>
    <t>Malaysia|Other Qualification|domestic</t>
  </si>
  <si>
    <t>Estimated — average of the published fees for Malaysia's other non-medical degrees. Please replace it with the fee of the course you are considering. Most Malaysian bachelor's degrees are 3–4 years.</t>
  </si>
  <si>
    <t>Malaysia|Other Qualification|international</t>
  </si>
  <si>
    <t>Ireland|Medicine (MBBS/MD)|domestic</t>
  </si>
  <si>
    <t>Published fees from 1 record(s). 5 years for school leavers (6 with a foundation year for many non-EU students).</t>
  </si>
  <si>
    <t>Ireland|Medicine (MBBS/MD)|international</t>
  </si>
  <si>
    <t>Published fees from 2 record(s). 5 years for school leavers (6 with a foundation year for many non-EU students).</t>
  </si>
  <si>
    <t>Ireland|Dentistry|domestic</t>
  </si>
  <si>
    <t>Published fees from 1 record(s). Dental Science, 5 years.</t>
  </si>
  <si>
    <t>Ireland|Dentistry|international</t>
  </si>
  <si>
    <t>Ireland|Pharmacy|domestic</t>
  </si>
  <si>
    <t>Published fees from 1 record(s). Integrated MPharm, 5 years.</t>
  </si>
  <si>
    <t>Ireland|Pharmacy|international</t>
  </si>
  <si>
    <t>Ireland|Nursing|domestic</t>
  </si>
  <si>
    <t>Published fees from 1 record(s). BSc Nursing, 4 years.</t>
  </si>
  <si>
    <t>Ireland|Nursing|international</t>
  </si>
  <si>
    <t>Published fees from 2 record(s). BSc Nursing, 4 years.</t>
  </si>
  <si>
    <t>Ireland|Physiotherapy|domestic</t>
  </si>
  <si>
    <t>Ireland|Physiotherapy|international</t>
  </si>
  <si>
    <t>Ireland|Engineering|domestic</t>
  </si>
  <si>
    <t>Published fees from 1 record(s). BE 4 years; an integrated master's is 5.</t>
  </si>
  <si>
    <t>Ireland|Engineering|international</t>
  </si>
  <si>
    <t>Published fees from 2 record(s). BE 4 years; an integrated master's is 5.</t>
  </si>
  <si>
    <t>Ireland|Computer Science|domestic</t>
  </si>
  <si>
    <t>Published fees from 1 record(s). 4 years (5 with an integrated master's).</t>
  </si>
  <si>
    <t>Ireland|Computer Science|international</t>
  </si>
  <si>
    <t>Published fees from 2 record(s). 4 years (5 with an integrated master's).</t>
  </si>
  <si>
    <t>Ireland|Software Engineering|domestic</t>
  </si>
  <si>
    <t>Estimated — the published Computer Science fees (Trinity, UCD) are used. About 4 years.</t>
  </si>
  <si>
    <t>Ireland|Software Engineering|international</t>
  </si>
  <si>
    <t>Ireland|Artificial Intelligence|domestic</t>
  </si>
  <si>
    <t>Ireland|Artificial Intelligence|international</t>
  </si>
  <si>
    <t>Ireland|Data Science|domestic</t>
  </si>
  <si>
    <t>Ireland|Data Science|international</t>
  </si>
  <si>
    <t>Ireland|Cybersecurity|domestic</t>
  </si>
  <si>
    <t>Ireland|Cybersecurity|international</t>
  </si>
  <si>
    <t>Ireland|Business Administration|domestic</t>
  </si>
  <si>
    <t>Published fees from 1 record(s). UCD Commerce 3 years; Trinity BESS 4 years.</t>
  </si>
  <si>
    <t>Ireland|Business Administration|international</t>
  </si>
  <si>
    <t>Published fees from 2 record(s). UCD Commerce 3 years; Trinity BESS 4 years.</t>
  </si>
  <si>
    <t>Ireland|Finance|domestic</t>
  </si>
  <si>
    <t>Ireland|Finance|international</t>
  </si>
  <si>
    <t>Ireland|Accounting and Finance|domestic</t>
  </si>
  <si>
    <t>Estimated — accounting is taught within Commerce/Business degrees in Ireland; the published Business fees are used. 3–4 years.</t>
  </si>
  <si>
    <t>Ireland|Accounting and Finance|international</t>
  </si>
  <si>
    <t>Ireland|ACCA|domestic</t>
  </si>
  <si>
    <t>Ireland|ACCA|international</t>
  </si>
  <si>
    <t>Ireland|CPA|domestic</t>
  </si>
  <si>
    <t>No published fee found yet for this course in this country. Please enter your own estimate. CPA is a US (or Australian) qualification. Choose USA or Australia to plan for it. (CPA Ireland is a different qualification and is not modelled.)</t>
  </si>
  <si>
    <t>Ireland|CPA|international</t>
  </si>
  <si>
    <t>Ireland|Chartered Accountancy (CA)|domestic</t>
  </si>
  <si>
    <t>Estimated — Chartered Accountants Ireland 2026-27: CAP1 €1,784, Law €446, CAP2 €3,376 and FAE €4,615 (no registration or student subscription fee), over about 3 years. Training firms often pay these. Chartered Accountants Ireland (CAP1, CAP2, FAE) usually takes about 3 years alongside a training contract; training firms often pay the fees.</t>
  </si>
  <si>
    <t>Ireland|Chartered Accountancy (CA)|international</t>
  </si>
  <si>
    <t>Ireland|Law|domestic</t>
  </si>
  <si>
    <t>Published fees from 1 record(s). LLB/BCL, 4 years.</t>
  </si>
  <si>
    <t>Ireland|Law|international</t>
  </si>
  <si>
    <t>Published fees from 2 record(s). LLB/BCL, 4 years.</t>
  </si>
  <si>
    <t>Ireland|Architecture|domestic</t>
  </si>
  <si>
    <t>Published fees from 1 record(s). 4-year BSc, then a 2-year master's to register.</t>
  </si>
  <si>
    <t>Ireland|Architecture|international</t>
  </si>
  <si>
    <t>Ireland|Psychology|domestic</t>
  </si>
  <si>
    <t>Published fees from 1 record(s). 3–4 years.</t>
  </si>
  <si>
    <t>Ireland|Psychology|international</t>
  </si>
  <si>
    <t>Published fees from 2 record(s). 3–4 years.</t>
  </si>
  <si>
    <t>Ireland|Biotechnology|domestic</t>
  </si>
  <si>
    <t>Ireland|Biotechnology|international</t>
  </si>
  <si>
    <t>Ireland|Other Qualification|domestic</t>
  </si>
  <si>
    <t>Estimated — average of the published fees for Ireland's other non-medical degrees. Please replace it with the fee of the course you are considering. Most Irish honours degrees are 3–4 years.</t>
  </si>
  <si>
    <t>Ireland|Other Qualification|international</t>
  </si>
  <si>
    <t>Qatar|Medicine (MBBS/MD)|domestic</t>
  </si>
  <si>
    <t>QAR</t>
  </si>
  <si>
    <t>Estimated — Qatari citizens are exempt from undergraduate tuition at Qatar University. Private and branch campuses charge their published fees. 6-year medical programme (MD), including pre-medical years.</t>
  </si>
  <si>
    <t>Qatar|Medicine (MBBS/MD)|international</t>
  </si>
  <si>
    <t>Published fees from 2 record(s). 6-year medical programme (MD), including pre-medical years.</t>
  </si>
  <si>
    <t>Qatar|Dentistry|domestic</t>
  </si>
  <si>
    <t>Estimated — Qatari citizens are exempt from undergraduate tuition at Qatar University. Private and branch campuses charge their published fees. Dental degree, 6 years.</t>
  </si>
  <si>
    <t>Qatar|Dentistry|international</t>
  </si>
  <si>
    <t>Published fees from 1 record(s). Dental degree, 6 years.</t>
  </si>
  <si>
    <t>Qatar|Pharmacy|domestic</t>
  </si>
  <si>
    <t>Estimated — Qatari citizens are exempt from undergraduate tuition at Qatar University. Private and branch campuses charge their published fees. 5 years.</t>
  </si>
  <si>
    <t>Qatar|Pharmacy|international</t>
  </si>
  <si>
    <t>Published fees from 1 record(s). 5 years.</t>
  </si>
  <si>
    <t>Qatar|Nursing|domestic</t>
  </si>
  <si>
    <t>Estimated — Qatari citizens are exempt from undergraduate tuition at Qatar University. Private and branch campuses charge their published fees. 4 years.</t>
  </si>
  <si>
    <t>Qatar|Nursing|international</t>
  </si>
  <si>
    <t>Qatar|Physiotherapy|domestic</t>
  </si>
  <si>
    <t>Qatar|Physiotherapy|international</t>
  </si>
  <si>
    <t>Estimated — Qatar University's Nursing rate (QR 1,400 per credit hour, the same rate as Health Sciences) is used. 4 years.</t>
  </si>
  <si>
    <t>Qatar|Engineering|domestic</t>
  </si>
  <si>
    <t>Qatar|Engineering|international</t>
  </si>
  <si>
    <t>Qatar|Computer Science|domestic</t>
  </si>
  <si>
    <t>Qatar|Computer Science|international</t>
  </si>
  <si>
    <t>Qatar|Software Engineering|domestic</t>
  </si>
  <si>
    <t>Estimated — Qatari citizens are exempt from undergraduate tuition at Qatar University. Private and branch campuses charge their published fees. About 4 years.</t>
  </si>
  <si>
    <t>Qatar|Software Engineering|international</t>
  </si>
  <si>
    <t>Estimated — the published Computer Science fees (Qatar University, Carnegie Mellon Qatar) are used. About 4 years.</t>
  </si>
  <si>
    <t>Qatar|Artificial Intelligence|domestic</t>
  </si>
  <si>
    <t>Qatar|Artificial Intelligence|international</t>
  </si>
  <si>
    <t>Qatar|Data Science|domestic</t>
  </si>
  <si>
    <t>Qatar|Data Science|international</t>
  </si>
  <si>
    <t>Qatar|Cybersecurity|domestic</t>
  </si>
  <si>
    <t>Qatar|Cybersecurity|international</t>
  </si>
  <si>
    <t>Qatar|Business Administration|domestic</t>
  </si>
  <si>
    <t>Qatar|Business Administration|international</t>
  </si>
  <si>
    <t>Qatar|Finance|domestic</t>
  </si>
  <si>
    <t>Qatar|Finance|international</t>
  </si>
  <si>
    <t>Qatar|Accounting and Finance|domestic</t>
  </si>
  <si>
    <t>Qatar|Accounting and Finance|international</t>
  </si>
  <si>
    <t>Qatar|ACCA|domestic</t>
  </si>
  <si>
    <t>Qatar|ACCA|international</t>
  </si>
  <si>
    <t>Qatar|CPA|domestic</t>
  </si>
  <si>
    <t>Qatar|CPA|international</t>
  </si>
  <si>
    <t>Qatar|Chartered Accountancy (CA)|domestic</t>
  </si>
  <si>
    <t>No published fee found yet for this course in this country. Please enter your own estimate. There is no national chartered-accountancy qualification here; ACCA is the common route. Choose ACCA, or the UK for ICAEW's ACA.</t>
  </si>
  <si>
    <t>Qatar|Chartered Accountancy (CA)|international</t>
  </si>
  <si>
    <t>Qatar|Law|domestic</t>
  </si>
  <si>
    <t>Qatar|Law|international</t>
  </si>
  <si>
    <t>Qatar|Architecture|domestic</t>
  </si>
  <si>
    <t>Qatar|Architecture|international</t>
  </si>
  <si>
    <t>Qatar|Psychology|domestic</t>
  </si>
  <si>
    <t>Qatar|Psychology|international</t>
  </si>
  <si>
    <t>Estimated — Qatar University's Arts rate (QR 1,200 per credit hour × 30); psychology courses may be charged at the Sciences rate (QR 1,400). 4 years.</t>
  </si>
  <si>
    <t>Qatar|Biotechnology|domestic</t>
  </si>
  <si>
    <t>Qatar|Biotechnology|international</t>
  </si>
  <si>
    <t>Qatar|Other Qualification|domestic</t>
  </si>
  <si>
    <t>Estimated — Qatari citizens are exempt from undergraduate tuition at Qatar University. Private and branch campuses charge their published fees. Most bachelor's degrees here are 4 years.</t>
  </si>
  <si>
    <t>Qatar|Other Qualification|international</t>
  </si>
  <si>
    <t>Estimated — average of the published fees for Qatar's other non-medical degrees. Please replace it with the fee of the course you are considering. Most bachelor's degrees here are 4 years.</t>
  </si>
  <si>
    <t>United Arab Emirates|Medicine (MBBS/MD)|domestic</t>
  </si>
  <si>
    <t>AED</t>
  </si>
  <si>
    <t>Estimated — Emirati citizens study without tuition at the federal universities (UAE University, Zayed University, Higher Colleges of Technology). Private universities charge their published fees. 6-year medical programme (MD), including pre-medical years.</t>
  </si>
  <si>
    <t>United Arab Emirates|Medicine (MBBS/MD)|international</t>
  </si>
  <si>
    <t>Published fees from 1 record(s). 6-year medical programme (MD), including pre-medical years.</t>
  </si>
  <si>
    <t>United Arab Emirates|Dentistry|domestic</t>
  </si>
  <si>
    <t>Estimated — Emirati citizens study without tuition at the federal universities (UAE University, Zayed University, Higher Colleges of Technology). Private universities charge their published fees. Dental degree, 5 years.</t>
  </si>
  <si>
    <t>United Arab Emirates|Dentistry|international</t>
  </si>
  <si>
    <t>Published fees from 1 record(s). Dental degree, 5 years.</t>
  </si>
  <si>
    <t>United Arab Emirates|Pharmacy|domestic</t>
  </si>
  <si>
    <t>Estimated — Emirati citizens study without tuition at the federal universities (UAE University, Zayed University, Higher Colleges of Technology). Private universities charge their published fees. 5 years.</t>
  </si>
  <si>
    <t>United Arab Emirates|Pharmacy|international</t>
  </si>
  <si>
    <t>United Arab Emirates|Nursing|domestic</t>
  </si>
  <si>
    <t>Estimated — Emirati citizens study without tuition at the federal universities (UAE University, Zayed University, Higher Colleges of Technology). Private universities charge their published fees. 4 years.</t>
  </si>
  <si>
    <t>United Arab Emirates|Nursing|international</t>
  </si>
  <si>
    <t>United Arab Emirates|Physiotherapy|domestic</t>
  </si>
  <si>
    <t>United Arab Emirates|Physiotherapy|international</t>
  </si>
  <si>
    <t>United Arab Emirates|Engineering|domestic</t>
  </si>
  <si>
    <t>United Arab Emirates|Engineering|international</t>
  </si>
  <si>
    <t>United Arab Emirates|Computer Science|domestic</t>
  </si>
  <si>
    <t>United Arab Emirates|Computer Science|international</t>
  </si>
  <si>
    <t>United Arab Emirates|Software Engineering|domestic</t>
  </si>
  <si>
    <t>Estimated — Emirati citizens study without tuition at the federal universities (UAE University, Zayed University, Higher Colleges of Technology). Private universities charge their published fees. About 4 years.</t>
  </si>
  <si>
    <t>United Arab Emirates|Software Engineering|international</t>
  </si>
  <si>
    <t>Estimated — the published Computer Science fee (American University of Sharjah) is used. About 4 years.</t>
  </si>
  <si>
    <t>United Arab Emirates|Artificial Intelligence|domestic</t>
  </si>
  <si>
    <t>United Arab Emirates|Artificial Intelligence|international</t>
  </si>
  <si>
    <t>Published fees from 1 record(s). About 4 years.</t>
  </si>
  <si>
    <t>United Arab Emirates|Data Science|domestic</t>
  </si>
  <si>
    <t>United Arab Emirates|Data Science|international</t>
  </si>
  <si>
    <t>United Arab Emirates|Cybersecurity|domestic</t>
  </si>
  <si>
    <t>United Arab Emirates|Cybersecurity|international</t>
  </si>
  <si>
    <t>United Arab Emirates|Business Administration|domestic</t>
  </si>
  <si>
    <t>United Arab Emirates|Business Administration|international</t>
  </si>
  <si>
    <t>United Arab Emirates|Finance|domestic</t>
  </si>
  <si>
    <t>United Arab Emirates|Finance|international</t>
  </si>
  <si>
    <t>United Arab Emirates|Accounting and Finance|domestic</t>
  </si>
  <si>
    <t>United Arab Emirates|Accounting and Finance|international</t>
  </si>
  <si>
    <t>United Arab Emirates|ACCA|domestic</t>
  </si>
  <si>
    <t>United Arab Emirates|ACCA|international</t>
  </si>
  <si>
    <t>United Arab Emirates|CPA|domestic</t>
  </si>
  <si>
    <t>United Arab Emirates|CPA|international</t>
  </si>
  <si>
    <t>United Arab Emirates|Chartered Accountancy (CA)|domestic</t>
  </si>
  <si>
    <t>United Arab Emirates|Chartered Accountancy (CA)|international</t>
  </si>
  <si>
    <t>United Arab Emirates|Law|domestic</t>
  </si>
  <si>
    <t>United Arab Emirates|Law|international</t>
  </si>
  <si>
    <t>United Arab Emirates|Architecture|domestic</t>
  </si>
  <si>
    <t>United Arab Emirates|Architecture|international</t>
  </si>
  <si>
    <t>Published fees from 2 record(s). 5 years.</t>
  </si>
  <si>
    <t>United Arab Emirates|Psychology|domestic</t>
  </si>
  <si>
    <t>United Arab Emirates|Psychology|international</t>
  </si>
  <si>
    <t>United Arab Emirates|Biotechnology|domestic</t>
  </si>
  <si>
    <t>United Arab Emirates|Biotechnology|international</t>
  </si>
  <si>
    <t>United Arab Emirates|Other Qualification|domestic</t>
  </si>
  <si>
    <t>Estimated — Emirati citizens study without tuition at the federal universities (UAE University, Zayed University, Higher Colleges of Technology). Private universities charge their published fees. Most bachelor's degrees here are 4 years.</t>
  </si>
  <si>
    <t>United Arab Emirates|Other Qualification|international</t>
  </si>
  <si>
    <t>Estimated — average of the published fees for United Arab Emirates's other non-medical degrees. Please replace it with the fee of the course you are considering. Most bachelor's degrees here are 4 years.</t>
  </si>
  <si>
    <t>Published fee records used in the averages</t>
  </si>
  <si>
    <t>Same country, qualification, fee status and currency. Each record is grown to the plan start year with the fee increase before averaging.</t>
  </si>
  <si>
    <t>University</t>
  </si>
  <si>
    <t>Fee year</t>
  </si>
  <si>
    <t>Fee year start</t>
  </si>
  <si>
    <t>Currency</t>
  </si>
  <si>
    <t>Tuition (per year)</t>
  </si>
  <si>
    <t>Other mandatory fees (per year)</t>
  </si>
  <si>
    <t>One-time fees</t>
  </si>
  <si>
    <t>Source</t>
  </si>
  <si>
    <t>Aga Khan University Karachi</t>
  </si>
  <si>
    <t>2027 (class entering 2027)</t>
  </si>
  <si>
    <t>Verified – official source</t>
  </si>
  <si>
    <t>https://www.aku.edu/admissions/Documents/fee-structure-MBBS.pdf</t>
  </si>
  <si>
    <t>Riphah International Medical College, Rawalpindi</t>
  </si>
  <si>
    <t>2026</t>
  </si>
  <si>
    <t>https://riphah.edu.pk/programs/detail/?p=129</t>
  </si>
  <si>
    <t>Derived from official source</t>
  </si>
  <si>
    <t>Islamic International Dental College (Riphah), Islamabad</t>
  </si>
  <si>
    <t>https://riphah.edu.pk/programs/detail/?p=108</t>
  </si>
  <si>
    <t>Riphah International University, Islamabad</t>
  </si>
  <si>
    <t>https://riphah.edu.pk/programs/detail/?p=164</t>
  </si>
  <si>
    <t>Aga Khan University School of Nursing and Midwifery</t>
  </si>
  <si>
    <t>2026-27</t>
  </si>
  <si>
    <t>https://www.aku.edu/admissions/Documents/fee-structure-BSCN.pdf</t>
  </si>
  <si>
    <t>https://riphah.edu.pk/programs/detail/?p=68</t>
  </si>
  <si>
    <t>NUST Islamabad</t>
  </si>
  <si>
    <t>https://nust.edu.pk/admissions/fee-structure/undergraduate-financial-matters/</t>
  </si>
  <si>
    <t>LUMS Lahore</t>
  </si>
  <si>
    <t>https://lums.edu.pk/programmes/bs-electrical-engineering</t>
  </si>
  <si>
    <t>https://lums.edu.pk/programmes/bs-computer-science</t>
  </si>
  <si>
    <t>IBA Karachi</t>
  </si>
  <si>
    <t>Estimated from official per-credit rate</t>
  </si>
  <si>
    <t>https://www.iba.edu.pk/fee-structure-between-fall-2022-till-spring-2025.php</t>
  </si>
  <si>
    <t>FAST-NUCES</t>
  </si>
  <si>
    <t>https://www.nu.edu.pk/Admissions/FeeStructure</t>
  </si>
  <si>
    <t>https://lums.edu.pk/programmes/bsc-honours-management-science</t>
  </si>
  <si>
    <t>https://lums.edu.pk/programmes/bsc-honours-accounting-and-finance</t>
  </si>
  <si>
    <t>Kasturba Medical College Manipal (MAHE)</t>
  </si>
  <si>
    <t>https://www.manipal.edu/content/dam/manipal/mu/documents/Admissions/adm2026/2026-27%20General%20Fees%20as%20on%2018-05-2026.pdf</t>
  </si>
  <si>
    <t>Manipal College of Dental Sciences, Manipal (MAHE)</t>
  </si>
  <si>
    <t>Manipal College of Dental Sciences, Mangalore (MAHE)</t>
  </si>
  <si>
    <t>2025-26</t>
  </si>
  <si>
    <t>https://www.manipal.edu/content/dam/manipal/mu/documents/Admissions/adm2025/FEES%20UPDATION%20-%20GENERAL.pdf</t>
  </si>
  <si>
    <t>Manipal College of Pharmaceutical Sciences (MAHE)</t>
  </si>
  <si>
    <t>Manipal College of Nursing (MAHE)</t>
  </si>
  <si>
    <t>Manipal College of Health Professions (MAHE)</t>
  </si>
  <si>
    <t>IIT Bombay</t>
  </si>
  <si>
    <t>https://acad.iitb.ac.in/files/Fee_Circular_UG_Spring%20Semester%20_2025-26_0.pdf</t>
  </si>
  <si>
    <t>Manipal Institute of Technology (MAHE)</t>
  </si>
  <si>
    <t>IIIT Delhi</t>
  </si>
  <si>
    <t>2024-25</t>
  </si>
  <si>
    <t>https://iiitd.ac.in/admission/fees</t>
  </si>
  <si>
    <t>Manipal Institute of Technology, Bengaluru (MAHE)</t>
  </si>
  <si>
    <t>Manipal School of Commerce &amp; Economics (MAHE)</t>
  </si>
  <si>
    <t>CHRIST University Bengaluru</t>
  </si>
  <si>
    <t>Not stated on page (viewed 2026-10-02)</t>
  </si>
  <si>
    <t>Verified – official source (fee year not stated)</t>
  </si>
  <si>
    <t>https://christuniversity.in/courses/NzY1</t>
  </si>
  <si>
    <t>T. A. Pai Management Institute, Bengaluru (MAHE)</t>
  </si>
  <si>
    <t>Manipal School of Commerce and Economics (MAHE)</t>
  </si>
  <si>
    <t>Bharati College, University of Delhi</t>
  </si>
  <si>
    <t>https://www.bharaticollege.du.ac.in/uploads/admission/fee-structure/Fee%20Structure%202025-26.pdf</t>
  </si>
  <si>
    <t>Manipal Law School, Bengaluru (MAHE)</t>
  </si>
  <si>
    <t>Manipal School of Architecture &amp; Planning (MAHE)</t>
  </si>
  <si>
    <t>Manipal (MAHE) — Bachelor of Psychology</t>
  </si>
  <si>
    <t>University of Michigan Medical School</t>
  </si>
  <si>
    <t>https://medschool.umich.edu/programs-admissions/md-program/tuition-financial-aid/md-program-tuition-fees</t>
  </si>
  <si>
    <t>University of Maryland School of Medicine</t>
  </si>
  <si>
    <t>https://umaryland.edu/fin/cost-of-attendance/medicine/md</t>
  </si>
  <si>
    <t>UNC School of Medicine</t>
  </si>
  <si>
    <t>https://www.med.unc.edu/md/financial-aid/cost-of-attendance/</t>
  </si>
  <si>
    <t>University of Michigan School of Dentistry</t>
  </si>
  <si>
    <t>https://finaid.umich.edu/doctor-dental-surgery-dds</t>
  </si>
  <si>
    <t>University of Michigan College of Pharmacy</t>
  </si>
  <si>
    <t>https://pharmacy.umich.edu/admissions/tuition-financial-aid-scholarships/</t>
  </si>
  <si>
    <t>Purdue University (West Lafayette)</t>
  </si>
  <si>
    <t>https://www.purdue.edu/treasurer/finance/bursar-office/tuition/fee-rates-2026-2027/undergraduate-tuition-and-fees-2026-2027</t>
  </si>
  <si>
    <t>University of Kentucky</t>
  </si>
  <si>
    <t>https://studentaccount.uky.edu/tuition-and-fees/undergraduate-tuition-and-fees</t>
  </si>
  <si>
    <t>Verified – official source (programme fees not verified)</t>
  </si>
  <si>
    <t>Arizona State University</t>
  </si>
  <si>
    <t>https://admission.asu.edu/cost-aid/international</t>
  </si>
  <si>
    <t>University of Michigan Law School</t>
  </si>
  <si>
    <t>https://michigan.law.umich.edu/resource-center/tuition-rates-and-cost-attendance</t>
  </si>
  <si>
    <t>Verified – official source (standard undergraduate rate)</t>
  </si>
  <si>
    <t>University of Manchester</t>
  </si>
  <si>
    <t>https://www.manchester.ac.uk/study/undergraduate/courses/2026/01428/mbchb-medicine/</t>
  </si>
  <si>
    <t>University of Southampton</t>
  </si>
  <si>
    <t>2027-28</t>
  </si>
  <si>
    <t>https://www.southampton.ac.uk/courses/fees/undergraduate/tuition-fees.page</t>
  </si>
  <si>
    <t>University of Nottingham</t>
  </si>
  <si>
    <t>https://www.nottingham.ac.uk/fees/tuitionfees/202627/undergraduate.aspx</t>
  </si>
  <si>
    <t>https://www.manchester.ac.uk/study/undergraduate/courses/2026/course/?code=00398&amp;pg=all</t>
  </si>
  <si>
    <t>University of Liverpool</t>
  </si>
  <si>
    <t>https://www.liverpool.ac.uk/courses/dental-surgery-bds</t>
  </si>
  <si>
    <t>University of Plymouth</t>
  </si>
  <si>
    <t>https://www.plymouth.ac.uk/courses/undergraduate/bds-dental-surgery</t>
  </si>
  <si>
    <t>https://www.manchester.ac.uk/study/undergraduate/courses/2026/course/?code=01695&amp;pg=all</t>
  </si>
  <si>
    <t>https://www.manchester.ac.uk/study/undergraduate/courses/2026/course/?code=10971&amp;pg=all</t>
  </si>
  <si>
    <t>https://www.manchester.ac.uk/study/undergraduate/courses/2026/03921/meng-mechanical-engineering/</t>
  </si>
  <si>
    <t>University of Leeds</t>
  </si>
  <si>
    <t>https://courses.leeds.ac.uk/5200/mechanical-engineering-beng</t>
  </si>
  <si>
    <t>https://www.manchester.ac.uk/study/undergraduate/courses/2026/00560/bsc-computer-science/</t>
  </si>
  <si>
    <t>https://courses.leeds.ac.uk/3260/computer-science-bsc</t>
  </si>
  <si>
    <t>Lancaster University</t>
  </si>
  <si>
    <t>https://www.lancaster.ac.uk/study/undergraduate/courses/software-engineering-bsc-hons-g602/2026/</t>
  </si>
  <si>
    <t>https://courses.leeds.ac.uk/k108/computer-science-artificial-intelligence-bsc</t>
  </si>
  <si>
    <t>https://www.lancaster.ac.uk/study/undergraduate/courses/data-science-bsc-hons-g900/2026/</t>
  </si>
  <si>
    <t>https://courses.leeds.ac.uk/j747/data-science-bsc</t>
  </si>
  <si>
    <t>https://www.lancaster.ac.uk/study/undergraduate/courses/cyber-security-bsc-hons-i900/2026/</t>
  </si>
  <si>
    <t>https://courses.leeds.ac.uk/f831/international-business-bsc</t>
  </si>
  <si>
    <t>https://www.manchester.ac.uk/study/undergraduate/courses/2026/course/?code=05153&amp;pg=all</t>
  </si>
  <si>
    <t>https://www.lancaster.ac.uk/study/undergraduate/courses/finance-bsc-hons-n300/2027/</t>
  </si>
  <si>
    <t>https://www.manchester.ac.uk/study/undergraduate/courses/2026/03520/bsc-management-accounting-and-finance/</t>
  </si>
  <si>
    <t>https://courses.leeds.ac.uk/f834/accounting-and-finance-bsc</t>
  </si>
  <si>
    <t>https://www.manchester.ac.uk/study/undergraduate/courses/2026/course/?code=12446&amp;pg=all</t>
  </si>
  <si>
    <t>https://courses.leeds.ac.uk/3010/law-llb</t>
  </si>
  <si>
    <t>https://www.manchester.ac.uk/study/undergraduate/courses/2026/course/?code=00178&amp;pg=all</t>
  </si>
  <si>
    <t>https://www.manchester.ac.uk/study/undergraduate/courses/2026/course/?code=00653&amp;pg=all</t>
  </si>
  <si>
    <t>https://courses.leeds.ac.uk/3670/psychology-bsc</t>
  </si>
  <si>
    <t>https://www.manchester.ac.uk/study/undergraduate/courses/2026/course/?code=08662&amp;pg=all</t>
  </si>
  <si>
    <t>Commonwealth supported place (government maximum)</t>
  </si>
  <si>
    <t>2027</t>
  </si>
  <si>
    <t>Verified – official source (government maximum)</t>
  </si>
  <si>
    <t>https://www.studyassist.gov.au/financial-and-study-support/commonwealth-supported-places/student-contribution-amounts</t>
  </si>
  <si>
    <t>UNSW Sydney</t>
  </si>
  <si>
    <t>https://www.unsw.edu.au/study/undergraduate/bachelor-of-medical-studies-doctor-of-medicine</t>
  </si>
  <si>
    <t>University of Queensland</t>
  </si>
  <si>
    <t>https://study.uq.edu.au/study-options/programs/bachelor-dental-science-honours-2367</t>
  </si>
  <si>
    <t>https://study.uq.edu.au/study-options/programs/bachelor-pharmacy-honours-2373</t>
  </si>
  <si>
    <t>https://study.uq.edu.au/study-options/programs/bachelor-nursing-2241</t>
  </si>
  <si>
    <t>https://study.uq.edu.au/study-options/programs/bachelor-physiotherapy-honours-2369</t>
  </si>
  <si>
    <t>https://study.uq.edu.au/study-options/programs/bachelor-engineering-honours-2455</t>
  </si>
  <si>
    <t>https://www.unsw.edu.au/study/undergraduate/bachelor-of-engineering-honours</t>
  </si>
  <si>
    <t>https://study.uq.edu.au/study-options/programs/bachelor-computer-science-2559</t>
  </si>
  <si>
    <t>https://www.unsw.edu.au/study/undergraduate/bachelor-of-computer-science</t>
  </si>
  <si>
    <t>https://study.uq.edu.au/study-options/programs/bachelor-commerce-2336</t>
  </si>
  <si>
    <t>https://www.unsw.edu.au/study/undergraduate/bachelor-of-commerce</t>
  </si>
  <si>
    <t>https://study.uq.edu.au/study-options/programs/bachelor-laws-honours-2471</t>
  </si>
  <si>
    <t>https://study.uq.edu.au/study-options/programs/bachelor-architectural-design-2550</t>
  </si>
  <si>
    <t>https://study.uq.edu.au/study-options/programs/bachelor-psychological-science-honours-2379</t>
  </si>
  <si>
    <t>https://study.uq.edu.au/study-options/programs/bachelor-biotechnology-2456</t>
  </si>
  <si>
    <t>Heidelberg University</t>
  </si>
  <si>
    <t>https://www.uni-heidelberg.de/en/study/management-of-studies/semester-fees</t>
  </si>
  <si>
    <t>Derived from official sources</t>
  </si>
  <si>
    <t>RWTH Aachen University</t>
  </si>
  <si>
    <t>https://www.asta.rwth-aachen.de/wie-setzt-sich-der-semesterbeitrag-zusammen-wise-24-25/</t>
  </si>
  <si>
    <t>Karlsruhe Institute of Technology (KIT)</t>
  </si>
  <si>
    <t>Verified – official source (semester contribution not verified)</t>
  </si>
  <si>
    <t>https://www.intl.kit.edu/istudies/12606.php</t>
  </si>
  <si>
    <t>University of Stuttgart</t>
  </si>
  <si>
    <t>https://www.student.uni-stuttgart.de/en/organizing-studies/formalities/tuition-and-fees/tuition-fee/</t>
  </si>
  <si>
    <t>University of Passau</t>
  </si>
  <si>
    <t>https://www.uni-passau.de/en/costs-funding/enrolment-fee</t>
  </si>
  <si>
    <t>https://www.uni-passau.de/en/bsc-artificial-intelligence</t>
  </si>
  <si>
    <t>Saarland University</t>
  </si>
  <si>
    <t>https://www.uni-saarland.de/en/study/organisation/fees/semester-fee.html</t>
  </si>
  <si>
    <t>https://www.uni-saarland.de/en/study/programmes/bachelor/cybersecurity-english.html</t>
  </si>
  <si>
    <t>https://www.wiwi.rwth-aachen.de/cms/wirtschaftswissenschaften/studium/studiengaenge/~uekhi/bachelorstudiengaenge/?lidx=1</t>
  </si>
  <si>
    <t>University of Mannheim</t>
  </si>
  <si>
    <t>https://www.uni-mannheim.de/en/academics/during-your-studies/organizing-your-studies/fees/</t>
  </si>
  <si>
    <t>https://www.rwth-aachen.de/cms/root/studium/vor-dem-studium/studiengaenge/liste-aktuelle-studiengaenge/studiengangbeschreibung/~bnwj/architektur-b-sc-/?lidx=1</t>
  </si>
  <si>
    <t>National University of Singapore</t>
  </si>
  <si>
    <t>https://www.nus.edu.sg/registrar/docs/info/administrative-policies-procedures/ugtuitioncurrent.pdf</t>
  </si>
  <si>
    <t>Nanyang Technological University</t>
  </si>
  <si>
    <t>https://www.ntu.edu.sg/admissions/undergraduate/financial-matters/tuition-fees</t>
  </si>
  <si>
    <t>Monash University Malaysia</t>
  </si>
  <si>
    <t>https://www.monash.edu.my/study/undergraduate/fees</t>
  </si>
  <si>
    <t>Taylor's University</t>
  </si>
  <si>
    <t>https://university.taylors.edu.my/content/dam/taylorsrevamp/university/study/scholarships-and-financial-aid/fees-schedule/school-of-medicine/undergraduate/taylors-fees-schedule-ug-medicine-myr.pdf</t>
  </si>
  <si>
    <t>https://university.taylors.edu.my/content/dam/taylorsrevamp/university/study/scholarships-and-financial-aid/fees-schedule/school-of-medicine/undergraduate/taylors-fees-schedule-ug-medicine-usd.pdf</t>
  </si>
  <si>
    <t>https://university.taylors.edu.my/content/dam/taylorsrevamp/university/study/scholarships-and-financial-aid/fees-schedule/school-of-pharmacy/undergraduate/taylors-fees-schedule-ug-pharmacy-myr.pdf</t>
  </si>
  <si>
    <t>https://university.taylors.edu.my/content/dam/taylorsrevamp/university/study/scholarships-and-financial-aid/fees-schedule/school-of-pharmacy/undergraduate/taylors-fees-schedule-ug-pharmacy-usd.pdf</t>
  </si>
  <si>
    <t>https://university.taylors.edu.my/content/dam/taylorsrevamp/university/study/scholarships-and-financial-aid/fees-schedule/school-of-engineering/undergraduate/taylors-fees-schedule-ug-engineering-myr.pdf</t>
  </si>
  <si>
    <t>https://university.taylors.edu.my/content/dam/taylorsrevamp/university/study/scholarships-and-financial-aid/fees-schedule/school-of-engineering/undergraduate/taylors-fees-schedule-ug-engineering-usd.pdf</t>
  </si>
  <si>
    <t>https://university.taylors.edu.my/content/dam/taylorsrevamp/university/study/scholarships-and-financial-aid/fees-schedule/school-of-computer-science/undergraduate/taylors-fees-schedule-ug-computer-science-myr.pdf</t>
  </si>
  <si>
    <t>https://university.taylors.edu.my/content/dam/taylorsrevamp/university/study/scholarships-and-financial-aid/fees-schedule/school-of-computer-science/undergraduate/taylors-fees-schedule-ug-computer-science-usd.pdf</t>
  </si>
  <si>
    <t>https://university.taylors.edu.my/content/dam/taylorsrevamp/university/study/scholarships-and-financial-aid/fees-schedule/taylors-business-school/undergraduate/taylors-fees-schedule-ug-business-myr.pdf</t>
  </si>
  <si>
    <t>https://university.taylors.edu.my/content/dam/taylorsrevamp/university/study/scholarships-and-financial-aid/fees-schedule/taylors-business-school/undergraduate/taylors-fees-schedule-ug-business-usd.pdf</t>
  </si>
  <si>
    <t>https://university.taylors.edu.my/content/dam/taylorsrevamp/university/study/scholarships-and-financial-aid/fees-schedule/school-of-law-and-governance/undergraduate/taylors-fees-schedule-ug-law-and-governance-myr.pdf</t>
  </si>
  <si>
    <t>https://university.taylors.edu.my/content/dam/taylorsrevamp/university/study/scholarships-and-financial-aid/fees-schedule/school-of-law-and-governance/undergraduate/taylors-fees-schedule-ug-law-and-governance-usd.pdf</t>
  </si>
  <si>
    <t>https://university.taylors.edu.my/content/dam/taylorsrevamp/university/study/scholarships-and-financial-aid/fees-schedule/school-of-architecture-building-and-design/undergraduate/taylors-fees-schedule-ug-architecture-building-and-design-myr.pdf</t>
  </si>
  <si>
    <t>https://university.taylors.edu.my/content/dam/taylorsrevamp/university/study/scholarships-and-financial-aid/fees-schedule/school-of-architecture-building-and-design/undergraduate/taylors-fees-schedule-ug-architecture-building-and-design-usd.pdf</t>
  </si>
  <si>
    <t>https://university.taylors.edu.my/content/dam/taylorsrevamp/university/study/scholarships-and-financial-aid/fees-schedule/school-of-biosciences/undergraduate/taylors-fees-schedule-ug-biosciences-myr.pdf</t>
  </si>
  <si>
    <t>University College Dublin</t>
  </si>
  <si>
    <t>https://www.ucd.ie/students/fees/eucoursefees/euundergraduatefees202627/</t>
  </si>
  <si>
    <t>Trinity College Dublin</t>
  </si>
  <si>
    <t>https://www.tcd.ie/courses/undergraduate/fees/</t>
  </si>
  <si>
    <t>https://www.ucd.ie/students/fees/noneucoursefees/internationalnon-euundergraduatefees202627/</t>
  </si>
  <si>
    <t>Qatar University</t>
  </si>
  <si>
    <t>https://www.qu.edu.qa/en-us/students/admission/undergraduate/Pages/tuition-fees.aspx</t>
  </si>
  <si>
    <t>Weill Cornell Medicine-Qatar</t>
  </si>
  <si>
    <t>https://qatar-weill.cornell.edu/admissions/medical-program/six-year-medical-program/tuition</t>
  </si>
  <si>
    <t>Carnegie Mellon University in Qatar</t>
  </si>
  <si>
    <t>https://www.qatar.cmu.edu/admission/tuition-and-financial-aid/</t>
  </si>
  <si>
    <t>Ajman University</t>
  </si>
  <si>
    <t>https://www.ajman.ac.ae/upload/files/financial_documents/2026-27/Graduate_and_Undergraduate_Programs_Fees_Brochure_2026_V02.pdf</t>
  </si>
  <si>
    <t>American University of Sharjah</t>
  </si>
  <si>
    <t>https://www.aus.edu/tuition-fees</t>
  </si>
  <si>
    <t>Living costs per year (today's prices)</t>
  </si>
  <si>
    <t>Living costs cover accommodation, food, local transport, health insurance and books. Personal spending (phone, clothes, leisure) is not included — add it to 'Other university and course fees' or the closest line if you want it in your plan.</t>
  </si>
  <si>
    <t>Key (country|fee status)</t>
  </si>
  <si>
    <t>Accommodation currency</t>
  </si>
  <si>
    <t>Accommodation year</t>
  </si>
  <si>
    <t>Accommodation status</t>
  </si>
  <si>
    <t>Food currency</t>
  </si>
  <si>
    <t>Food year</t>
  </si>
  <si>
    <t>Food status</t>
  </si>
  <si>
    <t>Local transport currency</t>
  </si>
  <si>
    <t>Local transport year</t>
  </si>
  <si>
    <t>Local transport status</t>
  </si>
  <si>
    <t>Health insurance currency</t>
  </si>
  <si>
    <t>Health insurance year</t>
  </si>
  <si>
    <t>Health insurance status</t>
  </si>
  <si>
    <t>Books and supplies currency</t>
  </si>
  <si>
    <t>Books and supplies year</t>
  </si>
  <si>
    <t>Books and supplies status</t>
  </si>
  <si>
    <t>Pakistan|domestic</t>
  </si>
  <si>
    <t>Pakistan|international</t>
  </si>
  <si>
    <t>India|domestic</t>
  </si>
  <si>
    <t>India|international</t>
  </si>
  <si>
    <t>USA|domestic</t>
  </si>
  <si>
    <t>USA|international</t>
  </si>
  <si>
    <t>UK|domestic</t>
  </si>
  <si>
    <t>UK|international</t>
  </si>
  <si>
    <t>Australia|domestic</t>
  </si>
  <si>
    <t>Australia|international</t>
  </si>
  <si>
    <t>Germany|domestic</t>
  </si>
  <si>
    <t>Germany|international</t>
  </si>
  <si>
    <t>Singapore|domestic</t>
  </si>
  <si>
    <t>Singapore|international</t>
  </si>
  <si>
    <t>Malaysia|domestic</t>
  </si>
  <si>
    <t>Malaysia|international</t>
  </si>
  <si>
    <t>Ireland|domestic</t>
  </si>
  <si>
    <t>Ireland|international</t>
  </si>
  <si>
    <t>Qatar|domestic</t>
  </si>
  <si>
    <t>Qatar|international</t>
  </si>
  <si>
    <t>United Arab Emirates|domestic</t>
  </si>
  <si>
    <t>United Arab Emirates|international</t>
  </si>
  <si>
    <t>Student visa (by destination and nationality) and first travel (by destination and country of residence)</t>
  </si>
  <si>
    <t>Key (country|nationality)</t>
  </si>
  <si>
    <t>Visa amount</t>
  </si>
  <si>
    <t>Key (country|residence)</t>
  </si>
  <si>
    <t>Travel and setting-up</t>
  </si>
  <si>
    <t>Visa notes</t>
  </si>
  <si>
    <t>Pakistan|Pakistan</t>
  </si>
  <si>
    <t>notNeeded</t>
  </si>
  <si>
    <t>UK: Student visa applied for from outside the UK. The £776-a-year Immigration Health Surcharge is shown under health insurance.</t>
  </si>
  <si>
    <t>Pakistan|India</t>
  </si>
  <si>
    <t>USA: F-1 student: visa application (MRV) USD 185 + SEVIS I-901 USD 350 + Visa Integrity Fee USD 250 (may be refundable later). Some nationalities also pay a reciprocity (issuance) fee, which is not included.</t>
  </si>
  <si>
    <t>Pakistan|Bangladesh</t>
  </si>
  <si>
    <t>Australia: Student visa (subclass 500), from AUD 2,500. Lower charges apply to some Pacific Island, Timor-Leste and ASEAN citizens.</t>
  </si>
  <si>
    <t>Pakistan|Sri Lanka</t>
  </si>
  <si>
    <t>Germany: National (long-stay) visa for study. A residence-permit fee is usually charged after arrival and is not included.</t>
  </si>
  <si>
    <t>Pakistan|Nepal</t>
  </si>
  <si>
    <t>Pakistan: Pakistan's visa fees depend on nationality. USD 120 is used where your nationality is not in the official table — please check.</t>
  </si>
  <si>
    <t>Pakistan|Afghanistan</t>
  </si>
  <si>
    <t>India: India's student visa fee depends on nationality. USD 100 is a planning estimate — please check the official site for your nationality.</t>
  </si>
  <si>
    <t>Pakistan|Maldives</t>
  </si>
  <si>
    <t>Singapore: Student's Pass: S$30 processing + S$60 issuance, plus S$30 for a multiple-journey visa for nationalities that need a visa to enter Singapore (e.g. India, Pakistan).</t>
  </si>
  <si>
    <t>Pakistan|Qatar</t>
  </si>
  <si>
    <t>Malaysia: EMGS student pass application and e-VAL fee as charged in Taylor's 2026 fee schedules (RM 3,240–3,560 for 4–5 year courses). A yearly renewal fee applies and is not included.</t>
  </si>
  <si>
    <t>Pakistan|United Arab Emirates</t>
  </si>
  <si>
    <t>Ireland: Study visa €60 for nationalities that need one, plus the €300 immigration (IRP) registration for the first year; the IRP is renewed each year for €300. EU/EEA/UK/Swiss nationals need neither.</t>
  </si>
  <si>
    <t>Pakistan|Saudi Arabia</t>
  </si>
  <si>
    <t>Qatar: University-sponsored student residence permit QR 1,200 + administration QR 675 + medical and fingerprints about QR 125 (University Foundation College fee list); renewed yearly. Children already living in Qatar on a family residence permit usually do not need it.</t>
  </si>
  <si>
    <t>Pakistan|Oman</t>
  </si>
  <si>
    <t>United Arab Emirates: University-sponsored student residence visa including Emirates ID and medical test, AED 2,190 (Curtin Dubai's published schedule); renewed yearly for about AED 1,780. Children already living in the UAE on a family residence visa usually do not need it.</t>
  </si>
  <si>
    <t>Pakistan|Kuwait</t>
  </si>
  <si>
    <t>Pakistan|Bahrain</t>
  </si>
  <si>
    <t>Travel: Planning estimate: a one-way economy flight from your country's region plus about USD 500 to settle in (bedding, kitchen basics, SIM card). Not an official figure — please review. Yearly local travel is a separate line, so this is not counted twice.</t>
  </si>
  <si>
    <t>Pakistan|Jordan</t>
  </si>
  <si>
    <t>Pakistan|Lebanon</t>
  </si>
  <si>
    <t>Pakistan|Iraq</t>
  </si>
  <si>
    <t>Pakistan|Iran</t>
  </si>
  <si>
    <t>Pakistan|Egypt</t>
  </si>
  <si>
    <t>Pakistan|Turkey</t>
  </si>
  <si>
    <t>Pakistan|UK</t>
  </si>
  <si>
    <t>Pakistan|Ireland</t>
  </si>
  <si>
    <t>Pakistan|Germany</t>
  </si>
  <si>
    <t>Pakistan|France</t>
  </si>
  <si>
    <t>Pakistan|Netherlands</t>
  </si>
  <si>
    <t>Pakistan|Belgium</t>
  </si>
  <si>
    <t>Pakistan|Italy</t>
  </si>
  <si>
    <t>Pakistan|Spain</t>
  </si>
  <si>
    <t>Pakistan|Portugal</t>
  </si>
  <si>
    <t>Pakistan|Austria</t>
  </si>
  <si>
    <t>Pakistan|Switzerland</t>
  </si>
  <si>
    <t>Pakistan|Sweden</t>
  </si>
  <si>
    <t>Pakistan|Norway</t>
  </si>
  <si>
    <t>Pakistan|Denmark</t>
  </si>
  <si>
    <t>Pakistan|Finland</t>
  </si>
  <si>
    <t>Pakistan|Poland</t>
  </si>
  <si>
    <t>Pakistan|Czech Republic</t>
  </si>
  <si>
    <t>Pakistan|Hungary</t>
  </si>
  <si>
    <t>Pakistan|Romania</t>
  </si>
  <si>
    <t>Pakistan|Greece</t>
  </si>
  <si>
    <t>Pakistan|Russia</t>
  </si>
  <si>
    <t>Pakistan|Ukraine</t>
  </si>
  <si>
    <t>Pakistan|USA</t>
  </si>
  <si>
    <t>Pakistan|Canada</t>
  </si>
  <si>
    <t>Pakistan|Mexico</t>
  </si>
  <si>
    <t>Pakistan|Australia</t>
  </si>
  <si>
    <t>Pakistan|New Zealand</t>
  </si>
  <si>
    <t>Pakistan|China</t>
  </si>
  <si>
    <t>Pakistan|Hong Kong</t>
  </si>
  <si>
    <t>Pakistan|Japan</t>
  </si>
  <si>
    <t>Pakistan|South Korea</t>
  </si>
  <si>
    <t>Pakistan|Singapore</t>
  </si>
  <si>
    <t>Pakistan|Malaysia</t>
  </si>
  <si>
    <t>Pakistan|Indonesia</t>
  </si>
  <si>
    <t>Pakistan|Thailand</t>
  </si>
  <si>
    <t>Pakistan|Philippines</t>
  </si>
  <si>
    <t>Pakistan|Vietnam</t>
  </si>
  <si>
    <t>Pakistan|Nigeria</t>
  </si>
  <si>
    <t>Pakistan|Kenya</t>
  </si>
  <si>
    <t>Pakistan|South Africa</t>
  </si>
  <si>
    <t>Pakistan|Ghana</t>
  </si>
  <si>
    <t>Pakistan|Ethiopia</t>
  </si>
  <si>
    <t>Pakistan|Tanzania</t>
  </si>
  <si>
    <t>Pakistan|Uganda</t>
  </si>
  <si>
    <t>Pakistan|Morocco</t>
  </si>
  <si>
    <t>Pakistan|Brazil</t>
  </si>
  <si>
    <t>Pakistan|Argentina</t>
  </si>
  <si>
    <t>Pakistan|Colombia</t>
  </si>
  <si>
    <t>Pakistan|Chile</t>
  </si>
  <si>
    <t>Pakistan|Peru</t>
  </si>
  <si>
    <t>Pakistan|Other country</t>
  </si>
  <si>
    <t>India|Pakistan</t>
  </si>
  <si>
    <t>India|India</t>
  </si>
  <si>
    <t>India|Bangladesh</t>
  </si>
  <si>
    <t>India|Sri Lanka</t>
  </si>
  <si>
    <t>India|Nepal</t>
  </si>
  <si>
    <t>India|Afghanistan</t>
  </si>
  <si>
    <t>India|Maldives</t>
  </si>
  <si>
    <t>India|Qatar</t>
  </si>
  <si>
    <t>India|United Arab Emirates</t>
  </si>
  <si>
    <t>India|Saudi Arabia</t>
  </si>
  <si>
    <t>India|Oman</t>
  </si>
  <si>
    <t>India|Kuwait</t>
  </si>
  <si>
    <t>India|Bahrain</t>
  </si>
  <si>
    <t>India|Jordan</t>
  </si>
  <si>
    <t>India|Lebanon</t>
  </si>
  <si>
    <t>India|Iraq</t>
  </si>
  <si>
    <t>India|Iran</t>
  </si>
  <si>
    <t>India|Egypt</t>
  </si>
  <si>
    <t>India|Turkey</t>
  </si>
  <si>
    <t>India|UK</t>
  </si>
  <si>
    <t>India|Ireland</t>
  </si>
  <si>
    <t>India|Germany</t>
  </si>
  <si>
    <t>India|France</t>
  </si>
  <si>
    <t>India|Netherlands</t>
  </si>
  <si>
    <t>India|Belgium</t>
  </si>
  <si>
    <t>India|Italy</t>
  </si>
  <si>
    <t>India|Spain</t>
  </si>
  <si>
    <t>India|Portugal</t>
  </si>
  <si>
    <t>India|Austria</t>
  </si>
  <si>
    <t>India|Switzerland</t>
  </si>
  <si>
    <t>India|Sweden</t>
  </si>
  <si>
    <t>India|Norway</t>
  </si>
  <si>
    <t>India|Denmark</t>
  </si>
  <si>
    <t>India|Finland</t>
  </si>
  <si>
    <t>India|Poland</t>
  </si>
  <si>
    <t>India|Czech Republic</t>
  </si>
  <si>
    <t>India|Hungary</t>
  </si>
  <si>
    <t>India|Romania</t>
  </si>
  <si>
    <t>India|Greece</t>
  </si>
  <si>
    <t>India|Russia</t>
  </si>
  <si>
    <t>India|Ukraine</t>
  </si>
  <si>
    <t>India|USA</t>
  </si>
  <si>
    <t>India|Canada</t>
  </si>
  <si>
    <t>India|Mexico</t>
  </si>
  <si>
    <t>India|Australia</t>
  </si>
  <si>
    <t>India|New Zealand</t>
  </si>
  <si>
    <t>India|China</t>
  </si>
  <si>
    <t>India|Hong Kong</t>
  </si>
  <si>
    <t>India|Japan</t>
  </si>
  <si>
    <t>India|South Korea</t>
  </si>
  <si>
    <t>India|Singapore</t>
  </si>
  <si>
    <t>India|Malaysia</t>
  </si>
  <si>
    <t>India|Indonesia</t>
  </si>
  <si>
    <t>India|Thailand</t>
  </si>
  <si>
    <t>India|Philippines</t>
  </si>
  <si>
    <t>India|Vietnam</t>
  </si>
  <si>
    <t>India|Nigeria</t>
  </si>
  <si>
    <t>India|Kenya</t>
  </si>
  <si>
    <t>India|South Africa</t>
  </si>
  <si>
    <t>India|Ghana</t>
  </si>
  <si>
    <t>India|Ethiopia</t>
  </si>
  <si>
    <t>India|Tanzania</t>
  </si>
  <si>
    <t>India|Uganda</t>
  </si>
  <si>
    <t>India|Morocco</t>
  </si>
  <si>
    <t>India|Brazil</t>
  </si>
  <si>
    <t>India|Argentina</t>
  </si>
  <si>
    <t>India|Colombia</t>
  </si>
  <si>
    <t>India|Chile</t>
  </si>
  <si>
    <t>India|Peru</t>
  </si>
  <si>
    <t>India|Other country</t>
  </si>
  <si>
    <t>USA|Pakistan</t>
  </si>
  <si>
    <t>USA|India</t>
  </si>
  <si>
    <t>USA|Bangladesh</t>
  </si>
  <si>
    <t>USA|Sri Lanka</t>
  </si>
  <si>
    <t>USA|Nepal</t>
  </si>
  <si>
    <t>USA|Afghanistan</t>
  </si>
  <si>
    <t>USA|Maldives</t>
  </si>
  <si>
    <t>USA|Qatar</t>
  </si>
  <si>
    <t>USA|United Arab Emirates</t>
  </si>
  <si>
    <t>USA|Saudi Arabia</t>
  </si>
  <si>
    <t>USA|Oman</t>
  </si>
  <si>
    <t>USA|Kuwait</t>
  </si>
  <si>
    <t>USA|Bahrain</t>
  </si>
  <si>
    <t>USA|Jordan</t>
  </si>
  <si>
    <t>USA|Lebanon</t>
  </si>
  <si>
    <t>USA|Iraq</t>
  </si>
  <si>
    <t>USA|Iran</t>
  </si>
  <si>
    <t>USA|Egypt</t>
  </si>
  <si>
    <t>USA|Turkey</t>
  </si>
  <si>
    <t>USA|UK</t>
  </si>
  <si>
    <t>USA|Ireland</t>
  </si>
  <si>
    <t>USA|Germany</t>
  </si>
  <si>
    <t>USA|France</t>
  </si>
  <si>
    <t>USA|Netherlands</t>
  </si>
  <si>
    <t>USA|Belgium</t>
  </si>
  <si>
    <t>USA|Italy</t>
  </si>
  <si>
    <t>USA|Spain</t>
  </si>
  <si>
    <t>USA|Portugal</t>
  </si>
  <si>
    <t>USA|Austria</t>
  </si>
  <si>
    <t>USA|Switzerland</t>
  </si>
  <si>
    <t>USA|Sweden</t>
  </si>
  <si>
    <t>USA|Norway</t>
  </si>
  <si>
    <t>USA|Denmark</t>
  </si>
  <si>
    <t>USA|Finland</t>
  </si>
  <si>
    <t>USA|Poland</t>
  </si>
  <si>
    <t>USA|Czech Republic</t>
  </si>
  <si>
    <t>USA|Hungary</t>
  </si>
  <si>
    <t>USA|Romania</t>
  </si>
  <si>
    <t>USA|Greece</t>
  </si>
  <si>
    <t>USA|Russia</t>
  </si>
  <si>
    <t>USA|Ukraine</t>
  </si>
  <si>
    <t>USA|USA</t>
  </si>
  <si>
    <t>USA|Canada</t>
  </si>
  <si>
    <t>USA|Mexico</t>
  </si>
  <si>
    <t>USA|Australia</t>
  </si>
  <si>
    <t>USA|New Zealand</t>
  </si>
  <si>
    <t>USA|China</t>
  </si>
  <si>
    <t>USA|Hong Kong</t>
  </si>
  <si>
    <t>USA|Japan</t>
  </si>
  <si>
    <t>USA|South Korea</t>
  </si>
  <si>
    <t>USA|Singapore</t>
  </si>
  <si>
    <t>USA|Malaysia</t>
  </si>
  <si>
    <t>USA|Indonesia</t>
  </si>
  <si>
    <t>USA|Thailand</t>
  </si>
  <si>
    <t>USA|Philippines</t>
  </si>
  <si>
    <t>USA|Vietnam</t>
  </si>
  <si>
    <t>USA|Nigeria</t>
  </si>
  <si>
    <t>USA|Kenya</t>
  </si>
  <si>
    <t>USA|South Africa</t>
  </si>
  <si>
    <t>USA|Ghana</t>
  </si>
  <si>
    <t>USA|Ethiopia</t>
  </si>
  <si>
    <t>USA|Tanzania</t>
  </si>
  <si>
    <t>USA|Uganda</t>
  </si>
  <si>
    <t>USA|Morocco</t>
  </si>
  <si>
    <t>USA|Brazil</t>
  </si>
  <si>
    <t>USA|Argentina</t>
  </si>
  <si>
    <t>USA|Colombia</t>
  </si>
  <si>
    <t>USA|Chile</t>
  </si>
  <si>
    <t>USA|Peru</t>
  </si>
  <si>
    <t>USA|Other country</t>
  </si>
  <si>
    <t>UK|Pakistan</t>
  </si>
  <si>
    <t>UK|India</t>
  </si>
  <si>
    <t>UK|Bangladesh</t>
  </si>
  <si>
    <t>UK|Sri Lanka</t>
  </si>
  <si>
    <t>UK|Nepal</t>
  </si>
  <si>
    <t>UK|Afghanistan</t>
  </si>
  <si>
    <t>UK|Maldives</t>
  </si>
  <si>
    <t>UK|Qatar</t>
  </si>
  <si>
    <t>UK|United Arab Emirates</t>
  </si>
  <si>
    <t>UK|Saudi Arabia</t>
  </si>
  <si>
    <t>UK|Oman</t>
  </si>
  <si>
    <t>UK|Kuwait</t>
  </si>
  <si>
    <t>UK|Bahrain</t>
  </si>
  <si>
    <t>UK|Jordan</t>
  </si>
  <si>
    <t>UK|Lebanon</t>
  </si>
  <si>
    <t>UK|Iraq</t>
  </si>
  <si>
    <t>UK|Iran</t>
  </si>
  <si>
    <t>UK|Egypt</t>
  </si>
  <si>
    <t>UK|Turkey</t>
  </si>
  <si>
    <t>UK|UK</t>
  </si>
  <si>
    <t>UK|Ireland</t>
  </si>
  <si>
    <t>UK|Germany</t>
  </si>
  <si>
    <t>UK|France</t>
  </si>
  <si>
    <t>UK|Netherlands</t>
  </si>
  <si>
    <t>UK|Belgium</t>
  </si>
  <si>
    <t>UK|Italy</t>
  </si>
  <si>
    <t>UK|Spain</t>
  </si>
  <si>
    <t>UK|Portugal</t>
  </si>
  <si>
    <t>UK|Austria</t>
  </si>
  <si>
    <t>UK|Switzerland</t>
  </si>
  <si>
    <t>UK|Sweden</t>
  </si>
  <si>
    <t>UK|Norway</t>
  </si>
  <si>
    <t>UK|Denmark</t>
  </si>
  <si>
    <t>UK|Finland</t>
  </si>
  <si>
    <t>UK|Poland</t>
  </si>
  <si>
    <t>UK|Czech Republic</t>
  </si>
  <si>
    <t>UK|Hungary</t>
  </si>
  <si>
    <t>UK|Romania</t>
  </si>
  <si>
    <t>UK|Greece</t>
  </si>
  <si>
    <t>UK|Russia</t>
  </si>
  <si>
    <t>UK|Ukraine</t>
  </si>
  <si>
    <t>UK|USA</t>
  </si>
  <si>
    <t>UK|Canada</t>
  </si>
  <si>
    <t>UK|Mexico</t>
  </si>
  <si>
    <t>UK|Australia</t>
  </si>
  <si>
    <t>UK|New Zealand</t>
  </si>
  <si>
    <t>UK|China</t>
  </si>
  <si>
    <t>UK|Hong Kong</t>
  </si>
  <si>
    <t>UK|Japan</t>
  </si>
  <si>
    <t>UK|South Korea</t>
  </si>
  <si>
    <t>UK|Singapore</t>
  </si>
  <si>
    <t>UK|Malaysia</t>
  </si>
  <si>
    <t>UK|Indonesia</t>
  </si>
  <si>
    <t>UK|Thailand</t>
  </si>
  <si>
    <t>UK|Philippines</t>
  </si>
  <si>
    <t>UK|Vietnam</t>
  </si>
  <si>
    <t>UK|Nigeria</t>
  </si>
  <si>
    <t>UK|Kenya</t>
  </si>
  <si>
    <t>UK|South Africa</t>
  </si>
  <si>
    <t>UK|Ghana</t>
  </si>
  <si>
    <t>UK|Ethiopia</t>
  </si>
  <si>
    <t>UK|Tanzania</t>
  </si>
  <si>
    <t>UK|Uganda</t>
  </si>
  <si>
    <t>UK|Morocco</t>
  </si>
  <si>
    <t>UK|Brazil</t>
  </si>
  <si>
    <t>UK|Argentina</t>
  </si>
  <si>
    <t>UK|Colombia</t>
  </si>
  <si>
    <t>UK|Chile</t>
  </si>
  <si>
    <t>UK|Peru</t>
  </si>
  <si>
    <t>UK|Other country</t>
  </si>
  <si>
    <t>Australia|Pakistan</t>
  </si>
  <si>
    <t>Australia|India</t>
  </si>
  <si>
    <t>Australia|Bangladesh</t>
  </si>
  <si>
    <t>Australia|Sri Lanka</t>
  </si>
  <si>
    <t>Australia|Nepal</t>
  </si>
  <si>
    <t>Australia|Afghanistan</t>
  </si>
  <si>
    <t>Australia|Maldives</t>
  </si>
  <si>
    <t>Australia|Qatar</t>
  </si>
  <si>
    <t>Australia|United Arab Emirates</t>
  </si>
  <si>
    <t>Australia|Saudi Arabia</t>
  </si>
  <si>
    <t>Australia|Oman</t>
  </si>
  <si>
    <t>Australia|Kuwait</t>
  </si>
  <si>
    <t>Australia|Bahrain</t>
  </si>
  <si>
    <t>Australia|Jordan</t>
  </si>
  <si>
    <t>Australia|Lebanon</t>
  </si>
  <si>
    <t>Australia|Iraq</t>
  </si>
  <si>
    <t>Australia|Iran</t>
  </si>
  <si>
    <t>Australia|Egypt</t>
  </si>
  <si>
    <t>Australia|Turkey</t>
  </si>
  <si>
    <t>Australia|UK</t>
  </si>
  <si>
    <t>Australia|Ireland</t>
  </si>
  <si>
    <t>Australia|Germany</t>
  </si>
  <si>
    <t>Australia|France</t>
  </si>
  <si>
    <t>Australia|Netherlands</t>
  </si>
  <si>
    <t>Australia|Belgium</t>
  </si>
  <si>
    <t>Australia|Italy</t>
  </si>
  <si>
    <t>Australia|Spain</t>
  </si>
  <si>
    <t>Australia|Portugal</t>
  </si>
  <si>
    <t>Australia|Austria</t>
  </si>
  <si>
    <t>Australia|Switzerland</t>
  </si>
  <si>
    <t>Australia|Sweden</t>
  </si>
  <si>
    <t>Australia|Norway</t>
  </si>
  <si>
    <t>Australia|Denmark</t>
  </si>
  <si>
    <t>Australia|Finland</t>
  </si>
  <si>
    <t>Australia|Poland</t>
  </si>
  <si>
    <t>Australia|Czech Republic</t>
  </si>
  <si>
    <t>Australia|Hungary</t>
  </si>
  <si>
    <t>Australia|Romania</t>
  </si>
  <si>
    <t>Australia|Greece</t>
  </si>
  <si>
    <t>Australia|Russia</t>
  </si>
  <si>
    <t>Australia|Ukraine</t>
  </si>
  <si>
    <t>Australia|USA</t>
  </si>
  <si>
    <t>Australia|Canada</t>
  </si>
  <si>
    <t>Australia|Mexico</t>
  </si>
  <si>
    <t>Australia|Australia</t>
  </si>
  <si>
    <t>Australia|New Zealand</t>
  </si>
  <si>
    <t>Australia|China</t>
  </si>
  <si>
    <t>Australia|Hong Kong</t>
  </si>
  <si>
    <t>Australia|Japan</t>
  </si>
  <si>
    <t>Australia|South Korea</t>
  </si>
  <si>
    <t>Australia|Singapore</t>
  </si>
  <si>
    <t>Australia|Malaysia</t>
  </si>
  <si>
    <t>Australia|Indonesia</t>
  </si>
  <si>
    <t>Australia|Thailand</t>
  </si>
  <si>
    <t>Australia|Philippines</t>
  </si>
  <si>
    <t>Australia|Vietnam</t>
  </si>
  <si>
    <t>Australia|Nigeria</t>
  </si>
  <si>
    <t>Australia|Kenya</t>
  </si>
  <si>
    <t>Australia|South Africa</t>
  </si>
  <si>
    <t>Australia|Ghana</t>
  </si>
  <si>
    <t>Australia|Ethiopia</t>
  </si>
  <si>
    <t>Australia|Tanzania</t>
  </si>
  <si>
    <t>Australia|Uganda</t>
  </si>
  <si>
    <t>Australia|Morocco</t>
  </si>
  <si>
    <t>Australia|Brazil</t>
  </si>
  <si>
    <t>Australia|Argentina</t>
  </si>
  <si>
    <t>Australia|Colombia</t>
  </si>
  <si>
    <t>Australia|Chile</t>
  </si>
  <si>
    <t>Australia|Peru</t>
  </si>
  <si>
    <t>Australia|Other country</t>
  </si>
  <si>
    <t>Germany|Pakistan</t>
  </si>
  <si>
    <t>Germany|India</t>
  </si>
  <si>
    <t>Germany|Bangladesh</t>
  </si>
  <si>
    <t>Germany|Sri Lanka</t>
  </si>
  <si>
    <t>Germany|Nepal</t>
  </si>
  <si>
    <t>Germany|Afghanistan</t>
  </si>
  <si>
    <t>Germany|Maldives</t>
  </si>
  <si>
    <t>Germany|Qatar</t>
  </si>
  <si>
    <t>Germany|United Arab Emirates</t>
  </si>
  <si>
    <t>Germany|Saudi Arabia</t>
  </si>
  <si>
    <t>Germany|Oman</t>
  </si>
  <si>
    <t>Germany|Kuwait</t>
  </si>
  <si>
    <t>Germany|Bahrain</t>
  </si>
  <si>
    <t>Germany|Jordan</t>
  </si>
  <si>
    <t>Germany|Lebanon</t>
  </si>
  <si>
    <t>Germany|Iraq</t>
  </si>
  <si>
    <t>Germany|Iran</t>
  </si>
  <si>
    <t>Germany|Egypt</t>
  </si>
  <si>
    <t>Germany|Turkey</t>
  </si>
  <si>
    <t>Germany|UK</t>
  </si>
  <si>
    <t>Germany|Ireland</t>
  </si>
  <si>
    <t>Germany|Germany</t>
  </si>
  <si>
    <t>Germany|France</t>
  </si>
  <si>
    <t>Germany|Netherlands</t>
  </si>
  <si>
    <t>Germany|Belgium</t>
  </si>
  <si>
    <t>Germany|Italy</t>
  </si>
  <si>
    <t>Germany|Spain</t>
  </si>
  <si>
    <t>Germany|Portugal</t>
  </si>
  <si>
    <t>Germany|Austria</t>
  </si>
  <si>
    <t>Germany|Switzerland</t>
  </si>
  <si>
    <t>Germany|Sweden</t>
  </si>
  <si>
    <t>Germany|Norway</t>
  </si>
  <si>
    <t>Germany|Denmark</t>
  </si>
  <si>
    <t>Germany|Finland</t>
  </si>
  <si>
    <t>Germany|Poland</t>
  </si>
  <si>
    <t>Germany|Czech Republic</t>
  </si>
  <si>
    <t>Germany|Hungary</t>
  </si>
  <si>
    <t>Germany|Romania</t>
  </si>
  <si>
    <t>Germany|Greece</t>
  </si>
  <si>
    <t>Germany|Russia</t>
  </si>
  <si>
    <t>Germany|Ukraine</t>
  </si>
  <si>
    <t>Germany|USA</t>
  </si>
  <si>
    <t>Germany|Canada</t>
  </si>
  <si>
    <t>Germany|Mexico</t>
  </si>
  <si>
    <t>Germany|Australia</t>
  </si>
  <si>
    <t>Germany|New Zealand</t>
  </si>
  <si>
    <t>Germany|China</t>
  </si>
  <si>
    <t>Germany|Hong Kong</t>
  </si>
  <si>
    <t>Germany|Japan</t>
  </si>
  <si>
    <t>Germany|South Korea</t>
  </si>
  <si>
    <t>Germany|Singapore</t>
  </si>
  <si>
    <t>Germany|Malaysia</t>
  </si>
  <si>
    <t>Germany|Indonesia</t>
  </si>
  <si>
    <t>Germany|Thailand</t>
  </si>
  <si>
    <t>Germany|Philippines</t>
  </si>
  <si>
    <t>Germany|Vietnam</t>
  </si>
  <si>
    <t>Germany|Nigeria</t>
  </si>
  <si>
    <t>Germany|Kenya</t>
  </si>
  <si>
    <t>Germany|South Africa</t>
  </si>
  <si>
    <t>Germany|Ghana</t>
  </si>
  <si>
    <t>Germany|Ethiopia</t>
  </si>
  <si>
    <t>Germany|Tanzania</t>
  </si>
  <si>
    <t>Germany|Uganda</t>
  </si>
  <si>
    <t>Germany|Morocco</t>
  </si>
  <si>
    <t>Germany|Brazil</t>
  </si>
  <si>
    <t>Germany|Argentina</t>
  </si>
  <si>
    <t>Germany|Colombia</t>
  </si>
  <si>
    <t>Germany|Chile</t>
  </si>
  <si>
    <t>Germany|Peru</t>
  </si>
  <si>
    <t>Germany|Other country</t>
  </si>
  <si>
    <t>Singapore|Pakistan</t>
  </si>
  <si>
    <t>Singapore|India</t>
  </si>
  <si>
    <t>Singapore|Bangladesh</t>
  </si>
  <si>
    <t>Singapore|Sri Lanka</t>
  </si>
  <si>
    <t>Singapore|Nepal</t>
  </si>
  <si>
    <t>Singapore|Afghanistan</t>
  </si>
  <si>
    <t>Singapore|Maldives</t>
  </si>
  <si>
    <t>Singapore|Qatar</t>
  </si>
  <si>
    <t>Singapore|United Arab Emirates</t>
  </si>
  <si>
    <t>Singapore|Saudi Arabia</t>
  </si>
  <si>
    <t>Singapore|Oman</t>
  </si>
  <si>
    <t>Singapore|Kuwait</t>
  </si>
  <si>
    <t>Singapore|Bahrain</t>
  </si>
  <si>
    <t>Singapore|Jordan</t>
  </si>
  <si>
    <t>Singapore|Lebanon</t>
  </si>
  <si>
    <t>Singapore|Iraq</t>
  </si>
  <si>
    <t>Singapore|Iran</t>
  </si>
  <si>
    <t>Singapore|Egypt</t>
  </si>
  <si>
    <t>Singapore|Turkey</t>
  </si>
  <si>
    <t>Singapore|UK</t>
  </si>
  <si>
    <t>Singapore|Ireland</t>
  </si>
  <si>
    <t>Singapore|Germany</t>
  </si>
  <si>
    <t>Singapore|France</t>
  </si>
  <si>
    <t>Singapore|Netherlands</t>
  </si>
  <si>
    <t>Singapore|Belgium</t>
  </si>
  <si>
    <t>Singapore|Italy</t>
  </si>
  <si>
    <t>Singapore|Spain</t>
  </si>
  <si>
    <t>Singapore|Portugal</t>
  </si>
  <si>
    <t>Singapore|Austria</t>
  </si>
  <si>
    <t>Singapore|Switzerland</t>
  </si>
  <si>
    <t>Singapore|Sweden</t>
  </si>
  <si>
    <t>Singapore|Norway</t>
  </si>
  <si>
    <t>Singapore|Denmark</t>
  </si>
  <si>
    <t>Singapore|Finland</t>
  </si>
  <si>
    <t>Singapore|Poland</t>
  </si>
  <si>
    <t>Singapore|Czech Republic</t>
  </si>
  <si>
    <t>Singapore|Hungary</t>
  </si>
  <si>
    <t>Singapore|Romania</t>
  </si>
  <si>
    <t>Singapore|Greece</t>
  </si>
  <si>
    <t>Singapore|Russia</t>
  </si>
  <si>
    <t>Singapore|Ukraine</t>
  </si>
  <si>
    <t>Singapore|USA</t>
  </si>
  <si>
    <t>Singapore|Canada</t>
  </si>
  <si>
    <t>Singapore|Mexico</t>
  </si>
  <si>
    <t>Singapore|Australia</t>
  </si>
  <si>
    <t>Singapore|New Zealand</t>
  </si>
  <si>
    <t>Singapore|China</t>
  </si>
  <si>
    <t>Singapore|Hong Kong</t>
  </si>
  <si>
    <t>Singapore|Japan</t>
  </si>
  <si>
    <t>Singapore|South Korea</t>
  </si>
  <si>
    <t>Singapore|Singapore</t>
  </si>
  <si>
    <t>Singapore|Malaysia</t>
  </si>
  <si>
    <t>Singapore|Indonesia</t>
  </si>
  <si>
    <t>Singapore|Thailand</t>
  </si>
  <si>
    <t>Singapore|Philippines</t>
  </si>
  <si>
    <t>Singapore|Vietnam</t>
  </si>
  <si>
    <t>Singapore|Nigeria</t>
  </si>
  <si>
    <t>Singapore|Kenya</t>
  </si>
  <si>
    <t>Singapore|South Africa</t>
  </si>
  <si>
    <t>Singapore|Ghana</t>
  </si>
  <si>
    <t>Singapore|Ethiopia</t>
  </si>
  <si>
    <t>Singapore|Tanzania</t>
  </si>
  <si>
    <t>Singapore|Uganda</t>
  </si>
  <si>
    <t>Singapore|Morocco</t>
  </si>
  <si>
    <t>Singapore|Brazil</t>
  </si>
  <si>
    <t>Singapore|Argentina</t>
  </si>
  <si>
    <t>Singapore|Colombia</t>
  </si>
  <si>
    <t>Singapore|Chile</t>
  </si>
  <si>
    <t>Singapore|Peru</t>
  </si>
  <si>
    <t>Singapore|Other country</t>
  </si>
  <si>
    <t>Malaysia|Pakistan</t>
  </si>
  <si>
    <t>Malaysia|India</t>
  </si>
  <si>
    <t>Malaysia|Bangladesh</t>
  </si>
  <si>
    <t>Malaysia|Sri Lanka</t>
  </si>
  <si>
    <t>Malaysia|Nepal</t>
  </si>
  <si>
    <t>Malaysia|Afghanistan</t>
  </si>
  <si>
    <t>Malaysia|Maldives</t>
  </si>
  <si>
    <t>Malaysia|Qatar</t>
  </si>
  <si>
    <t>Malaysia|United Arab Emirates</t>
  </si>
  <si>
    <t>Malaysia|Saudi Arabia</t>
  </si>
  <si>
    <t>Malaysia|Oman</t>
  </si>
  <si>
    <t>Malaysia|Kuwait</t>
  </si>
  <si>
    <t>Malaysia|Bahrain</t>
  </si>
  <si>
    <t>Malaysia|Jordan</t>
  </si>
  <si>
    <t>Malaysia|Lebanon</t>
  </si>
  <si>
    <t>Malaysia|Iraq</t>
  </si>
  <si>
    <t>Malaysia|Iran</t>
  </si>
  <si>
    <t>Malaysia|Egypt</t>
  </si>
  <si>
    <t>Malaysia|Turkey</t>
  </si>
  <si>
    <t>Malaysia|UK</t>
  </si>
  <si>
    <t>Malaysia|Ireland</t>
  </si>
  <si>
    <t>Malaysia|Germany</t>
  </si>
  <si>
    <t>Malaysia|France</t>
  </si>
  <si>
    <t>Malaysia|Netherlands</t>
  </si>
  <si>
    <t>Malaysia|Belgium</t>
  </si>
  <si>
    <t>Malaysia|Italy</t>
  </si>
  <si>
    <t>Malaysia|Spain</t>
  </si>
  <si>
    <t>Malaysia|Portugal</t>
  </si>
  <si>
    <t>Malaysia|Austria</t>
  </si>
  <si>
    <t>Malaysia|Switzerland</t>
  </si>
  <si>
    <t>Malaysia|Sweden</t>
  </si>
  <si>
    <t>Malaysia|Norway</t>
  </si>
  <si>
    <t>Malaysia|Denmark</t>
  </si>
  <si>
    <t>Malaysia|Finland</t>
  </si>
  <si>
    <t>Malaysia|Poland</t>
  </si>
  <si>
    <t>Malaysia|Czech Republic</t>
  </si>
  <si>
    <t>Malaysia|Hungary</t>
  </si>
  <si>
    <t>Malaysia|Romania</t>
  </si>
  <si>
    <t>Malaysia|Greece</t>
  </si>
  <si>
    <t>Malaysia|Russia</t>
  </si>
  <si>
    <t>Malaysia|Ukraine</t>
  </si>
  <si>
    <t>Malaysia|USA</t>
  </si>
  <si>
    <t>Malaysia|Canada</t>
  </si>
  <si>
    <t>Malaysia|Mexico</t>
  </si>
  <si>
    <t>Malaysia|Australia</t>
  </si>
  <si>
    <t>Malaysia|New Zealand</t>
  </si>
  <si>
    <t>Malaysia|China</t>
  </si>
  <si>
    <t>Malaysia|Hong Kong</t>
  </si>
  <si>
    <t>Malaysia|Japan</t>
  </si>
  <si>
    <t>Malaysia|South Korea</t>
  </si>
  <si>
    <t>Malaysia|Singapore</t>
  </si>
  <si>
    <t>Malaysia|Malaysia</t>
  </si>
  <si>
    <t>Malaysia|Indonesia</t>
  </si>
  <si>
    <t>Malaysia|Thailand</t>
  </si>
  <si>
    <t>Malaysia|Philippines</t>
  </si>
  <si>
    <t>Malaysia|Vietnam</t>
  </si>
  <si>
    <t>Malaysia|Nigeria</t>
  </si>
  <si>
    <t>Malaysia|Kenya</t>
  </si>
  <si>
    <t>Malaysia|South Africa</t>
  </si>
  <si>
    <t>Malaysia|Ghana</t>
  </si>
  <si>
    <t>Malaysia|Ethiopia</t>
  </si>
  <si>
    <t>Malaysia|Tanzania</t>
  </si>
  <si>
    <t>Malaysia|Uganda</t>
  </si>
  <si>
    <t>Malaysia|Morocco</t>
  </si>
  <si>
    <t>Malaysia|Brazil</t>
  </si>
  <si>
    <t>Malaysia|Argentina</t>
  </si>
  <si>
    <t>Malaysia|Colombia</t>
  </si>
  <si>
    <t>Malaysia|Chile</t>
  </si>
  <si>
    <t>Malaysia|Peru</t>
  </si>
  <si>
    <t>Malaysia|Other country</t>
  </si>
  <si>
    <t>Ireland|Pakistan</t>
  </si>
  <si>
    <t>Ireland|India</t>
  </si>
  <si>
    <t>Ireland|Bangladesh</t>
  </si>
  <si>
    <t>Ireland|Sri Lanka</t>
  </si>
  <si>
    <t>Ireland|Nepal</t>
  </si>
  <si>
    <t>Ireland|Afghanistan</t>
  </si>
  <si>
    <t>Ireland|Maldives</t>
  </si>
  <si>
    <t>Ireland|Qatar</t>
  </si>
  <si>
    <t>Ireland|United Arab Emirates</t>
  </si>
  <si>
    <t>Ireland|Saudi Arabia</t>
  </si>
  <si>
    <t>Ireland|Oman</t>
  </si>
  <si>
    <t>Ireland|Kuwait</t>
  </si>
  <si>
    <t>Ireland|Bahrain</t>
  </si>
  <si>
    <t>Ireland|Jordan</t>
  </si>
  <si>
    <t>Ireland|Lebanon</t>
  </si>
  <si>
    <t>Ireland|Iraq</t>
  </si>
  <si>
    <t>Ireland|Iran</t>
  </si>
  <si>
    <t>Ireland|Egypt</t>
  </si>
  <si>
    <t>Ireland|Turkey</t>
  </si>
  <si>
    <t>Ireland|UK</t>
  </si>
  <si>
    <t>Ireland|Ireland</t>
  </si>
  <si>
    <t>Ireland|Germany</t>
  </si>
  <si>
    <t>Ireland|France</t>
  </si>
  <si>
    <t>Ireland|Netherlands</t>
  </si>
  <si>
    <t>Ireland|Belgium</t>
  </si>
  <si>
    <t>Ireland|Italy</t>
  </si>
  <si>
    <t>Ireland|Spain</t>
  </si>
  <si>
    <t>Ireland|Portugal</t>
  </si>
  <si>
    <t>Ireland|Austria</t>
  </si>
  <si>
    <t>Ireland|Switzerland</t>
  </si>
  <si>
    <t>Ireland|Sweden</t>
  </si>
  <si>
    <t>Ireland|Norway</t>
  </si>
  <si>
    <t>Ireland|Denmark</t>
  </si>
  <si>
    <t>Ireland|Finland</t>
  </si>
  <si>
    <t>Ireland|Poland</t>
  </si>
  <si>
    <t>Ireland|Czech Republic</t>
  </si>
  <si>
    <t>Ireland|Hungary</t>
  </si>
  <si>
    <t>Ireland|Romania</t>
  </si>
  <si>
    <t>Ireland|Greece</t>
  </si>
  <si>
    <t>Ireland|Russia</t>
  </si>
  <si>
    <t>Ireland|Ukraine</t>
  </si>
  <si>
    <t>Ireland|USA</t>
  </si>
  <si>
    <t>Ireland|Canada</t>
  </si>
  <si>
    <t>Ireland|Mexico</t>
  </si>
  <si>
    <t>Ireland|Australia</t>
  </si>
  <si>
    <t>Ireland|New Zealand</t>
  </si>
  <si>
    <t>Ireland|China</t>
  </si>
  <si>
    <t>Ireland|Hong Kong</t>
  </si>
  <si>
    <t>Ireland|Japan</t>
  </si>
  <si>
    <t>Ireland|South Korea</t>
  </si>
  <si>
    <t>Ireland|Singapore</t>
  </si>
  <si>
    <t>Ireland|Malaysia</t>
  </si>
  <si>
    <t>Ireland|Indonesia</t>
  </si>
  <si>
    <t>Ireland|Thailand</t>
  </si>
  <si>
    <t>Ireland|Philippines</t>
  </si>
  <si>
    <t>Ireland|Vietnam</t>
  </si>
  <si>
    <t>Ireland|Nigeria</t>
  </si>
  <si>
    <t>Ireland|Kenya</t>
  </si>
  <si>
    <t>Ireland|South Africa</t>
  </si>
  <si>
    <t>Ireland|Ghana</t>
  </si>
  <si>
    <t>Ireland|Ethiopia</t>
  </si>
  <si>
    <t>Ireland|Tanzania</t>
  </si>
  <si>
    <t>Ireland|Uganda</t>
  </si>
  <si>
    <t>Ireland|Morocco</t>
  </si>
  <si>
    <t>Ireland|Brazil</t>
  </si>
  <si>
    <t>Ireland|Argentina</t>
  </si>
  <si>
    <t>Ireland|Colombia</t>
  </si>
  <si>
    <t>Ireland|Chile</t>
  </si>
  <si>
    <t>Ireland|Peru</t>
  </si>
  <si>
    <t>Ireland|Other country</t>
  </si>
  <si>
    <t>Qatar|Pakistan</t>
  </si>
  <si>
    <t>Qatar|India</t>
  </si>
  <si>
    <t>Qatar|Bangladesh</t>
  </si>
  <si>
    <t>Qatar|Sri Lanka</t>
  </si>
  <si>
    <t>Qatar|Nepal</t>
  </si>
  <si>
    <t>Qatar|Afghanistan</t>
  </si>
  <si>
    <t>Qatar|Maldives</t>
  </si>
  <si>
    <t>Qatar|Qatar</t>
  </si>
  <si>
    <t>Qatar|United Arab Emirates</t>
  </si>
  <si>
    <t>Qatar|Saudi Arabia</t>
  </si>
  <si>
    <t>Qatar|Oman</t>
  </si>
  <si>
    <t>Qatar|Kuwait</t>
  </si>
  <si>
    <t>Qatar|Bahrain</t>
  </si>
  <si>
    <t>Qatar|Jordan</t>
  </si>
  <si>
    <t>Qatar|Lebanon</t>
  </si>
  <si>
    <t>Qatar|Iraq</t>
  </si>
  <si>
    <t>Qatar|Iran</t>
  </si>
  <si>
    <t>Qatar|Egypt</t>
  </si>
  <si>
    <t>Qatar|Turkey</t>
  </si>
  <si>
    <t>Qatar|UK</t>
  </si>
  <si>
    <t>Qatar|Ireland</t>
  </si>
  <si>
    <t>Qatar|Germany</t>
  </si>
  <si>
    <t>Qatar|France</t>
  </si>
  <si>
    <t>Qatar|Netherlands</t>
  </si>
  <si>
    <t>Qatar|Belgium</t>
  </si>
  <si>
    <t>Qatar|Italy</t>
  </si>
  <si>
    <t>Qatar|Spain</t>
  </si>
  <si>
    <t>Qatar|Portugal</t>
  </si>
  <si>
    <t>Qatar|Austria</t>
  </si>
  <si>
    <t>Qatar|Switzerland</t>
  </si>
  <si>
    <t>Qatar|Sweden</t>
  </si>
  <si>
    <t>Qatar|Norway</t>
  </si>
  <si>
    <t>Qatar|Denmark</t>
  </si>
  <si>
    <t>Qatar|Finland</t>
  </si>
  <si>
    <t>Qatar|Poland</t>
  </si>
  <si>
    <t>Qatar|Czech Republic</t>
  </si>
  <si>
    <t>Qatar|Hungary</t>
  </si>
  <si>
    <t>Qatar|Romania</t>
  </si>
  <si>
    <t>Qatar|Greece</t>
  </si>
  <si>
    <t>Qatar|Russia</t>
  </si>
  <si>
    <t>Qatar|Ukraine</t>
  </si>
  <si>
    <t>Qatar|USA</t>
  </si>
  <si>
    <t>Qatar|Canada</t>
  </si>
  <si>
    <t>Qatar|Mexico</t>
  </si>
  <si>
    <t>Qatar|Australia</t>
  </si>
  <si>
    <t>Qatar|New Zealand</t>
  </si>
  <si>
    <t>Qatar|China</t>
  </si>
  <si>
    <t>Qatar|Hong Kong</t>
  </si>
  <si>
    <t>Qatar|Japan</t>
  </si>
  <si>
    <t>Qatar|South Korea</t>
  </si>
  <si>
    <t>Qatar|Singapore</t>
  </si>
  <si>
    <t>Qatar|Malaysia</t>
  </si>
  <si>
    <t>Qatar|Indonesia</t>
  </si>
  <si>
    <t>Qatar|Thailand</t>
  </si>
  <si>
    <t>Qatar|Philippines</t>
  </si>
  <si>
    <t>Qatar|Vietnam</t>
  </si>
  <si>
    <t>Qatar|Nigeria</t>
  </si>
  <si>
    <t>Qatar|Kenya</t>
  </si>
  <si>
    <t>Qatar|South Africa</t>
  </si>
  <si>
    <t>Qatar|Ghana</t>
  </si>
  <si>
    <t>Qatar|Ethiopia</t>
  </si>
  <si>
    <t>Qatar|Tanzania</t>
  </si>
  <si>
    <t>Qatar|Uganda</t>
  </si>
  <si>
    <t>Qatar|Morocco</t>
  </si>
  <si>
    <t>Qatar|Brazil</t>
  </si>
  <si>
    <t>Qatar|Argentina</t>
  </si>
  <si>
    <t>Qatar|Colombia</t>
  </si>
  <si>
    <t>Qatar|Chile</t>
  </si>
  <si>
    <t>Qatar|Peru</t>
  </si>
  <si>
    <t>Qatar|Other country</t>
  </si>
  <si>
    <t>United Arab Emirates|Pakistan</t>
  </si>
  <si>
    <t>United Arab Emirates|India</t>
  </si>
  <si>
    <t>United Arab Emirates|Bangladesh</t>
  </si>
  <si>
    <t>United Arab Emirates|Sri Lanka</t>
  </si>
  <si>
    <t>United Arab Emirates|Nepal</t>
  </si>
  <si>
    <t>United Arab Emirates|Afghanistan</t>
  </si>
  <si>
    <t>United Arab Emirates|Maldives</t>
  </si>
  <si>
    <t>United Arab Emirates|Qatar</t>
  </si>
  <si>
    <t>United Arab Emirates|United Arab Emirates</t>
  </si>
  <si>
    <t>United Arab Emirates|Saudi Arabia</t>
  </si>
  <si>
    <t>United Arab Emirates|Oman</t>
  </si>
  <si>
    <t>United Arab Emirates|Kuwait</t>
  </si>
  <si>
    <t>United Arab Emirates|Bahrain</t>
  </si>
  <si>
    <t>United Arab Emirates|Jordan</t>
  </si>
  <si>
    <t>United Arab Emirates|Lebanon</t>
  </si>
  <si>
    <t>United Arab Emirates|Iraq</t>
  </si>
  <si>
    <t>United Arab Emirates|Iran</t>
  </si>
  <si>
    <t>United Arab Emirates|Egypt</t>
  </si>
  <si>
    <t>United Arab Emirates|Turkey</t>
  </si>
  <si>
    <t>United Arab Emirates|UK</t>
  </si>
  <si>
    <t>United Arab Emirates|Ireland</t>
  </si>
  <si>
    <t>United Arab Emirates|Germany</t>
  </si>
  <si>
    <t>United Arab Emirates|France</t>
  </si>
  <si>
    <t>United Arab Emirates|Netherlands</t>
  </si>
  <si>
    <t>United Arab Emirates|Belgium</t>
  </si>
  <si>
    <t>United Arab Emirates|Italy</t>
  </si>
  <si>
    <t>United Arab Emirates|Spain</t>
  </si>
  <si>
    <t>United Arab Emirates|Portugal</t>
  </si>
  <si>
    <t>United Arab Emirates|Austria</t>
  </si>
  <si>
    <t>United Arab Emirates|Switzerland</t>
  </si>
  <si>
    <t>United Arab Emirates|Sweden</t>
  </si>
  <si>
    <t>United Arab Emirates|Norway</t>
  </si>
  <si>
    <t>United Arab Emirates|Denmark</t>
  </si>
  <si>
    <t>United Arab Emirates|Finland</t>
  </si>
  <si>
    <t>United Arab Emirates|Poland</t>
  </si>
  <si>
    <t>United Arab Emirates|Czech Republic</t>
  </si>
  <si>
    <t>United Arab Emirates|Hungary</t>
  </si>
  <si>
    <t>United Arab Emirates|Romania</t>
  </si>
  <si>
    <t>United Arab Emirates|Greece</t>
  </si>
  <si>
    <t>United Arab Emirates|Russia</t>
  </si>
  <si>
    <t>United Arab Emirates|Ukraine</t>
  </si>
  <si>
    <t>United Arab Emirates|USA</t>
  </si>
  <si>
    <t>United Arab Emirates|Canada</t>
  </si>
  <si>
    <t>United Arab Emirates|Mexico</t>
  </si>
  <si>
    <t>United Arab Emirates|Australia</t>
  </si>
  <si>
    <t>United Arab Emirates|New Zealand</t>
  </si>
  <si>
    <t>United Arab Emirates|China</t>
  </si>
  <si>
    <t>United Arab Emirates|Hong Kong</t>
  </si>
  <si>
    <t>United Arab Emirates|Japan</t>
  </si>
  <si>
    <t>United Arab Emirates|South Korea</t>
  </si>
  <si>
    <t>United Arab Emirates|Singapore</t>
  </si>
  <si>
    <t>United Arab Emirates|Malaysia</t>
  </si>
  <si>
    <t>United Arab Emirates|Indonesia</t>
  </si>
  <si>
    <t>United Arab Emirates|Thailand</t>
  </si>
  <si>
    <t>United Arab Emirates|Philippines</t>
  </si>
  <si>
    <t>United Arab Emirates|Vietnam</t>
  </si>
  <si>
    <t>United Arab Emirates|Nigeria</t>
  </si>
  <si>
    <t>United Arab Emirates|Kenya</t>
  </si>
  <si>
    <t>United Arab Emirates|South Africa</t>
  </si>
  <si>
    <t>United Arab Emirates|Ghana</t>
  </si>
  <si>
    <t>United Arab Emirates|Ethiopia</t>
  </si>
  <si>
    <t>United Arab Emirates|Tanzania</t>
  </si>
  <si>
    <t>United Arab Emirates|Uganda</t>
  </si>
  <si>
    <t>United Arab Emirates|Morocco</t>
  </si>
  <si>
    <t>United Arab Emirates|Brazil</t>
  </si>
  <si>
    <t>United Arab Emirates|Argentina</t>
  </si>
  <si>
    <t>United Arab Emirates|Colombia</t>
  </si>
  <si>
    <t>United Arab Emirates|Chile</t>
  </si>
  <si>
    <t>United Arab Emirates|Peru</t>
  </si>
  <si>
    <t>United Arab Emirates|Other country</t>
  </si>
  <si>
    <t>Assumptions and currency</t>
  </si>
  <si>
    <t>Plan start year (academic year starting)</t>
  </si>
  <si>
    <t>Dataset checked on</t>
  </si>
  <si>
    <t>2026-10-15</t>
  </si>
  <si>
    <t>Exchange rates - units of each currency per 1 USD (2026-10-01). Enter your own rate in column C to override.</t>
  </si>
  <si>
    <t>Dataset rate</t>
  </si>
  <si>
    <t>Your rate (optional)</t>
  </si>
  <si>
    <t>Rate used</t>
  </si>
  <si>
    <t>Units of each currency per 1 USD. EUR, GBP, AUD and INR are derived as cross-rates from ECB euro reference rates (1 EUR = 1.1298 USD; 0.85373 GBP; 1.6255 AUD; 108.8320 INR). PKR from State Bank of Pakistan M2M revaluation rate. Convert A to B: amount_A / rate_A * rate_B. SGD and MYR are ECB cross-rates for the same date (1 EUR = 1.4460 SGD; 4.6147 MYR). QAR and AED are the official US-dollar pegs (QAR 3.64; AED 3.6725).</t>
  </si>
  <si>
    <t>Default investment return by results currency (used when the Inputs return is blank)</t>
  </si>
  <si>
    <t>Yearly return</t>
  </si>
  <si>
    <t>Any other currency: 5%. Illustrative yearly investment returns by reporting currency – planning assumptions, not predictions, recommendations or guaranteed rates.</t>
  </si>
  <si>
    <t>Method (same as the website calculator - docs/education-calculator/METHODOLOGY.md)</t>
  </si>
  <si>
    <t>Fee status: local fees when the child's nationality is a domestic nationality of the study country, otherwise international fees and a student visa.</t>
  </si>
  <si>
    <t>University fees: the average of published fee records for the same country, qualification, fee status and currency, each grown to the plan start year by the fee increase. Where none exists, a labelled planning estimate is used.</t>
  </si>
  <si>
    <t>Courses entered after another degree (e.g. medicine in the USA) use the pre-stage degree's fees for the first years.</t>
  </si>
  <si>
    <t>Each cost line grows by its increase from its price year: line x (1 + increase)^(year - price year) x part of the year x exchange rate. One-time costs fall in the first study year.</t>
  </si>
  <si>
    <t>Scholarship / part-time work reduces tuition, university fees and living costs once; visa and travel are not reduced.</t>
  </si>
  <si>
    <t>Timing: costs are paid at the start of each year; savings are added at the end. The fund earns the investment return on what is left after costs.</t>
  </si>
  <si>
    <t>Amount needed now: costs that come before any yearly saving can be made. Required yearly saving: the smallest first-year saving (rising by the yearly increase) that keeps the fund from running out in any year.</t>
  </si>
  <si>
    <t>Yearly plan: opening fund - expenses + growth + savings = closing fund; each closing fund is the next opening fund. The plan assumes no existing savings.</t>
  </si>
  <si>
    <t>Sources</t>
  </si>
  <si>
    <t>Every published fee record used, with its source link, is on the Fee Records sheet. Planning-estimate bases are in the last column of the Cost Database sheet. Living costs, visas and travel are on their own sheets. The full research register is docs/education-calculator/SOURCES.md in the project.</t>
  </si>
  <si>
    <t>Countries</t>
  </si>
  <si>
    <t>Qualifications</t>
  </si>
  <si>
    <t>Places</t>
  </si>
  <si>
    <t>Currencies</t>
  </si>
  <si>
    <t>Domestic (country|nationality)</t>
  </si>
  <si>
    <t>Default living-cost increase</t>
  </si>
  <si>
    <t>Residents need no student visa</t>
  </si>
  <si>
    <t>Automatic</t>
  </si>
  <si>
    <t>Bangladesh</t>
  </si>
  <si>
    <t>Sri Lanka</t>
  </si>
  <si>
    <t>Nepal</t>
  </si>
  <si>
    <t>Afghanistan</t>
  </si>
  <si>
    <t>Maldives</t>
  </si>
  <si>
    <t>Saudi Arabia</t>
  </si>
  <si>
    <t>Oman</t>
  </si>
  <si>
    <t>Kuwait</t>
  </si>
  <si>
    <t>Bahrain</t>
  </si>
  <si>
    <t>Jordan</t>
  </si>
  <si>
    <t>Lebanon</t>
  </si>
  <si>
    <t>Iraq</t>
  </si>
  <si>
    <t>Iran</t>
  </si>
  <si>
    <t>Egypt</t>
  </si>
  <si>
    <t>Turkey</t>
  </si>
  <si>
    <t>France</t>
  </si>
  <si>
    <t>Netherlands</t>
  </si>
  <si>
    <t>Belgium</t>
  </si>
  <si>
    <t>Italy</t>
  </si>
  <si>
    <t>Spain</t>
  </si>
  <si>
    <t>Portugal</t>
  </si>
  <si>
    <t>Austria</t>
  </si>
  <si>
    <t>Switzerland</t>
  </si>
  <si>
    <t>Sweden</t>
  </si>
  <si>
    <t>Norway</t>
  </si>
  <si>
    <t>Denmark</t>
  </si>
  <si>
    <t>Finland</t>
  </si>
  <si>
    <t>Poland</t>
  </si>
  <si>
    <t>Czech Republic</t>
  </si>
  <si>
    <t>Hungary</t>
  </si>
  <si>
    <t>Romania</t>
  </si>
  <si>
    <t>Greece</t>
  </si>
  <si>
    <t>Russia</t>
  </si>
  <si>
    <t>Ukraine</t>
  </si>
  <si>
    <t>Canada</t>
  </si>
  <si>
    <t>Mexico</t>
  </si>
  <si>
    <t>New Zealand</t>
  </si>
  <si>
    <t>China</t>
  </si>
  <si>
    <t>Hong Kong</t>
  </si>
  <si>
    <t>Japan</t>
  </si>
  <si>
    <t>South Korea</t>
  </si>
  <si>
    <t>Indonesia</t>
  </si>
  <si>
    <t>Thailand</t>
  </si>
  <si>
    <t>Philippines</t>
  </si>
  <si>
    <t>Vietnam</t>
  </si>
  <si>
    <t>Nigeria</t>
  </si>
  <si>
    <t>Kenya</t>
  </si>
  <si>
    <t>South Africa</t>
  </si>
  <si>
    <t>Ghana</t>
  </si>
  <si>
    <t>Ethiopia</t>
  </si>
  <si>
    <t>Tanzania</t>
  </si>
  <si>
    <t>Uganda</t>
  </si>
  <si>
    <t>Morocco</t>
  </si>
  <si>
    <t>Brazil</t>
  </si>
  <si>
    <t>Argentina</t>
  </si>
  <si>
    <t>Colombia</t>
  </si>
  <si>
    <t>Chile</t>
  </si>
  <si>
    <t>Peru</t>
  </si>
  <si>
    <t>Other country</t>
  </si>
  <si>
    <t>Compare Calc - the selected child's course in each country (helper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</si>
</sst>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
    <numFmt numFmtId="167" formatCode="#,##0;\-#,##0;&quot;-&quot;"/>
  </numFmts>
  <fonts count="9" x14ac:knownFonts="1">
    <font>
      <sz val="11"/>
      <color theme="1"/>
      <name val="Calibri"/>
      <family val="2"/>
      <scheme val="minor"/>
    </font>
    <font>
      <b/>
      <sz val="16"/>
      <color rgb="FF0E1016"/>
      <name val="Arial"/>
    </font>
    <font>
      <b/>
      <sz val="10"/>
      <name val="Arial"/>
    </font>
    <font>
      <sz val="10"/>
      <name val="Arial"/>
    </font>
    <font>
      <b/>
      <sz val="12"/>
      <color rgb="FF0E1016"/>
      <name val="Arial"/>
    </font>
    <font>
      <b/>
      <sz val="10"/>
      <color rgb="FFFFFFFF"/>
      <name val="Arial"/>
    </font>
    <font>
      <i/>
      <sz val="9"/>
      <color rgb="FF565B66"/>
      <name val="Arial"/>
    </font>
    <font>
      <sz val="9"/>
      <name val="Arial"/>
    </font>
    <font>
      <b/>
      <sz val="14"/>
      <color rgb="FF0E1016"/>
      <name val="Arial"/>
    </font>
  </fonts>
  <fills count="6">
    <fill>
      <patternFill patternType="none"/>
    </fill>
    <fill>
      <patternFill patternType="gray125"/>
    </fill>
    <fill>
      <patternFill patternType="solid">
        <fgColor rgb="FF0E1016"/>
      </patternFill>
    </fill>
    <fill>
      <patternFill patternType="solid">
        <fgColor rgb="FFFFF4D6"/>
      </patternFill>
    </fill>
    <fill>
      <patternFill patternType="solid">
        <fgColor rgb="FFF2F2F2"/>
      </patternFill>
    </fill>
    <fill>
      <patternFill patternType="solid">
        <fgColor rgb="FFE9A825"/>
      </patternFill>
    </fill>
  </fills>
  <borders count="2">
    <border>
      <left/>
      <right/>
      <top/>
      <bottom/>
      <diagonal/>
    </border>
    <border>
      <left style="thin">
        <color rgb="FFDDD8CC"/>
      </left>
      <right style="thin">
        <color rgb="FFDDD8CC"/>
      </right>
      <top style="thin">
        <color rgb="FFDDD8CC"/>
      </top>
      <bottom style="thin">
        <color rgb="FFDDD8CC"/>
      </bottom>
      <diagonal/>
    </border>
  </borders>
  <cellStyleXfs count="1">
    <xf numFmtId="0" fontId="0" fillId="0" borderId="0"/>
  </cellStyleXfs>
  <cellXfs count="41">
    <xf numFmtId="0" fontId="0" fillId="0" borderId="0" xfId="0"/>
    <xf numFmtId="0" fontId="1" fillId="0" borderId="0" xfId="0" applyFont="1" applyAlignment="1">
      <alignment vertical="top" wrapText="1"/>
    </xf>
    <xf numFmtId="0" fontId="6"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1" fillId="0" borderId="0" xfId="0" applyFont="1"/>
    <xf numFmtId="0" fontId="6" fillId="0" borderId="0" xfId="0" applyFont="1"/>
    <xf numFmtId="0" fontId="4" fillId="0" borderId="0" xfId="0" applyFont="1"/>
    <xf numFmtId="0" fontId="2" fillId="0" borderId="0" xfId="0" applyFont="1"/>
    <xf numFmtId="1" fontId="3" fillId="3" borderId="1" xfId="0" applyNumberFormat="1" applyFont="1" applyFill="1" applyBorder="1" applyProtection="1">
      <protection locked="0"/>
    </xf>
    <xf numFmtId="1" fontId="3" fillId="4" borderId="0" xfId="0" applyNumberFormat="1" applyFont="1" applyFill="1"/>
    <xf numFmtId="0" fontId="3" fillId="3" borderId="1" xfId="0" applyFont="1" applyFill="1" applyBorder="1" applyProtection="1">
      <protection locked="0"/>
    </xf>
    <xf numFmtId="0" fontId="3" fillId="4" borderId="0" xfId="0" applyFont="1" applyFill="1"/>
    <xf numFmtId="165" fontId="3" fillId="3" borderId="1" xfId="0" applyNumberFormat="1" applyFont="1" applyFill="1" applyBorder="1" applyProtection="1">
      <protection locked="0"/>
    </xf>
    <xf numFmtId="165" fontId="3" fillId="4" borderId="0" xfId="0" applyNumberFormat="1" applyFont="1" applyFill="1"/>
    <xf numFmtId="0" fontId="5" fillId="2" borderId="1" xfId="0" applyFont="1" applyFill="1" applyBorder="1"/>
    <xf numFmtId="0" fontId="3" fillId="0" borderId="0" xfId="0" applyFont="1"/>
    <xf numFmtId="167" fontId="3" fillId="3" borderId="1" xfId="0" applyNumberFormat="1" applyFont="1" applyFill="1" applyBorder="1" applyProtection="1">
      <protection locked="0"/>
    </xf>
    <xf numFmtId="0" fontId="8" fillId="0" borderId="0" xfId="0" applyFont="1"/>
    <xf numFmtId="167" fontId="8" fillId="5" borderId="0" xfId="0" applyNumberFormat="1" applyFont="1" applyFill="1"/>
    <xf numFmtId="167" fontId="2" fillId="0" borderId="0" xfId="0" applyNumberFormat="1" applyFont="1"/>
    <xf numFmtId="167" fontId="3" fillId="0" borderId="0" xfId="0" applyNumberFormat="1" applyFont="1"/>
    <xf numFmtId="0" fontId="5" fillId="2" borderId="1" xfId="0" applyFont="1" applyFill="1" applyBorder="1" applyAlignment="1">
      <alignment vertical="center" wrapText="1"/>
    </xf>
    <xf numFmtId="166" fontId="3" fillId="0" borderId="0" xfId="0" applyNumberFormat="1" applyFont="1"/>
    <xf numFmtId="9" fontId="3" fillId="0" borderId="0" xfId="0" applyNumberFormat="1" applyFont="1"/>
    <xf numFmtId="167" fontId="3" fillId="4" borderId="0" xfId="0" applyNumberFormat="1" applyFont="1" applyFill="1"/>
    <xf numFmtId="167" fontId="2" fillId="5" borderId="0" xfId="0" applyNumberFormat="1" applyFont="1" applyFill="1"/>
    <xf numFmtId="164" fontId="3" fillId="0" borderId="0" xfId="0" applyNumberFormat="1" applyFont="1"/>
    <xf numFmtId="0" fontId="7" fillId="0" borderId="0" xfId="0" applyFont="1"/>
    <xf numFmtId="166" fontId="7" fillId="0" borderId="0" xfId="0" applyNumberFormat="1" applyFont="1"/>
    <xf numFmtId="165" fontId="7" fillId="0" borderId="0" xfId="0" applyNumberFormat="1" applyFont="1"/>
    <xf numFmtId="167" fontId="7" fillId="0" borderId="0" xfId="0" applyNumberFormat="1" applyFont="1"/>
    <xf numFmtId="0" fontId="7" fillId="0" borderId="0" xfId="0" applyFont="1" applyAlignment="1">
      <alignment vertical="top" wrapText="1"/>
    </xf>
    <xf numFmtId="0" fontId="3" fillId="0" borderId="1" xfId="0" applyFont="1" applyBorder="1"/>
    <xf numFmtId="164" fontId="3" fillId="0" borderId="1" xfId="0" applyNumberFormat="1" applyFont="1" applyBorder="1"/>
    <xf numFmtId="164" fontId="3" fillId="3" borderId="1" xfId="0" applyNumberFormat="1" applyFont="1" applyFill="1" applyBorder="1" applyProtection="1">
      <protection locked="0"/>
    </xf>
    <xf numFmtId="164" fontId="3" fillId="4" borderId="1" xfId="0" applyNumberFormat="1" applyFont="1" applyFill="1" applyBorder="1"/>
    <xf numFmtId="165" fontId="3" fillId="0" borderId="1" xfId="0" applyNumberFormat="1" applyFont="1" applyBorder="1"/>
    <xf numFmtId="0" fontId="6" fillId="0" borderId="0" xfId="0" applyFont="1" applyAlignment="1">
      <alignment vertical="top" wrapText="1"/>
    </xf>
    <xf numFmtId="0" fontId="0" fillId="0" borderId="0" xfId="0"/>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Education costs by child and family savings, by year</a:t>
            </a:r>
          </a:p>
        </c:rich>
      </c:tx>
      <c:overlay val="1"/>
    </c:title>
    <c:autoTitleDeleted val="0"/>
    <c:plotArea>
      <c:layout/>
      <c:barChart>
        <c:barDir val="col"/>
        <c:grouping val="stacked"/>
        <c:varyColors val="1"/>
        <c:ser>
          <c:idx val="0"/>
          <c:order val="0"/>
          <c:tx>
            <c:strRef>
              <c:f>Dashboard!$U$31</c:f>
              <c:strCache>
                <c:ptCount val="1"/>
                <c:pt idx="0">
                  <c:v>Child 1</c:v>
                </c:pt>
              </c:strCache>
            </c:strRef>
          </c:tx>
          <c:spPr>
            <a:ln>
              <a:prstDash val="solid"/>
            </a:ln>
          </c:spPr>
          <c:invertIfNegative val="1"/>
          <c:cat>
            <c:multiLvlStrRef>
              <c:f>Dashboard!$T$32:$T$61</c:f>
            </c:multiLvlStrRef>
          </c:cat>
          <c:val>
            <c:numRef>
              <c:f>Dashboard!$U$32:$U$61</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extLst>
            <c:ext xmlns:c16="http://schemas.microsoft.com/office/drawing/2014/chart" uri="{C3380CC4-5D6E-409C-BE32-E72D297353CC}">
              <c16:uniqueId val="{00000000-C655-4212-825A-07D865E7B202}"/>
            </c:ext>
          </c:extLst>
        </c:ser>
        <c:ser>
          <c:idx val="1"/>
          <c:order val="1"/>
          <c:tx>
            <c:strRef>
              <c:f>Dashboard!$V$31</c:f>
              <c:strCache>
                <c:ptCount val="1"/>
                <c:pt idx="0">
                  <c:v>Child 2</c:v>
                </c:pt>
              </c:strCache>
            </c:strRef>
          </c:tx>
          <c:spPr>
            <a:ln>
              <a:prstDash val="solid"/>
            </a:ln>
          </c:spPr>
          <c:invertIfNegative val="1"/>
          <c:cat>
            <c:multiLvlStrRef>
              <c:f>Dashboard!$T$32:$T$61</c:f>
            </c:multiLvlStrRef>
          </c:cat>
          <c:val>
            <c:numRef>
              <c:f>Dashboard!$V$32:$V$61</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extLst>
            <c:ext xmlns:c16="http://schemas.microsoft.com/office/drawing/2014/chart" uri="{C3380CC4-5D6E-409C-BE32-E72D297353CC}">
              <c16:uniqueId val="{00000001-C655-4212-825A-07D865E7B202}"/>
            </c:ext>
          </c:extLst>
        </c:ser>
        <c:ser>
          <c:idx val="2"/>
          <c:order val="2"/>
          <c:tx>
            <c:strRef>
              <c:f>Dashboard!$W$31</c:f>
              <c:strCache>
                <c:ptCount val="1"/>
                <c:pt idx="0">
                  <c:v>Child 3</c:v>
                </c:pt>
              </c:strCache>
            </c:strRef>
          </c:tx>
          <c:spPr>
            <a:ln>
              <a:prstDash val="solid"/>
            </a:ln>
          </c:spPr>
          <c:invertIfNegative val="1"/>
          <c:cat>
            <c:multiLvlStrRef>
              <c:f>Dashboard!$T$32:$T$61</c:f>
            </c:multiLvlStrRef>
          </c:cat>
          <c:val>
            <c:numRef>
              <c:f>Dashboard!$W$32:$W$61</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extLst>
            <c:ext xmlns:c16="http://schemas.microsoft.com/office/drawing/2014/chart" uri="{C3380CC4-5D6E-409C-BE32-E72D297353CC}">
              <c16:uniqueId val="{00000002-C655-4212-825A-07D865E7B202}"/>
            </c:ext>
          </c:extLst>
        </c:ser>
        <c:ser>
          <c:idx val="3"/>
          <c:order val="3"/>
          <c:tx>
            <c:strRef>
              <c:f>Dashboard!$X$31</c:f>
              <c:strCache>
                <c:ptCount val="1"/>
                <c:pt idx="0">
                  <c:v>Child 4</c:v>
                </c:pt>
              </c:strCache>
            </c:strRef>
          </c:tx>
          <c:spPr>
            <a:ln>
              <a:prstDash val="solid"/>
            </a:ln>
          </c:spPr>
          <c:invertIfNegative val="1"/>
          <c:cat>
            <c:multiLvlStrRef>
              <c:f>Dashboard!$T$32:$T$61</c:f>
            </c:multiLvlStrRef>
          </c:cat>
          <c:val>
            <c:numRef>
              <c:f>Dashboard!$X$32:$X$61</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extLst>
            <c:ext xmlns:c16="http://schemas.microsoft.com/office/drawing/2014/chart" uri="{C3380CC4-5D6E-409C-BE32-E72D297353CC}">
              <c16:uniqueId val="{00000003-C655-4212-825A-07D865E7B202}"/>
            </c:ext>
          </c:extLst>
        </c:ser>
        <c:dLbls>
          <c:showLegendKey val="0"/>
          <c:showVal val="0"/>
          <c:showCatName val="0"/>
          <c:showSerName val="0"/>
          <c:showPercent val="0"/>
          <c:showBubbleSize val="0"/>
        </c:dLbls>
        <c:gapWidth val="150"/>
        <c:overlap val="100"/>
        <c:axId val="10"/>
        <c:axId val="100"/>
      </c:barChart>
      <c:lineChart>
        <c:grouping val="standard"/>
        <c:varyColors val="1"/>
        <c:ser>
          <c:idx val="4"/>
          <c:order val="4"/>
          <c:tx>
            <c:strRef>
              <c:f>Dashboard!$Y$31</c:f>
              <c:strCache>
                <c:ptCount val="1"/>
                <c:pt idx="0">
                  <c:v>Family savings</c:v>
                </c:pt>
              </c:strCache>
            </c:strRef>
          </c:tx>
          <c:spPr>
            <a:ln>
              <a:prstDash val="solid"/>
            </a:ln>
          </c:spPr>
          <c:marker>
            <c:symbol val="none"/>
          </c:marker>
          <c:val>
            <c:numRef>
              <c:f>Dashboard!$Y$32:$Y$61</c:f>
              <c:numCache>
                <c:formatCode>General</c:formatCode>
                <c:ptCount val="3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smooth val="0"/>
          <c:extLst>
            <c:ext xmlns:c16="http://schemas.microsoft.com/office/drawing/2014/chart" uri="{C3380CC4-5D6E-409C-BE32-E72D297353CC}">
              <c16:uniqueId val="{00000004-C655-4212-825A-07D865E7B202}"/>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TickMark val="none"/>
        <c:minorTickMark val="none"/>
        <c:tickLblPos val="nextTo"/>
        <c:crossAx val="100"/>
        <c:crosses val="autoZero"/>
        <c:auto val="1"/>
        <c:lblAlgn val="ctr"/>
        <c:lblOffset val="100"/>
        <c:noMultiLvlLbl val="1"/>
      </c:catAx>
      <c:valAx>
        <c:axId val="100"/>
        <c:scaling>
          <c:orientation val="minMax"/>
        </c:scaling>
        <c:delete val="0"/>
        <c:axPos val="l"/>
        <c:numFmt formatCode="#,##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0</xdr:colOff>
      <xdr:row>2</xdr:row>
      <xdr:rowOff>0</xdr:rowOff>
    </xdr:from>
    <xdr:ext cx="7920000" cy="32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5"/>
  <sheetViews>
    <sheetView showGridLines="0" workbookViewId="0"/>
  </sheetViews>
  <sheetFormatPr defaultRowHeight="14.4" x14ac:dyDescent="0.3"/>
  <cols>
    <col min="1" max="1" width="2" customWidth="1"/>
    <col min="2" max="2" width="110" customWidth="1"/>
  </cols>
  <sheetData>
    <row r="2" spans="2:2" ht="21" x14ac:dyDescent="0.3">
      <c r="B2" s="1" t="s">
        <v>49</v>
      </c>
    </row>
    <row r="3" spans="2:2" x14ac:dyDescent="0.3">
      <c r="B3" s="2" t="s">
        <v>50</v>
      </c>
    </row>
    <row r="4" spans="2:2" x14ac:dyDescent="0.3">
      <c r="B4" s="3"/>
    </row>
    <row r="5" spans="2:2" ht="15.6" x14ac:dyDescent="0.3">
      <c r="B5" s="4" t="s">
        <v>51</v>
      </c>
    </row>
    <row r="6" spans="2:2" x14ac:dyDescent="0.3">
      <c r="B6" s="3" t="s">
        <v>52</v>
      </c>
    </row>
    <row r="7" spans="2:2" ht="26.4" x14ac:dyDescent="0.3">
      <c r="B7" s="3" t="s">
        <v>53</v>
      </c>
    </row>
    <row r="8" spans="2:2" x14ac:dyDescent="0.3">
      <c r="B8" s="3" t="s">
        <v>54</v>
      </c>
    </row>
    <row r="9" spans="2:2" ht="26.4" x14ac:dyDescent="0.3">
      <c r="B9" s="3" t="s">
        <v>55</v>
      </c>
    </row>
    <row r="10" spans="2:2" ht="26.4" x14ac:dyDescent="0.3">
      <c r="B10" s="3" t="s">
        <v>56</v>
      </c>
    </row>
    <row r="11" spans="2:2" x14ac:dyDescent="0.3">
      <c r="B11" s="3"/>
    </row>
    <row r="12" spans="2:2" ht="15.6" x14ac:dyDescent="0.3">
      <c r="B12" s="4" t="s">
        <v>57</v>
      </c>
    </row>
    <row r="13" spans="2:2" ht="39.6" x14ac:dyDescent="0.3">
      <c r="B13" s="3" t="s">
        <v>58</v>
      </c>
    </row>
    <row r="14" spans="2:2" ht="26.4" x14ac:dyDescent="0.3">
      <c r="B14" s="3" t="s">
        <v>59</v>
      </c>
    </row>
    <row r="15" spans="2:2" x14ac:dyDescent="0.3">
      <c r="B15" s="3" t="s">
        <v>60</v>
      </c>
    </row>
  </sheetData>
  <sheetProtection sheet="1" objects="1" formatCells="0" formatColumns="0" formatRows="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36"/>
  <sheetViews>
    <sheetView tabSelected="1" workbookViewId="0">
      <pane xSplit="2" ySplit="3" topLeftCell="C4" activePane="bottomRight" state="frozen"/>
      <selection pane="topRight"/>
      <selection pane="bottomLeft"/>
      <selection pane="bottomRight"/>
    </sheetView>
  </sheetViews>
  <sheetFormatPr defaultRowHeight="14.4" x14ac:dyDescent="0.3"/>
  <cols>
    <col min="1" max="1" width="2" customWidth="1"/>
    <col min="2" max="2" width="64" customWidth="1"/>
    <col min="3" max="6" width="22" customWidth="1"/>
    <col min="7" max="7" width="60" customWidth="1"/>
  </cols>
  <sheetData>
    <row r="1" spans="2:7" ht="21" x14ac:dyDescent="0.4">
      <c r="B1" s="5" t="s">
        <v>0</v>
      </c>
    </row>
    <row r="2" spans="2:7" x14ac:dyDescent="0.3">
      <c r="B2" s="6" t="s">
        <v>1</v>
      </c>
    </row>
    <row r="3" spans="2:7" ht="15.6" x14ac:dyDescent="0.3">
      <c r="B3" s="7" t="s">
        <v>2</v>
      </c>
      <c r="D3" s="6" t="s">
        <v>3</v>
      </c>
    </row>
    <row r="4" spans="2:7" x14ac:dyDescent="0.3">
      <c r="B4" s="8" t="s">
        <v>4</v>
      </c>
      <c r="C4" s="9">
        <v>1</v>
      </c>
      <c r="D4" s="10">
        <f>MIN(4,MAX(1,ROUND(N(C4),0)))</f>
        <v>1</v>
      </c>
      <c r="G4" s="6" t="s">
        <v>5</v>
      </c>
    </row>
    <row r="5" spans="2:7" x14ac:dyDescent="0.3">
      <c r="B5" s="8" t="s">
        <v>6</v>
      </c>
      <c r="C5" s="11" t="s">
        <v>7</v>
      </c>
      <c r="G5" s="6" t="s">
        <v>8</v>
      </c>
    </row>
    <row r="6" spans="2:7" x14ac:dyDescent="0.3">
      <c r="B6" s="8" t="s">
        <v>9</v>
      </c>
      <c r="C6" s="11" t="s">
        <v>7</v>
      </c>
      <c r="G6" s="6" t="s">
        <v>10</v>
      </c>
    </row>
    <row r="7" spans="2:7" x14ac:dyDescent="0.3">
      <c r="B7" s="8" t="s">
        <v>11</v>
      </c>
      <c r="C7" s="11" t="s">
        <v>12</v>
      </c>
      <c r="D7" s="12" t="str">
        <f>IF(C7="Automatic",IFERROR(INDEX(Ctry_Ccy,MATCH(C17,Ctry_Name,0)),"USD"),IF(C7="","USD",C7))</f>
        <v>USD</v>
      </c>
      <c r="G7" s="6" t="s">
        <v>13</v>
      </c>
    </row>
    <row r="8" spans="2:7" x14ac:dyDescent="0.3">
      <c r="B8" s="8" t="s">
        <v>14</v>
      </c>
      <c r="C8" s="13">
        <v>0</v>
      </c>
      <c r="D8" s="14">
        <f>MIN(1,MAX(0,N(C8)))</f>
        <v>0</v>
      </c>
      <c r="G8" s="6" t="s">
        <v>15</v>
      </c>
    </row>
    <row r="9" spans="2:7" x14ac:dyDescent="0.3">
      <c r="B9" s="8" t="s">
        <v>16</v>
      </c>
      <c r="C9" s="13"/>
      <c r="D9" s="14">
        <f>IF(ISNUMBER(C9),C9,IFERROR(INDEX(Ret_Rate,MATCH(D7,Ret_Ccy,0)),0.05))</f>
        <v>0.06</v>
      </c>
      <c r="G9" s="6" t="s">
        <v>17</v>
      </c>
    </row>
    <row r="10" spans="2:7" x14ac:dyDescent="0.3">
      <c r="B10" s="8" t="s">
        <v>18</v>
      </c>
      <c r="C10" s="13">
        <v>0</v>
      </c>
      <c r="D10" s="14">
        <f>N(C10)</f>
        <v>0</v>
      </c>
      <c r="G10" s="6" t="s">
        <v>19</v>
      </c>
    </row>
    <row r="11" spans="2:7" x14ac:dyDescent="0.3">
      <c r="B11" s="8" t="s">
        <v>20</v>
      </c>
      <c r="C11" s="9">
        <v>1</v>
      </c>
      <c r="D11" s="10">
        <f>MIN(D4,MAX(1,ROUND(N(C11),0)))</f>
        <v>1</v>
      </c>
      <c r="G11" s="6" t="s">
        <v>21</v>
      </c>
    </row>
    <row r="13" spans="2:7" ht="15.6" x14ac:dyDescent="0.3">
      <c r="B13" s="7" t="s">
        <v>22</v>
      </c>
      <c r="C13" s="15" t="s">
        <v>23</v>
      </c>
      <c r="D13" s="15" t="s">
        <v>24</v>
      </c>
      <c r="E13" s="15" t="s">
        <v>25</v>
      </c>
      <c r="F13" s="15" t="s">
        <v>26</v>
      </c>
    </row>
    <row r="14" spans="2:7" x14ac:dyDescent="0.3">
      <c r="B14" s="8" t="s">
        <v>27</v>
      </c>
      <c r="C14" s="11"/>
      <c r="D14" s="11"/>
      <c r="E14" s="11"/>
      <c r="F14" s="11"/>
    </row>
    <row r="15" spans="2:7" x14ac:dyDescent="0.3">
      <c r="B15" s="8" t="s">
        <v>28</v>
      </c>
      <c r="C15" s="9"/>
      <c r="D15" s="9"/>
      <c r="E15" s="9"/>
      <c r="F15" s="9"/>
    </row>
    <row r="16" spans="2:7" x14ac:dyDescent="0.3">
      <c r="B16" s="8" t="s">
        <v>29</v>
      </c>
      <c r="C16" s="9"/>
      <c r="D16" s="9"/>
      <c r="E16" s="9"/>
      <c r="F16" s="9"/>
    </row>
    <row r="17" spans="2:6" x14ac:dyDescent="0.3">
      <c r="B17" s="8" t="s">
        <v>30</v>
      </c>
      <c r="C17" s="11"/>
      <c r="D17" s="11"/>
      <c r="E17" s="11"/>
      <c r="F17" s="11"/>
    </row>
    <row r="18" spans="2:6" x14ac:dyDescent="0.3">
      <c r="B18" s="8" t="s">
        <v>31</v>
      </c>
      <c r="C18" s="11"/>
      <c r="D18" s="11"/>
      <c r="E18" s="11"/>
      <c r="F18" s="11"/>
    </row>
    <row r="19" spans="2:6" x14ac:dyDescent="0.3">
      <c r="B19" s="8" t="s">
        <v>32</v>
      </c>
      <c r="C19" s="9">
        <v>18</v>
      </c>
      <c r="D19" s="9">
        <v>18</v>
      </c>
      <c r="E19" s="9">
        <v>18</v>
      </c>
      <c r="F19" s="9">
        <v>18</v>
      </c>
    </row>
    <row r="20" spans="2:6" x14ac:dyDescent="0.3">
      <c r="B20" s="8" t="s">
        <v>33</v>
      </c>
      <c r="C20" s="13"/>
      <c r="D20" s="13"/>
      <c r="E20" s="13"/>
      <c r="F20" s="13"/>
    </row>
    <row r="21" spans="2:6" x14ac:dyDescent="0.3">
      <c r="B21" s="8" t="s">
        <v>34</v>
      </c>
      <c r="C21" s="13"/>
      <c r="D21" s="13"/>
      <c r="E21" s="13"/>
      <c r="F21" s="13"/>
    </row>
    <row r="22" spans="2:6" ht="34.049999999999997" customHeight="1" x14ac:dyDescent="0.3">
      <c r="B22" s="40" t="s">
        <v>35</v>
      </c>
      <c r="C22" s="39"/>
      <c r="D22" s="39"/>
      <c r="E22" s="39"/>
      <c r="F22" s="39"/>
    </row>
    <row r="23" spans="2:6" x14ac:dyDescent="0.3">
      <c r="B23" s="16" t="s">
        <v>36</v>
      </c>
      <c r="C23" s="17"/>
      <c r="D23" s="17"/>
      <c r="E23" s="17"/>
      <c r="F23" s="17"/>
    </row>
    <row r="24" spans="2:6" x14ac:dyDescent="0.3">
      <c r="B24" s="16" t="s">
        <v>37</v>
      </c>
      <c r="C24" s="17"/>
      <c r="D24" s="17"/>
      <c r="E24" s="17"/>
      <c r="F24" s="17"/>
    </row>
    <row r="25" spans="2:6" x14ac:dyDescent="0.3">
      <c r="B25" s="16" t="s">
        <v>38</v>
      </c>
      <c r="C25" s="17"/>
      <c r="D25" s="17"/>
      <c r="E25" s="17"/>
      <c r="F25" s="17"/>
    </row>
    <row r="26" spans="2:6" x14ac:dyDescent="0.3">
      <c r="B26" s="16" t="s">
        <v>39</v>
      </c>
      <c r="C26" s="17"/>
      <c r="D26" s="17"/>
      <c r="E26" s="17"/>
      <c r="F26" s="17"/>
    </row>
    <row r="27" spans="2:6" x14ac:dyDescent="0.3">
      <c r="B27" s="16" t="s">
        <v>40</v>
      </c>
      <c r="C27" s="17"/>
      <c r="D27" s="17"/>
      <c r="E27" s="17"/>
      <c r="F27" s="17"/>
    </row>
    <row r="28" spans="2:6" x14ac:dyDescent="0.3">
      <c r="B28" s="16" t="s">
        <v>41</v>
      </c>
      <c r="C28" s="17"/>
      <c r="D28" s="17"/>
      <c r="E28" s="17"/>
      <c r="F28" s="17"/>
    </row>
    <row r="29" spans="2:6" x14ac:dyDescent="0.3">
      <c r="B29" s="16" t="s">
        <v>42</v>
      </c>
      <c r="C29" s="17"/>
      <c r="D29" s="17"/>
      <c r="E29" s="17"/>
      <c r="F29" s="17"/>
    </row>
    <row r="30" spans="2:6" x14ac:dyDescent="0.3">
      <c r="B30" s="16" t="s">
        <v>43</v>
      </c>
      <c r="C30" s="17"/>
      <c r="D30" s="17"/>
      <c r="E30" s="17"/>
      <c r="F30" s="17"/>
    </row>
    <row r="31" spans="2:6" x14ac:dyDescent="0.3">
      <c r="B31" s="16" t="s">
        <v>44</v>
      </c>
      <c r="C31" s="17"/>
      <c r="D31" s="17"/>
      <c r="E31" s="17"/>
      <c r="F31" s="17"/>
    </row>
    <row r="32" spans="2:6" x14ac:dyDescent="0.3">
      <c r="B32" s="16" t="s">
        <v>45</v>
      </c>
      <c r="C32" s="17"/>
      <c r="D32" s="17"/>
      <c r="E32" s="17"/>
      <c r="F32" s="17"/>
    </row>
    <row r="33" spans="2:7" x14ac:dyDescent="0.3">
      <c r="B33" s="16" t="s">
        <v>46</v>
      </c>
      <c r="C33" s="17"/>
      <c r="D33" s="17"/>
      <c r="E33" s="17"/>
      <c r="F33" s="17"/>
    </row>
    <row r="34" spans="2:7" x14ac:dyDescent="0.3">
      <c r="B34" s="16" t="s">
        <v>47</v>
      </c>
      <c r="C34" s="17"/>
      <c r="D34" s="17"/>
      <c r="E34" s="17"/>
      <c r="F34" s="17"/>
    </row>
    <row r="36" spans="2:7" ht="30" customHeight="1" x14ac:dyDescent="0.3">
      <c r="B36" s="38" t="s">
        <v>48</v>
      </c>
      <c r="C36" s="39"/>
      <c r="D36" s="39"/>
      <c r="E36" s="39"/>
      <c r="F36" s="39"/>
      <c r="G36" s="39"/>
    </row>
  </sheetData>
  <sheetProtection sheet="1" objects="1" formatCells="0" formatColumns="0" formatRows="0"/>
  <mergeCells count="2">
    <mergeCell ref="B36:G36"/>
    <mergeCell ref="B22:F22"/>
  </mergeCells>
  <dataValidations count="9">
    <dataValidation type="list" allowBlank="1" errorTitle="Invalid value" error="Please choose or enter a valid value." sqref="C4 C11" xr:uid="{00000000-0002-0000-0100-000000000000}">
      <formula1>"1,2,3,4"</formula1>
    </dataValidation>
    <dataValidation type="decimal" allowBlank="1" errorTitle="Invalid value" error="Please choose or enter a valid value." sqref="C8" xr:uid="{00000000-0002-0000-0100-000004000000}">
      <formula1>0</formula1>
      <formula2>1</formula2>
    </dataValidation>
    <dataValidation type="decimal" allowBlank="1" errorTitle="Invalid value" error="Please choose or enter a valid value." sqref="C9" xr:uid="{00000000-0002-0000-0100-000005000000}">
      <formula1>-0.5</formula1>
      <formula2>0.3</formula2>
    </dataValidation>
    <dataValidation type="decimal" allowBlank="1" errorTitle="Invalid value" error="Please choose or enter a valid value." sqref="C10" xr:uid="{00000000-0002-0000-0100-000006000000}">
      <formula1>0</formula1>
      <formula2>0.2</formula2>
    </dataValidation>
    <dataValidation type="whole" allowBlank="1" errorTitle="Invalid value" error="Please choose or enter a valid value." sqref="C15:F15" xr:uid="{00000000-0002-0000-0100-000008000000}">
      <formula1>0</formula1>
      <formula2>18</formula2>
    </dataValidation>
    <dataValidation type="whole" allowBlank="1" errorTitle="Invalid value" error="Please choose or enter a valid value." sqref="C16:F16" xr:uid="{00000000-0002-0000-0100-000009000000}">
      <formula1>0</formula1>
      <formula2>13</formula2>
    </dataValidation>
    <dataValidation type="whole" allowBlank="1" errorTitle="Invalid value" error="Please choose or enter a valid value." sqref="C19:F19" xr:uid="{00000000-0002-0000-0100-00000C000000}">
      <formula1>14</formula1>
      <formula2>45</formula2>
    </dataValidation>
    <dataValidation type="decimal" allowBlank="1" errorTitle="Invalid value" error="Please choose or enter a valid value." sqref="C20:F21" xr:uid="{00000000-0002-0000-0100-00000D000000}">
      <formula1>-0.2</formula1>
      <formula2>0.5</formula2>
    </dataValidation>
    <dataValidation type="decimal" operator="greaterThanOrEqual" allowBlank="1" errorTitle="Invalid value" error="Please choose or enter a valid value." sqref="C23:F34" xr:uid="{00000000-0002-0000-0100-00000E000000}">
      <formula1>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errorTitle="Invalid value" error="Please choose or enter a valid value." xr:uid="{00000000-0002-0000-0100-000001000000}">
          <x14:formula1>
            <xm:f>Lists!$C$2:$C$71</xm:f>
          </x14:formula1>
          <xm:sqref>C5:C6</xm:sqref>
        </x14:dataValidation>
        <x14:dataValidation type="list" allowBlank="1" errorTitle="Invalid value" error="Please choose or enter a valid value." xr:uid="{00000000-0002-0000-0100-000003000000}">
          <x14:formula1>
            <xm:f>Lists!$D$2:$D$12</xm:f>
          </x14:formula1>
          <xm:sqref>C7</xm:sqref>
        </x14:dataValidation>
        <x14:dataValidation type="list" allowBlank="1" errorTitle="Invalid value" error="Please choose or enter a valid value." xr:uid="{00000000-0002-0000-0100-00000A000000}">
          <x14:formula1>
            <xm:f>Lists!$A$2:$A$12</xm:f>
          </x14:formula1>
          <xm:sqref>C17:F17</xm:sqref>
        </x14:dataValidation>
        <x14:dataValidation type="list" allowBlank="1" errorTitle="Invalid value" error="Please choose or enter a valid value." xr:uid="{00000000-0002-0000-0100-00000B000000}">
          <x14:formula1>
            <xm:f>Lists!$B$2:$B$23</xm:f>
          </x14:formula1>
          <xm:sqref>C18:F18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Y95"/>
  <sheetViews>
    <sheetView workbookViewId="0">
      <pane ySplit="3" topLeftCell="A4" activePane="bottomLeft" state="frozen"/>
      <selection pane="bottomLeft"/>
    </sheetView>
  </sheetViews>
  <sheetFormatPr defaultRowHeight="14.4" x14ac:dyDescent="0.3"/>
  <cols>
    <col min="1" max="1" width="2" customWidth="1"/>
    <col min="2" max="2" width="44" customWidth="1"/>
    <col min="3" max="3" width="16" customWidth="1"/>
    <col min="4" max="4" width="26" customWidth="1"/>
    <col min="5" max="6" width="18" customWidth="1"/>
    <col min="7" max="7" width="20" customWidth="1"/>
    <col min="8" max="8" width="18" customWidth="1"/>
    <col min="9" max="9" width="50" customWidth="1"/>
    <col min="20" max="25" width="13" hidden="1" customWidth="1"/>
  </cols>
  <sheetData>
    <row r="1" spans="2:8" ht="21" x14ac:dyDescent="0.4">
      <c r="B1" s="5" t="s">
        <v>61</v>
      </c>
    </row>
    <row r="2" spans="2:8" x14ac:dyDescent="0.3">
      <c r="B2" s="6" t="str">
        <f>"All amounts in "&amp;RepCcy&amp;", at future prices. Planning estimates only - not financial advice."</f>
        <v>All amounts in USD, at future prices. Planning estimates only - not financial advice.</v>
      </c>
    </row>
    <row r="4" spans="2:8" ht="17.399999999999999" x14ac:dyDescent="0.3">
      <c r="B4" s="18" t="s">
        <v>62</v>
      </c>
      <c r="C4" s="19">
        <f>'Child 1'!$Z$56+'Child 2'!$Z$56+'Child 3'!$Z$56+'Child 4'!$Z$56</f>
        <v>0</v>
      </c>
      <c r="D4" s="6" t="str">
        <f>IF(C4=0,"Enter your family and children's details on the Inputs sheet to see the figures.","")</f>
        <v>Enter your family and children's details on the Inputs sheet to see the figures.</v>
      </c>
    </row>
    <row r="5" spans="2:8" ht="17.399999999999999" x14ac:dyDescent="0.3">
      <c r="B5" s="18" t="s">
        <v>63</v>
      </c>
      <c r="C5" s="19">
        <f>'Child 1'!$N$65+'Child 2'!$N$65+'Child 3'!$N$65+'Child 4'!$N$65</f>
        <v>0</v>
      </c>
    </row>
    <row r="6" spans="2:8" x14ac:dyDescent="0.3">
      <c r="B6" s="8" t="s">
        <v>64</v>
      </c>
      <c r="C6" s="20">
        <f>'Child 1'!$B$126+'Child 2'!$B$126+'Child 3'!$B$126+'Child 4'!$B$126</f>
        <v>0</v>
      </c>
      <c r="D6" s="6" t="str">
        <f>IF(C6&gt;0.5,"Plus about "&amp;TEXT(C6,"#,##0")&amp;" "&amp;RepCcy&amp;" needed now, because a course starts before any yearly saving can be made.","")</f>
        <v/>
      </c>
    </row>
    <row r="7" spans="2:8" x14ac:dyDescent="0.3">
      <c r="B7" s="16" t="s">
        <v>14</v>
      </c>
      <c r="C7" s="21">
        <f>'Child 1'!$B$59+'Child 2'!$B$59+'Child 3'!$B$59+'Child 4'!$B$59</f>
        <v>0</v>
      </c>
    </row>
    <row r="8" spans="2:8" x14ac:dyDescent="0.3">
      <c r="B8" s="16" t="s">
        <v>65</v>
      </c>
      <c r="C8" s="16">
        <f>MAX('Child 1'!$B$20,'Child 2'!$B$20,'Child 3'!$B$20,'Child 4'!$B$20)</f>
        <v>0</v>
      </c>
    </row>
    <row r="10" spans="2:8" ht="15.6" x14ac:dyDescent="0.3">
      <c r="B10" s="7" t="s">
        <v>66</v>
      </c>
    </row>
    <row r="11" spans="2:8" ht="26.4" x14ac:dyDescent="0.3">
      <c r="B11" s="22" t="s">
        <v>67</v>
      </c>
      <c r="C11" s="22" t="s">
        <v>30</v>
      </c>
      <c r="D11" s="22" t="s">
        <v>31</v>
      </c>
      <c r="E11" s="22" t="s">
        <v>68</v>
      </c>
      <c r="F11" s="22" t="s">
        <v>69</v>
      </c>
      <c r="G11" s="22" t="str">
        <f>"Total ("&amp;RepCcy&amp;")"</f>
        <v>Total (USD)</v>
      </c>
      <c r="H11" s="22" t="s">
        <v>70</v>
      </c>
    </row>
    <row r="12" spans="2:8" x14ac:dyDescent="0.3">
      <c r="B12" s="16" t="str">
        <f>IF(1&lt;=NumChildren,IF(Inputs!$C$14&lt;&gt;"",Inputs!$C$14,"Child 1"),"")</f>
        <v>Child 1</v>
      </c>
      <c r="C12" s="16" t="str">
        <f>IF(1&lt;=NumChildren,'Child 1'!$B$5,"")</f>
        <v/>
      </c>
      <c r="D12" s="16" t="str">
        <f>IF(1&lt;=NumChildren,'Child 1'!$B$6,"")</f>
        <v/>
      </c>
      <c r="E12" s="23" t="str">
        <f>IF(AND(1&lt;=NumChildren,'Child 1'!$B$22=1),'Child 1'!$B$13,"")</f>
        <v/>
      </c>
      <c r="F12" s="16" t="str">
        <f>IF(AND(1&lt;=NumChildren,'Child 1'!$B$22=1),IF('Child 1'!$B$18=0,"This year",'Child 1'!$B$18&amp;" years")&amp;" ("&amp;(PlanYear+'Child 1'!$B$18)&amp;"/"&amp;RIGHT(PlanYear+'Child 1'!$B$18+1,2)&amp;")","")</f>
        <v/>
      </c>
      <c r="G12" s="20">
        <f>IF(1&lt;=NumChildren,'Child 1'!$Z$56,"")</f>
        <v>0</v>
      </c>
      <c r="H12" s="6" t="str">
        <f>IF(1&lt;=NumChildren,'Child 1'!$B$23,"")</f>
        <v>Enter this child's details on the Inputs sheet.</v>
      </c>
    </row>
    <row r="13" spans="2:8" x14ac:dyDescent="0.3">
      <c r="B13" s="16" t="str">
        <f>IF(2&lt;=NumChildren,IF(Inputs!$D$14&lt;&gt;"",Inputs!$D$14,"Child 2"),"")</f>
        <v/>
      </c>
      <c r="C13" s="16" t="str">
        <f>IF(2&lt;=NumChildren,'Child 2'!$B$5,"")</f>
        <v/>
      </c>
      <c r="D13" s="16" t="str">
        <f>IF(2&lt;=NumChildren,'Child 2'!$B$6,"")</f>
        <v/>
      </c>
      <c r="E13" s="23" t="str">
        <f>IF(AND(2&lt;=NumChildren,'Child 2'!$B$22=1),'Child 2'!$B$13,"")</f>
        <v/>
      </c>
      <c r="F13" s="16" t="str">
        <f>IF(AND(2&lt;=NumChildren,'Child 2'!$B$22=1),IF('Child 2'!$B$18=0,"This year",'Child 2'!$B$18&amp;" years")&amp;" ("&amp;(PlanYear+'Child 2'!$B$18)&amp;"/"&amp;RIGHT(PlanYear+'Child 2'!$B$18+1,2)&amp;")","")</f>
        <v/>
      </c>
      <c r="G13" s="20" t="str">
        <f>IF(2&lt;=NumChildren,'Child 2'!$Z$56,"")</f>
        <v/>
      </c>
      <c r="H13" s="6" t="str">
        <f>IF(2&lt;=NumChildren,'Child 2'!$B$23,"")</f>
        <v/>
      </c>
    </row>
    <row r="14" spans="2:8" x14ac:dyDescent="0.3">
      <c r="B14" s="16" t="str">
        <f>IF(3&lt;=NumChildren,IF(Inputs!$E$14&lt;&gt;"",Inputs!$E$14,"Child 3"),"")</f>
        <v/>
      </c>
      <c r="C14" s="16" t="str">
        <f>IF(3&lt;=NumChildren,'Child 3'!$B$5,"")</f>
        <v/>
      </c>
      <c r="D14" s="16" t="str">
        <f>IF(3&lt;=NumChildren,'Child 3'!$B$6,"")</f>
        <v/>
      </c>
      <c r="E14" s="23" t="str">
        <f>IF(AND(3&lt;=NumChildren,'Child 3'!$B$22=1),'Child 3'!$B$13,"")</f>
        <v/>
      </c>
      <c r="F14" s="16" t="str">
        <f>IF(AND(3&lt;=NumChildren,'Child 3'!$B$22=1),IF('Child 3'!$B$18=0,"This year",'Child 3'!$B$18&amp;" years")&amp;" ("&amp;(PlanYear+'Child 3'!$B$18)&amp;"/"&amp;RIGHT(PlanYear+'Child 3'!$B$18+1,2)&amp;")","")</f>
        <v/>
      </c>
      <c r="G14" s="20" t="str">
        <f>IF(3&lt;=NumChildren,'Child 3'!$Z$56,"")</f>
        <v/>
      </c>
      <c r="H14" s="6" t="str">
        <f>IF(3&lt;=NumChildren,'Child 3'!$B$23,"")</f>
        <v/>
      </c>
    </row>
    <row r="15" spans="2:8" x14ac:dyDescent="0.3">
      <c r="B15" s="16" t="str">
        <f>IF(4&lt;=NumChildren,IF(Inputs!$F$14&lt;&gt;"",Inputs!$F$14,"Child 4"),"")</f>
        <v/>
      </c>
      <c r="C15" s="16" t="str">
        <f>IF(4&lt;=NumChildren,'Child 4'!$B$5,"")</f>
        <v/>
      </c>
      <c r="D15" s="16" t="str">
        <f>IF(4&lt;=NumChildren,'Child 4'!$B$6,"")</f>
        <v/>
      </c>
      <c r="E15" s="23" t="str">
        <f>IF(AND(4&lt;=NumChildren,'Child 4'!$B$22=1),'Child 4'!$B$13,"")</f>
        <v/>
      </c>
      <c r="F15" s="16" t="str">
        <f>IF(AND(4&lt;=NumChildren,'Child 4'!$B$22=1),IF('Child 4'!$B$18=0,"This year",'Child 4'!$B$18&amp;" years")&amp;" ("&amp;(PlanYear+'Child 4'!$B$18)&amp;"/"&amp;RIGHT(PlanYear+'Child 4'!$B$18+1,2)&amp;")","")</f>
        <v/>
      </c>
      <c r="G15" s="20" t="str">
        <f>IF(4&lt;=NumChildren,'Child 4'!$Z$56,"")</f>
        <v/>
      </c>
      <c r="H15" s="6" t="str">
        <f>IF(4&lt;=NumChildren,'Child 4'!$B$23,"")</f>
        <v/>
      </c>
    </row>
    <row r="16" spans="2:8" x14ac:dyDescent="0.3">
      <c r="B16" s="8" t="s">
        <v>71</v>
      </c>
      <c r="G16" s="20">
        <f>C4</f>
        <v>0</v>
      </c>
    </row>
    <row r="18" spans="2:25" ht="15.6" x14ac:dyDescent="0.3">
      <c r="B18" s="7" t="s">
        <v>72</v>
      </c>
    </row>
    <row r="19" spans="2:25" x14ac:dyDescent="0.3">
      <c r="B19" s="22" t="s">
        <v>73</v>
      </c>
      <c r="C19" s="22" t="str">
        <f>"Amount ("&amp;RepCcy&amp;")"</f>
        <v>Amount (USD)</v>
      </c>
      <c r="D19" s="22" t="s">
        <v>74</v>
      </c>
    </row>
    <row r="20" spans="2:25" x14ac:dyDescent="0.3">
      <c r="B20" s="16" t="s">
        <v>36</v>
      </c>
      <c r="C20" s="21">
        <f>'Child 1'!$P$56+'Child 2'!$P$56+'Child 3'!$P$56+'Child 4'!$P$56</f>
        <v>0</v>
      </c>
      <c r="D20" s="24">
        <f t="shared" ref="D20:D27" si="0">IF($C$4&gt;0,C20/$C$4,0)</f>
        <v>0</v>
      </c>
    </row>
    <row r="21" spans="2:25" x14ac:dyDescent="0.3">
      <c r="B21" s="16" t="s">
        <v>37</v>
      </c>
      <c r="C21" s="21">
        <f>'Child 1'!$Q$56+'Child 2'!$Q$56+'Child 3'!$Q$56+'Child 4'!$Q$56</f>
        <v>0</v>
      </c>
      <c r="D21" s="24">
        <f t="shared" si="0"/>
        <v>0</v>
      </c>
    </row>
    <row r="22" spans="2:25" x14ac:dyDescent="0.3">
      <c r="B22" s="16" t="s">
        <v>38</v>
      </c>
      <c r="C22" s="21">
        <f>'Child 1'!$R$56+'Child 2'!$R$56+'Child 3'!$R$56+'Child 4'!$R$56</f>
        <v>0</v>
      </c>
      <c r="D22" s="24">
        <f t="shared" si="0"/>
        <v>0</v>
      </c>
    </row>
    <row r="23" spans="2:25" x14ac:dyDescent="0.3">
      <c r="B23" s="16" t="s">
        <v>39</v>
      </c>
      <c r="C23" s="21">
        <f>'Child 1'!$S$56+'Child 2'!$S$56+'Child 3'!$S$56+'Child 4'!$S$56</f>
        <v>0</v>
      </c>
      <c r="D23" s="24">
        <f t="shared" si="0"/>
        <v>0</v>
      </c>
    </row>
    <row r="24" spans="2:25" x14ac:dyDescent="0.3">
      <c r="B24" s="16" t="s">
        <v>40</v>
      </c>
      <c r="C24" s="21">
        <f>'Child 1'!$T$56+'Child 2'!$T$56+'Child 3'!$T$56+'Child 4'!$T$56</f>
        <v>0</v>
      </c>
      <c r="D24" s="24">
        <f t="shared" si="0"/>
        <v>0</v>
      </c>
    </row>
    <row r="25" spans="2:25" x14ac:dyDescent="0.3">
      <c r="B25" s="16" t="s">
        <v>41</v>
      </c>
      <c r="C25" s="21">
        <f>'Child 1'!$U$56+'Child 2'!$U$56+'Child 3'!$U$56+'Child 4'!$U$56</f>
        <v>0</v>
      </c>
      <c r="D25" s="24">
        <f t="shared" si="0"/>
        <v>0</v>
      </c>
    </row>
    <row r="26" spans="2:25" x14ac:dyDescent="0.3">
      <c r="B26" s="16" t="s">
        <v>42</v>
      </c>
      <c r="C26" s="21">
        <f>'Child 1'!$V$56+'Child 1'!$W$56+'Child 2'!$V$56+'Child 2'!$W$56+'Child 3'!$V$56+'Child 3'!$W$56+'Child 4'!$V$56+'Child 4'!$W$56</f>
        <v>0</v>
      </c>
      <c r="D26" s="24">
        <f t="shared" si="0"/>
        <v>0</v>
      </c>
    </row>
    <row r="27" spans="2:25" x14ac:dyDescent="0.3">
      <c r="B27" s="16" t="s">
        <v>75</v>
      </c>
      <c r="C27" s="21">
        <f>'Child 1'!$X$56+'Child 1'!$Y$56+'Child 2'!$X$56+'Child 2'!$Y$56+'Child 3'!$X$56+'Child 3'!$Y$56+'Child 4'!$X$56+'Child 4'!$Y$56</f>
        <v>0</v>
      </c>
      <c r="D27" s="24">
        <f t="shared" si="0"/>
        <v>0</v>
      </c>
    </row>
    <row r="28" spans="2:25" x14ac:dyDescent="0.3">
      <c r="B28" s="8" t="s">
        <v>76</v>
      </c>
      <c r="C28" s="20">
        <f>SUM(C20:C27)</f>
        <v>0</v>
      </c>
    </row>
    <row r="30" spans="2:25" ht="15.6" x14ac:dyDescent="0.3">
      <c r="B30" s="7" t="s">
        <v>77</v>
      </c>
    </row>
    <row r="31" spans="2:25" ht="26.4" x14ac:dyDescent="0.3">
      <c r="B31" s="22" t="s">
        <v>78</v>
      </c>
      <c r="C31" s="22" t="s">
        <v>79</v>
      </c>
      <c r="D31" s="22" t="s">
        <v>80</v>
      </c>
      <c r="E31" s="22" t="s">
        <v>81</v>
      </c>
      <c r="F31" s="22" t="s">
        <v>82</v>
      </c>
      <c r="G31" s="22" t="s">
        <v>83</v>
      </c>
      <c r="H31" s="22" t="s">
        <v>84</v>
      </c>
      <c r="T31" s="16" t="s">
        <v>78</v>
      </c>
      <c r="U31" s="16" t="str">
        <f>IF(Inputs!$C$14&lt;&gt;"",Inputs!$C$14,"Child 1")</f>
        <v>Child 1</v>
      </c>
      <c r="V31" s="16" t="str">
        <f>IF(Inputs!$D$14&lt;&gt;"",Inputs!$D$14,"Child 2")</f>
        <v>Child 2</v>
      </c>
      <c r="W31" s="16" t="str">
        <f>IF(Inputs!$E$14&lt;&gt;"",Inputs!$E$14,"Child 3")</f>
        <v>Child 3</v>
      </c>
      <c r="X31" s="16" t="str">
        <f>IF(Inputs!$F$14&lt;&gt;"",Inputs!$F$14,"Child 4")</f>
        <v>Child 4</v>
      </c>
      <c r="Y31" s="16" t="s">
        <v>85</v>
      </c>
    </row>
    <row r="32" spans="2:25" x14ac:dyDescent="0.3">
      <c r="B32" s="16" t="str">
        <f>IF(1&lt;=$C$8,(PlanYear+0)&amp;"/"&amp;RIGHT(PlanYear+1,2),"")</f>
        <v/>
      </c>
      <c r="C32" s="16" t="str">
        <f>IF(1&lt;=$C$8,MID(IF('Child 1'!$Q$65=1,", "&amp;IF(Inputs!$C$14&lt;&gt;"",Inputs!$C$14,"Child 1"),"")&amp;IF('Child 2'!$Q$65=1,", "&amp;IF(Inputs!$D$14&lt;&gt;"",Inputs!$D$14,"Child 2"),"")&amp;IF('Child 3'!$Q$65=1,", "&amp;IF(Inputs!$E$14&lt;&gt;"",Inputs!$E$14,"Child 3"),"")&amp;IF('Child 4'!$Q$65=1,", "&amp;IF(Inputs!$F$14&lt;&gt;"",Inputs!$F$14,"Child 4"),""),3,200),"")</f>
        <v/>
      </c>
      <c r="D32" s="21" t="str">
        <f>IF(1&lt;=$C$8,ROUND('Child 1'!$M$65+'Child 2'!$M$65+'Child 3'!$M$65+'Child 4'!$M$65,2),"")</f>
        <v/>
      </c>
      <c r="E32" s="21" t="str">
        <f>IF(1&lt;=$C$8,ROUND('Child 1'!$N$65+'Child 2'!$N$65+'Child 3'!$N$65+'Child 4'!$N$65,2),"")</f>
        <v/>
      </c>
      <c r="F32" s="21" t="str">
        <f>IF(1&lt;=$C$8,ROUND('Child 1'!$O$65+'Child 2'!$O$65+'Child 3'!$O$65+'Child 4'!$O$65,2),"")</f>
        <v/>
      </c>
      <c r="G32" s="21" t="str">
        <f>IF(1&lt;=$C$8,ROUND('Child 1'!$D$65+'Child 2'!$D$65+'Child 3'!$D$65+'Child 4'!$D$65,2),"")</f>
        <v/>
      </c>
      <c r="H32" s="21" t="str">
        <f>IF(1&lt;=$C$8,ROUND('Child 1'!$P$65+'Child 2'!$P$65+'Child 3'!$P$65+'Child 4'!$P$65,2),"")</f>
        <v/>
      </c>
      <c r="T32" s="16" t="str">
        <f>IF(1&lt;=$C$8,B32,"")</f>
        <v/>
      </c>
      <c r="U32" s="16" t="e">
        <f>IF(1&lt;=$C$8,'Child 1'!$D$65,NA())</f>
        <v>#N/A</v>
      </c>
      <c r="V32" s="16" t="e">
        <f>IF(1&lt;=$C$8,'Child 2'!$D$65,NA())</f>
        <v>#N/A</v>
      </c>
      <c r="W32" s="16" t="e">
        <f>IF(1&lt;=$C$8,'Child 3'!$D$65,NA())</f>
        <v>#N/A</v>
      </c>
      <c r="X32" s="16" t="e">
        <f>IF(1&lt;=$C$8,'Child 4'!$D$65,NA())</f>
        <v>#N/A</v>
      </c>
      <c r="Y32" s="16" t="e">
        <f>IF(1&lt;=$C$8,E32,NA())</f>
        <v>#N/A</v>
      </c>
    </row>
    <row r="33" spans="2:25" x14ac:dyDescent="0.3">
      <c r="B33" s="16" t="str">
        <f>IF(2&lt;=$C$8,(PlanYear+1)&amp;"/"&amp;RIGHT(PlanYear+2,2),"")</f>
        <v/>
      </c>
      <c r="C33" s="16" t="str">
        <f>IF(2&lt;=$C$8,MID(IF('Child 1'!$Q$66=1,", "&amp;IF(Inputs!$C$14&lt;&gt;"",Inputs!$C$14,"Child 1"),"")&amp;IF('Child 2'!$Q$66=1,", "&amp;IF(Inputs!$D$14&lt;&gt;"",Inputs!$D$14,"Child 2"),"")&amp;IF('Child 3'!$Q$66=1,", "&amp;IF(Inputs!$E$14&lt;&gt;"",Inputs!$E$14,"Child 3"),"")&amp;IF('Child 4'!$Q$66=1,", "&amp;IF(Inputs!$F$14&lt;&gt;"",Inputs!$F$14,"Child 4"),""),3,200),"")</f>
        <v/>
      </c>
      <c r="D33" s="21" t="str">
        <f>IF(2&lt;=$C$8,ROUND('Child 1'!$M$66+'Child 2'!$M$66+'Child 3'!$M$66+'Child 4'!$M$66,2),"")</f>
        <v/>
      </c>
      <c r="E33" s="21" t="str">
        <f>IF(2&lt;=$C$8,ROUND('Child 1'!$N$66+'Child 2'!$N$66+'Child 3'!$N$66+'Child 4'!$N$66,2),"")</f>
        <v/>
      </c>
      <c r="F33" s="21" t="str">
        <f>IF(2&lt;=$C$8,ROUND('Child 1'!$O$66+'Child 2'!$O$66+'Child 3'!$O$66+'Child 4'!$O$66,2),"")</f>
        <v/>
      </c>
      <c r="G33" s="21" t="str">
        <f>IF(2&lt;=$C$8,ROUND('Child 1'!$D$66+'Child 2'!$D$66+'Child 3'!$D$66+'Child 4'!$D$66,2),"")</f>
        <v/>
      </c>
      <c r="H33" s="21" t="str">
        <f>IF(2&lt;=$C$8,ROUND('Child 1'!$P$66+'Child 2'!$P$66+'Child 3'!$P$66+'Child 4'!$P$66,2),"")</f>
        <v/>
      </c>
      <c r="T33" s="16" t="str">
        <f>IF(2&lt;=$C$8,B33,"")</f>
        <v/>
      </c>
      <c r="U33" s="16" t="e">
        <f>IF(2&lt;=$C$8,'Child 1'!$D$66,NA())</f>
        <v>#N/A</v>
      </c>
      <c r="V33" s="16" t="e">
        <f>IF(2&lt;=$C$8,'Child 2'!$D$66,NA())</f>
        <v>#N/A</v>
      </c>
      <c r="W33" s="16" t="e">
        <f>IF(2&lt;=$C$8,'Child 3'!$D$66,NA())</f>
        <v>#N/A</v>
      </c>
      <c r="X33" s="16" t="e">
        <f>IF(2&lt;=$C$8,'Child 4'!$D$66,NA())</f>
        <v>#N/A</v>
      </c>
      <c r="Y33" s="16" t="e">
        <f>IF(2&lt;=$C$8,E33,NA())</f>
        <v>#N/A</v>
      </c>
    </row>
    <row r="34" spans="2:25" x14ac:dyDescent="0.3">
      <c r="B34" s="16" t="str">
        <f>IF(3&lt;=$C$8,(PlanYear+2)&amp;"/"&amp;RIGHT(PlanYear+3,2),"")</f>
        <v/>
      </c>
      <c r="C34" s="16" t="str">
        <f>IF(3&lt;=$C$8,MID(IF('Child 1'!$Q$67=1,", "&amp;IF(Inputs!$C$14&lt;&gt;"",Inputs!$C$14,"Child 1"),"")&amp;IF('Child 2'!$Q$67=1,", "&amp;IF(Inputs!$D$14&lt;&gt;"",Inputs!$D$14,"Child 2"),"")&amp;IF('Child 3'!$Q$67=1,", "&amp;IF(Inputs!$E$14&lt;&gt;"",Inputs!$E$14,"Child 3"),"")&amp;IF('Child 4'!$Q$67=1,", "&amp;IF(Inputs!$F$14&lt;&gt;"",Inputs!$F$14,"Child 4"),""),3,200),"")</f>
        <v/>
      </c>
      <c r="D34" s="21" t="str">
        <f>IF(3&lt;=$C$8,ROUND('Child 1'!$M$67+'Child 2'!$M$67+'Child 3'!$M$67+'Child 4'!$M$67,2),"")</f>
        <v/>
      </c>
      <c r="E34" s="21" t="str">
        <f>IF(3&lt;=$C$8,ROUND('Child 1'!$N$67+'Child 2'!$N$67+'Child 3'!$N$67+'Child 4'!$N$67,2),"")</f>
        <v/>
      </c>
      <c r="F34" s="21" t="str">
        <f>IF(3&lt;=$C$8,ROUND('Child 1'!$O$67+'Child 2'!$O$67+'Child 3'!$O$67+'Child 4'!$O$67,2),"")</f>
        <v/>
      </c>
      <c r="G34" s="21" t="str">
        <f>IF(3&lt;=$C$8,ROUND('Child 1'!$D$67+'Child 2'!$D$67+'Child 3'!$D$67+'Child 4'!$D$67,2),"")</f>
        <v/>
      </c>
      <c r="H34" s="21" t="str">
        <f>IF(3&lt;=$C$8,ROUND('Child 1'!$P$67+'Child 2'!$P$67+'Child 3'!$P$67+'Child 4'!$P$67,2),"")</f>
        <v/>
      </c>
      <c r="T34" s="16" t="str">
        <f>IF(3&lt;=$C$8,B34,"")</f>
        <v/>
      </c>
      <c r="U34" s="16" t="e">
        <f>IF(3&lt;=$C$8,'Child 1'!$D$67,NA())</f>
        <v>#N/A</v>
      </c>
      <c r="V34" s="16" t="e">
        <f>IF(3&lt;=$C$8,'Child 2'!$D$67,NA())</f>
        <v>#N/A</v>
      </c>
      <c r="W34" s="16" t="e">
        <f>IF(3&lt;=$C$8,'Child 3'!$D$67,NA())</f>
        <v>#N/A</v>
      </c>
      <c r="X34" s="16" t="e">
        <f>IF(3&lt;=$C$8,'Child 4'!$D$67,NA())</f>
        <v>#N/A</v>
      </c>
      <c r="Y34" s="16" t="e">
        <f>IF(3&lt;=$C$8,E34,NA())</f>
        <v>#N/A</v>
      </c>
    </row>
    <row r="35" spans="2:25" x14ac:dyDescent="0.3">
      <c r="B35" s="16" t="str">
        <f>IF(4&lt;=$C$8,(PlanYear+3)&amp;"/"&amp;RIGHT(PlanYear+4,2),"")</f>
        <v/>
      </c>
      <c r="C35" s="16" t="str">
        <f>IF(4&lt;=$C$8,MID(IF('Child 1'!$Q$68=1,", "&amp;IF(Inputs!$C$14&lt;&gt;"",Inputs!$C$14,"Child 1"),"")&amp;IF('Child 2'!$Q$68=1,", "&amp;IF(Inputs!$D$14&lt;&gt;"",Inputs!$D$14,"Child 2"),"")&amp;IF('Child 3'!$Q$68=1,", "&amp;IF(Inputs!$E$14&lt;&gt;"",Inputs!$E$14,"Child 3"),"")&amp;IF('Child 4'!$Q$68=1,", "&amp;IF(Inputs!$F$14&lt;&gt;"",Inputs!$F$14,"Child 4"),""),3,200),"")</f>
        <v/>
      </c>
      <c r="D35" s="21" t="str">
        <f>IF(4&lt;=$C$8,ROUND('Child 1'!$M$68+'Child 2'!$M$68+'Child 3'!$M$68+'Child 4'!$M$68,2),"")</f>
        <v/>
      </c>
      <c r="E35" s="21" t="str">
        <f>IF(4&lt;=$C$8,ROUND('Child 1'!$N$68+'Child 2'!$N$68+'Child 3'!$N$68+'Child 4'!$N$68,2),"")</f>
        <v/>
      </c>
      <c r="F35" s="21" t="str">
        <f>IF(4&lt;=$C$8,ROUND('Child 1'!$O$68+'Child 2'!$O$68+'Child 3'!$O$68+'Child 4'!$O$68,2),"")</f>
        <v/>
      </c>
      <c r="G35" s="21" t="str">
        <f>IF(4&lt;=$C$8,ROUND('Child 1'!$D$68+'Child 2'!$D$68+'Child 3'!$D$68+'Child 4'!$D$68,2),"")</f>
        <v/>
      </c>
      <c r="H35" s="21" t="str">
        <f>IF(4&lt;=$C$8,ROUND('Child 1'!$P$68+'Child 2'!$P$68+'Child 3'!$P$68+'Child 4'!$P$68,2),"")</f>
        <v/>
      </c>
      <c r="T35" s="16" t="str">
        <f>IF(4&lt;=$C$8,B35,"")</f>
        <v/>
      </c>
      <c r="U35" s="16" t="e">
        <f>IF(4&lt;=$C$8,'Child 1'!$D$68,NA())</f>
        <v>#N/A</v>
      </c>
      <c r="V35" s="16" t="e">
        <f>IF(4&lt;=$C$8,'Child 2'!$D$68,NA())</f>
        <v>#N/A</v>
      </c>
      <c r="W35" s="16" t="e">
        <f>IF(4&lt;=$C$8,'Child 3'!$D$68,NA())</f>
        <v>#N/A</v>
      </c>
      <c r="X35" s="16" t="e">
        <f>IF(4&lt;=$C$8,'Child 4'!$D$68,NA())</f>
        <v>#N/A</v>
      </c>
      <c r="Y35" s="16" t="e">
        <f>IF(4&lt;=$C$8,E35,NA())</f>
        <v>#N/A</v>
      </c>
    </row>
    <row r="36" spans="2:25" x14ac:dyDescent="0.3">
      <c r="B36" s="16" t="str">
        <f>IF(5&lt;=$C$8,(PlanYear+4)&amp;"/"&amp;RIGHT(PlanYear+5,2),"")</f>
        <v/>
      </c>
      <c r="C36" s="16" t="str">
        <f>IF(5&lt;=$C$8,MID(IF('Child 1'!$Q$69=1,", "&amp;IF(Inputs!$C$14&lt;&gt;"",Inputs!$C$14,"Child 1"),"")&amp;IF('Child 2'!$Q$69=1,", "&amp;IF(Inputs!$D$14&lt;&gt;"",Inputs!$D$14,"Child 2"),"")&amp;IF('Child 3'!$Q$69=1,", "&amp;IF(Inputs!$E$14&lt;&gt;"",Inputs!$E$14,"Child 3"),"")&amp;IF('Child 4'!$Q$69=1,", "&amp;IF(Inputs!$F$14&lt;&gt;"",Inputs!$F$14,"Child 4"),""),3,200),"")</f>
        <v/>
      </c>
      <c r="D36" s="21" t="str">
        <f>IF(5&lt;=$C$8,ROUND('Child 1'!$M$69+'Child 2'!$M$69+'Child 3'!$M$69+'Child 4'!$M$69,2),"")</f>
        <v/>
      </c>
      <c r="E36" s="21" t="str">
        <f>IF(5&lt;=$C$8,ROUND('Child 1'!$N$69+'Child 2'!$N$69+'Child 3'!$N$69+'Child 4'!$N$69,2),"")</f>
        <v/>
      </c>
      <c r="F36" s="21" t="str">
        <f>IF(5&lt;=$C$8,ROUND('Child 1'!$O$69+'Child 2'!$O$69+'Child 3'!$O$69+'Child 4'!$O$69,2),"")</f>
        <v/>
      </c>
      <c r="G36" s="21" t="str">
        <f>IF(5&lt;=$C$8,ROUND('Child 1'!$D$69+'Child 2'!$D$69+'Child 3'!$D$69+'Child 4'!$D$69,2),"")</f>
        <v/>
      </c>
      <c r="H36" s="21" t="str">
        <f>IF(5&lt;=$C$8,ROUND('Child 1'!$P$69+'Child 2'!$P$69+'Child 3'!$P$69+'Child 4'!$P$69,2),"")</f>
        <v/>
      </c>
      <c r="T36" s="16" t="str">
        <f>IF(5&lt;=$C$8,B36,"")</f>
        <v/>
      </c>
      <c r="U36" s="16" t="e">
        <f>IF(5&lt;=$C$8,'Child 1'!$D$69,NA())</f>
        <v>#N/A</v>
      </c>
      <c r="V36" s="16" t="e">
        <f>IF(5&lt;=$C$8,'Child 2'!$D$69,NA())</f>
        <v>#N/A</v>
      </c>
      <c r="W36" s="16" t="e">
        <f>IF(5&lt;=$C$8,'Child 3'!$D$69,NA())</f>
        <v>#N/A</v>
      </c>
      <c r="X36" s="16" t="e">
        <f>IF(5&lt;=$C$8,'Child 4'!$D$69,NA())</f>
        <v>#N/A</v>
      </c>
      <c r="Y36" s="16" t="e">
        <f>IF(5&lt;=$C$8,E36,NA())</f>
        <v>#N/A</v>
      </c>
    </row>
    <row r="37" spans="2:25" x14ac:dyDescent="0.3">
      <c r="B37" s="16" t="str">
        <f>IF(6&lt;=$C$8,(PlanYear+5)&amp;"/"&amp;RIGHT(PlanYear+6,2),"")</f>
        <v/>
      </c>
      <c r="C37" s="16" t="str">
        <f>IF(6&lt;=$C$8,MID(IF('Child 1'!$Q$70=1,", "&amp;IF(Inputs!$C$14&lt;&gt;"",Inputs!$C$14,"Child 1"),"")&amp;IF('Child 2'!$Q$70=1,", "&amp;IF(Inputs!$D$14&lt;&gt;"",Inputs!$D$14,"Child 2"),"")&amp;IF('Child 3'!$Q$70=1,", "&amp;IF(Inputs!$E$14&lt;&gt;"",Inputs!$E$14,"Child 3"),"")&amp;IF('Child 4'!$Q$70=1,", "&amp;IF(Inputs!$F$14&lt;&gt;"",Inputs!$F$14,"Child 4"),""),3,200),"")</f>
        <v/>
      </c>
      <c r="D37" s="21" t="str">
        <f>IF(6&lt;=$C$8,ROUND('Child 1'!$M$70+'Child 2'!$M$70+'Child 3'!$M$70+'Child 4'!$M$70,2),"")</f>
        <v/>
      </c>
      <c r="E37" s="21" t="str">
        <f>IF(6&lt;=$C$8,ROUND('Child 1'!$N$70+'Child 2'!$N$70+'Child 3'!$N$70+'Child 4'!$N$70,2),"")</f>
        <v/>
      </c>
      <c r="F37" s="21" t="str">
        <f>IF(6&lt;=$C$8,ROUND('Child 1'!$O$70+'Child 2'!$O$70+'Child 3'!$O$70+'Child 4'!$O$70,2),"")</f>
        <v/>
      </c>
      <c r="G37" s="21" t="str">
        <f>IF(6&lt;=$C$8,ROUND('Child 1'!$D$70+'Child 2'!$D$70+'Child 3'!$D$70+'Child 4'!$D$70,2),"")</f>
        <v/>
      </c>
      <c r="H37" s="21" t="str">
        <f>IF(6&lt;=$C$8,ROUND('Child 1'!$P$70+'Child 2'!$P$70+'Child 3'!$P$70+'Child 4'!$P$70,2),"")</f>
        <v/>
      </c>
      <c r="T37" s="16" t="str">
        <f>IF(6&lt;=$C$8,B37,"")</f>
        <v/>
      </c>
      <c r="U37" s="16" t="e">
        <f>IF(6&lt;=$C$8,'Child 1'!$D$70,NA())</f>
        <v>#N/A</v>
      </c>
      <c r="V37" s="16" t="e">
        <f>IF(6&lt;=$C$8,'Child 2'!$D$70,NA())</f>
        <v>#N/A</v>
      </c>
      <c r="W37" s="16" t="e">
        <f>IF(6&lt;=$C$8,'Child 3'!$D$70,NA())</f>
        <v>#N/A</v>
      </c>
      <c r="X37" s="16" t="e">
        <f>IF(6&lt;=$C$8,'Child 4'!$D$70,NA())</f>
        <v>#N/A</v>
      </c>
      <c r="Y37" s="16" t="e">
        <f>IF(6&lt;=$C$8,E37,NA())</f>
        <v>#N/A</v>
      </c>
    </row>
    <row r="38" spans="2:25" x14ac:dyDescent="0.3">
      <c r="B38" s="16" t="str">
        <f>IF(7&lt;=$C$8,(PlanYear+6)&amp;"/"&amp;RIGHT(PlanYear+7,2),"")</f>
        <v/>
      </c>
      <c r="C38" s="16" t="str">
        <f>IF(7&lt;=$C$8,MID(IF('Child 1'!$Q$71=1,", "&amp;IF(Inputs!$C$14&lt;&gt;"",Inputs!$C$14,"Child 1"),"")&amp;IF('Child 2'!$Q$71=1,", "&amp;IF(Inputs!$D$14&lt;&gt;"",Inputs!$D$14,"Child 2"),"")&amp;IF('Child 3'!$Q$71=1,", "&amp;IF(Inputs!$E$14&lt;&gt;"",Inputs!$E$14,"Child 3"),"")&amp;IF('Child 4'!$Q$71=1,", "&amp;IF(Inputs!$F$14&lt;&gt;"",Inputs!$F$14,"Child 4"),""),3,200),"")</f>
        <v/>
      </c>
      <c r="D38" s="21" t="str">
        <f>IF(7&lt;=$C$8,ROUND('Child 1'!$M$71+'Child 2'!$M$71+'Child 3'!$M$71+'Child 4'!$M$71,2),"")</f>
        <v/>
      </c>
      <c r="E38" s="21" t="str">
        <f>IF(7&lt;=$C$8,ROUND('Child 1'!$N$71+'Child 2'!$N$71+'Child 3'!$N$71+'Child 4'!$N$71,2),"")</f>
        <v/>
      </c>
      <c r="F38" s="21" t="str">
        <f>IF(7&lt;=$C$8,ROUND('Child 1'!$O$71+'Child 2'!$O$71+'Child 3'!$O$71+'Child 4'!$O$71,2),"")</f>
        <v/>
      </c>
      <c r="G38" s="21" t="str">
        <f>IF(7&lt;=$C$8,ROUND('Child 1'!$D$71+'Child 2'!$D$71+'Child 3'!$D$71+'Child 4'!$D$71,2),"")</f>
        <v/>
      </c>
      <c r="H38" s="21" t="str">
        <f>IF(7&lt;=$C$8,ROUND('Child 1'!$P$71+'Child 2'!$P$71+'Child 3'!$P$71+'Child 4'!$P$71,2),"")</f>
        <v/>
      </c>
      <c r="T38" s="16" t="str">
        <f>IF(7&lt;=$C$8,B38,"")</f>
        <v/>
      </c>
      <c r="U38" s="16" t="e">
        <f>IF(7&lt;=$C$8,'Child 1'!$D$71,NA())</f>
        <v>#N/A</v>
      </c>
      <c r="V38" s="16" t="e">
        <f>IF(7&lt;=$C$8,'Child 2'!$D$71,NA())</f>
        <v>#N/A</v>
      </c>
      <c r="W38" s="16" t="e">
        <f>IF(7&lt;=$C$8,'Child 3'!$D$71,NA())</f>
        <v>#N/A</v>
      </c>
      <c r="X38" s="16" t="e">
        <f>IF(7&lt;=$C$8,'Child 4'!$D$71,NA())</f>
        <v>#N/A</v>
      </c>
      <c r="Y38" s="16" t="e">
        <f>IF(7&lt;=$C$8,E38,NA())</f>
        <v>#N/A</v>
      </c>
    </row>
    <row r="39" spans="2:25" x14ac:dyDescent="0.3">
      <c r="B39" s="16" t="str">
        <f>IF(8&lt;=$C$8,(PlanYear+7)&amp;"/"&amp;RIGHT(PlanYear+8,2),"")</f>
        <v/>
      </c>
      <c r="C39" s="16" t="str">
        <f>IF(8&lt;=$C$8,MID(IF('Child 1'!$Q$72=1,", "&amp;IF(Inputs!$C$14&lt;&gt;"",Inputs!$C$14,"Child 1"),"")&amp;IF('Child 2'!$Q$72=1,", "&amp;IF(Inputs!$D$14&lt;&gt;"",Inputs!$D$14,"Child 2"),"")&amp;IF('Child 3'!$Q$72=1,", "&amp;IF(Inputs!$E$14&lt;&gt;"",Inputs!$E$14,"Child 3"),"")&amp;IF('Child 4'!$Q$72=1,", "&amp;IF(Inputs!$F$14&lt;&gt;"",Inputs!$F$14,"Child 4"),""),3,200),"")</f>
        <v/>
      </c>
      <c r="D39" s="21" t="str">
        <f>IF(8&lt;=$C$8,ROUND('Child 1'!$M$72+'Child 2'!$M$72+'Child 3'!$M$72+'Child 4'!$M$72,2),"")</f>
        <v/>
      </c>
      <c r="E39" s="21" t="str">
        <f>IF(8&lt;=$C$8,ROUND('Child 1'!$N$72+'Child 2'!$N$72+'Child 3'!$N$72+'Child 4'!$N$72,2),"")</f>
        <v/>
      </c>
      <c r="F39" s="21" t="str">
        <f>IF(8&lt;=$C$8,ROUND('Child 1'!$O$72+'Child 2'!$O$72+'Child 3'!$O$72+'Child 4'!$O$72,2),"")</f>
        <v/>
      </c>
      <c r="G39" s="21" t="str">
        <f>IF(8&lt;=$C$8,ROUND('Child 1'!$D$72+'Child 2'!$D$72+'Child 3'!$D$72+'Child 4'!$D$72,2),"")</f>
        <v/>
      </c>
      <c r="H39" s="21" t="str">
        <f>IF(8&lt;=$C$8,ROUND('Child 1'!$P$72+'Child 2'!$P$72+'Child 3'!$P$72+'Child 4'!$P$72,2),"")</f>
        <v/>
      </c>
      <c r="T39" s="16" t="str">
        <f>IF(8&lt;=$C$8,B39,"")</f>
        <v/>
      </c>
      <c r="U39" s="16" t="e">
        <f>IF(8&lt;=$C$8,'Child 1'!$D$72,NA())</f>
        <v>#N/A</v>
      </c>
      <c r="V39" s="16" t="e">
        <f>IF(8&lt;=$C$8,'Child 2'!$D$72,NA())</f>
        <v>#N/A</v>
      </c>
      <c r="W39" s="16" t="e">
        <f>IF(8&lt;=$C$8,'Child 3'!$D$72,NA())</f>
        <v>#N/A</v>
      </c>
      <c r="X39" s="16" t="e">
        <f>IF(8&lt;=$C$8,'Child 4'!$D$72,NA())</f>
        <v>#N/A</v>
      </c>
      <c r="Y39" s="16" t="e">
        <f>IF(8&lt;=$C$8,E39,NA())</f>
        <v>#N/A</v>
      </c>
    </row>
    <row r="40" spans="2:25" x14ac:dyDescent="0.3">
      <c r="B40" s="16" t="str">
        <f>IF(9&lt;=$C$8,(PlanYear+8)&amp;"/"&amp;RIGHT(PlanYear+9,2),"")</f>
        <v/>
      </c>
      <c r="C40" s="16" t="str">
        <f>IF(9&lt;=$C$8,MID(IF('Child 1'!$Q$73=1,", "&amp;IF(Inputs!$C$14&lt;&gt;"",Inputs!$C$14,"Child 1"),"")&amp;IF('Child 2'!$Q$73=1,", "&amp;IF(Inputs!$D$14&lt;&gt;"",Inputs!$D$14,"Child 2"),"")&amp;IF('Child 3'!$Q$73=1,", "&amp;IF(Inputs!$E$14&lt;&gt;"",Inputs!$E$14,"Child 3"),"")&amp;IF('Child 4'!$Q$73=1,", "&amp;IF(Inputs!$F$14&lt;&gt;"",Inputs!$F$14,"Child 4"),""),3,200),"")</f>
        <v/>
      </c>
      <c r="D40" s="21" t="str">
        <f>IF(9&lt;=$C$8,ROUND('Child 1'!$M$73+'Child 2'!$M$73+'Child 3'!$M$73+'Child 4'!$M$73,2),"")</f>
        <v/>
      </c>
      <c r="E40" s="21" t="str">
        <f>IF(9&lt;=$C$8,ROUND('Child 1'!$N$73+'Child 2'!$N$73+'Child 3'!$N$73+'Child 4'!$N$73,2),"")</f>
        <v/>
      </c>
      <c r="F40" s="21" t="str">
        <f>IF(9&lt;=$C$8,ROUND('Child 1'!$O$73+'Child 2'!$O$73+'Child 3'!$O$73+'Child 4'!$O$73,2),"")</f>
        <v/>
      </c>
      <c r="G40" s="21" t="str">
        <f>IF(9&lt;=$C$8,ROUND('Child 1'!$D$73+'Child 2'!$D$73+'Child 3'!$D$73+'Child 4'!$D$73,2),"")</f>
        <v/>
      </c>
      <c r="H40" s="21" t="str">
        <f>IF(9&lt;=$C$8,ROUND('Child 1'!$P$73+'Child 2'!$P$73+'Child 3'!$P$73+'Child 4'!$P$73,2),"")</f>
        <v/>
      </c>
      <c r="T40" s="16" t="str">
        <f>IF(9&lt;=$C$8,B40,"")</f>
        <v/>
      </c>
      <c r="U40" s="16" t="e">
        <f>IF(9&lt;=$C$8,'Child 1'!$D$73,NA())</f>
        <v>#N/A</v>
      </c>
      <c r="V40" s="16" t="e">
        <f>IF(9&lt;=$C$8,'Child 2'!$D$73,NA())</f>
        <v>#N/A</v>
      </c>
      <c r="W40" s="16" t="e">
        <f>IF(9&lt;=$C$8,'Child 3'!$D$73,NA())</f>
        <v>#N/A</v>
      </c>
      <c r="X40" s="16" t="e">
        <f>IF(9&lt;=$C$8,'Child 4'!$D$73,NA())</f>
        <v>#N/A</v>
      </c>
      <c r="Y40" s="16" t="e">
        <f>IF(9&lt;=$C$8,E40,NA())</f>
        <v>#N/A</v>
      </c>
    </row>
    <row r="41" spans="2:25" x14ac:dyDescent="0.3">
      <c r="B41" s="16" t="str">
        <f>IF(10&lt;=$C$8,(PlanYear+9)&amp;"/"&amp;RIGHT(PlanYear+10,2),"")</f>
        <v/>
      </c>
      <c r="C41" s="16" t="str">
        <f>IF(10&lt;=$C$8,MID(IF('Child 1'!$Q$74=1,", "&amp;IF(Inputs!$C$14&lt;&gt;"",Inputs!$C$14,"Child 1"),"")&amp;IF('Child 2'!$Q$74=1,", "&amp;IF(Inputs!$D$14&lt;&gt;"",Inputs!$D$14,"Child 2"),"")&amp;IF('Child 3'!$Q$74=1,", "&amp;IF(Inputs!$E$14&lt;&gt;"",Inputs!$E$14,"Child 3"),"")&amp;IF('Child 4'!$Q$74=1,", "&amp;IF(Inputs!$F$14&lt;&gt;"",Inputs!$F$14,"Child 4"),""),3,200),"")</f>
        <v/>
      </c>
      <c r="D41" s="21" t="str">
        <f>IF(10&lt;=$C$8,ROUND('Child 1'!$M$74+'Child 2'!$M$74+'Child 3'!$M$74+'Child 4'!$M$74,2),"")</f>
        <v/>
      </c>
      <c r="E41" s="21" t="str">
        <f>IF(10&lt;=$C$8,ROUND('Child 1'!$N$74+'Child 2'!$N$74+'Child 3'!$N$74+'Child 4'!$N$74,2),"")</f>
        <v/>
      </c>
      <c r="F41" s="21" t="str">
        <f>IF(10&lt;=$C$8,ROUND('Child 1'!$O$74+'Child 2'!$O$74+'Child 3'!$O$74+'Child 4'!$O$74,2),"")</f>
        <v/>
      </c>
      <c r="G41" s="21" t="str">
        <f>IF(10&lt;=$C$8,ROUND('Child 1'!$D$74+'Child 2'!$D$74+'Child 3'!$D$74+'Child 4'!$D$74,2),"")</f>
        <v/>
      </c>
      <c r="H41" s="21" t="str">
        <f>IF(10&lt;=$C$8,ROUND('Child 1'!$P$74+'Child 2'!$P$74+'Child 3'!$P$74+'Child 4'!$P$74,2),"")</f>
        <v/>
      </c>
      <c r="T41" s="16" t="str">
        <f>IF(10&lt;=$C$8,B41,"")</f>
        <v/>
      </c>
      <c r="U41" s="16" t="e">
        <f>IF(10&lt;=$C$8,'Child 1'!$D$74,NA())</f>
        <v>#N/A</v>
      </c>
      <c r="V41" s="16" t="e">
        <f>IF(10&lt;=$C$8,'Child 2'!$D$74,NA())</f>
        <v>#N/A</v>
      </c>
      <c r="W41" s="16" t="e">
        <f>IF(10&lt;=$C$8,'Child 3'!$D$74,NA())</f>
        <v>#N/A</v>
      </c>
      <c r="X41" s="16" t="e">
        <f>IF(10&lt;=$C$8,'Child 4'!$D$74,NA())</f>
        <v>#N/A</v>
      </c>
      <c r="Y41" s="16" t="e">
        <f>IF(10&lt;=$C$8,E41,NA())</f>
        <v>#N/A</v>
      </c>
    </row>
    <row r="42" spans="2:25" x14ac:dyDescent="0.3">
      <c r="B42" s="16" t="str">
        <f>IF(11&lt;=$C$8,(PlanYear+10)&amp;"/"&amp;RIGHT(PlanYear+11,2),"")</f>
        <v/>
      </c>
      <c r="C42" s="16" t="str">
        <f>IF(11&lt;=$C$8,MID(IF('Child 1'!$Q$75=1,", "&amp;IF(Inputs!$C$14&lt;&gt;"",Inputs!$C$14,"Child 1"),"")&amp;IF('Child 2'!$Q$75=1,", "&amp;IF(Inputs!$D$14&lt;&gt;"",Inputs!$D$14,"Child 2"),"")&amp;IF('Child 3'!$Q$75=1,", "&amp;IF(Inputs!$E$14&lt;&gt;"",Inputs!$E$14,"Child 3"),"")&amp;IF('Child 4'!$Q$75=1,", "&amp;IF(Inputs!$F$14&lt;&gt;"",Inputs!$F$14,"Child 4"),""),3,200),"")</f>
        <v/>
      </c>
      <c r="D42" s="21" t="str">
        <f>IF(11&lt;=$C$8,ROUND('Child 1'!$M$75+'Child 2'!$M$75+'Child 3'!$M$75+'Child 4'!$M$75,2),"")</f>
        <v/>
      </c>
      <c r="E42" s="21" t="str">
        <f>IF(11&lt;=$C$8,ROUND('Child 1'!$N$75+'Child 2'!$N$75+'Child 3'!$N$75+'Child 4'!$N$75,2),"")</f>
        <v/>
      </c>
      <c r="F42" s="21" t="str">
        <f>IF(11&lt;=$C$8,ROUND('Child 1'!$O$75+'Child 2'!$O$75+'Child 3'!$O$75+'Child 4'!$O$75,2),"")</f>
        <v/>
      </c>
      <c r="G42" s="21" t="str">
        <f>IF(11&lt;=$C$8,ROUND('Child 1'!$D$75+'Child 2'!$D$75+'Child 3'!$D$75+'Child 4'!$D$75,2),"")</f>
        <v/>
      </c>
      <c r="H42" s="21" t="str">
        <f>IF(11&lt;=$C$8,ROUND('Child 1'!$P$75+'Child 2'!$P$75+'Child 3'!$P$75+'Child 4'!$P$75,2),"")</f>
        <v/>
      </c>
      <c r="T42" s="16" t="str">
        <f>IF(11&lt;=$C$8,B42,"")</f>
        <v/>
      </c>
      <c r="U42" s="16" t="e">
        <f>IF(11&lt;=$C$8,'Child 1'!$D$75,NA())</f>
        <v>#N/A</v>
      </c>
      <c r="V42" s="16" t="e">
        <f>IF(11&lt;=$C$8,'Child 2'!$D$75,NA())</f>
        <v>#N/A</v>
      </c>
      <c r="W42" s="16" t="e">
        <f>IF(11&lt;=$C$8,'Child 3'!$D$75,NA())</f>
        <v>#N/A</v>
      </c>
      <c r="X42" s="16" t="e">
        <f>IF(11&lt;=$C$8,'Child 4'!$D$75,NA())</f>
        <v>#N/A</v>
      </c>
      <c r="Y42" s="16" t="e">
        <f>IF(11&lt;=$C$8,E42,NA())</f>
        <v>#N/A</v>
      </c>
    </row>
    <row r="43" spans="2:25" x14ac:dyDescent="0.3">
      <c r="B43" s="16" t="str">
        <f>IF(12&lt;=$C$8,(PlanYear+11)&amp;"/"&amp;RIGHT(PlanYear+12,2),"")</f>
        <v/>
      </c>
      <c r="C43" s="16" t="str">
        <f>IF(12&lt;=$C$8,MID(IF('Child 1'!$Q$76=1,", "&amp;IF(Inputs!$C$14&lt;&gt;"",Inputs!$C$14,"Child 1"),"")&amp;IF('Child 2'!$Q$76=1,", "&amp;IF(Inputs!$D$14&lt;&gt;"",Inputs!$D$14,"Child 2"),"")&amp;IF('Child 3'!$Q$76=1,", "&amp;IF(Inputs!$E$14&lt;&gt;"",Inputs!$E$14,"Child 3"),"")&amp;IF('Child 4'!$Q$76=1,", "&amp;IF(Inputs!$F$14&lt;&gt;"",Inputs!$F$14,"Child 4"),""),3,200),"")</f>
        <v/>
      </c>
      <c r="D43" s="21" t="str">
        <f>IF(12&lt;=$C$8,ROUND('Child 1'!$M$76+'Child 2'!$M$76+'Child 3'!$M$76+'Child 4'!$M$76,2),"")</f>
        <v/>
      </c>
      <c r="E43" s="21" t="str">
        <f>IF(12&lt;=$C$8,ROUND('Child 1'!$N$76+'Child 2'!$N$76+'Child 3'!$N$76+'Child 4'!$N$76,2),"")</f>
        <v/>
      </c>
      <c r="F43" s="21" t="str">
        <f>IF(12&lt;=$C$8,ROUND('Child 1'!$O$76+'Child 2'!$O$76+'Child 3'!$O$76+'Child 4'!$O$76,2),"")</f>
        <v/>
      </c>
      <c r="G43" s="21" t="str">
        <f>IF(12&lt;=$C$8,ROUND('Child 1'!$D$76+'Child 2'!$D$76+'Child 3'!$D$76+'Child 4'!$D$76,2),"")</f>
        <v/>
      </c>
      <c r="H43" s="21" t="str">
        <f>IF(12&lt;=$C$8,ROUND('Child 1'!$P$76+'Child 2'!$P$76+'Child 3'!$P$76+'Child 4'!$P$76,2),"")</f>
        <v/>
      </c>
      <c r="T43" s="16" t="str">
        <f>IF(12&lt;=$C$8,B43,"")</f>
        <v/>
      </c>
      <c r="U43" s="16" t="e">
        <f>IF(12&lt;=$C$8,'Child 1'!$D$76,NA())</f>
        <v>#N/A</v>
      </c>
      <c r="V43" s="16" t="e">
        <f>IF(12&lt;=$C$8,'Child 2'!$D$76,NA())</f>
        <v>#N/A</v>
      </c>
      <c r="W43" s="16" t="e">
        <f>IF(12&lt;=$C$8,'Child 3'!$D$76,NA())</f>
        <v>#N/A</v>
      </c>
      <c r="X43" s="16" t="e">
        <f>IF(12&lt;=$C$8,'Child 4'!$D$76,NA())</f>
        <v>#N/A</v>
      </c>
      <c r="Y43" s="16" t="e">
        <f>IF(12&lt;=$C$8,E43,NA())</f>
        <v>#N/A</v>
      </c>
    </row>
    <row r="44" spans="2:25" x14ac:dyDescent="0.3">
      <c r="B44" s="16" t="str">
        <f>IF(13&lt;=$C$8,(PlanYear+12)&amp;"/"&amp;RIGHT(PlanYear+13,2),"")</f>
        <v/>
      </c>
      <c r="C44" s="16" t="str">
        <f>IF(13&lt;=$C$8,MID(IF('Child 1'!$Q$77=1,", "&amp;IF(Inputs!$C$14&lt;&gt;"",Inputs!$C$14,"Child 1"),"")&amp;IF('Child 2'!$Q$77=1,", "&amp;IF(Inputs!$D$14&lt;&gt;"",Inputs!$D$14,"Child 2"),"")&amp;IF('Child 3'!$Q$77=1,", "&amp;IF(Inputs!$E$14&lt;&gt;"",Inputs!$E$14,"Child 3"),"")&amp;IF('Child 4'!$Q$77=1,", "&amp;IF(Inputs!$F$14&lt;&gt;"",Inputs!$F$14,"Child 4"),""),3,200),"")</f>
        <v/>
      </c>
      <c r="D44" s="21" t="str">
        <f>IF(13&lt;=$C$8,ROUND('Child 1'!$M$77+'Child 2'!$M$77+'Child 3'!$M$77+'Child 4'!$M$77,2),"")</f>
        <v/>
      </c>
      <c r="E44" s="21" t="str">
        <f>IF(13&lt;=$C$8,ROUND('Child 1'!$N$77+'Child 2'!$N$77+'Child 3'!$N$77+'Child 4'!$N$77,2),"")</f>
        <v/>
      </c>
      <c r="F44" s="21" t="str">
        <f>IF(13&lt;=$C$8,ROUND('Child 1'!$O$77+'Child 2'!$O$77+'Child 3'!$O$77+'Child 4'!$O$77,2),"")</f>
        <v/>
      </c>
      <c r="G44" s="21" t="str">
        <f>IF(13&lt;=$C$8,ROUND('Child 1'!$D$77+'Child 2'!$D$77+'Child 3'!$D$77+'Child 4'!$D$77,2),"")</f>
        <v/>
      </c>
      <c r="H44" s="21" t="str">
        <f>IF(13&lt;=$C$8,ROUND('Child 1'!$P$77+'Child 2'!$P$77+'Child 3'!$P$77+'Child 4'!$P$77,2),"")</f>
        <v/>
      </c>
      <c r="T44" s="16" t="str">
        <f>IF(13&lt;=$C$8,B44,"")</f>
        <v/>
      </c>
      <c r="U44" s="16" t="e">
        <f>IF(13&lt;=$C$8,'Child 1'!$D$77,NA())</f>
        <v>#N/A</v>
      </c>
      <c r="V44" s="16" t="e">
        <f>IF(13&lt;=$C$8,'Child 2'!$D$77,NA())</f>
        <v>#N/A</v>
      </c>
      <c r="W44" s="16" t="e">
        <f>IF(13&lt;=$C$8,'Child 3'!$D$77,NA())</f>
        <v>#N/A</v>
      </c>
      <c r="X44" s="16" t="e">
        <f>IF(13&lt;=$C$8,'Child 4'!$D$77,NA())</f>
        <v>#N/A</v>
      </c>
      <c r="Y44" s="16" t="e">
        <f>IF(13&lt;=$C$8,E44,NA())</f>
        <v>#N/A</v>
      </c>
    </row>
    <row r="45" spans="2:25" x14ac:dyDescent="0.3">
      <c r="B45" s="16" t="str">
        <f>IF(14&lt;=$C$8,(PlanYear+13)&amp;"/"&amp;RIGHT(PlanYear+14,2),"")</f>
        <v/>
      </c>
      <c r="C45" s="16" t="str">
        <f>IF(14&lt;=$C$8,MID(IF('Child 1'!$Q$78=1,", "&amp;IF(Inputs!$C$14&lt;&gt;"",Inputs!$C$14,"Child 1"),"")&amp;IF('Child 2'!$Q$78=1,", "&amp;IF(Inputs!$D$14&lt;&gt;"",Inputs!$D$14,"Child 2"),"")&amp;IF('Child 3'!$Q$78=1,", "&amp;IF(Inputs!$E$14&lt;&gt;"",Inputs!$E$14,"Child 3"),"")&amp;IF('Child 4'!$Q$78=1,", "&amp;IF(Inputs!$F$14&lt;&gt;"",Inputs!$F$14,"Child 4"),""),3,200),"")</f>
        <v/>
      </c>
      <c r="D45" s="21" t="str">
        <f>IF(14&lt;=$C$8,ROUND('Child 1'!$M$78+'Child 2'!$M$78+'Child 3'!$M$78+'Child 4'!$M$78,2),"")</f>
        <v/>
      </c>
      <c r="E45" s="21" t="str">
        <f>IF(14&lt;=$C$8,ROUND('Child 1'!$N$78+'Child 2'!$N$78+'Child 3'!$N$78+'Child 4'!$N$78,2),"")</f>
        <v/>
      </c>
      <c r="F45" s="21" t="str">
        <f>IF(14&lt;=$C$8,ROUND('Child 1'!$O$78+'Child 2'!$O$78+'Child 3'!$O$78+'Child 4'!$O$78,2),"")</f>
        <v/>
      </c>
      <c r="G45" s="21" t="str">
        <f>IF(14&lt;=$C$8,ROUND('Child 1'!$D$78+'Child 2'!$D$78+'Child 3'!$D$78+'Child 4'!$D$78,2),"")</f>
        <v/>
      </c>
      <c r="H45" s="21" t="str">
        <f>IF(14&lt;=$C$8,ROUND('Child 1'!$P$78+'Child 2'!$P$78+'Child 3'!$P$78+'Child 4'!$P$78,2),"")</f>
        <v/>
      </c>
      <c r="T45" s="16" t="str">
        <f>IF(14&lt;=$C$8,B45,"")</f>
        <v/>
      </c>
      <c r="U45" s="16" t="e">
        <f>IF(14&lt;=$C$8,'Child 1'!$D$78,NA())</f>
        <v>#N/A</v>
      </c>
      <c r="V45" s="16" t="e">
        <f>IF(14&lt;=$C$8,'Child 2'!$D$78,NA())</f>
        <v>#N/A</v>
      </c>
      <c r="W45" s="16" t="e">
        <f>IF(14&lt;=$C$8,'Child 3'!$D$78,NA())</f>
        <v>#N/A</v>
      </c>
      <c r="X45" s="16" t="e">
        <f>IF(14&lt;=$C$8,'Child 4'!$D$78,NA())</f>
        <v>#N/A</v>
      </c>
      <c r="Y45" s="16" t="e">
        <f>IF(14&lt;=$C$8,E45,NA())</f>
        <v>#N/A</v>
      </c>
    </row>
    <row r="46" spans="2:25" x14ac:dyDescent="0.3">
      <c r="B46" s="16" t="str">
        <f>IF(15&lt;=$C$8,(PlanYear+14)&amp;"/"&amp;RIGHT(PlanYear+15,2),"")</f>
        <v/>
      </c>
      <c r="C46" s="16" t="str">
        <f>IF(15&lt;=$C$8,MID(IF('Child 1'!$Q$79=1,", "&amp;IF(Inputs!$C$14&lt;&gt;"",Inputs!$C$14,"Child 1"),"")&amp;IF('Child 2'!$Q$79=1,", "&amp;IF(Inputs!$D$14&lt;&gt;"",Inputs!$D$14,"Child 2"),"")&amp;IF('Child 3'!$Q$79=1,", "&amp;IF(Inputs!$E$14&lt;&gt;"",Inputs!$E$14,"Child 3"),"")&amp;IF('Child 4'!$Q$79=1,", "&amp;IF(Inputs!$F$14&lt;&gt;"",Inputs!$F$14,"Child 4"),""),3,200),"")</f>
        <v/>
      </c>
      <c r="D46" s="21" t="str">
        <f>IF(15&lt;=$C$8,ROUND('Child 1'!$M$79+'Child 2'!$M$79+'Child 3'!$M$79+'Child 4'!$M$79,2),"")</f>
        <v/>
      </c>
      <c r="E46" s="21" t="str">
        <f>IF(15&lt;=$C$8,ROUND('Child 1'!$N$79+'Child 2'!$N$79+'Child 3'!$N$79+'Child 4'!$N$79,2),"")</f>
        <v/>
      </c>
      <c r="F46" s="21" t="str">
        <f>IF(15&lt;=$C$8,ROUND('Child 1'!$O$79+'Child 2'!$O$79+'Child 3'!$O$79+'Child 4'!$O$79,2),"")</f>
        <v/>
      </c>
      <c r="G46" s="21" t="str">
        <f>IF(15&lt;=$C$8,ROUND('Child 1'!$D$79+'Child 2'!$D$79+'Child 3'!$D$79+'Child 4'!$D$79,2),"")</f>
        <v/>
      </c>
      <c r="H46" s="21" t="str">
        <f>IF(15&lt;=$C$8,ROUND('Child 1'!$P$79+'Child 2'!$P$79+'Child 3'!$P$79+'Child 4'!$P$79,2),"")</f>
        <v/>
      </c>
      <c r="T46" s="16" t="str">
        <f>IF(15&lt;=$C$8,B46,"")</f>
        <v/>
      </c>
      <c r="U46" s="16" t="e">
        <f>IF(15&lt;=$C$8,'Child 1'!$D$79,NA())</f>
        <v>#N/A</v>
      </c>
      <c r="V46" s="16" t="e">
        <f>IF(15&lt;=$C$8,'Child 2'!$D$79,NA())</f>
        <v>#N/A</v>
      </c>
      <c r="W46" s="16" t="e">
        <f>IF(15&lt;=$C$8,'Child 3'!$D$79,NA())</f>
        <v>#N/A</v>
      </c>
      <c r="X46" s="16" t="e">
        <f>IF(15&lt;=$C$8,'Child 4'!$D$79,NA())</f>
        <v>#N/A</v>
      </c>
      <c r="Y46" s="16" t="e">
        <f>IF(15&lt;=$C$8,E46,NA())</f>
        <v>#N/A</v>
      </c>
    </row>
    <row r="47" spans="2:25" x14ac:dyDescent="0.3">
      <c r="B47" s="16" t="str">
        <f>IF(16&lt;=$C$8,(PlanYear+15)&amp;"/"&amp;RIGHT(PlanYear+16,2),"")</f>
        <v/>
      </c>
      <c r="C47" s="16" t="str">
        <f>IF(16&lt;=$C$8,MID(IF('Child 1'!$Q$80=1,", "&amp;IF(Inputs!$C$14&lt;&gt;"",Inputs!$C$14,"Child 1"),"")&amp;IF('Child 2'!$Q$80=1,", "&amp;IF(Inputs!$D$14&lt;&gt;"",Inputs!$D$14,"Child 2"),"")&amp;IF('Child 3'!$Q$80=1,", "&amp;IF(Inputs!$E$14&lt;&gt;"",Inputs!$E$14,"Child 3"),"")&amp;IF('Child 4'!$Q$80=1,", "&amp;IF(Inputs!$F$14&lt;&gt;"",Inputs!$F$14,"Child 4"),""),3,200),"")</f>
        <v/>
      </c>
      <c r="D47" s="21" t="str">
        <f>IF(16&lt;=$C$8,ROUND('Child 1'!$M$80+'Child 2'!$M$80+'Child 3'!$M$80+'Child 4'!$M$80,2),"")</f>
        <v/>
      </c>
      <c r="E47" s="21" t="str">
        <f>IF(16&lt;=$C$8,ROUND('Child 1'!$N$80+'Child 2'!$N$80+'Child 3'!$N$80+'Child 4'!$N$80,2),"")</f>
        <v/>
      </c>
      <c r="F47" s="21" t="str">
        <f>IF(16&lt;=$C$8,ROUND('Child 1'!$O$80+'Child 2'!$O$80+'Child 3'!$O$80+'Child 4'!$O$80,2),"")</f>
        <v/>
      </c>
      <c r="G47" s="21" t="str">
        <f>IF(16&lt;=$C$8,ROUND('Child 1'!$D$80+'Child 2'!$D$80+'Child 3'!$D$80+'Child 4'!$D$80,2),"")</f>
        <v/>
      </c>
      <c r="H47" s="21" t="str">
        <f>IF(16&lt;=$C$8,ROUND('Child 1'!$P$80+'Child 2'!$P$80+'Child 3'!$P$80+'Child 4'!$P$80,2),"")</f>
        <v/>
      </c>
      <c r="T47" s="16" t="str">
        <f>IF(16&lt;=$C$8,B47,"")</f>
        <v/>
      </c>
      <c r="U47" s="16" t="e">
        <f>IF(16&lt;=$C$8,'Child 1'!$D$80,NA())</f>
        <v>#N/A</v>
      </c>
      <c r="V47" s="16" t="e">
        <f>IF(16&lt;=$C$8,'Child 2'!$D$80,NA())</f>
        <v>#N/A</v>
      </c>
      <c r="W47" s="16" t="e">
        <f>IF(16&lt;=$C$8,'Child 3'!$D$80,NA())</f>
        <v>#N/A</v>
      </c>
      <c r="X47" s="16" t="e">
        <f>IF(16&lt;=$C$8,'Child 4'!$D$80,NA())</f>
        <v>#N/A</v>
      </c>
      <c r="Y47" s="16" t="e">
        <f>IF(16&lt;=$C$8,E47,NA())</f>
        <v>#N/A</v>
      </c>
    </row>
    <row r="48" spans="2:25" x14ac:dyDescent="0.3">
      <c r="B48" s="16" t="str">
        <f>IF(17&lt;=$C$8,(PlanYear+16)&amp;"/"&amp;RIGHT(PlanYear+17,2),"")</f>
        <v/>
      </c>
      <c r="C48" s="16" t="str">
        <f>IF(17&lt;=$C$8,MID(IF('Child 1'!$Q$81=1,", "&amp;IF(Inputs!$C$14&lt;&gt;"",Inputs!$C$14,"Child 1"),"")&amp;IF('Child 2'!$Q$81=1,", "&amp;IF(Inputs!$D$14&lt;&gt;"",Inputs!$D$14,"Child 2"),"")&amp;IF('Child 3'!$Q$81=1,", "&amp;IF(Inputs!$E$14&lt;&gt;"",Inputs!$E$14,"Child 3"),"")&amp;IF('Child 4'!$Q$81=1,", "&amp;IF(Inputs!$F$14&lt;&gt;"",Inputs!$F$14,"Child 4"),""),3,200),"")</f>
        <v/>
      </c>
      <c r="D48" s="21" t="str">
        <f>IF(17&lt;=$C$8,ROUND('Child 1'!$M$81+'Child 2'!$M$81+'Child 3'!$M$81+'Child 4'!$M$81,2),"")</f>
        <v/>
      </c>
      <c r="E48" s="21" t="str">
        <f>IF(17&lt;=$C$8,ROUND('Child 1'!$N$81+'Child 2'!$N$81+'Child 3'!$N$81+'Child 4'!$N$81,2),"")</f>
        <v/>
      </c>
      <c r="F48" s="21" t="str">
        <f>IF(17&lt;=$C$8,ROUND('Child 1'!$O$81+'Child 2'!$O$81+'Child 3'!$O$81+'Child 4'!$O$81,2),"")</f>
        <v/>
      </c>
      <c r="G48" s="21" t="str">
        <f>IF(17&lt;=$C$8,ROUND('Child 1'!$D$81+'Child 2'!$D$81+'Child 3'!$D$81+'Child 4'!$D$81,2),"")</f>
        <v/>
      </c>
      <c r="H48" s="21" t="str">
        <f>IF(17&lt;=$C$8,ROUND('Child 1'!$P$81+'Child 2'!$P$81+'Child 3'!$P$81+'Child 4'!$P$81,2),"")</f>
        <v/>
      </c>
      <c r="T48" s="16" t="str">
        <f>IF(17&lt;=$C$8,B48,"")</f>
        <v/>
      </c>
      <c r="U48" s="16" t="e">
        <f>IF(17&lt;=$C$8,'Child 1'!$D$81,NA())</f>
        <v>#N/A</v>
      </c>
      <c r="V48" s="16" t="e">
        <f>IF(17&lt;=$C$8,'Child 2'!$D$81,NA())</f>
        <v>#N/A</v>
      </c>
      <c r="W48" s="16" t="e">
        <f>IF(17&lt;=$C$8,'Child 3'!$D$81,NA())</f>
        <v>#N/A</v>
      </c>
      <c r="X48" s="16" t="e">
        <f>IF(17&lt;=$C$8,'Child 4'!$D$81,NA())</f>
        <v>#N/A</v>
      </c>
      <c r="Y48" s="16" t="e">
        <f>IF(17&lt;=$C$8,E48,NA())</f>
        <v>#N/A</v>
      </c>
    </row>
    <row r="49" spans="2:25" x14ac:dyDescent="0.3">
      <c r="B49" s="16" t="str">
        <f>IF(18&lt;=$C$8,(PlanYear+17)&amp;"/"&amp;RIGHT(PlanYear+18,2),"")</f>
        <v/>
      </c>
      <c r="C49" s="16" t="str">
        <f>IF(18&lt;=$C$8,MID(IF('Child 1'!$Q$82=1,", "&amp;IF(Inputs!$C$14&lt;&gt;"",Inputs!$C$14,"Child 1"),"")&amp;IF('Child 2'!$Q$82=1,", "&amp;IF(Inputs!$D$14&lt;&gt;"",Inputs!$D$14,"Child 2"),"")&amp;IF('Child 3'!$Q$82=1,", "&amp;IF(Inputs!$E$14&lt;&gt;"",Inputs!$E$14,"Child 3"),"")&amp;IF('Child 4'!$Q$82=1,", "&amp;IF(Inputs!$F$14&lt;&gt;"",Inputs!$F$14,"Child 4"),""),3,200),"")</f>
        <v/>
      </c>
      <c r="D49" s="21" t="str">
        <f>IF(18&lt;=$C$8,ROUND('Child 1'!$M$82+'Child 2'!$M$82+'Child 3'!$M$82+'Child 4'!$M$82,2),"")</f>
        <v/>
      </c>
      <c r="E49" s="21" t="str">
        <f>IF(18&lt;=$C$8,ROUND('Child 1'!$N$82+'Child 2'!$N$82+'Child 3'!$N$82+'Child 4'!$N$82,2),"")</f>
        <v/>
      </c>
      <c r="F49" s="21" t="str">
        <f>IF(18&lt;=$C$8,ROUND('Child 1'!$O$82+'Child 2'!$O$82+'Child 3'!$O$82+'Child 4'!$O$82,2),"")</f>
        <v/>
      </c>
      <c r="G49" s="21" t="str">
        <f>IF(18&lt;=$C$8,ROUND('Child 1'!$D$82+'Child 2'!$D$82+'Child 3'!$D$82+'Child 4'!$D$82,2),"")</f>
        <v/>
      </c>
      <c r="H49" s="21" t="str">
        <f>IF(18&lt;=$C$8,ROUND('Child 1'!$P$82+'Child 2'!$P$82+'Child 3'!$P$82+'Child 4'!$P$82,2),"")</f>
        <v/>
      </c>
      <c r="T49" s="16" t="str">
        <f>IF(18&lt;=$C$8,B49,"")</f>
        <v/>
      </c>
      <c r="U49" s="16" t="e">
        <f>IF(18&lt;=$C$8,'Child 1'!$D$82,NA())</f>
        <v>#N/A</v>
      </c>
      <c r="V49" s="16" t="e">
        <f>IF(18&lt;=$C$8,'Child 2'!$D$82,NA())</f>
        <v>#N/A</v>
      </c>
      <c r="W49" s="16" t="e">
        <f>IF(18&lt;=$C$8,'Child 3'!$D$82,NA())</f>
        <v>#N/A</v>
      </c>
      <c r="X49" s="16" t="e">
        <f>IF(18&lt;=$C$8,'Child 4'!$D$82,NA())</f>
        <v>#N/A</v>
      </c>
      <c r="Y49" s="16" t="e">
        <f>IF(18&lt;=$C$8,E49,NA())</f>
        <v>#N/A</v>
      </c>
    </row>
    <row r="50" spans="2:25" x14ac:dyDescent="0.3">
      <c r="B50" s="16" t="str">
        <f>IF(19&lt;=$C$8,(PlanYear+18)&amp;"/"&amp;RIGHT(PlanYear+19,2),"")</f>
        <v/>
      </c>
      <c r="C50" s="16" t="str">
        <f>IF(19&lt;=$C$8,MID(IF('Child 1'!$Q$83=1,", "&amp;IF(Inputs!$C$14&lt;&gt;"",Inputs!$C$14,"Child 1"),"")&amp;IF('Child 2'!$Q$83=1,", "&amp;IF(Inputs!$D$14&lt;&gt;"",Inputs!$D$14,"Child 2"),"")&amp;IF('Child 3'!$Q$83=1,", "&amp;IF(Inputs!$E$14&lt;&gt;"",Inputs!$E$14,"Child 3"),"")&amp;IF('Child 4'!$Q$83=1,", "&amp;IF(Inputs!$F$14&lt;&gt;"",Inputs!$F$14,"Child 4"),""),3,200),"")</f>
        <v/>
      </c>
      <c r="D50" s="21" t="str">
        <f>IF(19&lt;=$C$8,ROUND('Child 1'!$M$83+'Child 2'!$M$83+'Child 3'!$M$83+'Child 4'!$M$83,2),"")</f>
        <v/>
      </c>
      <c r="E50" s="21" t="str">
        <f>IF(19&lt;=$C$8,ROUND('Child 1'!$N$83+'Child 2'!$N$83+'Child 3'!$N$83+'Child 4'!$N$83,2),"")</f>
        <v/>
      </c>
      <c r="F50" s="21" t="str">
        <f>IF(19&lt;=$C$8,ROUND('Child 1'!$O$83+'Child 2'!$O$83+'Child 3'!$O$83+'Child 4'!$O$83,2),"")</f>
        <v/>
      </c>
      <c r="G50" s="21" t="str">
        <f>IF(19&lt;=$C$8,ROUND('Child 1'!$D$83+'Child 2'!$D$83+'Child 3'!$D$83+'Child 4'!$D$83,2),"")</f>
        <v/>
      </c>
      <c r="H50" s="21" t="str">
        <f>IF(19&lt;=$C$8,ROUND('Child 1'!$P$83+'Child 2'!$P$83+'Child 3'!$P$83+'Child 4'!$P$83,2),"")</f>
        <v/>
      </c>
      <c r="T50" s="16" t="str">
        <f>IF(19&lt;=$C$8,B50,"")</f>
        <v/>
      </c>
      <c r="U50" s="16" t="e">
        <f>IF(19&lt;=$C$8,'Child 1'!$D$83,NA())</f>
        <v>#N/A</v>
      </c>
      <c r="V50" s="16" t="e">
        <f>IF(19&lt;=$C$8,'Child 2'!$D$83,NA())</f>
        <v>#N/A</v>
      </c>
      <c r="W50" s="16" t="e">
        <f>IF(19&lt;=$C$8,'Child 3'!$D$83,NA())</f>
        <v>#N/A</v>
      </c>
      <c r="X50" s="16" t="e">
        <f>IF(19&lt;=$C$8,'Child 4'!$D$83,NA())</f>
        <v>#N/A</v>
      </c>
      <c r="Y50" s="16" t="e">
        <f>IF(19&lt;=$C$8,E50,NA())</f>
        <v>#N/A</v>
      </c>
    </row>
    <row r="51" spans="2:25" x14ac:dyDescent="0.3">
      <c r="B51" s="16" t="str">
        <f>IF(20&lt;=$C$8,(PlanYear+19)&amp;"/"&amp;RIGHT(PlanYear+20,2),"")</f>
        <v/>
      </c>
      <c r="C51" s="16" t="str">
        <f>IF(20&lt;=$C$8,MID(IF('Child 1'!$Q$84=1,", "&amp;IF(Inputs!$C$14&lt;&gt;"",Inputs!$C$14,"Child 1"),"")&amp;IF('Child 2'!$Q$84=1,", "&amp;IF(Inputs!$D$14&lt;&gt;"",Inputs!$D$14,"Child 2"),"")&amp;IF('Child 3'!$Q$84=1,", "&amp;IF(Inputs!$E$14&lt;&gt;"",Inputs!$E$14,"Child 3"),"")&amp;IF('Child 4'!$Q$84=1,", "&amp;IF(Inputs!$F$14&lt;&gt;"",Inputs!$F$14,"Child 4"),""),3,200),"")</f>
        <v/>
      </c>
      <c r="D51" s="21" t="str">
        <f>IF(20&lt;=$C$8,ROUND('Child 1'!$M$84+'Child 2'!$M$84+'Child 3'!$M$84+'Child 4'!$M$84,2),"")</f>
        <v/>
      </c>
      <c r="E51" s="21" t="str">
        <f>IF(20&lt;=$C$8,ROUND('Child 1'!$N$84+'Child 2'!$N$84+'Child 3'!$N$84+'Child 4'!$N$84,2),"")</f>
        <v/>
      </c>
      <c r="F51" s="21" t="str">
        <f>IF(20&lt;=$C$8,ROUND('Child 1'!$O$84+'Child 2'!$O$84+'Child 3'!$O$84+'Child 4'!$O$84,2),"")</f>
        <v/>
      </c>
      <c r="G51" s="21" t="str">
        <f>IF(20&lt;=$C$8,ROUND('Child 1'!$D$84+'Child 2'!$D$84+'Child 3'!$D$84+'Child 4'!$D$84,2),"")</f>
        <v/>
      </c>
      <c r="H51" s="21" t="str">
        <f>IF(20&lt;=$C$8,ROUND('Child 1'!$P$84+'Child 2'!$P$84+'Child 3'!$P$84+'Child 4'!$P$84,2),"")</f>
        <v/>
      </c>
      <c r="T51" s="16" t="str">
        <f>IF(20&lt;=$C$8,B51,"")</f>
        <v/>
      </c>
      <c r="U51" s="16" t="e">
        <f>IF(20&lt;=$C$8,'Child 1'!$D$84,NA())</f>
        <v>#N/A</v>
      </c>
      <c r="V51" s="16" t="e">
        <f>IF(20&lt;=$C$8,'Child 2'!$D$84,NA())</f>
        <v>#N/A</v>
      </c>
      <c r="W51" s="16" t="e">
        <f>IF(20&lt;=$C$8,'Child 3'!$D$84,NA())</f>
        <v>#N/A</v>
      </c>
      <c r="X51" s="16" t="e">
        <f>IF(20&lt;=$C$8,'Child 4'!$D$84,NA())</f>
        <v>#N/A</v>
      </c>
      <c r="Y51" s="16" t="e">
        <f>IF(20&lt;=$C$8,E51,NA())</f>
        <v>#N/A</v>
      </c>
    </row>
    <row r="52" spans="2:25" x14ac:dyDescent="0.3">
      <c r="B52" s="16" t="str">
        <f>IF(21&lt;=$C$8,(PlanYear+20)&amp;"/"&amp;RIGHT(PlanYear+21,2),"")</f>
        <v/>
      </c>
      <c r="C52" s="16" t="str">
        <f>IF(21&lt;=$C$8,MID(IF('Child 1'!$Q$85=1,", "&amp;IF(Inputs!$C$14&lt;&gt;"",Inputs!$C$14,"Child 1"),"")&amp;IF('Child 2'!$Q$85=1,", "&amp;IF(Inputs!$D$14&lt;&gt;"",Inputs!$D$14,"Child 2"),"")&amp;IF('Child 3'!$Q$85=1,", "&amp;IF(Inputs!$E$14&lt;&gt;"",Inputs!$E$14,"Child 3"),"")&amp;IF('Child 4'!$Q$85=1,", "&amp;IF(Inputs!$F$14&lt;&gt;"",Inputs!$F$14,"Child 4"),""),3,200),"")</f>
        <v/>
      </c>
      <c r="D52" s="21" t="str">
        <f>IF(21&lt;=$C$8,ROUND('Child 1'!$M$85+'Child 2'!$M$85+'Child 3'!$M$85+'Child 4'!$M$85,2),"")</f>
        <v/>
      </c>
      <c r="E52" s="21" t="str">
        <f>IF(21&lt;=$C$8,ROUND('Child 1'!$N$85+'Child 2'!$N$85+'Child 3'!$N$85+'Child 4'!$N$85,2),"")</f>
        <v/>
      </c>
      <c r="F52" s="21" t="str">
        <f>IF(21&lt;=$C$8,ROUND('Child 1'!$O$85+'Child 2'!$O$85+'Child 3'!$O$85+'Child 4'!$O$85,2),"")</f>
        <v/>
      </c>
      <c r="G52" s="21" t="str">
        <f>IF(21&lt;=$C$8,ROUND('Child 1'!$D$85+'Child 2'!$D$85+'Child 3'!$D$85+'Child 4'!$D$85,2),"")</f>
        <v/>
      </c>
      <c r="H52" s="21" t="str">
        <f>IF(21&lt;=$C$8,ROUND('Child 1'!$P$85+'Child 2'!$P$85+'Child 3'!$P$85+'Child 4'!$P$85,2),"")</f>
        <v/>
      </c>
      <c r="T52" s="16" t="str">
        <f>IF(21&lt;=$C$8,B52,"")</f>
        <v/>
      </c>
      <c r="U52" s="16" t="e">
        <f>IF(21&lt;=$C$8,'Child 1'!$D$85,NA())</f>
        <v>#N/A</v>
      </c>
      <c r="V52" s="16" t="e">
        <f>IF(21&lt;=$C$8,'Child 2'!$D$85,NA())</f>
        <v>#N/A</v>
      </c>
      <c r="W52" s="16" t="e">
        <f>IF(21&lt;=$C$8,'Child 3'!$D$85,NA())</f>
        <v>#N/A</v>
      </c>
      <c r="X52" s="16" t="e">
        <f>IF(21&lt;=$C$8,'Child 4'!$D$85,NA())</f>
        <v>#N/A</v>
      </c>
      <c r="Y52" s="16" t="e">
        <f>IF(21&lt;=$C$8,E52,NA())</f>
        <v>#N/A</v>
      </c>
    </row>
    <row r="53" spans="2:25" x14ac:dyDescent="0.3">
      <c r="B53" s="16" t="str">
        <f>IF(22&lt;=$C$8,(PlanYear+21)&amp;"/"&amp;RIGHT(PlanYear+22,2),"")</f>
        <v/>
      </c>
      <c r="C53" s="16" t="str">
        <f>IF(22&lt;=$C$8,MID(IF('Child 1'!$Q$86=1,", "&amp;IF(Inputs!$C$14&lt;&gt;"",Inputs!$C$14,"Child 1"),"")&amp;IF('Child 2'!$Q$86=1,", "&amp;IF(Inputs!$D$14&lt;&gt;"",Inputs!$D$14,"Child 2"),"")&amp;IF('Child 3'!$Q$86=1,", "&amp;IF(Inputs!$E$14&lt;&gt;"",Inputs!$E$14,"Child 3"),"")&amp;IF('Child 4'!$Q$86=1,", "&amp;IF(Inputs!$F$14&lt;&gt;"",Inputs!$F$14,"Child 4"),""),3,200),"")</f>
        <v/>
      </c>
      <c r="D53" s="21" t="str">
        <f>IF(22&lt;=$C$8,ROUND('Child 1'!$M$86+'Child 2'!$M$86+'Child 3'!$M$86+'Child 4'!$M$86,2),"")</f>
        <v/>
      </c>
      <c r="E53" s="21" t="str">
        <f>IF(22&lt;=$C$8,ROUND('Child 1'!$N$86+'Child 2'!$N$86+'Child 3'!$N$86+'Child 4'!$N$86,2),"")</f>
        <v/>
      </c>
      <c r="F53" s="21" t="str">
        <f>IF(22&lt;=$C$8,ROUND('Child 1'!$O$86+'Child 2'!$O$86+'Child 3'!$O$86+'Child 4'!$O$86,2),"")</f>
        <v/>
      </c>
      <c r="G53" s="21" t="str">
        <f>IF(22&lt;=$C$8,ROUND('Child 1'!$D$86+'Child 2'!$D$86+'Child 3'!$D$86+'Child 4'!$D$86,2),"")</f>
        <v/>
      </c>
      <c r="H53" s="21" t="str">
        <f>IF(22&lt;=$C$8,ROUND('Child 1'!$P$86+'Child 2'!$P$86+'Child 3'!$P$86+'Child 4'!$P$86,2),"")</f>
        <v/>
      </c>
      <c r="T53" s="16" t="str">
        <f>IF(22&lt;=$C$8,B53,"")</f>
        <v/>
      </c>
      <c r="U53" s="16" t="e">
        <f>IF(22&lt;=$C$8,'Child 1'!$D$86,NA())</f>
        <v>#N/A</v>
      </c>
      <c r="V53" s="16" t="e">
        <f>IF(22&lt;=$C$8,'Child 2'!$D$86,NA())</f>
        <v>#N/A</v>
      </c>
      <c r="W53" s="16" t="e">
        <f>IF(22&lt;=$C$8,'Child 3'!$D$86,NA())</f>
        <v>#N/A</v>
      </c>
      <c r="X53" s="16" t="e">
        <f>IF(22&lt;=$C$8,'Child 4'!$D$86,NA())</f>
        <v>#N/A</v>
      </c>
      <c r="Y53" s="16" t="e">
        <f>IF(22&lt;=$C$8,E53,NA())</f>
        <v>#N/A</v>
      </c>
    </row>
    <row r="54" spans="2:25" x14ac:dyDescent="0.3">
      <c r="B54" s="16" t="str">
        <f>IF(23&lt;=$C$8,(PlanYear+22)&amp;"/"&amp;RIGHT(PlanYear+23,2),"")</f>
        <v/>
      </c>
      <c r="C54" s="16" t="str">
        <f>IF(23&lt;=$C$8,MID(IF('Child 1'!$Q$87=1,", "&amp;IF(Inputs!$C$14&lt;&gt;"",Inputs!$C$14,"Child 1"),"")&amp;IF('Child 2'!$Q$87=1,", "&amp;IF(Inputs!$D$14&lt;&gt;"",Inputs!$D$14,"Child 2"),"")&amp;IF('Child 3'!$Q$87=1,", "&amp;IF(Inputs!$E$14&lt;&gt;"",Inputs!$E$14,"Child 3"),"")&amp;IF('Child 4'!$Q$87=1,", "&amp;IF(Inputs!$F$14&lt;&gt;"",Inputs!$F$14,"Child 4"),""),3,200),"")</f>
        <v/>
      </c>
      <c r="D54" s="21" t="str">
        <f>IF(23&lt;=$C$8,ROUND('Child 1'!$M$87+'Child 2'!$M$87+'Child 3'!$M$87+'Child 4'!$M$87,2),"")</f>
        <v/>
      </c>
      <c r="E54" s="21" t="str">
        <f>IF(23&lt;=$C$8,ROUND('Child 1'!$N$87+'Child 2'!$N$87+'Child 3'!$N$87+'Child 4'!$N$87,2),"")</f>
        <v/>
      </c>
      <c r="F54" s="21" t="str">
        <f>IF(23&lt;=$C$8,ROUND('Child 1'!$O$87+'Child 2'!$O$87+'Child 3'!$O$87+'Child 4'!$O$87,2),"")</f>
        <v/>
      </c>
      <c r="G54" s="21" t="str">
        <f>IF(23&lt;=$C$8,ROUND('Child 1'!$D$87+'Child 2'!$D$87+'Child 3'!$D$87+'Child 4'!$D$87,2),"")</f>
        <v/>
      </c>
      <c r="H54" s="21" t="str">
        <f>IF(23&lt;=$C$8,ROUND('Child 1'!$P$87+'Child 2'!$P$87+'Child 3'!$P$87+'Child 4'!$P$87,2),"")</f>
        <v/>
      </c>
      <c r="T54" s="16" t="str">
        <f>IF(23&lt;=$C$8,B54,"")</f>
        <v/>
      </c>
      <c r="U54" s="16" t="e">
        <f>IF(23&lt;=$C$8,'Child 1'!$D$87,NA())</f>
        <v>#N/A</v>
      </c>
      <c r="V54" s="16" t="e">
        <f>IF(23&lt;=$C$8,'Child 2'!$D$87,NA())</f>
        <v>#N/A</v>
      </c>
      <c r="W54" s="16" t="e">
        <f>IF(23&lt;=$C$8,'Child 3'!$D$87,NA())</f>
        <v>#N/A</v>
      </c>
      <c r="X54" s="16" t="e">
        <f>IF(23&lt;=$C$8,'Child 4'!$D$87,NA())</f>
        <v>#N/A</v>
      </c>
      <c r="Y54" s="16" t="e">
        <f>IF(23&lt;=$C$8,E54,NA())</f>
        <v>#N/A</v>
      </c>
    </row>
    <row r="55" spans="2:25" x14ac:dyDescent="0.3">
      <c r="B55" s="16" t="str">
        <f>IF(24&lt;=$C$8,(PlanYear+23)&amp;"/"&amp;RIGHT(PlanYear+24,2),"")</f>
        <v/>
      </c>
      <c r="C55" s="16" t="str">
        <f>IF(24&lt;=$C$8,MID(IF('Child 1'!$Q$88=1,", "&amp;IF(Inputs!$C$14&lt;&gt;"",Inputs!$C$14,"Child 1"),"")&amp;IF('Child 2'!$Q$88=1,", "&amp;IF(Inputs!$D$14&lt;&gt;"",Inputs!$D$14,"Child 2"),"")&amp;IF('Child 3'!$Q$88=1,", "&amp;IF(Inputs!$E$14&lt;&gt;"",Inputs!$E$14,"Child 3"),"")&amp;IF('Child 4'!$Q$88=1,", "&amp;IF(Inputs!$F$14&lt;&gt;"",Inputs!$F$14,"Child 4"),""),3,200),"")</f>
        <v/>
      </c>
      <c r="D55" s="21" t="str">
        <f>IF(24&lt;=$C$8,ROUND('Child 1'!$M$88+'Child 2'!$M$88+'Child 3'!$M$88+'Child 4'!$M$88,2),"")</f>
        <v/>
      </c>
      <c r="E55" s="21" t="str">
        <f>IF(24&lt;=$C$8,ROUND('Child 1'!$N$88+'Child 2'!$N$88+'Child 3'!$N$88+'Child 4'!$N$88,2),"")</f>
        <v/>
      </c>
      <c r="F55" s="21" t="str">
        <f>IF(24&lt;=$C$8,ROUND('Child 1'!$O$88+'Child 2'!$O$88+'Child 3'!$O$88+'Child 4'!$O$88,2),"")</f>
        <v/>
      </c>
      <c r="G55" s="21" t="str">
        <f>IF(24&lt;=$C$8,ROUND('Child 1'!$D$88+'Child 2'!$D$88+'Child 3'!$D$88+'Child 4'!$D$88,2),"")</f>
        <v/>
      </c>
      <c r="H55" s="21" t="str">
        <f>IF(24&lt;=$C$8,ROUND('Child 1'!$P$88+'Child 2'!$P$88+'Child 3'!$P$88+'Child 4'!$P$88,2),"")</f>
        <v/>
      </c>
      <c r="T55" s="16" t="str">
        <f>IF(24&lt;=$C$8,B55,"")</f>
        <v/>
      </c>
      <c r="U55" s="16" t="e">
        <f>IF(24&lt;=$C$8,'Child 1'!$D$88,NA())</f>
        <v>#N/A</v>
      </c>
      <c r="V55" s="16" t="e">
        <f>IF(24&lt;=$C$8,'Child 2'!$D$88,NA())</f>
        <v>#N/A</v>
      </c>
      <c r="W55" s="16" t="e">
        <f>IF(24&lt;=$C$8,'Child 3'!$D$88,NA())</f>
        <v>#N/A</v>
      </c>
      <c r="X55" s="16" t="e">
        <f>IF(24&lt;=$C$8,'Child 4'!$D$88,NA())</f>
        <v>#N/A</v>
      </c>
      <c r="Y55" s="16" t="e">
        <f>IF(24&lt;=$C$8,E55,NA())</f>
        <v>#N/A</v>
      </c>
    </row>
    <row r="56" spans="2:25" x14ac:dyDescent="0.3">
      <c r="B56" s="16" t="str">
        <f>IF(25&lt;=$C$8,(PlanYear+24)&amp;"/"&amp;RIGHT(PlanYear+25,2),"")</f>
        <v/>
      </c>
      <c r="C56" s="16" t="str">
        <f>IF(25&lt;=$C$8,MID(IF('Child 1'!$Q$89=1,", "&amp;IF(Inputs!$C$14&lt;&gt;"",Inputs!$C$14,"Child 1"),"")&amp;IF('Child 2'!$Q$89=1,", "&amp;IF(Inputs!$D$14&lt;&gt;"",Inputs!$D$14,"Child 2"),"")&amp;IF('Child 3'!$Q$89=1,", "&amp;IF(Inputs!$E$14&lt;&gt;"",Inputs!$E$14,"Child 3"),"")&amp;IF('Child 4'!$Q$89=1,", "&amp;IF(Inputs!$F$14&lt;&gt;"",Inputs!$F$14,"Child 4"),""),3,200),"")</f>
        <v/>
      </c>
      <c r="D56" s="21" t="str">
        <f>IF(25&lt;=$C$8,ROUND('Child 1'!$M$89+'Child 2'!$M$89+'Child 3'!$M$89+'Child 4'!$M$89,2),"")</f>
        <v/>
      </c>
      <c r="E56" s="21" t="str">
        <f>IF(25&lt;=$C$8,ROUND('Child 1'!$N$89+'Child 2'!$N$89+'Child 3'!$N$89+'Child 4'!$N$89,2),"")</f>
        <v/>
      </c>
      <c r="F56" s="21" t="str">
        <f>IF(25&lt;=$C$8,ROUND('Child 1'!$O$89+'Child 2'!$O$89+'Child 3'!$O$89+'Child 4'!$O$89,2),"")</f>
        <v/>
      </c>
      <c r="G56" s="21" t="str">
        <f>IF(25&lt;=$C$8,ROUND('Child 1'!$D$89+'Child 2'!$D$89+'Child 3'!$D$89+'Child 4'!$D$89,2),"")</f>
        <v/>
      </c>
      <c r="H56" s="21" t="str">
        <f>IF(25&lt;=$C$8,ROUND('Child 1'!$P$89+'Child 2'!$P$89+'Child 3'!$P$89+'Child 4'!$P$89,2),"")</f>
        <v/>
      </c>
      <c r="T56" s="16" t="str">
        <f>IF(25&lt;=$C$8,B56,"")</f>
        <v/>
      </c>
      <c r="U56" s="16" t="e">
        <f>IF(25&lt;=$C$8,'Child 1'!$D$89,NA())</f>
        <v>#N/A</v>
      </c>
      <c r="V56" s="16" t="e">
        <f>IF(25&lt;=$C$8,'Child 2'!$D$89,NA())</f>
        <v>#N/A</v>
      </c>
      <c r="W56" s="16" t="e">
        <f>IF(25&lt;=$C$8,'Child 3'!$D$89,NA())</f>
        <v>#N/A</v>
      </c>
      <c r="X56" s="16" t="e">
        <f>IF(25&lt;=$C$8,'Child 4'!$D$89,NA())</f>
        <v>#N/A</v>
      </c>
      <c r="Y56" s="16" t="e">
        <f>IF(25&lt;=$C$8,E56,NA())</f>
        <v>#N/A</v>
      </c>
    </row>
    <row r="57" spans="2:25" x14ac:dyDescent="0.3">
      <c r="B57" s="16" t="str">
        <f>IF(26&lt;=$C$8,(PlanYear+25)&amp;"/"&amp;RIGHT(PlanYear+26,2),"")</f>
        <v/>
      </c>
      <c r="C57" s="16" t="str">
        <f>IF(26&lt;=$C$8,MID(IF('Child 1'!$Q$90=1,", "&amp;IF(Inputs!$C$14&lt;&gt;"",Inputs!$C$14,"Child 1"),"")&amp;IF('Child 2'!$Q$90=1,", "&amp;IF(Inputs!$D$14&lt;&gt;"",Inputs!$D$14,"Child 2"),"")&amp;IF('Child 3'!$Q$90=1,", "&amp;IF(Inputs!$E$14&lt;&gt;"",Inputs!$E$14,"Child 3"),"")&amp;IF('Child 4'!$Q$90=1,", "&amp;IF(Inputs!$F$14&lt;&gt;"",Inputs!$F$14,"Child 4"),""),3,200),"")</f>
        <v/>
      </c>
      <c r="D57" s="21" t="str">
        <f>IF(26&lt;=$C$8,ROUND('Child 1'!$M$90+'Child 2'!$M$90+'Child 3'!$M$90+'Child 4'!$M$90,2),"")</f>
        <v/>
      </c>
      <c r="E57" s="21" t="str">
        <f>IF(26&lt;=$C$8,ROUND('Child 1'!$N$90+'Child 2'!$N$90+'Child 3'!$N$90+'Child 4'!$N$90,2),"")</f>
        <v/>
      </c>
      <c r="F57" s="21" t="str">
        <f>IF(26&lt;=$C$8,ROUND('Child 1'!$O$90+'Child 2'!$O$90+'Child 3'!$O$90+'Child 4'!$O$90,2),"")</f>
        <v/>
      </c>
      <c r="G57" s="21" t="str">
        <f>IF(26&lt;=$C$8,ROUND('Child 1'!$D$90+'Child 2'!$D$90+'Child 3'!$D$90+'Child 4'!$D$90,2),"")</f>
        <v/>
      </c>
      <c r="H57" s="21" t="str">
        <f>IF(26&lt;=$C$8,ROUND('Child 1'!$P$90+'Child 2'!$P$90+'Child 3'!$P$90+'Child 4'!$P$90,2),"")</f>
        <v/>
      </c>
      <c r="T57" s="16" t="str">
        <f>IF(26&lt;=$C$8,B57,"")</f>
        <v/>
      </c>
      <c r="U57" s="16" t="e">
        <f>IF(26&lt;=$C$8,'Child 1'!$D$90,NA())</f>
        <v>#N/A</v>
      </c>
      <c r="V57" s="16" t="e">
        <f>IF(26&lt;=$C$8,'Child 2'!$D$90,NA())</f>
        <v>#N/A</v>
      </c>
      <c r="W57" s="16" t="e">
        <f>IF(26&lt;=$C$8,'Child 3'!$D$90,NA())</f>
        <v>#N/A</v>
      </c>
      <c r="X57" s="16" t="e">
        <f>IF(26&lt;=$C$8,'Child 4'!$D$90,NA())</f>
        <v>#N/A</v>
      </c>
      <c r="Y57" s="16" t="e">
        <f>IF(26&lt;=$C$8,E57,NA())</f>
        <v>#N/A</v>
      </c>
    </row>
    <row r="58" spans="2:25" x14ac:dyDescent="0.3">
      <c r="B58" s="16" t="str">
        <f>IF(27&lt;=$C$8,(PlanYear+26)&amp;"/"&amp;RIGHT(PlanYear+27,2),"")</f>
        <v/>
      </c>
      <c r="C58" s="16" t="str">
        <f>IF(27&lt;=$C$8,MID(IF('Child 1'!$Q$91=1,", "&amp;IF(Inputs!$C$14&lt;&gt;"",Inputs!$C$14,"Child 1"),"")&amp;IF('Child 2'!$Q$91=1,", "&amp;IF(Inputs!$D$14&lt;&gt;"",Inputs!$D$14,"Child 2"),"")&amp;IF('Child 3'!$Q$91=1,", "&amp;IF(Inputs!$E$14&lt;&gt;"",Inputs!$E$14,"Child 3"),"")&amp;IF('Child 4'!$Q$91=1,", "&amp;IF(Inputs!$F$14&lt;&gt;"",Inputs!$F$14,"Child 4"),""),3,200),"")</f>
        <v/>
      </c>
      <c r="D58" s="21" t="str">
        <f>IF(27&lt;=$C$8,ROUND('Child 1'!$M$91+'Child 2'!$M$91+'Child 3'!$M$91+'Child 4'!$M$91,2),"")</f>
        <v/>
      </c>
      <c r="E58" s="21" t="str">
        <f>IF(27&lt;=$C$8,ROUND('Child 1'!$N$91+'Child 2'!$N$91+'Child 3'!$N$91+'Child 4'!$N$91,2),"")</f>
        <v/>
      </c>
      <c r="F58" s="21" t="str">
        <f>IF(27&lt;=$C$8,ROUND('Child 1'!$O$91+'Child 2'!$O$91+'Child 3'!$O$91+'Child 4'!$O$91,2),"")</f>
        <v/>
      </c>
      <c r="G58" s="21" t="str">
        <f>IF(27&lt;=$C$8,ROUND('Child 1'!$D$91+'Child 2'!$D$91+'Child 3'!$D$91+'Child 4'!$D$91,2),"")</f>
        <v/>
      </c>
      <c r="H58" s="21" t="str">
        <f>IF(27&lt;=$C$8,ROUND('Child 1'!$P$91+'Child 2'!$P$91+'Child 3'!$P$91+'Child 4'!$P$91,2),"")</f>
        <v/>
      </c>
      <c r="T58" s="16" t="str">
        <f>IF(27&lt;=$C$8,B58,"")</f>
        <v/>
      </c>
      <c r="U58" s="16" t="e">
        <f>IF(27&lt;=$C$8,'Child 1'!$D$91,NA())</f>
        <v>#N/A</v>
      </c>
      <c r="V58" s="16" t="e">
        <f>IF(27&lt;=$C$8,'Child 2'!$D$91,NA())</f>
        <v>#N/A</v>
      </c>
      <c r="W58" s="16" t="e">
        <f>IF(27&lt;=$C$8,'Child 3'!$D$91,NA())</f>
        <v>#N/A</v>
      </c>
      <c r="X58" s="16" t="e">
        <f>IF(27&lt;=$C$8,'Child 4'!$D$91,NA())</f>
        <v>#N/A</v>
      </c>
      <c r="Y58" s="16" t="e">
        <f>IF(27&lt;=$C$8,E58,NA())</f>
        <v>#N/A</v>
      </c>
    </row>
    <row r="59" spans="2:25" x14ac:dyDescent="0.3">
      <c r="B59" s="16" t="str">
        <f>IF(28&lt;=$C$8,(PlanYear+27)&amp;"/"&amp;RIGHT(PlanYear+28,2),"")</f>
        <v/>
      </c>
      <c r="C59" s="16" t="str">
        <f>IF(28&lt;=$C$8,MID(IF('Child 1'!$Q$92=1,", "&amp;IF(Inputs!$C$14&lt;&gt;"",Inputs!$C$14,"Child 1"),"")&amp;IF('Child 2'!$Q$92=1,", "&amp;IF(Inputs!$D$14&lt;&gt;"",Inputs!$D$14,"Child 2"),"")&amp;IF('Child 3'!$Q$92=1,", "&amp;IF(Inputs!$E$14&lt;&gt;"",Inputs!$E$14,"Child 3"),"")&amp;IF('Child 4'!$Q$92=1,", "&amp;IF(Inputs!$F$14&lt;&gt;"",Inputs!$F$14,"Child 4"),""),3,200),"")</f>
        <v/>
      </c>
      <c r="D59" s="21" t="str">
        <f>IF(28&lt;=$C$8,ROUND('Child 1'!$M$92+'Child 2'!$M$92+'Child 3'!$M$92+'Child 4'!$M$92,2),"")</f>
        <v/>
      </c>
      <c r="E59" s="21" t="str">
        <f>IF(28&lt;=$C$8,ROUND('Child 1'!$N$92+'Child 2'!$N$92+'Child 3'!$N$92+'Child 4'!$N$92,2),"")</f>
        <v/>
      </c>
      <c r="F59" s="21" t="str">
        <f>IF(28&lt;=$C$8,ROUND('Child 1'!$O$92+'Child 2'!$O$92+'Child 3'!$O$92+'Child 4'!$O$92,2),"")</f>
        <v/>
      </c>
      <c r="G59" s="21" t="str">
        <f>IF(28&lt;=$C$8,ROUND('Child 1'!$D$92+'Child 2'!$D$92+'Child 3'!$D$92+'Child 4'!$D$92,2),"")</f>
        <v/>
      </c>
      <c r="H59" s="21" t="str">
        <f>IF(28&lt;=$C$8,ROUND('Child 1'!$P$92+'Child 2'!$P$92+'Child 3'!$P$92+'Child 4'!$P$92,2),"")</f>
        <v/>
      </c>
      <c r="T59" s="16" t="str">
        <f>IF(28&lt;=$C$8,B59,"")</f>
        <v/>
      </c>
      <c r="U59" s="16" t="e">
        <f>IF(28&lt;=$C$8,'Child 1'!$D$92,NA())</f>
        <v>#N/A</v>
      </c>
      <c r="V59" s="16" t="e">
        <f>IF(28&lt;=$C$8,'Child 2'!$D$92,NA())</f>
        <v>#N/A</v>
      </c>
      <c r="W59" s="16" t="e">
        <f>IF(28&lt;=$C$8,'Child 3'!$D$92,NA())</f>
        <v>#N/A</v>
      </c>
      <c r="X59" s="16" t="e">
        <f>IF(28&lt;=$C$8,'Child 4'!$D$92,NA())</f>
        <v>#N/A</v>
      </c>
      <c r="Y59" s="16" t="e">
        <f>IF(28&lt;=$C$8,E59,NA())</f>
        <v>#N/A</v>
      </c>
    </row>
    <row r="60" spans="2:25" x14ac:dyDescent="0.3">
      <c r="B60" s="16" t="str">
        <f>IF(29&lt;=$C$8,(PlanYear+28)&amp;"/"&amp;RIGHT(PlanYear+29,2),"")</f>
        <v/>
      </c>
      <c r="C60" s="16" t="str">
        <f>IF(29&lt;=$C$8,MID(IF('Child 1'!$Q$93=1,", "&amp;IF(Inputs!$C$14&lt;&gt;"",Inputs!$C$14,"Child 1"),"")&amp;IF('Child 2'!$Q$93=1,", "&amp;IF(Inputs!$D$14&lt;&gt;"",Inputs!$D$14,"Child 2"),"")&amp;IF('Child 3'!$Q$93=1,", "&amp;IF(Inputs!$E$14&lt;&gt;"",Inputs!$E$14,"Child 3"),"")&amp;IF('Child 4'!$Q$93=1,", "&amp;IF(Inputs!$F$14&lt;&gt;"",Inputs!$F$14,"Child 4"),""),3,200),"")</f>
        <v/>
      </c>
      <c r="D60" s="21" t="str">
        <f>IF(29&lt;=$C$8,ROUND('Child 1'!$M$93+'Child 2'!$M$93+'Child 3'!$M$93+'Child 4'!$M$93,2),"")</f>
        <v/>
      </c>
      <c r="E60" s="21" t="str">
        <f>IF(29&lt;=$C$8,ROUND('Child 1'!$N$93+'Child 2'!$N$93+'Child 3'!$N$93+'Child 4'!$N$93,2),"")</f>
        <v/>
      </c>
      <c r="F60" s="21" t="str">
        <f>IF(29&lt;=$C$8,ROUND('Child 1'!$O$93+'Child 2'!$O$93+'Child 3'!$O$93+'Child 4'!$O$93,2),"")</f>
        <v/>
      </c>
      <c r="G60" s="21" t="str">
        <f>IF(29&lt;=$C$8,ROUND('Child 1'!$D$93+'Child 2'!$D$93+'Child 3'!$D$93+'Child 4'!$D$93,2),"")</f>
        <v/>
      </c>
      <c r="H60" s="21" t="str">
        <f>IF(29&lt;=$C$8,ROUND('Child 1'!$P$93+'Child 2'!$P$93+'Child 3'!$P$93+'Child 4'!$P$93,2),"")</f>
        <v/>
      </c>
      <c r="T60" s="16" t="str">
        <f>IF(29&lt;=$C$8,B60,"")</f>
        <v/>
      </c>
      <c r="U60" s="16" t="e">
        <f>IF(29&lt;=$C$8,'Child 1'!$D$93,NA())</f>
        <v>#N/A</v>
      </c>
      <c r="V60" s="16" t="e">
        <f>IF(29&lt;=$C$8,'Child 2'!$D$93,NA())</f>
        <v>#N/A</v>
      </c>
      <c r="W60" s="16" t="e">
        <f>IF(29&lt;=$C$8,'Child 3'!$D$93,NA())</f>
        <v>#N/A</v>
      </c>
      <c r="X60" s="16" t="e">
        <f>IF(29&lt;=$C$8,'Child 4'!$D$93,NA())</f>
        <v>#N/A</v>
      </c>
      <c r="Y60" s="16" t="e">
        <f>IF(29&lt;=$C$8,E60,NA())</f>
        <v>#N/A</v>
      </c>
    </row>
    <row r="61" spans="2:25" x14ac:dyDescent="0.3">
      <c r="B61" s="16" t="str">
        <f>IF(30&lt;=$C$8,(PlanYear+29)&amp;"/"&amp;RIGHT(PlanYear+30,2),"")</f>
        <v/>
      </c>
      <c r="C61" s="16" t="str">
        <f>IF(30&lt;=$C$8,MID(IF('Child 1'!$Q$94=1,", "&amp;IF(Inputs!$C$14&lt;&gt;"",Inputs!$C$14,"Child 1"),"")&amp;IF('Child 2'!$Q$94=1,", "&amp;IF(Inputs!$D$14&lt;&gt;"",Inputs!$D$14,"Child 2"),"")&amp;IF('Child 3'!$Q$94=1,", "&amp;IF(Inputs!$E$14&lt;&gt;"",Inputs!$E$14,"Child 3"),"")&amp;IF('Child 4'!$Q$94=1,", "&amp;IF(Inputs!$F$14&lt;&gt;"",Inputs!$F$14,"Child 4"),""),3,200),"")</f>
        <v/>
      </c>
      <c r="D61" s="21" t="str">
        <f>IF(30&lt;=$C$8,ROUND('Child 1'!$M$94+'Child 2'!$M$94+'Child 3'!$M$94+'Child 4'!$M$94,2),"")</f>
        <v/>
      </c>
      <c r="E61" s="21" t="str">
        <f>IF(30&lt;=$C$8,ROUND('Child 1'!$N$94+'Child 2'!$N$94+'Child 3'!$N$94+'Child 4'!$N$94,2),"")</f>
        <v/>
      </c>
      <c r="F61" s="21" t="str">
        <f>IF(30&lt;=$C$8,ROUND('Child 1'!$O$94+'Child 2'!$O$94+'Child 3'!$O$94+'Child 4'!$O$94,2),"")</f>
        <v/>
      </c>
      <c r="G61" s="21" t="str">
        <f>IF(30&lt;=$C$8,ROUND('Child 1'!$D$94+'Child 2'!$D$94+'Child 3'!$D$94+'Child 4'!$D$94,2),"")</f>
        <v/>
      </c>
      <c r="H61" s="21" t="str">
        <f>IF(30&lt;=$C$8,ROUND('Child 1'!$P$94+'Child 2'!$P$94+'Child 3'!$P$94+'Child 4'!$P$94,2),"")</f>
        <v/>
      </c>
      <c r="T61" s="16" t="str">
        <f>IF(30&lt;=$C$8,B61,"")</f>
        <v/>
      </c>
      <c r="U61" s="16" t="e">
        <f>IF(30&lt;=$C$8,'Child 1'!$D$94,NA())</f>
        <v>#N/A</v>
      </c>
      <c r="V61" s="16" t="e">
        <f>IF(30&lt;=$C$8,'Child 2'!$D$94,NA())</f>
        <v>#N/A</v>
      </c>
      <c r="W61" s="16" t="e">
        <f>IF(30&lt;=$C$8,'Child 3'!$D$94,NA())</f>
        <v>#N/A</v>
      </c>
      <c r="X61" s="16" t="e">
        <f>IF(30&lt;=$C$8,'Child 4'!$D$94,NA())</f>
        <v>#N/A</v>
      </c>
      <c r="Y61" s="16" t="e">
        <f>IF(30&lt;=$C$8,E61,NA())</f>
        <v>#N/A</v>
      </c>
    </row>
    <row r="62" spans="2:25" x14ac:dyDescent="0.3">
      <c r="B62" s="16" t="str">
        <f>IF(31&lt;=$C$8,(PlanYear+30)&amp;"/"&amp;RIGHT(PlanYear+31,2),"")</f>
        <v/>
      </c>
      <c r="C62" s="16" t="str">
        <f>IF(31&lt;=$C$8,MID(IF('Child 1'!$Q$95=1,", "&amp;IF(Inputs!$C$14&lt;&gt;"",Inputs!$C$14,"Child 1"),"")&amp;IF('Child 2'!$Q$95=1,", "&amp;IF(Inputs!$D$14&lt;&gt;"",Inputs!$D$14,"Child 2"),"")&amp;IF('Child 3'!$Q$95=1,", "&amp;IF(Inputs!$E$14&lt;&gt;"",Inputs!$E$14,"Child 3"),"")&amp;IF('Child 4'!$Q$95=1,", "&amp;IF(Inputs!$F$14&lt;&gt;"",Inputs!$F$14,"Child 4"),""),3,200),"")</f>
        <v/>
      </c>
      <c r="D62" s="21" t="str">
        <f>IF(31&lt;=$C$8,ROUND('Child 1'!$M$95+'Child 2'!$M$95+'Child 3'!$M$95+'Child 4'!$M$95,2),"")</f>
        <v/>
      </c>
      <c r="E62" s="21" t="str">
        <f>IF(31&lt;=$C$8,ROUND('Child 1'!$N$95+'Child 2'!$N$95+'Child 3'!$N$95+'Child 4'!$N$95,2),"")</f>
        <v/>
      </c>
      <c r="F62" s="21" t="str">
        <f>IF(31&lt;=$C$8,ROUND('Child 1'!$O$95+'Child 2'!$O$95+'Child 3'!$O$95+'Child 4'!$O$95,2),"")</f>
        <v/>
      </c>
      <c r="G62" s="21" t="str">
        <f>IF(31&lt;=$C$8,ROUND('Child 1'!$D$95+'Child 2'!$D$95+'Child 3'!$D$95+'Child 4'!$D$95,2),"")</f>
        <v/>
      </c>
      <c r="H62" s="21" t="str">
        <f>IF(31&lt;=$C$8,ROUND('Child 1'!$P$95+'Child 2'!$P$95+'Child 3'!$P$95+'Child 4'!$P$95,2),"")</f>
        <v/>
      </c>
    </row>
    <row r="63" spans="2:25" x14ac:dyDescent="0.3">
      <c r="B63" s="16" t="str">
        <f>IF(32&lt;=$C$8,(PlanYear+31)&amp;"/"&amp;RIGHT(PlanYear+32,2),"")</f>
        <v/>
      </c>
      <c r="C63" s="16" t="str">
        <f>IF(32&lt;=$C$8,MID(IF('Child 1'!$Q$96=1,", "&amp;IF(Inputs!$C$14&lt;&gt;"",Inputs!$C$14,"Child 1"),"")&amp;IF('Child 2'!$Q$96=1,", "&amp;IF(Inputs!$D$14&lt;&gt;"",Inputs!$D$14,"Child 2"),"")&amp;IF('Child 3'!$Q$96=1,", "&amp;IF(Inputs!$E$14&lt;&gt;"",Inputs!$E$14,"Child 3"),"")&amp;IF('Child 4'!$Q$96=1,", "&amp;IF(Inputs!$F$14&lt;&gt;"",Inputs!$F$14,"Child 4"),""),3,200),"")</f>
        <v/>
      </c>
      <c r="D63" s="21" t="str">
        <f>IF(32&lt;=$C$8,ROUND('Child 1'!$M$96+'Child 2'!$M$96+'Child 3'!$M$96+'Child 4'!$M$96,2),"")</f>
        <v/>
      </c>
      <c r="E63" s="21" t="str">
        <f>IF(32&lt;=$C$8,ROUND('Child 1'!$N$96+'Child 2'!$N$96+'Child 3'!$N$96+'Child 4'!$N$96,2),"")</f>
        <v/>
      </c>
      <c r="F63" s="21" t="str">
        <f>IF(32&lt;=$C$8,ROUND('Child 1'!$O$96+'Child 2'!$O$96+'Child 3'!$O$96+'Child 4'!$O$96,2),"")</f>
        <v/>
      </c>
      <c r="G63" s="21" t="str">
        <f>IF(32&lt;=$C$8,ROUND('Child 1'!$D$96+'Child 2'!$D$96+'Child 3'!$D$96+'Child 4'!$D$96,2),"")</f>
        <v/>
      </c>
      <c r="H63" s="21" t="str">
        <f>IF(32&lt;=$C$8,ROUND('Child 1'!$P$96+'Child 2'!$P$96+'Child 3'!$P$96+'Child 4'!$P$96,2),"")</f>
        <v/>
      </c>
    </row>
    <row r="64" spans="2:25" x14ac:dyDescent="0.3">
      <c r="B64" s="16" t="str">
        <f>IF(33&lt;=$C$8,(PlanYear+32)&amp;"/"&amp;RIGHT(PlanYear+33,2),"")</f>
        <v/>
      </c>
      <c r="C64" s="16" t="str">
        <f>IF(33&lt;=$C$8,MID(IF('Child 1'!$Q$97=1,", "&amp;IF(Inputs!$C$14&lt;&gt;"",Inputs!$C$14,"Child 1"),"")&amp;IF('Child 2'!$Q$97=1,", "&amp;IF(Inputs!$D$14&lt;&gt;"",Inputs!$D$14,"Child 2"),"")&amp;IF('Child 3'!$Q$97=1,", "&amp;IF(Inputs!$E$14&lt;&gt;"",Inputs!$E$14,"Child 3"),"")&amp;IF('Child 4'!$Q$97=1,", "&amp;IF(Inputs!$F$14&lt;&gt;"",Inputs!$F$14,"Child 4"),""),3,200),"")</f>
        <v/>
      </c>
      <c r="D64" s="21" t="str">
        <f>IF(33&lt;=$C$8,ROUND('Child 1'!$M$97+'Child 2'!$M$97+'Child 3'!$M$97+'Child 4'!$M$97,2),"")</f>
        <v/>
      </c>
      <c r="E64" s="21" t="str">
        <f>IF(33&lt;=$C$8,ROUND('Child 1'!$N$97+'Child 2'!$N$97+'Child 3'!$N$97+'Child 4'!$N$97,2),"")</f>
        <v/>
      </c>
      <c r="F64" s="21" t="str">
        <f>IF(33&lt;=$C$8,ROUND('Child 1'!$O$97+'Child 2'!$O$97+'Child 3'!$O$97+'Child 4'!$O$97,2),"")</f>
        <v/>
      </c>
      <c r="G64" s="21" t="str">
        <f>IF(33&lt;=$C$8,ROUND('Child 1'!$D$97+'Child 2'!$D$97+'Child 3'!$D$97+'Child 4'!$D$97,2),"")</f>
        <v/>
      </c>
      <c r="H64" s="21" t="str">
        <f>IF(33&lt;=$C$8,ROUND('Child 1'!$P$97+'Child 2'!$P$97+'Child 3'!$P$97+'Child 4'!$P$97,2),"")</f>
        <v/>
      </c>
    </row>
    <row r="65" spans="2:8" x14ac:dyDescent="0.3">
      <c r="B65" s="16" t="str">
        <f>IF(34&lt;=$C$8,(PlanYear+33)&amp;"/"&amp;RIGHT(PlanYear+34,2),"")</f>
        <v/>
      </c>
      <c r="C65" s="16" t="str">
        <f>IF(34&lt;=$C$8,MID(IF('Child 1'!$Q$98=1,", "&amp;IF(Inputs!$C$14&lt;&gt;"",Inputs!$C$14,"Child 1"),"")&amp;IF('Child 2'!$Q$98=1,", "&amp;IF(Inputs!$D$14&lt;&gt;"",Inputs!$D$14,"Child 2"),"")&amp;IF('Child 3'!$Q$98=1,", "&amp;IF(Inputs!$E$14&lt;&gt;"",Inputs!$E$14,"Child 3"),"")&amp;IF('Child 4'!$Q$98=1,", "&amp;IF(Inputs!$F$14&lt;&gt;"",Inputs!$F$14,"Child 4"),""),3,200),"")</f>
        <v/>
      </c>
      <c r="D65" s="21" t="str">
        <f>IF(34&lt;=$C$8,ROUND('Child 1'!$M$98+'Child 2'!$M$98+'Child 3'!$M$98+'Child 4'!$M$98,2),"")</f>
        <v/>
      </c>
      <c r="E65" s="21" t="str">
        <f>IF(34&lt;=$C$8,ROUND('Child 1'!$N$98+'Child 2'!$N$98+'Child 3'!$N$98+'Child 4'!$N$98,2),"")</f>
        <v/>
      </c>
      <c r="F65" s="21" t="str">
        <f>IF(34&lt;=$C$8,ROUND('Child 1'!$O$98+'Child 2'!$O$98+'Child 3'!$O$98+'Child 4'!$O$98,2),"")</f>
        <v/>
      </c>
      <c r="G65" s="21" t="str">
        <f>IF(34&lt;=$C$8,ROUND('Child 1'!$D$98+'Child 2'!$D$98+'Child 3'!$D$98+'Child 4'!$D$98,2),"")</f>
        <v/>
      </c>
      <c r="H65" s="21" t="str">
        <f>IF(34&lt;=$C$8,ROUND('Child 1'!$P$98+'Child 2'!$P$98+'Child 3'!$P$98+'Child 4'!$P$98,2),"")</f>
        <v/>
      </c>
    </row>
    <row r="66" spans="2:8" x14ac:dyDescent="0.3">
      <c r="B66" s="16" t="str">
        <f>IF(35&lt;=$C$8,(PlanYear+34)&amp;"/"&amp;RIGHT(PlanYear+35,2),"")</f>
        <v/>
      </c>
      <c r="C66" s="16" t="str">
        <f>IF(35&lt;=$C$8,MID(IF('Child 1'!$Q$99=1,", "&amp;IF(Inputs!$C$14&lt;&gt;"",Inputs!$C$14,"Child 1"),"")&amp;IF('Child 2'!$Q$99=1,", "&amp;IF(Inputs!$D$14&lt;&gt;"",Inputs!$D$14,"Child 2"),"")&amp;IF('Child 3'!$Q$99=1,", "&amp;IF(Inputs!$E$14&lt;&gt;"",Inputs!$E$14,"Child 3"),"")&amp;IF('Child 4'!$Q$99=1,", "&amp;IF(Inputs!$F$14&lt;&gt;"",Inputs!$F$14,"Child 4"),""),3,200),"")</f>
        <v/>
      </c>
      <c r="D66" s="21" t="str">
        <f>IF(35&lt;=$C$8,ROUND('Child 1'!$M$99+'Child 2'!$M$99+'Child 3'!$M$99+'Child 4'!$M$99,2),"")</f>
        <v/>
      </c>
      <c r="E66" s="21" t="str">
        <f>IF(35&lt;=$C$8,ROUND('Child 1'!$N$99+'Child 2'!$N$99+'Child 3'!$N$99+'Child 4'!$N$99,2),"")</f>
        <v/>
      </c>
      <c r="F66" s="21" t="str">
        <f>IF(35&lt;=$C$8,ROUND('Child 1'!$O$99+'Child 2'!$O$99+'Child 3'!$O$99+'Child 4'!$O$99,2),"")</f>
        <v/>
      </c>
      <c r="G66" s="21" t="str">
        <f>IF(35&lt;=$C$8,ROUND('Child 1'!$D$99+'Child 2'!$D$99+'Child 3'!$D$99+'Child 4'!$D$99,2),"")</f>
        <v/>
      </c>
      <c r="H66" s="21" t="str">
        <f>IF(35&lt;=$C$8,ROUND('Child 1'!$P$99+'Child 2'!$P$99+'Child 3'!$P$99+'Child 4'!$P$99,2),"")</f>
        <v/>
      </c>
    </row>
    <row r="67" spans="2:8" x14ac:dyDescent="0.3">
      <c r="B67" s="16" t="str">
        <f>IF(36&lt;=$C$8,(PlanYear+35)&amp;"/"&amp;RIGHT(PlanYear+36,2),"")</f>
        <v/>
      </c>
      <c r="C67" s="16" t="str">
        <f>IF(36&lt;=$C$8,MID(IF('Child 1'!$Q$100=1,", "&amp;IF(Inputs!$C$14&lt;&gt;"",Inputs!$C$14,"Child 1"),"")&amp;IF('Child 2'!$Q$100=1,", "&amp;IF(Inputs!$D$14&lt;&gt;"",Inputs!$D$14,"Child 2"),"")&amp;IF('Child 3'!$Q$100=1,", "&amp;IF(Inputs!$E$14&lt;&gt;"",Inputs!$E$14,"Child 3"),"")&amp;IF('Child 4'!$Q$100=1,", "&amp;IF(Inputs!$F$14&lt;&gt;"",Inputs!$F$14,"Child 4"),""),3,200),"")</f>
        <v/>
      </c>
      <c r="D67" s="21" t="str">
        <f>IF(36&lt;=$C$8,ROUND('Child 1'!$M$100+'Child 2'!$M$100+'Child 3'!$M$100+'Child 4'!$M$100,2),"")</f>
        <v/>
      </c>
      <c r="E67" s="21" t="str">
        <f>IF(36&lt;=$C$8,ROUND('Child 1'!$N$100+'Child 2'!$N$100+'Child 3'!$N$100+'Child 4'!$N$100,2),"")</f>
        <v/>
      </c>
      <c r="F67" s="21" t="str">
        <f>IF(36&lt;=$C$8,ROUND('Child 1'!$O$100+'Child 2'!$O$100+'Child 3'!$O$100+'Child 4'!$O$100,2),"")</f>
        <v/>
      </c>
      <c r="G67" s="21" t="str">
        <f>IF(36&lt;=$C$8,ROUND('Child 1'!$D$100+'Child 2'!$D$100+'Child 3'!$D$100+'Child 4'!$D$100,2),"")</f>
        <v/>
      </c>
      <c r="H67" s="21" t="str">
        <f>IF(36&lt;=$C$8,ROUND('Child 1'!$P$100+'Child 2'!$P$100+'Child 3'!$P$100+'Child 4'!$P$100,2),"")</f>
        <v/>
      </c>
    </row>
    <row r="68" spans="2:8" x14ac:dyDescent="0.3">
      <c r="B68" s="16" t="str">
        <f>IF(37&lt;=$C$8,(PlanYear+36)&amp;"/"&amp;RIGHT(PlanYear+37,2),"")</f>
        <v/>
      </c>
      <c r="C68" s="16" t="str">
        <f>IF(37&lt;=$C$8,MID(IF('Child 1'!$Q$101=1,", "&amp;IF(Inputs!$C$14&lt;&gt;"",Inputs!$C$14,"Child 1"),"")&amp;IF('Child 2'!$Q$101=1,", "&amp;IF(Inputs!$D$14&lt;&gt;"",Inputs!$D$14,"Child 2"),"")&amp;IF('Child 3'!$Q$101=1,", "&amp;IF(Inputs!$E$14&lt;&gt;"",Inputs!$E$14,"Child 3"),"")&amp;IF('Child 4'!$Q$101=1,", "&amp;IF(Inputs!$F$14&lt;&gt;"",Inputs!$F$14,"Child 4"),""),3,200),"")</f>
        <v/>
      </c>
      <c r="D68" s="21" t="str">
        <f>IF(37&lt;=$C$8,ROUND('Child 1'!$M$101+'Child 2'!$M$101+'Child 3'!$M$101+'Child 4'!$M$101,2),"")</f>
        <v/>
      </c>
      <c r="E68" s="21" t="str">
        <f>IF(37&lt;=$C$8,ROUND('Child 1'!$N$101+'Child 2'!$N$101+'Child 3'!$N$101+'Child 4'!$N$101,2),"")</f>
        <v/>
      </c>
      <c r="F68" s="21" t="str">
        <f>IF(37&lt;=$C$8,ROUND('Child 1'!$O$101+'Child 2'!$O$101+'Child 3'!$O$101+'Child 4'!$O$101,2),"")</f>
        <v/>
      </c>
      <c r="G68" s="21" t="str">
        <f>IF(37&lt;=$C$8,ROUND('Child 1'!$D$101+'Child 2'!$D$101+'Child 3'!$D$101+'Child 4'!$D$101,2),"")</f>
        <v/>
      </c>
      <c r="H68" s="21" t="str">
        <f>IF(37&lt;=$C$8,ROUND('Child 1'!$P$101+'Child 2'!$P$101+'Child 3'!$P$101+'Child 4'!$P$101,2),"")</f>
        <v/>
      </c>
    </row>
    <row r="69" spans="2:8" x14ac:dyDescent="0.3">
      <c r="B69" s="16" t="str">
        <f>IF(38&lt;=$C$8,(PlanYear+37)&amp;"/"&amp;RIGHT(PlanYear+38,2),"")</f>
        <v/>
      </c>
      <c r="C69" s="16" t="str">
        <f>IF(38&lt;=$C$8,MID(IF('Child 1'!$Q$102=1,", "&amp;IF(Inputs!$C$14&lt;&gt;"",Inputs!$C$14,"Child 1"),"")&amp;IF('Child 2'!$Q$102=1,", "&amp;IF(Inputs!$D$14&lt;&gt;"",Inputs!$D$14,"Child 2"),"")&amp;IF('Child 3'!$Q$102=1,", "&amp;IF(Inputs!$E$14&lt;&gt;"",Inputs!$E$14,"Child 3"),"")&amp;IF('Child 4'!$Q$102=1,", "&amp;IF(Inputs!$F$14&lt;&gt;"",Inputs!$F$14,"Child 4"),""),3,200),"")</f>
        <v/>
      </c>
      <c r="D69" s="21" t="str">
        <f>IF(38&lt;=$C$8,ROUND('Child 1'!$M$102+'Child 2'!$M$102+'Child 3'!$M$102+'Child 4'!$M$102,2),"")</f>
        <v/>
      </c>
      <c r="E69" s="21" t="str">
        <f>IF(38&lt;=$C$8,ROUND('Child 1'!$N$102+'Child 2'!$N$102+'Child 3'!$N$102+'Child 4'!$N$102,2),"")</f>
        <v/>
      </c>
      <c r="F69" s="21" t="str">
        <f>IF(38&lt;=$C$8,ROUND('Child 1'!$O$102+'Child 2'!$O$102+'Child 3'!$O$102+'Child 4'!$O$102,2),"")</f>
        <v/>
      </c>
      <c r="G69" s="21" t="str">
        <f>IF(38&lt;=$C$8,ROUND('Child 1'!$D$102+'Child 2'!$D$102+'Child 3'!$D$102+'Child 4'!$D$102,2),"")</f>
        <v/>
      </c>
      <c r="H69" s="21" t="str">
        <f>IF(38&lt;=$C$8,ROUND('Child 1'!$P$102+'Child 2'!$P$102+'Child 3'!$P$102+'Child 4'!$P$102,2),"")</f>
        <v/>
      </c>
    </row>
    <row r="70" spans="2:8" x14ac:dyDescent="0.3">
      <c r="B70" s="16" t="str">
        <f>IF(39&lt;=$C$8,(PlanYear+38)&amp;"/"&amp;RIGHT(PlanYear+39,2),"")</f>
        <v/>
      </c>
      <c r="C70" s="16" t="str">
        <f>IF(39&lt;=$C$8,MID(IF('Child 1'!$Q$103=1,", "&amp;IF(Inputs!$C$14&lt;&gt;"",Inputs!$C$14,"Child 1"),"")&amp;IF('Child 2'!$Q$103=1,", "&amp;IF(Inputs!$D$14&lt;&gt;"",Inputs!$D$14,"Child 2"),"")&amp;IF('Child 3'!$Q$103=1,", "&amp;IF(Inputs!$E$14&lt;&gt;"",Inputs!$E$14,"Child 3"),"")&amp;IF('Child 4'!$Q$103=1,", "&amp;IF(Inputs!$F$14&lt;&gt;"",Inputs!$F$14,"Child 4"),""),3,200),"")</f>
        <v/>
      </c>
      <c r="D70" s="21" t="str">
        <f>IF(39&lt;=$C$8,ROUND('Child 1'!$M$103+'Child 2'!$M$103+'Child 3'!$M$103+'Child 4'!$M$103,2),"")</f>
        <v/>
      </c>
      <c r="E70" s="21" t="str">
        <f>IF(39&lt;=$C$8,ROUND('Child 1'!$N$103+'Child 2'!$N$103+'Child 3'!$N$103+'Child 4'!$N$103,2),"")</f>
        <v/>
      </c>
      <c r="F70" s="21" t="str">
        <f>IF(39&lt;=$C$8,ROUND('Child 1'!$O$103+'Child 2'!$O$103+'Child 3'!$O$103+'Child 4'!$O$103,2),"")</f>
        <v/>
      </c>
      <c r="G70" s="21" t="str">
        <f>IF(39&lt;=$C$8,ROUND('Child 1'!$D$103+'Child 2'!$D$103+'Child 3'!$D$103+'Child 4'!$D$103,2),"")</f>
        <v/>
      </c>
      <c r="H70" s="21" t="str">
        <f>IF(39&lt;=$C$8,ROUND('Child 1'!$P$103+'Child 2'!$P$103+'Child 3'!$P$103+'Child 4'!$P$103,2),"")</f>
        <v/>
      </c>
    </row>
    <row r="71" spans="2:8" x14ac:dyDescent="0.3">
      <c r="B71" s="16" t="str">
        <f>IF(40&lt;=$C$8,(PlanYear+39)&amp;"/"&amp;RIGHT(PlanYear+40,2),"")</f>
        <v/>
      </c>
      <c r="C71" s="16" t="str">
        <f>IF(40&lt;=$C$8,MID(IF('Child 1'!$Q$104=1,", "&amp;IF(Inputs!$C$14&lt;&gt;"",Inputs!$C$14,"Child 1"),"")&amp;IF('Child 2'!$Q$104=1,", "&amp;IF(Inputs!$D$14&lt;&gt;"",Inputs!$D$14,"Child 2"),"")&amp;IF('Child 3'!$Q$104=1,", "&amp;IF(Inputs!$E$14&lt;&gt;"",Inputs!$E$14,"Child 3"),"")&amp;IF('Child 4'!$Q$104=1,", "&amp;IF(Inputs!$F$14&lt;&gt;"",Inputs!$F$14,"Child 4"),""),3,200),"")</f>
        <v/>
      </c>
      <c r="D71" s="21" t="str">
        <f>IF(40&lt;=$C$8,ROUND('Child 1'!$M$104+'Child 2'!$M$104+'Child 3'!$M$104+'Child 4'!$M$104,2),"")</f>
        <v/>
      </c>
      <c r="E71" s="21" t="str">
        <f>IF(40&lt;=$C$8,ROUND('Child 1'!$N$104+'Child 2'!$N$104+'Child 3'!$N$104+'Child 4'!$N$104,2),"")</f>
        <v/>
      </c>
      <c r="F71" s="21" t="str">
        <f>IF(40&lt;=$C$8,ROUND('Child 1'!$O$104+'Child 2'!$O$104+'Child 3'!$O$104+'Child 4'!$O$104,2),"")</f>
        <v/>
      </c>
      <c r="G71" s="21" t="str">
        <f>IF(40&lt;=$C$8,ROUND('Child 1'!$D$104+'Child 2'!$D$104+'Child 3'!$D$104+'Child 4'!$D$104,2),"")</f>
        <v/>
      </c>
      <c r="H71" s="21" t="str">
        <f>IF(40&lt;=$C$8,ROUND('Child 1'!$P$104+'Child 2'!$P$104+'Child 3'!$P$104+'Child 4'!$P$104,2),"")</f>
        <v/>
      </c>
    </row>
    <row r="72" spans="2:8" x14ac:dyDescent="0.3">
      <c r="B72" s="16" t="str">
        <f>IF(41&lt;=$C$8,(PlanYear+40)&amp;"/"&amp;RIGHT(PlanYear+41,2),"")</f>
        <v/>
      </c>
      <c r="C72" s="16" t="str">
        <f>IF(41&lt;=$C$8,MID(IF('Child 1'!$Q$105=1,", "&amp;IF(Inputs!$C$14&lt;&gt;"",Inputs!$C$14,"Child 1"),"")&amp;IF('Child 2'!$Q$105=1,", "&amp;IF(Inputs!$D$14&lt;&gt;"",Inputs!$D$14,"Child 2"),"")&amp;IF('Child 3'!$Q$105=1,", "&amp;IF(Inputs!$E$14&lt;&gt;"",Inputs!$E$14,"Child 3"),"")&amp;IF('Child 4'!$Q$105=1,", "&amp;IF(Inputs!$F$14&lt;&gt;"",Inputs!$F$14,"Child 4"),""),3,200),"")</f>
        <v/>
      </c>
      <c r="D72" s="21" t="str">
        <f>IF(41&lt;=$C$8,ROUND('Child 1'!$M$105+'Child 2'!$M$105+'Child 3'!$M$105+'Child 4'!$M$105,2),"")</f>
        <v/>
      </c>
      <c r="E72" s="21" t="str">
        <f>IF(41&lt;=$C$8,ROUND('Child 1'!$N$105+'Child 2'!$N$105+'Child 3'!$N$105+'Child 4'!$N$105,2),"")</f>
        <v/>
      </c>
      <c r="F72" s="21" t="str">
        <f>IF(41&lt;=$C$8,ROUND('Child 1'!$O$105+'Child 2'!$O$105+'Child 3'!$O$105+'Child 4'!$O$105,2),"")</f>
        <v/>
      </c>
      <c r="G72" s="21" t="str">
        <f>IF(41&lt;=$C$8,ROUND('Child 1'!$D$105+'Child 2'!$D$105+'Child 3'!$D$105+'Child 4'!$D$105,2),"")</f>
        <v/>
      </c>
      <c r="H72" s="21" t="str">
        <f>IF(41&lt;=$C$8,ROUND('Child 1'!$P$105+'Child 2'!$P$105+'Child 3'!$P$105+'Child 4'!$P$105,2),"")</f>
        <v/>
      </c>
    </row>
    <row r="73" spans="2:8" x14ac:dyDescent="0.3">
      <c r="B73" s="16" t="str">
        <f>IF(42&lt;=$C$8,(PlanYear+41)&amp;"/"&amp;RIGHT(PlanYear+42,2),"")</f>
        <v/>
      </c>
      <c r="C73" s="16" t="str">
        <f>IF(42&lt;=$C$8,MID(IF('Child 1'!$Q$106=1,", "&amp;IF(Inputs!$C$14&lt;&gt;"",Inputs!$C$14,"Child 1"),"")&amp;IF('Child 2'!$Q$106=1,", "&amp;IF(Inputs!$D$14&lt;&gt;"",Inputs!$D$14,"Child 2"),"")&amp;IF('Child 3'!$Q$106=1,", "&amp;IF(Inputs!$E$14&lt;&gt;"",Inputs!$E$14,"Child 3"),"")&amp;IF('Child 4'!$Q$106=1,", "&amp;IF(Inputs!$F$14&lt;&gt;"",Inputs!$F$14,"Child 4"),""),3,200),"")</f>
        <v/>
      </c>
      <c r="D73" s="21" t="str">
        <f>IF(42&lt;=$C$8,ROUND('Child 1'!$M$106+'Child 2'!$M$106+'Child 3'!$M$106+'Child 4'!$M$106,2),"")</f>
        <v/>
      </c>
      <c r="E73" s="21" t="str">
        <f>IF(42&lt;=$C$8,ROUND('Child 1'!$N$106+'Child 2'!$N$106+'Child 3'!$N$106+'Child 4'!$N$106,2),"")</f>
        <v/>
      </c>
      <c r="F73" s="21" t="str">
        <f>IF(42&lt;=$C$8,ROUND('Child 1'!$O$106+'Child 2'!$O$106+'Child 3'!$O$106+'Child 4'!$O$106,2),"")</f>
        <v/>
      </c>
      <c r="G73" s="21" t="str">
        <f>IF(42&lt;=$C$8,ROUND('Child 1'!$D$106+'Child 2'!$D$106+'Child 3'!$D$106+'Child 4'!$D$106,2),"")</f>
        <v/>
      </c>
      <c r="H73" s="21" t="str">
        <f>IF(42&lt;=$C$8,ROUND('Child 1'!$P$106+'Child 2'!$P$106+'Child 3'!$P$106+'Child 4'!$P$106,2),"")</f>
        <v/>
      </c>
    </row>
    <row r="74" spans="2:8" x14ac:dyDescent="0.3">
      <c r="B74" s="16" t="str">
        <f>IF(43&lt;=$C$8,(PlanYear+42)&amp;"/"&amp;RIGHT(PlanYear+43,2),"")</f>
        <v/>
      </c>
      <c r="C74" s="16" t="str">
        <f>IF(43&lt;=$C$8,MID(IF('Child 1'!$Q$107=1,", "&amp;IF(Inputs!$C$14&lt;&gt;"",Inputs!$C$14,"Child 1"),"")&amp;IF('Child 2'!$Q$107=1,", "&amp;IF(Inputs!$D$14&lt;&gt;"",Inputs!$D$14,"Child 2"),"")&amp;IF('Child 3'!$Q$107=1,", "&amp;IF(Inputs!$E$14&lt;&gt;"",Inputs!$E$14,"Child 3"),"")&amp;IF('Child 4'!$Q$107=1,", "&amp;IF(Inputs!$F$14&lt;&gt;"",Inputs!$F$14,"Child 4"),""),3,200),"")</f>
        <v/>
      </c>
      <c r="D74" s="21" t="str">
        <f>IF(43&lt;=$C$8,ROUND('Child 1'!$M$107+'Child 2'!$M$107+'Child 3'!$M$107+'Child 4'!$M$107,2),"")</f>
        <v/>
      </c>
      <c r="E74" s="21" t="str">
        <f>IF(43&lt;=$C$8,ROUND('Child 1'!$N$107+'Child 2'!$N$107+'Child 3'!$N$107+'Child 4'!$N$107,2),"")</f>
        <v/>
      </c>
      <c r="F74" s="21" t="str">
        <f>IF(43&lt;=$C$8,ROUND('Child 1'!$O$107+'Child 2'!$O$107+'Child 3'!$O$107+'Child 4'!$O$107,2),"")</f>
        <v/>
      </c>
      <c r="G74" s="21" t="str">
        <f>IF(43&lt;=$C$8,ROUND('Child 1'!$D$107+'Child 2'!$D$107+'Child 3'!$D$107+'Child 4'!$D$107,2),"")</f>
        <v/>
      </c>
      <c r="H74" s="21" t="str">
        <f>IF(43&lt;=$C$8,ROUND('Child 1'!$P$107+'Child 2'!$P$107+'Child 3'!$P$107+'Child 4'!$P$107,2),"")</f>
        <v/>
      </c>
    </row>
    <row r="75" spans="2:8" x14ac:dyDescent="0.3">
      <c r="B75" s="16" t="str">
        <f>IF(44&lt;=$C$8,(PlanYear+43)&amp;"/"&amp;RIGHT(PlanYear+44,2),"")</f>
        <v/>
      </c>
      <c r="C75" s="16" t="str">
        <f>IF(44&lt;=$C$8,MID(IF('Child 1'!$Q$108=1,", "&amp;IF(Inputs!$C$14&lt;&gt;"",Inputs!$C$14,"Child 1"),"")&amp;IF('Child 2'!$Q$108=1,", "&amp;IF(Inputs!$D$14&lt;&gt;"",Inputs!$D$14,"Child 2"),"")&amp;IF('Child 3'!$Q$108=1,", "&amp;IF(Inputs!$E$14&lt;&gt;"",Inputs!$E$14,"Child 3"),"")&amp;IF('Child 4'!$Q$108=1,", "&amp;IF(Inputs!$F$14&lt;&gt;"",Inputs!$F$14,"Child 4"),""),3,200),"")</f>
        <v/>
      </c>
      <c r="D75" s="21" t="str">
        <f>IF(44&lt;=$C$8,ROUND('Child 1'!$M$108+'Child 2'!$M$108+'Child 3'!$M$108+'Child 4'!$M$108,2),"")</f>
        <v/>
      </c>
      <c r="E75" s="21" t="str">
        <f>IF(44&lt;=$C$8,ROUND('Child 1'!$N$108+'Child 2'!$N$108+'Child 3'!$N$108+'Child 4'!$N$108,2),"")</f>
        <v/>
      </c>
      <c r="F75" s="21" t="str">
        <f>IF(44&lt;=$C$8,ROUND('Child 1'!$O$108+'Child 2'!$O$108+'Child 3'!$O$108+'Child 4'!$O$108,2),"")</f>
        <v/>
      </c>
      <c r="G75" s="21" t="str">
        <f>IF(44&lt;=$C$8,ROUND('Child 1'!$D$108+'Child 2'!$D$108+'Child 3'!$D$108+'Child 4'!$D$108,2),"")</f>
        <v/>
      </c>
      <c r="H75" s="21" t="str">
        <f>IF(44&lt;=$C$8,ROUND('Child 1'!$P$108+'Child 2'!$P$108+'Child 3'!$P$108+'Child 4'!$P$108,2),"")</f>
        <v/>
      </c>
    </row>
    <row r="76" spans="2:8" x14ac:dyDescent="0.3">
      <c r="B76" s="16" t="str">
        <f>IF(45&lt;=$C$8,(PlanYear+44)&amp;"/"&amp;RIGHT(PlanYear+45,2),"")</f>
        <v/>
      </c>
      <c r="C76" s="16" t="str">
        <f>IF(45&lt;=$C$8,MID(IF('Child 1'!$Q$109=1,", "&amp;IF(Inputs!$C$14&lt;&gt;"",Inputs!$C$14,"Child 1"),"")&amp;IF('Child 2'!$Q$109=1,", "&amp;IF(Inputs!$D$14&lt;&gt;"",Inputs!$D$14,"Child 2"),"")&amp;IF('Child 3'!$Q$109=1,", "&amp;IF(Inputs!$E$14&lt;&gt;"",Inputs!$E$14,"Child 3"),"")&amp;IF('Child 4'!$Q$109=1,", "&amp;IF(Inputs!$F$14&lt;&gt;"",Inputs!$F$14,"Child 4"),""),3,200),"")</f>
        <v/>
      </c>
      <c r="D76" s="21" t="str">
        <f>IF(45&lt;=$C$8,ROUND('Child 1'!$M$109+'Child 2'!$M$109+'Child 3'!$M$109+'Child 4'!$M$109,2),"")</f>
        <v/>
      </c>
      <c r="E76" s="21" t="str">
        <f>IF(45&lt;=$C$8,ROUND('Child 1'!$N$109+'Child 2'!$N$109+'Child 3'!$N$109+'Child 4'!$N$109,2),"")</f>
        <v/>
      </c>
      <c r="F76" s="21" t="str">
        <f>IF(45&lt;=$C$8,ROUND('Child 1'!$O$109+'Child 2'!$O$109+'Child 3'!$O$109+'Child 4'!$O$109,2),"")</f>
        <v/>
      </c>
      <c r="G76" s="21" t="str">
        <f>IF(45&lt;=$C$8,ROUND('Child 1'!$D$109+'Child 2'!$D$109+'Child 3'!$D$109+'Child 4'!$D$109,2),"")</f>
        <v/>
      </c>
      <c r="H76" s="21" t="str">
        <f>IF(45&lt;=$C$8,ROUND('Child 1'!$P$109+'Child 2'!$P$109+'Child 3'!$P$109+'Child 4'!$P$109,2),"")</f>
        <v/>
      </c>
    </row>
    <row r="77" spans="2:8" x14ac:dyDescent="0.3">
      <c r="B77" s="16" t="str">
        <f>IF(46&lt;=$C$8,(PlanYear+45)&amp;"/"&amp;RIGHT(PlanYear+46,2),"")</f>
        <v/>
      </c>
      <c r="C77" s="16" t="str">
        <f>IF(46&lt;=$C$8,MID(IF('Child 1'!$Q$110=1,", "&amp;IF(Inputs!$C$14&lt;&gt;"",Inputs!$C$14,"Child 1"),"")&amp;IF('Child 2'!$Q$110=1,", "&amp;IF(Inputs!$D$14&lt;&gt;"",Inputs!$D$14,"Child 2"),"")&amp;IF('Child 3'!$Q$110=1,", "&amp;IF(Inputs!$E$14&lt;&gt;"",Inputs!$E$14,"Child 3"),"")&amp;IF('Child 4'!$Q$110=1,", "&amp;IF(Inputs!$F$14&lt;&gt;"",Inputs!$F$14,"Child 4"),""),3,200),"")</f>
        <v/>
      </c>
      <c r="D77" s="21" t="str">
        <f>IF(46&lt;=$C$8,ROUND('Child 1'!$M$110+'Child 2'!$M$110+'Child 3'!$M$110+'Child 4'!$M$110,2),"")</f>
        <v/>
      </c>
      <c r="E77" s="21" t="str">
        <f>IF(46&lt;=$C$8,ROUND('Child 1'!$N$110+'Child 2'!$N$110+'Child 3'!$N$110+'Child 4'!$N$110,2),"")</f>
        <v/>
      </c>
      <c r="F77" s="21" t="str">
        <f>IF(46&lt;=$C$8,ROUND('Child 1'!$O$110+'Child 2'!$O$110+'Child 3'!$O$110+'Child 4'!$O$110,2),"")</f>
        <v/>
      </c>
      <c r="G77" s="21" t="str">
        <f>IF(46&lt;=$C$8,ROUND('Child 1'!$D$110+'Child 2'!$D$110+'Child 3'!$D$110+'Child 4'!$D$110,2),"")</f>
        <v/>
      </c>
      <c r="H77" s="21" t="str">
        <f>IF(46&lt;=$C$8,ROUND('Child 1'!$P$110+'Child 2'!$P$110+'Child 3'!$P$110+'Child 4'!$P$110,2),"")</f>
        <v/>
      </c>
    </row>
    <row r="78" spans="2:8" x14ac:dyDescent="0.3">
      <c r="B78" s="16" t="str">
        <f>IF(47&lt;=$C$8,(PlanYear+46)&amp;"/"&amp;RIGHT(PlanYear+47,2),"")</f>
        <v/>
      </c>
      <c r="C78" s="16" t="str">
        <f>IF(47&lt;=$C$8,MID(IF('Child 1'!$Q$111=1,", "&amp;IF(Inputs!$C$14&lt;&gt;"",Inputs!$C$14,"Child 1"),"")&amp;IF('Child 2'!$Q$111=1,", "&amp;IF(Inputs!$D$14&lt;&gt;"",Inputs!$D$14,"Child 2"),"")&amp;IF('Child 3'!$Q$111=1,", "&amp;IF(Inputs!$E$14&lt;&gt;"",Inputs!$E$14,"Child 3"),"")&amp;IF('Child 4'!$Q$111=1,", "&amp;IF(Inputs!$F$14&lt;&gt;"",Inputs!$F$14,"Child 4"),""),3,200),"")</f>
        <v/>
      </c>
      <c r="D78" s="21" t="str">
        <f>IF(47&lt;=$C$8,ROUND('Child 1'!$M$111+'Child 2'!$M$111+'Child 3'!$M$111+'Child 4'!$M$111,2),"")</f>
        <v/>
      </c>
      <c r="E78" s="21" t="str">
        <f>IF(47&lt;=$C$8,ROUND('Child 1'!$N$111+'Child 2'!$N$111+'Child 3'!$N$111+'Child 4'!$N$111,2),"")</f>
        <v/>
      </c>
      <c r="F78" s="21" t="str">
        <f>IF(47&lt;=$C$8,ROUND('Child 1'!$O$111+'Child 2'!$O$111+'Child 3'!$O$111+'Child 4'!$O$111,2),"")</f>
        <v/>
      </c>
      <c r="G78" s="21" t="str">
        <f>IF(47&lt;=$C$8,ROUND('Child 1'!$D$111+'Child 2'!$D$111+'Child 3'!$D$111+'Child 4'!$D$111,2),"")</f>
        <v/>
      </c>
      <c r="H78" s="21" t="str">
        <f>IF(47&lt;=$C$8,ROUND('Child 1'!$P$111+'Child 2'!$P$111+'Child 3'!$P$111+'Child 4'!$P$111,2),"")</f>
        <v/>
      </c>
    </row>
    <row r="79" spans="2:8" x14ac:dyDescent="0.3">
      <c r="B79" s="16" t="str">
        <f>IF(48&lt;=$C$8,(PlanYear+47)&amp;"/"&amp;RIGHT(PlanYear+48,2),"")</f>
        <v/>
      </c>
      <c r="C79" s="16" t="str">
        <f>IF(48&lt;=$C$8,MID(IF('Child 1'!$Q$112=1,", "&amp;IF(Inputs!$C$14&lt;&gt;"",Inputs!$C$14,"Child 1"),"")&amp;IF('Child 2'!$Q$112=1,", "&amp;IF(Inputs!$D$14&lt;&gt;"",Inputs!$D$14,"Child 2"),"")&amp;IF('Child 3'!$Q$112=1,", "&amp;IF(Inputs!$E$14&lt;&gt;"",Inputs!$E$14,"Child 3"),"")&amp;IF('Child 4'!$Q$112=1,", "&amp;IF(Inputs!$F$14&lt;&gt;"",Inputs!$F$14,"Child 4"),""),3,200),"")</f>
        <v/>
      </c>
      <c r="D79" s="21" t="str">
        <f>IF(48&lt;=$C$8,ROUND('Child 1'!$M$112+'Child 2'!$M$112+'Child 3'!$M$112+'Child 4'!$M$112,2),"")</f>
        <v/>
      </c>
      <c r="E79" s="21" t="str">
        <f>IF(48&lt;=$C$8,ROUND('Child 1'!$N$112+'Child 2'!$N$112+'Child 3'!$N$112+'Child 4'!$N$112,2),"")</f>
        <v/>
      </c>
      <c r="F79" s="21" t="str">
        <f>IF(48&lt;=$C$8,ROUND('Child 1'!$O$112+'Child 2'!$O$112+'Child 3'!$O$112+'Child 4'!$O$112,2),"")</f>
        <v/>
      </c>
      <c r="G79" s="21" t="str">
        <f>IF(48&lt;=$C$8,ROUND('Child 1'!$D$112+'Child 2'!$D$112+'Child 3'!$D$112+'Child 4'!$D$112,2),"")</f>
        <v/>
      </c>
      <c r="H79" s="21" t="str">
        <f>IF(48&lt;=$C$8,ROUND('Child 1'!$P$112+'Child 2'!$P$112+'Child 3'!$P$112+'Child 4'!$P$112,2),"")</f>
        <v/>
      </c>
    </row>
    <row r="80" spans="2:8" x14ac:dyDescent="0.3">
      <c r="B80" s="16" t="str">
        <f>IF(49&lt;=$C$8,(PlanYear+48)&amp;"/"&amp;RIGHT(PlanYear+49,2),"")</f>
        <v/>
      </c>
      <c r="C80" s="16" t="str">
        <f>IF(49&lt;=$C$8,MID(IF('Child 1'!$Q$113=1,", "&amp;IF(Inputs!$C$14&lt;&gt;"",Inputs!$C$14,"Child 1"),"")&amp;IF('Child 2'!$Q$113=1,", "&amp;IF(Inputs!$D$14&lt;&gt;"",Inputs!$D$14,"Child 2"),"")&amp;IF('Child 3'!$Q$113=1,", "&amp;IF(Inputs!$E$14&lt;&gt;"",Inputs!$E$14,"Child 3"),"")&amp;IF('Child 4'!$Q$113=1,", "&amp;IF(Inputs!$F$14&lt;&gt;"",Inputs!$F$14,"Child 4"),""),3,200),"")</f>
        <v/>
      </c>
      <c r="D80" s="21" t="str">
        <f>IF(49&lt;=$C$8,ROUND('Child 1'!$M$113+'Child 2'!$M$113+'Child 3'!$M$113+'Child 4'!$M$113,2),"")</f>
        <v/>
      </c>
      <c r="E80" s="21" t="str">
        <f>IF(49&lt;=$C$8,ROUND('Child 1'!$N$113+'Child 2'!$N$113+'Child 3'!$N$113+'Child 4'!$N$113,2),"")</f>
        <v/>
      </c>
      <c r="F80" s="21" t="str">
        <f>IF(49&lt;=$C$8,ROUND('Child 1'!$O$113+'Child 2'!$O$113+'Child 3'!$O$113+'Child 4'!$O$113,2),"")</f>
        <v/>
      </c>
      <c r="G80" s="21" t="str">
        <f>IF(49&lt;=$C$8,ROUND('Child 1'!$D$113+'Child 2'!$D$113+'Child 3'!$D$113+'Child 4'!$D$113,2),"")</f>
        <v/>
      </c>
      <c r="H80" s="21" t="str">
        <f>IF(49&lt;=$C$8,ROUND('Child 1'!$P$113+'Child 2'!$P$113+'Child 3'!$P$113+'Child 4'!$P$113,2),"")</f>
        <v/>
      </c>
    </row>
    <row r="81" spans="2:9" x14ac:dyDescent="0.3">
      <c r="B81" s="16" t="str">
        <f>IF(50&lt;=$C$8,(PlanYear+49)&amp;"/"&amp;RIGHT(PlanYear+50,2),"")</f>
        <v/>
      </c>
      <c r="C81" s="16" t="str">
        <f>IF(50&lt;=$C$8,MID(IF('Child 1'!$Q$114=1,", "&amp;IF(Inputs!$C$14&lt;&gt;"",Inputs!$C$14,"Child 1"),"")&amp;IF('Child 2'!$Q$114=1,", "&amp;IF(Inputs!$D$14&lt;&gt;"",Inputs!$D$14,"Child 2"),"")&amp;IF('Child 3'!$Q$114=1,", "&amp;IF(Inputs!$E$14&lt;&gt;"",Inputs!$E$14,"Child 3"),"")&amp;IF('Child 4'!$Q$114=1,", "&amp;IF(Inputs!$F$14&lt;&gt;"",Inputs!$F$14,"Child 4"),""),3,200),"")</f>
        <v/>
      </c>
      <c r="D81" s="21" t="str">
        <f>IF(50&lt;=$C$8,ROUND('Child 1'!$M$114+'Child 2'!$M$114+'Child 3'!$M$114+'Child 4'!$M$114,2),"")</f>
        <v/>
      </c>
      <c r="E81" s="21" t="str">
        <f>IF(50&lt;=$C$8,ROUND('Child 1'!$N$114+'Child 2'!$N$114+'Child 3'!$N$114+'Child 4'!$N$114,2),"")</f>
        <v/>
      </c>
      <c r="F81" s="21" t="str">
        <f>IF(50&lt;=$C$8,ROUND('Child 1'!$O$114+'Child 2'!$O$114+'Child 3'!$O$114+'Child 4'!$O$114,2),"")</f>
        <v/>
      </c>
      <c r="G81" s="21" t="str">
        <f>IF(50&lt;=$C$8,ROUND('Child 1'!$D$114+'Child 2'!$D$114+'Child 3'!$D$114+'Child 4'!$D$114,2),"")</f>
        <v/>
      </c>
      <c r="H81" s="21" t="str">
        <f>IF(50&lt;=$C$8,ROUND('Child 1'!$P$114+'Child 2'!$P$114+'Child 3'!$P$114+'Child 4'!$P$114,2),"")</f>
        <v/>
      </c>
    </row>
    <row r="82" spans="2:9" x14ac:dyDescent="0.3">
      <c r="B82" s="16" t="str">
        <f>IF(51&lt;=$C$8,(PlanYear+50)&amp;"/"&amp;RIGHT(PlanYear+51,2),"")</f>
        <v/>
      </c>
      <c r="C82" s="16" t="str">
        <f>IF(51&lt;=$C$8,MID(IF('Child 1'!$Q$115=1,", "&amp;IF(Inputs!$C$14&lt;&gt;"",Inputs!$C$14,"Child 1"),"")&amp;IF('Child 2'!$Q$115=1,", "&amp;IF(Inputs!$D$14&lt;&gt;"",Inputs!$D$14,"Child 2"),"")&amp;IF('Child 3'!$Q$115=1,", "&amp;IF(Inputs!$E$14&lt;&gt;"",Inputs!$E$14,"Child 3"),"")&amp;IF('Child 4'!$Q$115=1,", "&amp;IF(Inputs!$F$14&lt;&gt;"",Inputs!$F$14,"Child 4"),""),3,200),"")</f>
        <v/>
      </c>
      <c r="D82" s="21" t="str">
        <f>IF(51&lt;=$C$8,ROUND('Child 1'!$M$115+'Child 2'!$M$115+'Child 3'!$M$115+'Child 4'!$M$115,2),"")</f>
        <v/>
      </c>
      <c r="E82" s="21" t="str">
        <f>IF(51&lt;=$C$8,ROUND('Child 1'!$N$115+'Child 2'!$N$115+'Child 3'!$N$115+'Child 4'!$N$115,2),"")</f>
        <v/>
      </c>
      <c r="F82" s="21" t="str">
        <f>IF(51&lt;=$C$8,ROUND('Child 1'!$O$115+'Child 2'!$O$115+'Child 3'!$O$115+'Child 4'!$O$115,2),"")</f>
        <v/>
      </c>
      <c r="G82" s="21" t="str">
        <f>IF(51&lt;=$C$8,ROUND('Child 1'!$D$115+'Child 2'!$D$115+'Child 3'!$D$115+'Child 4'!$D$115,2),"")</f>
        <v/>
      </c>
      <c r="H82" s="21" t="str">
        <f>IF(51&lt;=$C$8,ROUND('Child 1'!$P$115+'Child 2'!$P$115+'Child 3'!$P$115+'Child 4'!$P$115,2),"")</f>
        <v/>
      </c>
    </row>
    <row r="83" spans="2:9" x14ac:dyDescent="0.3">
      <c r="B83" s="16" t="str">
        <f>IF(52&lt;=$C$8,(PlanYear+51)&amp;"/"&amp;RIGHT(PlanYear+52,2),"")</f>
        <v/>
      </c>
      <c r="C83" s="16" t="str">
        <f>IF(52&lt;=$C$8,MID(IF('Child 1'!$Q$116=1,", "&amp;IF(Inputs!$C$14&lt;&gt;"",Inputs!$C$14,"Child 1"),"")&amp;IF('Child 2'!$Q$116=1,", "&amp;IF(Inputs!$D$14&lt;&gt;"",Inputs!$D$14,"Child 2"),"")&amp;IF('Child 3'!$Q$116=1,", "&amp;IF(Inputs!$E$14&lt;&gt;"",Inputs!$E$14,"Child 3"),"")&amp;IF('Child 4'!$Q$116=1,", "&amp;IF(Inputs!$F$14&lt;&gt;"",Inputs!$F$14,"Child 4"),""),3,200),"")</f>
        <v/>
      </c>
      <c r="D83" s="21" t="str">
        <f>IF(52&lt;=$C$8,ROUND('Child 1'!$M$116+'Child 2'!$M$116+'Child 3'!$M$116+'Child 4'!$M$116,2),"")</f>
        <v/>
      </c>
      <c r="E83" s="21" t="str">
        <f>IF(52&lt;=$C$8,ROUND('Child 1'!$N$116+'Child 2'!$N$116+'Child 3'!$N$116+'Child 4'!$N$116,2),"")</f>
        <v/>
      </c>
      <c r="F83" s="21" t="str">
        <f>IF(52&lt;=$C$8,ROUND('Child 1'!$O$116+'Child 2'!$O$116+'Child 3'!$O$116+'Child 4'!$O$116,2),"")</f>
        <v/>
      </c>
      <c r="G83" s="21" t="str">
        <f>IF(52&lt;=$C$8,ROUND('Child 1'!$D$116+'Child 2'!$D$116+'Child 3'!$D$116+'Child 4'!$D$116,2),"")</f>
        <v/>
      </c>
      <c r="H83" s="21" t="str">
        <f>IF(52&lt;=$C$8,ROUND('Child 1'!$P$116+'Child 2'!$P$116+'Child 3'!$P$116+'Child 4'!$P$116,2),"")</f>
        <v/>
      </c>
    </row>
    <row r="84" spans="2:9" x14ac:dyDescent="0.3">
      <c r="B84" s="16" t="str">
        <f>IF(53&lt;=$C$8,(PlanYear+52)&amp;"/"&amp;RIGHT(PlanYear+53,2),"")</f>
        <v/>
      </c>
      <c r="C84" s="16" t="str">
        <f>IF(53&lt;=$C$8,MID(IF('Child 1'!$Q$117=1,", "&amp;IF(Inputs!$C$14&lt;&gt;"",Inputs!$C$14,"Child 1"),"")&amp;IF('Child 2'!$Q$117=1,", "&amp;IF(Inputs!$D$14&lt;&gt;"",Inputs!$D$14,"Child 2"),"")&amp;IF('Child 3'!$Q$117=1,", "&amp;IF(Inputs!$E$14&lt;&gt;"",Inputs!$E$14,"Child 3"),"")&amp;IF('Child 4'!$Q$117=1,", "&amp;IF(Inputs!$F$14&lt;&gt;"",Inputs!$F$14,"Child 4"),""),3,200),"")</f>
        <v/>
      </c>
      <c r="D84" s="21" t="str">
        <f>IF(53&lt;=$C$8,ROUND('Child 1'!$M$117+'Child 2'!$M$117+'Child 3'!$M$117+'Child 4'!$M$117,2),"")</f>
        <v/>
      </c>
      <c r="E84" s="21" t="str">
        <f>IF(53&lt;=$C$8,ROUND('Child 1'!$N$117+'Child 2'!$N$117+'Child 3'!$N$117+'Child 4'!$N$117,2),"")</f>
        <v/>
      </c>
      <c r="F84" s="21" t="str">
        <f>IF(53&lt;=$C$8,ROUND('Child 1'!$O$117+'Child 2'!$O$117+'Child 3'!$O$117+'Child 4'!$O$117,2),"")</f>
        <v/>
      </c>
      <c r="G84" s="21" t="str">
        <f>IF(53&lt;=$C$8,ROUND('Child 1'!$D$117+'Child 2'!$D$117+'Child 3'!$D$117+'Child 4'!$D$117,2),"")</f>
        <v/>
      </c>
      <c r="H84" s="21" t="str">
        <f>IF(53&lt;=$C$8,ROUND('Child 1'!$P$117+'Child 2'!$P$117+'Child 3'!$P$117+'Child 4'!$P$117,2),"")</f>
        <v/>
      </c>
    </row>
    <row r="85" spans="2:9" x14ac:dyDescent="0.3">
      <c r="B85" s="16" t="str">
        <f>IF(54&lt;=$C$8,(PlanYear+53)&amp;"/"&amp;RIGHT(PlanYear+54,2),"")</f>
        <v/>
      </c>
      <c r="C85" s="16" t="str">
        <f>IF(54&lt;=$C$8,MID(IF('Child 1'!$Q$118=1,", "&amp;IF(Inputs!$C$14&lt;&gt;"",Inputs!$C$14,"Child 1"),"")&amp;IF('Child 2'!$Q$118=1,", "&amp;IF(Inputs!$D$14&lt;&gt;"",Inputs!$D$14,"Child 2"),"")&amp;IF('Child 3'!$Q$118=1,", "&amp;IF(Inputs!$E$14&lt;&gt;"",Inputs!$E$14,"Child 3"),"")&amp;IF('Child 4'!$Q$118=1,", "&amp;IF(Inputs!$F$14&lt;&gt;"",Inputs!$F$14,"Child 4"),""),3,200),"")</f>
        <v/>
      </c>
      <c r="D85" s="21" t="str">
        <f>IF(54&lt;=$C$8,ROUND('Child 1'!$M$118+'Child 2'!$M$118+'Child 3'!$M$118+'Child 4'!$M$118,2),"")</f>
        <v/>
      </c>
      <c r="E85" s="21" t="str">
        <f>IF(54&lt;=$C$8,ROUND('Child 1'!$N$118+'Child 2'!$N$118+'Child 3'!$N$118+'Child 4'!$N$118,2),"")</f>
        <v/>
      </c>
      <c r="F85" s="21" t="str">
        <f>IF(54&lt;=$C$8,ROUND('Child 1'!$O$118+'Child 2'!$O$118+'Child 3'!$O$118+'Child 4'!$O$118,2),"")</f>
        <v/>
      </c>
      <c r="G85" s="21" t="str">
        <f>IF(54&lt;=$C$8,ROUND('Child 1'!$D$118+'Child 2'!$D$118+'Child 3'!$D$118+'Child 4'!$D$118,2),"")</f>
        <v/>
      </c>
      <c r="H85" s="21" t="str">
        <f>IF(54&lt;=$C$8,ROUND('Child 1'!$P$118+'Child 2'!$P$118+'Child 3'!$P$118+'Child 4'!$P$118,2),"")</f>
        <v/>
      </c>
    </row>
    <row r="86" spans="2:9" x14ac:dyDescent="0.3">
      <c r="B86" s="16" t="str">
        <f>IF(55&lt;=$C$8,(PlanYear+54)&amp;"/"&amp;RIGHT(PlanYear+55,2),"")</f>
        <v/>
      </c>
      <c r="C86" s="16" t="str">
        <f>IF(55&lt;=$C$8,MID(IF('Child 1'!$Q$119=1,", "&amp;IF(Inputs!$C$14&lt;&gt;"",Inputs!$C$14,"Child 1"),"")&amp;IF('Child 2'!$Q$119=1,", "&amp;IF(Inputs!$D$14&lt;&gt;"",Inputs!$D$14,"Child 2"),"")&amp;IF('Child 3'!$Q$119=1,", "&amp;IF(Inputs!$E$14&lt;&gt;"",Inputs!$E$14,"Child 3"),"")&amp;IF('Child 4'!$Q$119=1,", "&amp;IF(Inputs!$F$14&lt;&gt;"",Inputs!$F$14,"Child 4"),""),3,200),"")</f>
        <v/>
      </c>
      <c r="D86" s="21" t="str">
        <f>IF(55&lt;=$C$8,ROUND('Child 1'!$M$119+'Child 2'!$M$119+'Child 3'!$M$119+'Child 4'!$M$119,2),"")</f>
        <v/>
      </c>
      <c r="E86" s="21" t="str">
        <f>IF(55&lt;=$C$8,ROUND('Child 1'!$N$119+'Child 2'!$N$119+'Child 3'!$N$119+'Child 4'!$N$119,2),"")</f>
        <v/>
      </c>
      <c r="F86" s="21" t="str">
        <f>IF(55&lt;=$C$8,ROUND('Child 1'!$O$119+'Child 2'!$O$119+'Child 3'!$O$119+'Child 4'!$O$119,2),"")</f>
        <v/>
      </c>
      <c r="G86" s="21" t="str">
        <f>IF(55&lt;=$C$8,ROUND('Child 1'!$D$119+'Child 2'!$D$119+'Child 3'!$D$119+'Child 4'!$D$119,2),"")</f>
        <v/>
      </c>
      <c r="H86" s="21" t="str">
        <f>IF(55&lt;=$C$8,ROUND('Child 1'!$P$119+'Child 2'!$P$119+'Child 3'!$P$119+'Child 4'!$P$119,2),"")</f>
        <v/>
      </c>
    </row>
    <row r="87" spans="2:9" x14ac:dyDescent="0.3">
      <c r="B87" s="16" t="str">
        <f>IF(56&lt;=$C$8,(PlanYear+55)&amp;"/"&amp;RIGHT(PlanYear+56,2),"")</f>
        <v/>
      </c>
      <c r="C87" s="16" t="str">
        <f>IF(56&lt;=$C$8,MID(IF('Child 1'!$Q$120=1,", "&amp;IF(Inputs!$C$14&lt;&gt;"",Inputs!$C$14,"Child 1"),"")&amp;IF('Child 2'!$Q$120=1,", "&amp;IF(Inputs!$D$14&lt;&gt;"",Inputs!$D$14,"Child 2"),"")&amp;IF('Child 3'!$Q$120=1,", "&amp;IF(Inputs!$E$14&lt;&gt;"",Inputs!$E$14,"Child 3"),"")&amp;IF('Child 4'!$Q$120=1,", "&amp;IF(Inputs!$F$14&lt;&gt;"",Inputs!$F$14,"Child 4"),""),3,200),"")</f>
        <v/>
      </c>
      <c r="D87" s="21" t="str">
        <f>IF(56&lt;=$C$8,ROUND('Child 1'!$M$120+'Child 2'!$M$120+'Child 3'!$M$120+'Child 4'!$M$120,2),"")</f>
        <v/>
      </c>
      <c r="E87" s="21" t="str">
        <f>IF(56&lt;=$C$8,ROUND('Child 1'!$N$120+'Child 2'!$N$120+'Child 3'!$N$120+'Child 4'!$N$120,2),"")</f>
        <v/>
      </c>
      <c r="F87" s="21" t="str">
        <f>IF(56&lt;=$C$8,ROUND('Child 1'!$O$120+'Child 2'!$O$120+'Child 3'!$O$120+'Child 4'!$O$120,2),"")</f>
        <v/>
      </c>
      <c r="G87" s="21" t="str">
        <f>IF(56&lt;=$C$8,ROUND('Child 1'!$D$120+'Child 2'!$D$120+'Child 3'!$D$120+'Child 4'!$D$120,2),"")</f>
        <v/>
      </c>
      <c r="H87" s="21" t="str">
        <f>IF(56&lt;=$C$8,ROUND('Child 1'!$P$120+'Child 2'!$P$120+'Child 3'!$P$120+'Child 4'!$P$120,2),"")</f>
        <v/>
      </c>
    </row>
    <row r="88" spans="2:9" x14ac:dyDescent="0.3">
      <c r="B88" s="16" t="str">
        <f>IF(57&lt;=$C$8,(PlanYear+56)&amp;"/"&amp;RIGHT(PlanYear+57,2),"")</f>
        <v/>
      </c>
      <c r="C88" s="16" t="str">
        <f>IF(57&lt;=$C$8,MID(IF('Child 1'!$Q$121=1,", "&amp;IF(Inputs!$C$14&lt;&gt;"",Inputs!$C$14,"Child 1"),"")&amp;IF('Child 2'!$Q$121=1,", "&amp;IF(Inputs!$D$14&lt;&gt;"",Inputs!$D$14,"Child 2"),"")&amp;IF('Child 3'!$Q$121=1,", "&amp;IF(Inputs!$E$14&lt;&gt;"",Inputs!$E$14,"Child 3"),"")&amp;IF('Child 4'!$Q$121=1,", "&amp;IF(Inputs!$F$14&lt;&gt;"",Inputs!$F$14,"Child 4"),""),3,200),"")</f>
        <v/>
      </c>
      <c r="D88" s="21" t="str">
        <f>IF(57&lt;=$C$8,ROUND('Child 1'!$M$121+'Child 2'!$M$121+'Child 3'!$M$121+'Child 4'!$M$121,2),"")</f>
        <v/>
      </c>
      <c r="E88" s="21" t="str">
        <f>IF(57&lt;=$C$8,ROUND('Child 1'!$N$121+'Child 2'!$N$121+'Child 3'!$N$121+'Child 4'!$N$121,2),"")</f>
        <v/>
      </c>
      <c r="F88" s="21" t="str">
        <f>IF(57&lt;=$C$8,ROUND('Child 1'!$O$121+'Child 2'!$O$121+'Child 3'!$O$121+'Child 4'!$O$121,2),"")</f>
        <v/>
      </c>
      <c r="G88" s="21" t="str">
        <f>IF(57&lt;=$C$8,ROUND('Child 1'!$D$121+'Child 2'!$D$121+'Child 3'!$D$121+'Child 4'!$D$121,2),"")</f>
        <v/>
      </c>
      <c r="H88" s="21" t="str">
        <f>IF(57&lt;=$C$8,ROUND('Child 1'!$P$121+'Child 2'!$P$121+'Child 3'!$P$121+'Child 4'!$P$121,2),"")</f>
        <v/>
      </c>
    </row>
    <row r="89" spans="2:9" x14ac:dyDescent="0.3">
      <c r="B89" s="16" t="str">
        <f>IF(58&lt;=$C$8,(PlanYear+57)&amp;"/"&amp;RIGHT(PlanYear+58,2),"")</f>
        <v/>
      </c>
      <c r="C89" s="16" t="str">
        <f>IF(58&lt;=$C$8,MID(IF('Child 1'!$Q$122=1,", "&amp;IF(Inputs!$C$14&lt;&gt;"",Inputs!$C$14,"Child 1"),"")&amp;IF('Child 2'!$Q$122=1,", "&amp;IF(Inputs!$D$14&lt;&gt;"",Inputs!$D$14,"Child 2"),"")&amp;IF('Child 3'!$Q$122=1,", "&amp;IF(Inputs!$E$14&lt;&gt;"",Inputs!$E$14,"Child 3"),"")&amp;IF('Child 4'!$Q$122=1,", "&amp;IF(Inputs!$F$14&lt;&gt;"",Inputs!$F$14,"Child 4"),""),3,200),"")</f>
        <v/>
      </c>
      <c r="D89" s="21" t="str">
        <f>IF(58&lt;=$C$8,ROUND('Child 1'!$M$122+'Child 2'!$M$122+'Child 3'!$M$122+'Child 4'!$M$122,2),"")</f>
        <v/>
      </c>
      <c r="E89" s="21" t="str">
        <f>IF(58&lt;=$C$8,ROUND('Child 1'!$N$122+'Child 2'!$N$122+'Child 3'!$N$122+'Child 4'!$N$122,2),"")</f>
        <v/>
      </c>
      <c r="F89" s="21" t="str">
        <f>IF(58&lt;=$C$8,ROUND('Child 1'!$O$122+'Child 2'!$O$122+'Child 3'!$O$122+'Child 4'!$O$122,2),"")</f>
        <v/>
      </c>
      <c r="G89" s="21" t="str">
        <f>IF(58&lt;=$C$8,ROUND('Child 1'!$D$122+'Child 2'!$D$122+'Child 3'!$D$122+'Child 4'!$D$122,2),"")</f>
        <v/>
      </c>
      <c r="H89" s="21" t="str">
        <f>IF(58&lt;=$C$8,ROUND('Child 1'!$P$122+'Child 2'!$P$122+'Child 3'!$P$122+'Child 4'!$P$122,2),"")</f>
        <v/>
      </c>
    </row>
    <row r="90" spans="2:9" x14ac:dyDescent="0.3">
      <c r="B90" s="16" t="str">
        <f>IF(59&lt;=$C$8,(PlanYear+58)&amp;"/"&amp;RIGHT(PlanYear+59,2),"")</f>
        <v/>
      </c>
      <c r="C90" s="16" t="str">
        <f>IF(59&lt;=$C$8,MID(IF('Child 1'!$Q$123=1,", "&amp;IF(Inputs!$C$14&lt;&gt;"",Inputs!$C$14,"Child 1"),"")&amp;IF('Child 2'!$Q$123=1,", "&amp;IF(Inputs!$D$14&lt;&gt;"",Inputs!$D$14,"Child 2"),"")&amp;IF('Child 3'!$Q$123=1,", "&amp;IF(Inputs!$E$14&lt;&gt;"",Inputs!$E$14,"Child 3"),"")&amp;IF('Child 4'!$Q$123=1,", "&amp;IF(Inputs!$F$14&lt;&gt;"",Inputs!$F$14,"Child 4"),""),3,200),"")</f>
        <v/>
      </c>
      <c r="D90" s="21" t="str">
        <f>IF(59&lt;=$C$8,ROUND('Child 1'!$M$123+'Child 2'!$M$123+'Child 3'!$M$123+'Child 4'!$M$123,2),"")</f>
        <v/>
      </c>
      <c r="E90" s="21" t="str">
        <f>IF(59&lt;=$C$8,ROUND('Child 1'!$N$123+'Child 2'!$N$123+'Child 3'!$N$123+'Child 4'!$N$123,2),"")</f>
        <v/>
      </c>
      <c r="F90" s="21" t="str">
        <f>IF(59&lt;=$C$8,ROUND('Child 1'!$O$123+'Child 2'!$O$123+'Child 3'!$O$123+'Child 4'!$O$123,2),"")</f>
        <v/>
      </c>
      <c r="G90" s="21" t="str">
        <f>IF(59&lt;=$C$8,ROUND('Child 1'!$D$123+'Child 2'!$D$123+'Child 3'!$D$123+'Child 4'!$D$123,2),"")</f>
        <v/>
      </c>
      <c r="H90" s="21" t="str">
        <f>IF(59&lt;=$C$8,ROUND('Child 1'!$P$123+'Child 2'!$P$123+'Child 3'!$P$123+'Child 4'!$P$123,2),"")</f>
        <v/>
      </c>
    </row>
    <row r="91" spans="2:9" x14ac:dyDescent="0.3">
      <c r="B91" s="16" t="str">
        <f>IF(60&lt;=$C$8,(PlanYear+59)&amp;"/"&amp;RIGHT(PlanYear+60,2),"")</f>
        <v/>
      </c>
      <c r="C91" s="16" t="str">
        <f>IF(60&lt;=$C$8,MID(IF('Child 1'!$Q$124=1,", "&amp;IF(Inputs!$C$14&lt;&gt;"",Inputs!$C$14,"Child 1"),"")&amp;IF('Child 2'!$Q$124=1,", "&amp;IF(Inputs!$D$14&lt;&gt;"",Inputs!$D$14,"Child 2"),"")&amp;IF('Child 3'!$Q$124=1,", "&amp;IF(Inputs!$E$14&lt;&gt;"",Inputs!$E$14,"Child 3"),"")&amp;IF('Child 4'!$Q$124=1,", "&amp;IF(Inputs!$F$14&lt;&gt;"",Inputs!$F$14,"Child 4"),""),3,200),"")</f>
        <v/>
      </c>
      <c r="D91" s="21" t="str">
        <f>IF(60&lt;=$C$8,ROUND('Child 1'!$M$124+'Child 2'!$M$124+'Child 3'!$M$124+'Child 4'!$M$124,2),"")</f>
        <v/>
      </c>
      <c r="E91" s="21" t="str">
        <f>IF(60&lt;=$C$8,ROUND('Child 1'!$N$124+'Child 2'!$N$124+'Child 3'!$N$124+'Child 4'!$N$124,2),"")</f>
        <v/>
      </c>
      <c r="F91" s="21" t="str">
        <f>IF(60&lt;=$C$8,ROUND('Child 1'!$O$124+'Child 2'!$O$124+'Child 3'!$O$124+'Child 4'!$O$124,2),"")</f>
        <v/>
      </c>
      <c r="G91" s="21" t="str">
        <f>IF(60&lt;=$C$8,ROUND('Child 1'!$D$124+'Child 2'!$D$124+'Child 3'!$D$124+'Child 4'!$D$124,2),"")</f>
        <v/>
      </c>
      <c r="H91" s="21" t="str">
        <f>IF(60&lt;=$C$8,ROUND('Child 1'!$P$124+'Child 2'!$P$124+'Child 3'!$P$124+'Child 4'!$P$124,2),"")</f>
        <v/>
      </c>
    </row>
    <row r="93" spans="2:9" x14ac:dyDescent="0.3">
      <c r="B93" s="6" t="str">
        <f>IF($C$6&gt;0.5,"The opening fund in "&amp;PlanYear&amp;"/"&amp;RIGHT(PlanYear+1,2)&amp;" is the amount needed now ("&amp;RepCcy&amp;" "&amp;TEXT($C$6,"#,##0")&amp;"): costs that start before any yearly saving can be made. The plan assumes no existing savings.","The plan assumes no existing savings, so the fund starts at zero.")</f>
        <v>The plan assumes no existing savings, so the fund starts at zero.</v>
      </c>
      <c r="I93" s="16"/>
    </row>
    <row r="94" spans="2:9" x14ac:dyDescent="0.3">
      <c r="B94" s="6" t="s">
        <v>86</v>
      </c>
    </row>
    <row r="95" spans="2:9" x14ac:dyDescent="0.3">
      <c r="B95" s="6" t="str">
        <f>"Adds up: "&amp;RepCcy&amp;" "&amp;TEXT($C$6,"#,##0")&amp;" needed now + "&amp;RepCcy&amp;" "&amp;TEXT(SUM(E32:E91),"#,##0")&amp;" family savings + "&amp;RepCcy&amp;" "&amp;TEXT(SUM(F32:F91),"#,##0")&amp;" investment growth - "&amp;RepCcy&amp;" "&amp;TEXT($C$4,"#,##0")&amp;" education expenses = "&amp;RepCcy&amp;" "&amp;TEXT(IF(ABS(IF($C$8&gt;0,INDEX(H32:H91,$C$8),0))&lt;0.5,0,IF($C$8&gt;0,INDEX(H32:H91,$C$8),0)),"#,##0")&amp;" left at the end."</f>
        <v>Adds up: USD 0 needed now + USD 0 family savings + USD 0 investment growth - USD 0 education expenses = USD 0 left at the end.</v>
      </c>
    </row>
  </sheetData>
  <sheetProtection sheet="1" objects="1" formatCells="0" formatColumns="0" formatRows="0"/>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21"/>
  <sheetViews>
    <sheetView workbookViewId="0"/>
  </sheetViews>
  <sheetFormatPr defaultRowHeight="14.4" x14ac:dyDescent="0.3"/>
  <cols>
    <col min="1" max="1" width="2" customWidth="1"/>
    <col min="2" max="2" width="24" customWidth="1"/>
    <col min="3" max="3" width="20" customWidth="1"/>
    <col min="4" max="4" width="54" customWidth="1"/>
    <col min="5" max="5" width="16" customWidth="1"/>
  </cols>
  <sheetData>
    <row r="1" spans="2:5" ht="21" x14ac:dyDescent="0.4">
      <c r="B1" s="5" t="s">
        <v>87</v>
      </c>
    </row>
    <row r="2" spans="2:5" x14ac:dyDescent="0.3">
      <c r="B2" s="6" t="str">
        <f>"The same child and qualification in each country, in "&amp;RepCcy&amp;". Choose the child on the Inputs sheet (Compare countries for child number)."</f>
        <v>The same child and qualification in each country, in USD. Choose the child on the Inputs sheet (Compare countries for child number).</v>
      </c>
    </row>
    <row r="4" spans="2:5" x14ac:dyDescent="0.3">
      <c r="B4" s="8" t="s">
        <v>67</v>
      </c>
      <c r="C4" s="16" t="str">
        <f>CHOOSE(CmpChild,IF(Inputs!$C$14&lt;&gt;"",Inputs!$C$14,"Child 1"),IF(Inputs!$D$14&lt;&gt;"",Inputs!$D$14,"Child 2"),IF(Inputs!$E$14&lt;&gt;"",Inputs!$E$14,"Child 3"),IF(Inputs!$F$14&lt;&gt;"",Inputs!$F$14,"Child 4"))</f>
        <v>Child 1</v>
      </c>
    </row>
    <row r="5" spans="2:5" x14ac:dyDescent="0.3">
      <c r="B5" s="8" t="s">
        <v>31</v>
      </c>
      <c r="C5" s="16" t="str">
        <f>CHOOSE(CmpChild,'Child 1'!$B$6,'Child 2'!$B$6,'Child 3'!$B$6,'Child 4'!$B$6)</f>
        <v/>
      </c>
    </row>
    <row r="6" spans="2:5" x14ac:dyDescent="0.3">
      <c r="B6" s="8" t="s">
        <v>88</v>
      </c>
      <c r="C6" s="16" t="str">
        <f>IF(CHOOSE(CmpChild,'Child 1'!$B$22,'Child 2'!$B$22,'Child 3'!$B$22,'Child 4'!$B$22)=1,CHOOSE(CmpChild,'Child 1'!$B$5,'Child 2'!$B$5,'Child 3'!$B$5,'Child 4'!$B$5),"Enter this child's details on the Inputs sheet first.")</f>
        <v>Enter this child's details on the Inputs sheet first.</v>
      </c>
    </row>
    <row r="8" spans="2:5" x14ac:dyDescent="0.3">
      <c r="B8" s="22" t="s">
        <v>89</v>
      </c>
      <c r="C8" s="22" t="str">
        <f>"Total ("&amp;RepCcy&amp;")"</f>
        <v>Total (USD)</v>
      </c>
      <c r="D8" s="22" t="s">
        <v>90</v>
      </c>
      <c r="E8" s="22" t="s">
        <v>88</v>
      </c>
    </row>
    <row r="9" spans="2:5" x14ac:dyDescent="0.3">
      <c r="B9" s="8" t="s">
        <v>7</v>
      </c>
      <c r="C9" s="20" t="str">
        <f>IF(CHOOSE(CmpChild,'Child 1'!$B$22,'Child 2'!$B$22,'Child 3'!$B$22,'Child 4'!$B$22)&lt;&gt;1,"",IF(CHOOSE(CmpChild,'Child 1'!$B$5,'Child 2'!$B$5,'Child 3'!$B$5,'Child 4'!$B$5)="Pakistan",CHOOSE(CmpChild,'Child 1'!$Z$56,'Child 2'!$Z$56,'Child 3'!$Z$56,'Child 4'!$Z$56),IF('Compare Calc'!$B$21=1,'Compare Calc'!$Z$55,"Not available")))</f>
        <v/>
      </c>
      <c r="D9" s="6" t="str">
        <f>IF(CHOOSE(CmpChild,'Child 1'!$B$22,'Child 2'!$B$22,'Child 3'!$B$22,'Child 4'!$B$22)&lt;&gt;1,"",IF(AND(NOT(CHOOSE(CmpChild,'Child 1'!$B$5,'Child 2'!$B$5,'Child 3'!$B$5,'Child 4'!$B$5)="Pakistan"),'Compare Calc'!$B$21&lt;&gt;1),'Compare Calc'!$B$22,IF(IF(CHOOSE(CmpChild,'Child 1'!$B$5,'Child 2'!$B$5,'Child 3'!$B$5,'Child 4'!$B$5)="Pakistan",CHOOSE(CmpChild,'Child 1'!$B$60,'Child 2'!$B$60,'Child 3'!$B$60,'Child 4'!$B$60),'Compare Calc'!$B$59)="estimated","Estimate — no published fee for this course",IF(IF(CHOOSE(CmpChild,'Child 1'!$B$5,'Child 2'!$B$5,'Child 3'!$B$5,'Child 4'!$B$5)="Pakistan",CHOOSE(CmpChild,'Child 1'!$B$61,'Child 2'!$B$61,'Child 3'!$B$61,'Child 4'!$B$61),'Compare Calc'!$B$60)=1,"Some costs have no figure yet",""))))</f>
        <v/>
      </c>
      <c r="E9" s="8" t="str">
        <f>IF(AND(CHOOSE(CmpChild,'Child 1'!$B$22,'Child 2'!$B$22,'Child 3'!$B$22,'Child 4'!$B$22)=1,CHOOSE(CmpChild,'Child 1'!$B$5,'Child 2'!$B$5,'Child 3'!$B$5,'Child 4'!$B$5)="Pakistan"),"Current plan","")</f>
        <v/>
      </c>
    </row>
    <row r="10" spans="2:5" x14ac:dyDescent="0.3">
      <c r="B10" s="8" t="s">
        <v>91</v>
      </c>
      <c r="C10" s="20" t="str">
        <f>IF(CHOOSE(CmpChild,'Child 1'!$B$22,'Child 2'!$B$22,'Child 3'!$B$22,'Child 4'!$B$22)&lt;&gt;1,"",IF(CHOOSE(CmpChild,'Child 1'!$B$5,'Child 2'!$B$5,'Child 3'!$B$5,'Child 4'!$B$5)="India",CHOOSE(CmpChild,'Child 1'!$Z$56,'Child 2'!$Z$56,'Child 3'!$Z$56,'Child 4'!$Z$56),IF('Compare Calc'!$B$82=1,'Compare Calc'!$Z$116,"Not available")))</f>
        <v/>
      </c>
      <c r="D10" s="6" t="str">
        <f>IF(CHOOSE(CmpChild,'Child 1'!$B$22,'Child 2'!$B$22,'Child 3'!$B$22,'Child 4'!$B$22)&lt;&gt;1,"",IF(AND(NOT(CHOOSE(CmpChild,'Child 1'!$B$5,'Child 2'!$B$5,'Child 3'!$B$5,'Child 4'!$B$5)="India"),'Compare Calc'!$B$82&lt;&gt;1),'Compare Calc'!$B$83,IF(IF(CHOOSE(CmpChild,'Child 1'!$B$5,'Child 2'!$B$5,'Child 3'!$B$5,'Child 4'!$B$5)="India",CHOOSE(CmpChild,'Child 1'!$B$60,'Child 2'!$B$60,'Child 3'!$B$60,'Child 4'!$B$60),'Compare Calc'!$B$120)="estimated","Estimate — no published fee for this course",IF(IF(CHOOSE(CmpChild,'Child 1'!$B$5,'Child 2'!$B$5,'Child 3'!$B$5,'Child 4'!$B$5)="India",CHOOSE(CmpChild,'Child 1'!$B$61,'Child 2'!$B$61,'Child 3'!$B$61,'Child 4'!$B$61),'Compare Calc'!$B$121)=1,"Some costs have no figure yet",""))))</f>
        <v/>
      </c>
      <c r="E10" s="8" t="str">
        <f>IF(AND(CHOOSE(CmpChild,'Child 1'!$B$22,'Child 2'!$B$22,'Child 3'!$B$22,'Child 4'!$B$22)=1,CHOOSE(CmpChild,'Child 1'!$B$5,'Child 2'!$B$5,'Child 3'!$B$5,'Child 4'!$B$5)="India"),"Current plan","")</f>
        <v/>
      </c>
    </row>
    <row r="11" spans="2:5" x14ac:dyDescent="0.3">
      <c r="B11" s="8" t="s">
        <v>92</v>
      </c>
      <c r="C11" s="20" t="str">
        <f>IF(CHOOSE(CmpChild,'Child 1'!$B$22,'Child 2'!$B$22,'Child 3'!$B$22,'Child 4'!$B$22)&lt;&gt;1,"",IF(CHOOSE(CmpChild,'Child 1'!$B$5,'Child 2'!$B$5,'Child 3'!$B$5,'Child 4'!$B$5)="USA",CHOOSE(CmpChild,'Child 1'!$Z$56,'Child 2'!$Z$56,'Child 3'!$Z$56,'Child 4'!$Z$56),IF('Compare Calc'!$B$143=1,'Compare Calc'!$Z$177,"Not available")))</f>
        <v/>
      </c>
      <c r="D11" s="6" t="str">
        <f>IF(CHOOSE(CmpChild,'Child 1'!$B$22,'Child 2'!$B$22,'Child 3'!$B$22,'Child 4'!$B$22)&lt;&gt;1,"",IF(AND(NOT(CHOOSE(CmpChild,'Child 1'!$B$5,'Child 2'!$B$5,'Child 3'!$B$5,'Child 4'!$B$5)="USA"),'Compare Calc'!$B$143&lt;&gt;1),'Compare Calc'!$B$144,IF(IF(CHOOSE(CmpChild,'Child 1'!$B$5,'Child 2'!$B$5,'Child 3'!$B$5,'Child 4'!$B$5)="USA",CHOOSE(CmpChild,'Child 1'!$B$60,'Child 2'!$B$60,'Child 3'!$B$60,'Child 4'!$B$60),'Compare Calc'!$B$181)="estimated","Estimate — no published fee for this course",IF(IF(CHOOSE(CmpChild,'Child 1'!$B$5,'Child 2'!$B$5,'Child 3'!$B$5,'Child 4'!$B$5)="USA",CHOOSE(CmpChild,'Child 1'!$B$61,'Child 2'!$B$61,'Child 3'!$B$61,'Child 4'!$B$61),'Compare Calc'!$B$182)=1,"Some costs have no figure yet",""))))</f>
        <v/>
      </c>
      <c r="E11" s="8" t="str">
        <f>IF(AND(CHOOSE(CmpChild,'Child 1'!$B$22,'Child 2'!$B$22,'Child 3'!$B$22,'Child 4'!$B$22)=1,CHOOSE(CmpChild,'Child 1'!$B$5,'Child 2'!$B$5,'Child 3'!$B$5,'Child 4'!$B$5)="USA"),"Current plan","")</f>
        <v/>
      </c>
    </row>
    <row r="12" spans="2:5" x14ac:dyDescent="0.3">
      <c r="B12" s="8" t="s">
        <v>93</v>
      </c>
      <c r="C12" s="20" t="str">
        <f>IF(CHOOSE(CmpChild,'Child 1'!$B$22,'Child 2'!$B$22,'Child 3'!$B$22,'Child 4'!$B$22)&lt;&gt;1,"",IF(CHOOSE(CmpChild,'Child 1'!$B$5,'Child 2'!$B$5,'Child 3'!$B$5,'Child 4'!$B$5)="UK",CHOOSE(CmpChild,'Child 1'!$Z$56,'Child 2'!$Z$56,'Child 3'!$Z$56,'Child 4'!$Z$56),IF('Compare Calc'!$B$204=1,'Compare Calc'!$Z$238,"Not available")))</f>
        <v/>
      </c>
      <c r="D12" s="6" t="str">
        <f>IF(CHOOSE(CmpChild,'Child 1'!$B$22,'Child 2'!$B$22,'Child 3'!$B$22,'Child 4'!$B$22)&lt;&gt;1,"",IF(AND(NOT(CHOOSE(CmpChild,'Child 1'!$B$5,'Child 2'!$B$5,'Child 3'!$B$5,'Child 4'!$B$5)="UK"),'Compare Calc'!$B$204&lt;&gt;1),'Compare Calc'!$B$205,IF(IF(CHOOSE(CmpChild,'Child 1'!$B$5,'Child 2'!$B$5,'Child 3'!$B$5,'Child 4'!$B$5)="UK",CHOOSE(CmpChild,'Child 1'!$B$60,'Child 2'!$B$60,'Child 3'!$B$60,'Child 4'!$B$60),'Compare Calc'!$B$242)="estimated","Estimate — no published fee for this course",IF(IF(CHOOSE(CmpChild,'Child 1'!$B$5,'Child 2'!$B$5,'Child 3'!$B$5,'Child 4'!$B$5)="UK",CHOOSE(CmpChild,'Child 1'!$B$61,'Child 2'!$B$61,'Child 3'!$B$61,'Child 4'!$B$61),'Compare Calc'!$B$243)=1,"Some costs have no figure yet",""))))</f>
        <v/>
      </c>
      <c r="E12" s="8" t="str">
        <f>IF(AND(CHOOSE(CmpChild,'Child 1'!$B$22,'Child 2'!$B$22,'Child 3'!$B$22,'Child 4'!$B$22)=1,CHOOSE(CmpChild,'Child 1'!$B$5,'Child 2'!$B$5,'Child 3'!$B$5,'Child 4'!$B$5)="UK"),"Current plan","")</f>
        <v/>
      </c>
    </row>
    <row r="13" spans="2:5" x14ac:dyDescent="0.3">
      <c r="B13" s="8" t="s">
        <v>94</v>
      </c>
      <c r="C13" s="20" t="str">
        <f>IF(CHOOSE(CmpChild,'Child 1'!$B$22,'Child 2'!$B$22,'Child 3'!$B$22,'Child 4'!$B$22)&lt;&gt;1,"",IF(CHOOSE(CmpChild,'Child 1'!$B$5,'Child 2'!$B$5,'Child 3'!$B$5,'Child 4'!$B$5)="Australia",CHOOSE(CmpChild,'Child 1'!$Z$56,'Child 2'!$Z$56,'Child 3'!$Z$56,'Child 4'!$Z$56),IF('Compare Calc'!$B$265=1,'Compare Calc'!$Z$299,"Not available")))</f>
        <v/>
      </c>
      <c r="D13" s="6" t="str">
        <f>IF(CHOOSE(CmpChild,'Child 1'!$B$22,'Child 2'!$B$22,'Child 3'!$B$22,'Child 4'!$B$22)&lt;&gt;1,"",IF(AND(NOT(CHOOSE(CmpChild,'Child 1'!$B$5,'Child 2'!$B$5,'Child 3'!$B$5,'Child 4'!$B$5)="Australia"),'Compare Calc'!$B$265&lt;&gt;1),'Compare Calc'!$B$266,IF(IF(CHOOSE(CmpChild,'Child 1'!$B$5,'Child 2'!$B$5,'Child 3'!$B$5,'Child 4'!$B$5)="Australia",CHOOSE(CmpChild,'Child 1'!$B$60,'Child 2'!$B$60,'Child 3'!$B$60,'Child 4'!$B$60),'Compare Calc'!$B$303)="estimated","Estimate — no published fee for this course",IF(IF(CHOOSE(CmpChild,'Child 1'!$B$5,'Child 2'!$B$5,'Child 3'!$B$5,'Child 4'!$B$5)="Australia",CHOOSE(CmpChild,'Child 1'!$B$61,'Child 2'!$B$61,'Child 3'!$B$61,'Child 4'!$B$61),'Compare Calc'!$B$304)=1,"Some costs have no figure yet",""))))</f>
        <v/>
      </c>
      <c r="E13" s="8" t="str">
        <f>IF(AND(CHOOSE(CmpChild,'Child 1'!$B$22,'Child 2'!$B$22,'Child 3'!$B$22,'Child 4'!$B$22)=1,CHOOSE(CmpChild,'Child 1'!$B$5,'Child 2'!$B$5,'Child 3'!$B$5,'Child 4'!$B$5)="Australia"),"Current plan","")</f>
        <v/>
      </c>
    </row>
    <row r="14" spans="2:5" x14ac:dyDescent="0.3">
      <c r="B14" s="8" t="s">
        <v>95</v>
      </c>
      <c r="C14" s="20" t="str">
        <f>IF(CHOOSE(CmpChild,'Child 1'!$B$22,'Child 2'!$B$22,'Child 3'!$B$22,'Child 4'!$B$22)&lt;&gt;1,"",IF(CHOOSE(CmpChild,'Child 1'!$B$5,'Child 2'!$B$5,'Child 3'!$B$5,'Child 4'!$B$5)="Germany",CHOOSE(CmpChild,'Child 1'!$Z$56,'Child 2'!$Z$56,'Child 3'!$Z$56,'Child 4'!$Z$56),IF('Compare Calc'!$B$326=1,'Compare Calc'!$Z$360,"Not available")))</f>
        <v/>
      </c>
      <c r="D14" s="6" t="str">
        <f>IF(CHOOSE(CmpChild,'Child 1'!$B$22,'Child 2'!$B$22,'Child 3'!$B$22,'Child 4'!$B$22)&lt;&gt;1,"",IF(AND(NOT(CHOOSE(CmpChild,'Child 1'!$B$5,'Child 2'!$B$5,'Child 3'!$B$5,'Child 4'!$B$5)="Germany"),'Compare Calc'!$B$326&lt;&gt;1),'Compare Calc'!$B$327,IF(IF(CHOOSE(CmpChild,'Child 1'!$B$5,'Child 2'!$B$5,'Child 3'!$B$5,'Child 4'!$B$5)="Germany",CHOOSE(CmpChild,'Child 1'!$B$60,'Child 2'!$B$60,'Child 3'!$B$60,'Child 4'!$B$60),'Compare Calc'!$B$364)="estimated","Estimate — no published fee for this course",IF(IF(CHOOSE(CmpChild,'Child 1'!$B$5,'Child 2'!$B$5,'Child 3'!$B$5,'Child 4'!$B$5)="Germany",CHOOSE(CmpChild,'Child 1'!$B$61,'Child 2'!$B$61,'Child 3'!$B$61,'Child 4'!$B$61),'Compare Calc'!$B$365)=1,"Some costs have no figure yet",""))))</f>
        <v/>
      </c>
      <c r="E14" s="8" t="str">
        <f>IF(AND(CHOOSE(CmpChild,'Child 1'!$B$22,'Child 2'!$B$22,'Child 3'!$B$22,'Child 4'!$B$22)=1,CHOOSE(CmpChild,'Child 1'!$B$5,'Child 2'!$B$5,'Child 3'!$B$5,'Child 4'!$B$5)="Germany"),"Current plan","")</f>
        <v/>
      </c>
    </row>
    <row r="15" spans="2:5" x14ac:dyDescent="0.3">
      <c r="B15" s="8" t="s">
        <v>96</v>
      </c>
      <c r="C15" s="20" t="str">
        <f>IF(CHOOSE(CmpChild,'Child 1'!$B$22,'Child 2'!$B$22,'Child 3'!$B$22,'Child 4'!$B$22)&lt;&gt;1,"",IF(CHOOSE(CmpChild,'Child 1'!$B$5,'Child 2'!$B$5,'Child 3'!$B$5,'Child 4'!$B$5)="Singapore",CHOOSE(CmpChild,'Child 1'!$Z$56,'Child 2'!$Z$56,'Child 3'!$Z$56,'Child 4'!$Z$56),IF('Compare Calc'!$B$387=1,'Compare Calc'!$Z$421,"Not available")))</f>
        <v/>
      </c>
      <c r="D15" s="6" t="str">
        <f>IF(CHOOSE(CmpChild,'Child 1'!$B$22,'Child 2'!$B$22,'Child 3'!$B$22,'Child 4'!$B$22)&lt;&gt;1,"",IF(AND(NOT(CHOOSE(CmpChild,'Child 1'!$B$5,'Child 2'!$B$5,'Child 3'!$B$5,'Child 4'!$B$5)="Singapore"),'Compare Calc'!$B$387&lt;&gt;1),'Compare Calc'!$B$388,IF(IF(CHOOSE(CmpChild,'Child 1'!$B$5,'Child 2'!$B$5,'Child 3'!$B$5,'Child 4'!$B$5)="Singapore",CHOOSE(CmpChild,'Child 1'!$B$60,'Child 2'!$B$60,'Child 3'!$B$60,'Child 4'!$B$60),'Compare Calc'!$B$425)="estimated","Estimate — no published fee for this course",IF(IF(CHOOSE(CmpChild,'Child 1'!$B$5,'Child 2'!$B$5,'Child 3'!$B$5,'Child 4'!$B$5)="Singapore",CHOOSE(CmpChild,'Child 1'!$B$61,'Child 2'!$B$61,'Child 3'!$B$61,'Child 4'!$B$61),'Compare Calc'!$B$426)=1,"Some costs have no figure yet",""))))</f>
        <v/>
      </c>
      <c r="E15" s="8" t="str">
        <f>IF(AND(CHOOSE(CmpChild,'Child 1'!$B$22,'Child 2'!$B$22,'Child 3'!$B$22,'Child 4'!$B$22)=1,CHOOSE(CmpChild,'Child 1'!$B$5,'Child 2'!$B$5,'Child 3'!$B$5,'Child 4'!$B$5)="Singapore"),"Current plan","")</f>
        <v/>
      </c>
    </row>
    <row r="16" spans="2:5" x14ac:dyDescent="0.3">
      <c r="B16" s="8" t="s">
        <v>97</v>
      </c>
      <c r="C16" s="20" t="str">
        <f>IF(CHOOSE(CmpChild,'Child 1'!$B$22,'Child 2'!$B$22,'Child 3'!$B$22,'Child 4'!$B$22)&lt;&gt;1,"",IF(CHOOSE(CmpChild,'Child 1'!$B$5,'Child 2'!$B$5,'Child 3'!$B$5,'Child 4'!$B$5)="Malaysia",CHOOSE(CmpChild,'Child 1'!$Z$56,'Child 2'!$Z$56,'Child 3'!$Z$56,'Child 4'!$Z$56),IF('Compare Calc'!$B$448=1,'Compare Calc'!$Z$482,"Not available")))</f>
        <v/>
      </c>
      <c r="D16" s="6" t="str">
        <f>IF(CHOOSE(CmpChild,'Child 1'!$B$22,'Child 2'!$B$22,'Child 3'!$B$22,'Child 4'!$B$22)&lt;&gt;1,"",IF(AND(NOT(CHOOSE(CmpChild,'Child 1'!$B$5,'Child 2'!$B$5,'Child 3'!$B$5,'Child 4'!$B$5)="Malaysia"),'Compare Calc'!$B$448&lt;&gt;1),'Compare Calc'!$B$449,IF(IF(CHOOSE(CmpChild,'Child 1'!$B$5,'Child 2'!$B$5,'Child 3'!$B$5,'Child 4'!$B$5)="Malaysia",CHOOSE(CmpChild,'Child 1'!$B$60,'Child 2'!$B$60,'Child 3'!$B$60,'Child 4'!$B$60),'Compare Calc'!$B$486)="estimated","Estimate — no published fee for this course",IF(IF(CHOOSE(CmpChild,'Child 1'!$B$5,'Child 2'!$B$5,'Child 3'!$B$5,'Child 4'!$B$5)="Malaysia",CHOOSE(CmpChild,'Child 1'!$B$61,'Child 2'!$B$61,'Child 3'!$B$61,'Child 4'!$B$61),'Compare Calc'!$B$487)=1,"Some costs have no figure yet",""))))</f>
        <v/>
      </c>
      <c r="E16" s="8" t="str">
        <f>IF(AND(CHOOSE(CmpChild,'Child 1'!$B$22,'Child 2'!$B$22,'Child 3'!$B$22,'Child 4'!$B$22)=1,CHOOSE(CmpChild,'Child 1'!$B$5,'Child 2'!$B$5,'Child 3'!$B$5,'Child 4'!$B$5)="Malaysia"),"Current plan","")</f>
        <v/>
      </c>
    </row>
    <row r="17" spans="2:5" x14ac:dyDescent="0.3">
      <c r="B17" s="8" t="s">
        <v>98</v>
      </c>
      <c r="C17" s="20" t="str">
        <f>IF(CHOOSE(CmpChild,'Child 1'!$B$22,'Child 2'!$B$22,'Child 3'!$B$22,'Child 4'!$B$22)&lt;&gt;1,"",IF(CHOOSE(CmpChild,'Child 1'!$B$5,'Child 2'!$B$5,'Child 3'!$B$5,'Child 4'!$B$5)="Ireland",CHOOSE(CmpChild,'Child 1'!$Z$56,'Child 2'!$Z$56,'Child 3'!$Z$56,'Child 4'!$Z$56),IF('Compare Calc'!$B$509=1,'Compare Calc'!$Z$543,"Not available")))</f>
        <v/>
      </c>
      <c r="D17" s="6" t="str">
        <f>IF(CHOOSE(CmpChild,'Child 1'!$B$22,'Child 2'!$B$22,'Child 3'!$B$22,'Child 4'!$B$22)&lt;&gt;1,"",IF(AND(NOT(CHOOSE(CmpChild,'Child 1'!$B$5,'Child 2'!$B$5,'Child 3'!$B$5,'Child 4'!$B$5)="Ireland"),'Compare Calc'!$B$509&lt;&gt;1),'Compare Calc'!$B$510,IF(IF(CHOOSE(CmpChild,'Child 1'!$B$5,'Child 2'!$B$5,'Child 3'!$B$5,'Child 4'!$B$5)="Ireland",CHOOSE(CmpChild,'Child 1'!$B$60,'Child 2'!$B$60,'Child 3'!$B$60,'Child 4'!$B$60),'Compare Calc'!$B$547)="estimated","Estimate — no published fee for this course",IF(IF(CHOOSE(CmpChild,'Child 1'!$B$5,'Child 2'!$B$5,'Child 3'!$B$5,'Child 4'!$B$5)="Ireland",CHOOSE(CmpChild,'Child 1'!$B$61,'Child 2'!$B$61,'Child 3'!$B$61,'Child 4'!$B$61),'Compare Calc'!$B$548)=1,"Some costs have no figure yet",""))))</f>
        <v/>
      </c>
      <c r="E17" s="8" t="str">
        <f>IF(AND(CHOOSE(CmpChild,'Child 1'!$B$22,'Child 2'!$B$22,'Child 3'!$B$22,'Child 4'!$B$22)=1,CHOOSE(CmpChild,'Child 1'!$B$5,'Child 2'!$B$5,'Child 3'!$B$5,'Child 4'!$B$5)="Ireland"),"Current plan","")</f>
        <v/>
      </c>
    </row>
    <row r="18" spans="2:5" x14ac:dyDescent="0.3">
      <c r="B18" s="8" t="s">
        <v>99</v>
      </c>
      <c r="C18" s="20" t="str">
        <f>IF(CHOOSE(CmpChild,'Child 1'!$B$22,'Child 2'!$B$22,'Child 3'!$B$22,'Child 4'!$B$22)&lt;&gt;1,"",IF(CHOOSE(CmpChild,'Child 1'!$B$5,'Child 2'!$B$5,'Child 3'!$B$5,'Child 4'!$B$5)="Qatar",CHOOSE(CmpChild,'Child 1'!$Z$56,'Child 2'!$Z$56,'Child 3'!$Z$56,'Child 4'!$Z$56),IF('Compare Calc'!$B$570=1,'Compare Calc'!$Z$604,"Not available")))</f>
        <v/>
      </c>
      <c r="D18" s="6" t="str">
        <f>IF(CHOOSE(CmpChild,'Child 1'!$B$22,'Child 2'!$B$22,'Child 3'!$B$22,'Child 4'!$B$22)&lt;&gt;1,"",IF(AND(NOT(CHOOSE(CmpChild,'Child 1'!$B$5,'Child 2'!$B$5,'Child 3'!$B$5,'Child 4'!$B$5)="Qatar"),'Compare Calc'!$B$570&lt;&gt;1),'Compare Calc'!$B$571,IF(IF(CHOOSE(CmpChild,'Child 1'!$B$5,'Child 2'!$B$5,'Child 3'!$B$5,'Child 4'!$B$5)="Qatar",CHOOSE(CmpChild,'Child 1'!$B$60,'Child 2'!$B$60,'Child 3'!$B$60,'Child 4'!$B$60),'Compare Calc'!$B$608)="estimated","Estimate — no published fee for this course",IF(IF(CHOOSE(CmpChild,'Child 1'!$B$5,'Child 2'!$B$5,'Child 3'!$B$5,'Child 4'!$B$5)="Qatar",CHOOSE(CmpChild,'Child 1'!$B$61,'Child 2'!$B$61,'Child 3'!$B$61,'Child 4'!$B$61),'Compare Calc'!$B$609)=1,"Some costs have no figure yet",""))))</f>
        <v/>
      </c>
      <c r="E18" s="8" t="str">
        <f>IF(AND(CHOOSE(CmpChild,'Child 1'!$B$22,'Child 2'!$B$22,'Child 3'!$B$22,'Child 4'!$B$22)=1,CHOOSE(CmpChild,'Child 1'!$B$5,'Child 2'!$B$5,'Child 3'!$B$5,'Child 4'!$B$5)="Qatar"),"Current plan","")</f>
        <v/>
      </c>
    </row>
    <row r="19" spans="2:5" x14ac:dyDescent="0.3">
      <c r="B19" s="8" t="s">
        <v>100</v>
      </c>
      <c r="C19" s="20" t="str">
        <f>IF(CHOOSE(CmpChild,'Child 1'!$B$22,'Child 2'!$B$22,'Child 3'!$B$22,'Child 4'!$B$22)&lt;&gt;1,"",IF(CHOOSE(CmpChild,'Child 1'!$B$5,'Child 2'!$B$5,'Child 3'!$B$5,'Child 4'!$B$5)="United Arab Emirates",CHOOSE(CmpChild,'Child 1'!$Z$56,'Child 2'!$Z$56,'Child 3'!$Z$56,'Child 4'!$Z$56),IF('Compare Calc'!$B$631=1,'Compare Calc'!$Z$665,"Not available")))</f>
        <v/>
      </c>
      <c r="D19" s="6" t="str">
        <f>IF(CHOOSE(CmpChild,'Child 1'!$B$22,'Child 2'!$B$22,'Child 3'!$B$22,'Child 4'!$B$22)&lt;&gt;1,"",IF(AND(NOT(CHOOSE(CmpChild,'Child 1'!$B$5,'Child 2'!$B$5,'Child 3'!$B$5,'Child 4'!$B$5)="United Arab Emirates"),'Compare Calc'!$B$631&lt;&gt;1),'Compare Calc'!$B$632,IF(IF(CHOOSE(CmpChild,'Child 1'!$B$5,'Child 2'!$B$5,'Child 3'!$B$5,'Child 4'!$B$5)="United Arab Emirates",CHOOSE(CmpChild,'Child 1'!$B$60,'Child 2'!$B$60,'Child 3'!$B$60,'Child 4'!$B$60),'Compare Calc'!$B$669)="estimated","Estimate — no published fee for this course",IF(IF(CHOOSE(CmpChild,'Child 1'!$B$5,'Child 2'!$B$5,'Child 3'!$B$5,'Child 4'!$B$5)="United Arab Emirates",CHOOSE(CmpChild,'Child 1'!$B$61,'Child 2'!$B$61,'Child 3'!$B$61,'Child 4'!$B$61),'Compare Calc'!$B$670)=1,"Some costs have no figure yet",""))))</f>
        <v/>
      </c>
      <c r="E19" s="8" t="str">
        <f>IF(AND(CHOOSE(CmpChild,'Child 1'!$B$22,'Child 2'!$B$22,'Child 3'!$B$22,'Child 4'!$B$22)=1,CHOOSE(CmpChild,'Child 1'!$B$5,'Child 2'!$B$5,'Child 3'!$B$5,'Child 4'!$B$5)="United Arab Emirates"),"Current plan","")</f>
        <v/>
      </c>
    </row>
    <row r="21" spans="2:5" ht="52.05" customHeight="1" x14ac:dyDescent="0.3">
      <c r="B21" s="38" t="s">
        <v>101</v>
      </c>
      <c r="C21" s="39"/>
      <c r="D21" s="39"/>
      <c r="E21" s="39"/>
    </row>
  </sheetData>
  <sheetProtection sheet="1" objects="1" formatCells="0" formatColumns="0" formatRows="0"/>
  <mergeCells count="1">
    <mergeCell ref="B21:E2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27"/>
  <sheetViews>
    <sheetView workbookViewId="0">
      <pane xSplit="1" ySplit="3" topLeftCell="B4" activePane="bottomRight" state="frozen"/>
      <selection pane="topRight"/>
      <selection pane="bottomLeft"/>
      <selection pane="bottomRight"/>
    </sheetView>
  </sheetViews>
  <sheetFormatPr defaultRowHeight="14.4" x14ac:dyDescent="0.3"/>
  <cols>
    <col min="1" max="1" width="44" customWidth="1"/>
    <col min="2" max="2" width="18" customWidth="1"/>
    <col min="3" max="6" width="13" customWidth="1"/>
    <col min="7" max="7" width="30" customWidth="1"/>
    <col min="8" max="29" width="13" customWidth="1"/>
  </cols>
  <sheetData>
    <row r="1" spans="1:2" ht="21" x14ac:dyDescent="0.4">
      <c r="A1" s="5" t="s">
        <v>102</v>
      </c>
    </row>
    <row r="2" spans="1:2" x14ac:dyDescent="0.3">
      <c r="A2" s="6" t="s">
        <v>103</v>
      </c>
    </row>
    <row r="4" spans="1:2" x14ac:dyDescent="0.3">
      <c r="A4" s="16" t="s">
        <v>104</v>
      </c>
      <c r="B4" s="12">
        <f>IF(1&lt;=NumChildren,1,0)</f>
        <v>1</v>
      </c>
    </row>
    <row r="5" spans="1:2" x14ac:dyDescent="0.3">
      <c r="A5" s="16" t="s">
        <v>30</v>
      </c>
      <c r="B5" s="12" t="str">
        <f>IF(Inputs!$C$17="","",Inputs!$C$17)</f>
        <v/>
      </c>
    </row>
    <row r="6" spans="1:2" x14ac:dyDescent="0.3">
      <c r="A6" s="16" t="s">
        <v>31</v>
      </c>
      <c r="B6" s="12" t="str">
        <f>IF(Inputs!$C$18="","",Inputs!$C$18)</f>
        <v/>
      </c>
    </row>
    <row r="7" spans="1:2" x14ac:dyDescent="0.3">
      <c r="A7" s="16" t="s">
        <v>105</v>
      </c>
      <c r="B7" s="12" t="str">
        <f>IF(Inputs!$C$15="","",Inputs!$C$15)</f>
        <v/>
      </c>
    </row>
    <row r="8" spans="1:2" x14ac:dyDescent="0.3">
      <c r="A8" s="16" t="s">
        <v>106</v>
      </c>
      <c r="B8" s="12">
        <f>IF(Inputs!$C$19="","",Inputs!$C$19)</f>
        <v>18</v>
      </c>
    </row>
    <row r="9" spans="1:2" x14ac:dyDescent="0.3">
      <c r="A9" s="16" t="s">
        <v>107</v>
      </c>
      <c r="B9" s="12" t="str">
        <f>IF($B$5="","",IF(COUNTIF(DomKey,$B$5&amp;"|"&amp;Nationality)&gt;0,"domestic","international"))</f>
        <v/>
      </c>
    </row>
    <row r="10" spans="1:2" x14ac:dyDescent="0.3">
      <c r="A10" s="16" t="s">
        <v>108</v>
      </c>
      <c r="B10" s="12" t="str">
        <f>$B$5&amp;"|"&amp;$B$6&amp;"|"&amp;$B$9</f>
        <v>||</v>
      </c>
    </row>
    <row r="11" spans="1:2" x14ac:dyDescent="0.3">
      <c r="A11" s="16" t="s">
        <v>109</v>
      </c>
      <c r="B11" s="12">
        <f>IFERROR(MATCH($B$10,DB_Key,0),0)</f>
        <v>0</v>
      </c>
    </row>
    <row r="12" spans="1:2" x14ac:dyDescent="0.3">
      <c r="A12" s="16" t="s">
        <v>110</v>
      </c>
      <c r="B12" s="12" t="str">
        <f>IFERROR(INDEX(Ctry_Ccy,MATCH($B$5,Ctry_Name,0)),"USD")</f>
        <v>USD</v>
      </c>
    </row>
    <row r="13" spans="1:2" x14ac:dyDescent="0.3">
      <c r="A13" s="16" t="s">
        <v>68</v>
      </c>
      <c r="B13" s="12">
        <f>IF($B$11&gt;0,INDEX(DB_Dur,$B$11),0)</f>
        <v>0</v>
      </c>
    </row>
    <row r="14" spans="1:2" x14ac:dyDescent="0.3">
      <c r="A14" s="16" t="s">
        <v>111</v>
      </c>
      <c r="B14" s="12">
        <f>IF($B$11&gt;0,INDEX(DB_Avail,$B$11),0)</f>
        <v>0</v>
      </c>
    </row>
    <row r="15" spans="1:2" x14ac:dyDescent="0.3">
      <c r="A15" s="16" t="s">
        <v>112</v>
      </c>
      <c r="B15" s="12">
        <f>IF($B$11&gt;0,INDEX(DB_PreYears,$B$11),0)</f>
        <v>0</v>
      </c>
    </row>
    <row r="16" spans="1:2" x14ac:dyDescent="0.3">
      <c r="A16" s="16" t="s">
        <v>113</v>
      </c>
      <c r="B16" s="14">
        <f>IF(ISNUMBER(Inputs!$C$20),Inputs!$C$20,IF($B$11&gt;0,INDEX(DB_TInf,$B$11),0))</f>
        <v>0</v>
      </c>
    </row>
    <row r="17" spans="1:10" x14ac:dyDescent="0.3">
      <c r="A17" s="16" t="s">
        <v>114</v>
      </c>
      <c r="B17" s="14">
        <f>IF(ISNUMBER(Inputs!$C$21),Inputs!$C$21,IFERROR(INDEX(Ctry_LInf,MATCH($B$5,Ctry_Name,0)),0))</f>
        <v>0</v>
      </c>
    </row>
    <row r="18" spans="1:10" x14ac:dyDescent="0.3">
      <c r="A18" s="16" t="s">
        <v>115</v>
      </c>
      <c r="B18" s="12">
        <f>IF($B$22=1,MAX(0,$B$8-$B$7),0)</f>
        <v>0</v>
      </c>
    </row>
    <row r="19" spans="1:10" x14ac:dyDescent="0.3">
      <c r="A19" s="16" t="s">
        <v>116</v>
      </c>
      <c r="B19" s="12">
        <f>ROUNDUP($B$13,0)</f>
        <v>0</v>
      </c>
    </row>
    <row r="20" spans="1:10" x14ac:dyDescent="0.3">
      <c r="A20" s="16" t="s">
        <v>117</v>
      </c>
      <c r="B20" s="12">
        <f>IF($B$22=1,$B$18+$B$19,0)</f>
        <v>0</v>
      </c>
    </row>
    <row r="21" spans="1:10" x14ac:dyDescent="0.3">
      <c r="A21" s="16" t="s">
        <v>118</v>
      </c>
      <c r="B21" s="12">
        <f>MAX(0,$B$20-1)</f>
        <v>0</v>
      </c>
    </row>
    <row r="22" spans="1:10" x14ac:dyDescent="0.3">
      <c r="A22" s="16" t="s">
        <v>119</v>
      </c>
      <c r="B22" s="12">
        <f>IF(IFERROR(AND($B$4=1,$B$5&lt;&gt;"",$B$6&lt;&gt;"",$B$14=1,IFERROR(AND(ISNUMBER($B$7),$B$7&gt;=0,$B$7&lt;=18,INT($B$7)=$B$7),FALSE),IFERROR(AND(ISNUMBER($B$8),$B$8&gt;=14,$B$8&lt;=45,INT($B$8)=$B$8),FALSE)),FALSE),1,0)</f>
        <v>0</v>
      </c>
    </row>
    <row r="23" spans="1:10" x14ac:dyDescent="0.3">
      <c r="A23" s="16" t="s">
        <v>70</v>
      </c>
      <c r="B23" s="12" t="str">
        <f>IF($B$4&lt;&gt;1,"",IF(AND($B$7="",$B$5="",$B$6=""),"Enter this child's details on the Inputs sheet.",IF(NOT(IFERROR(AND(ISNUMBER($B$7),$B$7&gt;=0,$B$7&lt;=18,INT($B$7)=$B$7),FALSE)),"Choose the child's current age (0 to 18).",IF(NOT(IFERROR(AND(ISNUMBER($B$8),$B$8&gt;=14,$B$8&lt;=45,INT($B$8)=$B$8),FALSE)),"College-entry age must be a whole number from 14 to 45.",IF($B$5="","Choose the education country.",IF($B$6="","Choose the qualification.",IF($B$14&lt;&gt;1,"This qualification is not offered (or has no typical duration) in the selected country.","")))))))</f>
        <v>Enter this child's details on the Inputs sheet.</v>
      </c>
    </row>
    <row r="24" spans="1:10" x14ac:dyDescent="0.3">
      <c r="A24" s="16" t="s">
        <v>120</v>
      </c>
      <c r="B24" s="12">
        <f>INDEX(FxUsed,MATCH(RepCcy,FxCodes,0))/INDEX(FxUsed,MATCH($B$12,FxCodes,0))</f>
        <v>1</v>
      </c>
    </row>
    <row r="25" spans="1:10" x14ac:dyDescent="0.3">
      <c r="A25" s="16" t="s">
        <v>121</v>
      </c>
      <c r="B25" s="12">
        <f>IF($B$11=0,0,COUNTIF(RecKey,$B$10))</f>
        <v>0</v>
      </c>
    </row>
    <row r="26" spans="1:10" x14ac:dyDescent="0.3">
      <c r="A26" s="16" t="s">
        <v>122</v>
      </c>
      <c r="B26" s="12" t="str">
        <f>IF($B$25&gt;0,INDEX(DB_RecCcy,$B$11),IF($B$11&gt;0,INDEX(DB_EstCcy,$B$11),$B$12))</f>
        <v>USD</v>
      </c>
    </row>
    <row r="27" spans="1:10" x14ac:dyDescent="0.3">
      <c r="A27" s="16" t="s">
        <v>123</v>
      </c>
      <c r="B27" s="12">
        <f>IFERROR(MATCH($B$5&amp;"|"&amp;$B$9,LivKey,0),0)</f>
        <v>0</v>
      </c>
    </row>
    <row r="28" spans="1:10" x14ac:dyDescent="0.3">
      <c r="A28" s="16" t="s">
        <v>124</v>
      </c>
      <c r="B28" s="12">
        <f>IFERROR(MATCH($B$5&amp;"|"&amp;Nationality,VisaKey,0),0)</f>
        <v>0</v>
      </c>
    </row>
    <row r="29" spans="1:10" x14ac:dyDescent="0.3">
      <c r="A29" s="16" t="s">
        <v>125</v>
      </c>
      <c r="B29" s="12">
        <f>IFERROR(MATCH($B$5&amp;"|"&amp;Residence,TravKey,0),0)</f>
        <v>0</v>
      </c>
    </row>
    <row r="31" spans="1:10" ht="39.6" x14ac:dyDescent="0.3">
      <c r="A31" s="22" t="s">
        <v>126</v>
      </c>
      <c r="B31" s="22" t="s">
        <v>127</v>
      </c>
      <c r="C31" s="22" t="s">
        <v>128</v>
      </c>
      <c r="D31" s="22" t="s">
        <v>129</v>
      </c>
      <c r="E31" s="22" t="s">
        <v>130</v>
      </c>
      <c r="F31" s="22" t="s">
        <v>131</v>
      </c>
      <c r="G31" s="22" t="s">
        <v>132</v>
      </c>
      <c r="H31" s="22" t="s">
        <v>133</v>
      </c>
      <c r="I31" s="22" t="s">
        <v>134</v>
      </c>
      <c r="J31" s="22" t="s">
        <v>135</v>
      </c>
    </row>
    <row r="32" spans="1:10" x14ac:dyDescent="0.3">
      <c r="A32" s="16" t="s">
        <v>36</v>
      </c>
      <c r="B32" s="25">
        <f>IF($B$11=0,0,(IF($B$25&gt;0,SUMPRODUCT((RecKey=$B$10)*RecTuition*(1+$B$16)^(PlanYear-RecYear))/$B$25,INDEX(DB_EstTuition,$B$11)))/INDEX(FxUsed,MATCH($B$26,FxCodes,0))*INDEX(FxUsed,MATCH($B$12,FxCodes,0)))</f>
        <v>0</v>
      </c>
      <c r="C32" s="21" t="str">
        <f>IF(ISNUMBER(Inputs!$C$23),Inputs!$C$23,"")</f>
        <v/>
      </c>
      <c r="D32" s="25">
        <f t="shared" ref="D32:D43" si="0">IF(ISNUMBER(C32),IF(C32&gt;=0,C32,B32),B32)</f>
        <v>0</v>
      </c>
      <c r="E32" s="12">
        <f>IF(ISNUMBER(C32),PlanYear,IF($B$25&gt;0,PlanYear,IF($B$11&gt;0,INDEX(DB_EstBase,$B$11),PlanYear)))</f>
        <v>2026</v>
      </c>
      <c r="F32" s="12" t="str">
        <f>IF(ISNUMBER(C32),"override",IF($B$11=0,"missing",IF($B$25&gt;0,"verified",INDEX(DB_EstStatus,$B$11))))</f>
        <v>missing</v>
      </c>
      <c r="G32" s="16" t="str">
        <f t="shared" ref="G32:G43" si="1">IF(F32="verified","Published figure",IF(F32="estimated","Estimated — please review",IF(F32="notNeeded","Not needed",IF(F32="override","Your figure",IF(F32="missing","No figure yet — enter your own","")))))</f>
        <v>No figure yet — enter your own</v>
      </c>
      <c r="H32" s="16" t="s">
        <v>136</v>
      </c>
      <c r="I32" s="16" t="s">
        <v>137</v>
      </c>
      <c r="J32" s="16" t="s">
        <v>138</v>
      </c>
    </row>
    <row r="33" spans="1:27" x14ac:dyDescent="0.3">
      <c r="A33" s="16" t="s">
        <v>37</v>
      </c>
      <c r="B33" s="25">
        <f>IF($B$27=0,0,(INDEX(Liv_accommodation_Amt,$B$27))/INDEX(FxUsed,MATCH(INDEX(Liv_accommodation_Ccy,$B$27),FxCodes,0))*INDEX(FxUsed,MATCH($B$12,FxCodes,0)))</f>
        <v>0</v>
      </c>
      <c r="C33" s="21" t="str">
        <f>IF(ISNUMBER(Inputs!$C$24),Inputs!$C$24,"")</f>
        <v/>
      </c>
      <c r="D33" s="25">
        <f t="shared" si="0"/>
        <v>0</v>
      </c>
      <c r="E33" s="12">
        <f>IF(ISNUMBER(C33),PlanYear,IF($B$27=0,PlanYear,INDEX(Liv_accommodation_Base,$B$27)))</f>
        <v>2026</v>
      </c>
      <c r="F33" s="12" t="str">
        <f>IF(ISNUMBER(C33),"override",IF($B$27=0,"missing",INDEX(Liv_accommodation_Status,$B$27)))</f>
        <v>missing</v>
      </c>
      <c r="G33" s="16" t="str">
        <f t="shared" si="1"/>
        <v>No figure yet — enter your own</v>
      </c>
      <c r="H33" s="16" t="s">
        <v>139</v>
      </c>
      <c r="I33" s="16" t="s">
        <v>137</v>
      </c>
      <c r="J33" s="16" t="s">
        <v>138</v>
      </c>
    </row>
    <row r="34" spans="1:27" x14ac:dyDescent="0.3">
      <c r="A34" s="16" t="s">
        <v>38</v>
      </c>
      <c r="B34" s="25">
        <f>IF($B$27=0,0,(INDEX(Liv_food_Amt,$B$27))/INDEX(FxUsed,MATCH(INDEX(Liv_food_Ccy,$B$27),FxCodes,0))*INDEX(FxUsed,MATCH($B$12,FxCodes,0)))</f>
        <v>0</v>
      </c>
      <c r="C34" s="21" t="str">
        <f>IF(ISNUMBER(Inputs!$C$25),Inputs!$C$25,"")</f>
        <v/>
      </c>
      <c r="D34" s="25">
        <f t="shared" si="0"/>
        <v>0</v>
      </c>
      <c r="E34" s="12">
        <f>IF(ISNUMBER(C34),PlanYear,IF($B$27=0,PlanYear,INDEX(Liv_food_Base,$B$27)))</f>
        <v>2026</v>
      </c>
      <c r="F34" s="12" t="str">
        <f>IF(ISNUMBER(C34),"override",IF($B$27=0,"missing",INDEX(Liv_food_Status,$B$27)))</f>
        <v>missing</v>
      </c>
      <c r="G34" s="16" t="str">
        <f t="shared" si="1"/>
        <v>No figure yet — enter your own</v>
      </c>
      <c r="H34" s="16" t="s">
        <v>139</v>
      </c>
      <c r="I34" s="16" t="s">
        <v>137</v>
      </c>
      <c r="J34" s="16" t="s">
        <v>138</v>
      </c>
    </row>
    <row r="35" spans="1:27" x14ac:dyDescent="0.3">
      <c r="A35" s="16" t="s">
        <v>39</v>
      </c>
      <c r="B35" s="25">
        <f>IF($B$27=0,0,(INDEX(Liv_transport_Amt,$B$27))/INDEX(FxUsed,MATCH(INDEX(Liv_transport_Ccy,$B$27),FxCodes,0))*INDEX(FxUsed,MATCH($B$12,FxCodes,0)))</f>
        <v>0</v>
      </c>
      <c r="C35" s="21" t="str">
        <f>IF(ISNUMBER(Inputs!$C$26),Inputs!$C$26,"")</f>
        <v/>
      </c>
      <c r="D35" s="25">
        <f t="shared" si="0"/>
        <v>0</v>
      </c>
      <c r="E35" s="12">
        <f>IF(ISNUMBER(C35),PlanYear,IF($B$27=0,PlanYear,INDEX(Liv_transport_Base,$B$27)))</f>
        <v>2026</v>
      </c>
      <c r="F35" s="12" t="str">
        <f>IF(ISNUMBER(C35),"override",IF($B$27=0,"missing",INDEX(Liv_transport_Status,$B$27)))</f>
        <v>missing</v>
      </c>
      <c r="G35" s="16" t="str">
        <f t="shared" si="1"/>
        <v>No figure yet — enter your own</v>
      </c>
      <c r="H35" s="16" t="s">
        <v>139</v>
      </c>
      <c r="I35" s="16" t="s">
        <v>137</v>
      </c>
      <c r="J35" s="16" t="s">
        <v>138</v>
      </c>
    </row>
    <row r="36" spans="1:27" x14ac:dyDescent="0.3">
      <c r="A36" s="16" t="s">
        <v>40</v>
      </c>
      <c r="B36" s="25">
        <f>IF($B$27=0,0,(INDEX(Liv_healthInsurance_Amt,$B$27))/INDEX(FxUsed,MATCH(INDEX(Liv_healthInsurance_Ccy,$B$27),FxCodes,0))*INDEX(FxUsed,MATCH($B$12,FxCodes,0)))</f>
        <v>0</v>
      </c>
      <c r="C36" s="21" t="str">
        <f>IF(ISNUMBER(Inputs!$C$27),Inputs!$C$27,"")</f>
        <v/>
      </c>
      <c r="D36" s="25">
        <f t="shared" si="0"/>
        <v>0</v>
      </c>
      <c r="E36" s="12">
        <f>IF(ISNUMBER(C36),PlanYear,IF($B$27=0,PlanYear,INDEX(Liv_healthInsurance_Base,$B$27)))</f>
        <v>2026</v>
      </c>
      <c r="F36" s="12" t="str">
        <f>IF(ISNUMBER(C36),"override",IF($B$27=0,"missing",INDEX(Liv_healthInsurance_Status,$B$27)))</f>
        <v>missing</v>
      </c>
      <c r="G36" s="16" t="str">
        <f t="shared" si="1"/>
        <v>No figure yet — enter your own</v>
      </c>
      <c r="H36" s="16" t="s">
        <v>139</v>
      </c>
      <c r="I36" s="16" t="s">
        <v>137</v>
      </c>
      <c r="J36" s="16" t="s">
        <v>138</v>
      </c>
    </row>
    <row r="37" spans="1:27" x14ac:dyDescent="0.3">
      <c r="A37" s="16" t="s">
        <v>41</v>
      </c>
      <c r="B37" s="25">
        <f>IF($B$27=0,0,(INDEX(Liv_books_Amt,$B$27))/INDEX(FxUsed,MATCH(INDEX(Liv_books_Ccy,$B$27),FxCodes,0))*INDEX(FxUsed,MATCH($B$12,FxCodes,0)))</f>
        <v>0</v>
      </c>
      <c r="C37" s="21" t="str">
        <f>IF(ISNUMBER(Inputs!$C$28),Inputs!$C$28,"")</f>
        <v/>
      </c>
      <c r="D37" s="25">
        <f t="shared" si="0"/>
        <v>0</v>
      </c>
      <c r="E37" s="12">
        <f>IF(ISNUMBER(C37),PlanYear,IF($B$27=0,PlanYear,INDEX(Liv_books_Base,$B$27)))</f>
        <v>2026</v>
      </c>
      <c r="F37" s="12" t="str">
        <f>IF(ISNUMBER(C37),"override",IF($B$27=0,"missing",INDEX(Liv_books_Status,$B$27)))</f>
        <v>missing</v>
      </c>
      <c r="G37" s="16" t="str">
        <f t="shared" si="1"/>
        <v>No figure yet — enter your own</v>
      </c>
      <c r="H37" s="16" t="s">
        <v>139</v>
      </c>
      <c r="I37" s="16" t="s">
        <v>137</v>
      </c>
      <c r="J37" s="16" t="s">
        <v>138</v>
      </c>
    </row>
    <row r="38" spans="1:27" x14ac:dyDescent="0.3">
      <c r="A38" s="16" t="s">
        <v>42</v>
      </c>
      <c r="B38" s="25">
        <f>IF($B$11=0,0,(IF($B$25&gt;0,SUMPRODUCT((RecKey=$B$10)*RecOther*(1+$B$16)^(PlanYear-RecYear))/$B$25,INDEX(DB_EstOther,$B$11)))/INDEX(FxUsed,MATCH($B$26,FxCodes,0))*INDEX(FxUsed,MATCH($B$12,FxCodes,0)))</f>
        <v>0</v>
      </c>
      <c r="C38" s="21" t="str">
        <f>IF(ISNUMBER(Inputs!$C$29),Inputs!$C$29,"")</f>
        <v/>
      </c>
      <c r="D38" s="25">
        <f t="shared" si="0"/>
        <v>0</v>
      </c>
      <c r="E38" s="12">
        <f>IF(ISNUMBER(C38),PlanYear,IF($B$25&gt;0,PlanYear,IF($B$11&gt;0,INDEX(DB_EstBase,$B$11),PlanYear)))</f>
        <v>2026</v>
      </c>
      <c r="F38" s="12" t="str">
        <f>IF(ISNUMBER(C38),"override",IF($B$11=0,"missing",IF($B$25&gt;0,"verified",INDEX(DB_EstStatus,$B$11))))</f>
        <v>missing</v>
      </c>
      <c r="G38" s="16" t="str">
        <f t="shared" si="1"/>
        <v>No figure yet — enter your own</v>
      </c>
      <c r="H38" s="16" t="s">
        <v>136</v>
      </c>
      <c r="I38" s="16" t="s">
        <v>137</v>
      </c>
      <c r="J38" s="16" t="s">
        <v>138</v>
      </c>
    </row>
    <row r="39" spans="1:27" x14ac:dyDescent="0.3">
      <c r="A39" s="16" t="s">
        <v>140</v>
      </c>
      <c r="B39" s="25">
        <f>IF($B$15&gt;0,IF($B$15&gt;0,(INDEX(DB_PreAdm,$B$11))/INDEX(FxUsed,MATCH(INDEX(DB_PreCcy,$B$11),FxCodes,0))*INDEX(FxUsed,MATCH($B$12,FxCodes,0)),0),IF($B$11=0,0,(IF($B$25&gt;0,SUMPRODUCT((RecKey=$B$10)*RecAdm*(1+$B$16)^(PlanYear-RecYear))/$B$25,INDEX(DB_EstAdm,$B$11)))/INDEX(FxUsed,MATCH($B$26,FxCodes,0))*INDEX(FxUsed,MATCH($B$12,FxCodes,0))))</f>
        <v>0</v>
      </c>
      <c r="C39" s="21" t="str">
        <f>IF(ISNUMBER(Inputs!$C$30),Inputs!$C$30,"")</f>
        <v/>
      </c>
      <c r="D39" s="25">
        <f t="shared" si="0"/>
        <v>0</v>
      </c>
      <c r="E39" s="12">
        <f>IF(ISNUMBER(C39),PlanYear,IF($B$15&gt;0,INDEX(DB_PreBase,$B$11),IF($B$25&gt;0,PlanYear,IF($B$11&gt;0,INDEX(DB_EstBase,$B$11),PlanYear))))</f>
        <v>2026</v>
      </c>
      <c r="F39" s="12" t="str">
        <f>IF(ISNUMBER(C39),"override",IF($B$15&gt;0,INDEX(DB_PreStatus,$B$11),IF($B$11=0,"missing",IF($B$25&gt;0,"verified",INDEX(DB_EstStatus,$B$11)))))</f>
        <v>missing</v>
      </c>
      <c r="G39" s="16" t="str">
        <f t="shared" si="1"/>
        <v>No figure yet — enter your own</v>
      </c>
      <c r="H39" s="16" t="s">
        <v>136</v>
      </c>
      <c r="I39" s="16" t="s">
        <v>141</v>
      </c>
      <c r="J39" s="16" t="s">
        <v>138</v>
      </c>
    </row>
    <row r="40" spans="1:27" x14ac:dyDescent="0.3">
      <c r="A40" s="16" t="s">
        <v>142</v>
      </c>
      <c r="B40" s="25">
        <f>IF(OR($B$28=0,AND($B$9&lt;&gt;"domestic",Residence=$B$5,COUNTIF(ResNoVisa,$B$5)&gt;0)),0,(INDEX(VisaAmt,$B$28))/INDEX(FxUsed,MATCH(INDEX(VisaCcy,$B$28),FxCodes,0))*INDEX(FxUsed,MATCH($B$12,FxCodes,0)))</f>
        <v>0</v>
      </c>
      <c r="C40" s="21" t="str">
        <f>IF(ISNUMBER(Inputs!$C$31),Inputs!$C$31,"")</f>
        <v/>
      </c>
      <c r="D40" s="25">
        <f t="shared" si="0"/>
        <v>0</v>
      </c>
      <c r="E40" s="12">
        <f>IF(ISNUMBER(C40),PlanYear,IF(OR($B$28=0,AND($B$9&lt;&gt;"domestic",Residence=$B$5,COUNTIF(ResNoVisa,$B$5)&gt;0)),PlanYear,INDEX(VisaBase,$B$28)))</f>
        <v>2026</v>
      </c>
      <c r="F40" s="12" t="str">
        <f>IF(ISNUMBER(C40),"override",IF(AND($B$9&lt;&gt;"domestic",Residence=$B$5,COUNTIF(ResNoVisa,$B$5)&gt;0),"notNeeded",IF($B$28=0,"missing",INDEX(VisaStatus,$B$28))))</f>
        <v>missing</v>
      </c>
      <c r="G40" s="16" t="str">
        <f t="shared" si="1"/>
        <v>No figure yet — enter your own</v>
      </c>
      <c r="H40" s="16" t="s">
        <v>139</v>
      </c>
      <c r="I40" s="16" t="s">
        <v>141</v>
      </c>
      <c r="J40" s="16" t="s">
        <v>143</v>
      </c>
    </row>
    <row r="41" spans="1:27" x14ac:dyDescent="0.3">
      <c r="A41" s="16" t="s">
        <v>144</v>
      </c>
      <c r="B41" s="25">
        <f>IF($B$29=0,0,(INDEX(TravAmt,$B$29))/INDEX(FxUsed,MATCH(INDEX(TravCcy,$B$29),FxCodes,0))*INDEX(FxUsed,MATCH($B$12,FxCodes,0)))</f>
        <v>0</v>
      </c>
      <c r="C41" s="21" t="str">
        <f>IF(ISNUMBER(Inputs!$C$32),Inputs!$C$32,"")</f>
        <v/>
      </c>
      <c r="D41" s="25">
        <f t="shared" si="0"/>
        <v>0</v>
      </c>
      <c r="E41" s="12">
        <f>IF(ISNUMBER(C41),PlanYear,IF($B$29=0,PlanYear,INDEX(TravBase,$B$29)))</f>
        <v>2026</v>
      </c>
      <c r="F41" s="12" t="str">
        <f>IF(ISNUMBER(C41),"override",IF($B$29=0,"missing",INDEX(TravStatus,$B$29)))</f>
        <v>missing</v>
      </c>
      <c r="G41" s="16" t="str">
        <f t="shared" si="1"/>
        <v>No figure yet — enter your own</v>
      </c>
      <c r="H41" s="16" t="s">
        <v>139</v>
      </c>
      <c r="I41" s="16" t="s">
        <v>141</v>
      </c>
      <c r="J41" s="16" t="s">
        <v>143</v>
      </c>
    </row>
    <row r="42" spans="1:27" x14ac:dyDescent="0.3">
      <c r="A42" s="16" t="s">
        <v>46</v>
      </c>
      <c r="B42" s="25">
        <f>IF($B$15&gt;0,(INDEX(DB_PreTuition,$B$11))/INDEX(FxUsed,MATCH(INDEX(DB_PreCcy,$B$11),FxCodes,0))*INDEX(FxUsed,MATCH($B$12,FxCodes,0)),0)</f>
        <v>0</v>
      </c>
      <c r="C42" s="21" t="str">
        <f>IF(ISNUMBER(Inputs!$C$33),Inputs!$C$33,"")</f>
        <v/>
      </c>
      <c r="D42" s="25">
        <f t="shared" si="0"/>
        <v>0</v>
      </c>
      <c r="E42" s="12">
        <f>IF(ISNUMBER(C42),PlanYear,IF($B$15&gt;0,INDEX(DB_PreBase,$B$11),PlanYear))</f>
        <v>2026</v>
      </c>
      <c r="F42" s="12" t="str">
        <f>IF(ISNUMBER(C42),"override",IF($B$15&gt;0,INDEX(DB_PreStatus,$B$11),""))</f>
        <v/>
      </c>
      <c r="G42" s="16" t="str">
        <f t="shared" si="1"/>
        <v/>
      </c>
      <c r="H42" s="16" t="s">
        <v>136</v>
      </c>
      <c r="I42" s="16" t="s">
        <v>137</v>
      </c>
      <c r="J42" s="16" t="s">
        <v>138</v>
      </c>
    </row>
    <row r="43" spans="1:27" x14ac:dyDescent="0.3">
      <c r="A43" s="16" t="s">
        <v>47</v>
      </c>
      <c r="B43" s="25">
        <f>IF($B$15&gt;0,(INDEX(DB_PreOther,$B$11))/INDEX(FxUsed,MATCH(INDEX(DB_PreCcy,$B$11),FxCodes,0))*INDEX(FxUsed,MATCH($B$12,FxCodes,0)),0)</f>
        <v>0</v>
      </c>
      <c r="C43" s="21" t="str">
        <f>IF(ISNUMBER(Inputs!$C$34),Inputs!$C$34,"")</f>
        <v/>
      </c>
      <c r="D43" s="25">
        <f t="shared" si="0"/>
        <v>0</v>
      </c>
      <c r="E43" s="12">
        <f>IF(ISNUMBER(C43),PlanYear,IF($B$15&gt;0,INDEX(DB_PreBase,$B$11),PlanYear))</f>
        <v>2026</v>
      </c>
      <c r="F43" s="12" t="str">
        <f>IF(ISNUMBER(C43),"override",IF($B$15&gt;0,INDEX(DB_PreStatus,$B$11),""))</f>
        <v/>
      </c>
      <c r="G43" s="16" t="str">
        <f t="shared" si="1"/>
        <v/>
      </c>
      <c r="H43" s="16" t="s">
        <v>136</v>
      </c>
      <c r="I43" s="16" t="s">
        <v>137</v>
      </c>
      <c r="J43" s="16" t="s">
        <v>138</v>
      </c>
    </row>
    <row r="45" spans="1:27" ht="52.8" x14ac:dyDescent="0.3">
      <c r="A45" s="22" t="s">
        <v>145</v>
      </c>
      <c r="B45" s="22" t="s">
        <v>146</v>
      </c>
      <c r="C45" s="22" t="s">
        <v>147</v>
      </c>
      <c r="D45" s="22" t="s">
        <v>148</v>
      </c>
      <c r="E45" s="22" t="s">
        <v>149</v>
      </c>
      <c r="F45" s="22" t="s">
        <v>150</v>
      </c>
      <c r="G45" s="22" t="s">
        <v>151</v>
      </c>
      <c r="H45" s="22" t="s">
        <v>152</v>
      </c>
      <c r="I45" s="22" t="s">
        <v>153</v>
      </c>
      <c r="J45" s="22" t="s">
        <v>154</v>
      </c>
      <c r="K45" s="22" t="s">
        <v>155</v>
      </c>
      <c r="L45" s="22" t="s">
        <v>156</v>
      </c>
      <c r="M45" s="22" t="s">
        <v>157</v>
      </c>
      <c r="N45" s="22" t="s">
        <v>158</v>
      </c>
      <c r="O45" s="22" t="s">
        <v>159</v>
      </c>
      <c r="P45" s="22" t="s">
        <v>36</v>
      </c>
      <c r="Q45" s="22" t="s">
        <v>37</v>
      </c>
      <c r="R45" s="22" t="s">
        <v>38</v>
      </c>
      <c r="S45" s="22" t="s">
        <v>39</v>
      </c>
      <c r="T45" s="22" t="s">
        <v>40</v>
      </c>
      <c r="U45" s="22" t="s">
        <v>41</v>
      </c>
      <c r="V45" s="22" t="s">
        <v>42</v>
      </c>
      <c r="W45" s="22" t="s">
        <v>140</v>
      </c>
      <c r="X45" s="22" t="s">
        <v>142</v>
      </c>
      <c r="Y45" s="22" t="s">
        <v>144</v>
      </c>
      <c r="Z45" s="22" t="s">
        <v>83</v>
      </c>
      <c r="AA45" s="22" t="s">
        <v>160</v>
      </c>
    </row>
    <row r="46" spans="1:27" x14ac:dyDescent="0.3">
      <c r="A46" s="16">
        <v>0</v>
      </c>
      <c r="B46" s="16">
        <f t="shared" ref="B46:B55" si="2">PlanYear+$B$18+A46</f>
        <v>2026</v>
      </c>
      <c r="C46" s="16">
        <f t="shared" ref="C46:C55" si="3">MAX(0,MIN(1,$B$13-A46))</f>
        <v>0</v>
      </c>
      <c r="D46" s="16">
        <f t="shared" ref="D46:D55" si="4">IF(A46&lt;$B$15,1,0)</f>
        <v>0</v>
      </c>
      <c r="E46" s="16">
        <f t="shared" ref="E46:E55" si="5">IF(AND($B$22=1,A46&lt;$B$19),1,0)</f>
        <v>0</v>
      </c>
      <c r="F46" s="21">
        <f t="shared" ref="F46:F55" si="6">IF(AND(E46=1),IF(D46=1,$D$42,$D$32)*(1+$B$16)^(B46-IF(D46=1,$E$42,$E$32))*C46*$B$24,0)</f>
        <v>0</v>
      </c>
      <c r="G46" s="21">
        <f t="shared" ref="G46:G55" si="7">IF(AND(E46=1),$D$33*(1+$B$17)^(B46-$E$33)*C46*$B$24,0)</f>
        <v>0</v>
      </c>
      <c r="H46" s="21">
        <f t="shared" ref="H46:H55" si="8">IF(AND(E46=1),$D$34*(1+$B$17)^(B46-$E$34)*C46*$B$24,0)</f>
        <v>0</v>
      </c>
      <c r="I46" s="21">
        <f t="shared" ref="I46:I55" si="9">IF(AND(E46=1),$D$35*(1+$B$17)^(B46-$E$35)*C46*$B$24,0)</f>
        <v>0</v>
      </c>
      <c r="J46" s="21">
        <f t="shared" ref="J46:J55" si="10">IF(AND(E46=1),$D$36*(1+$B$17)^(B46-$E$36)*C46*$B$24,0)</f>
        <v>0</v>
      </c>
      <c r="K46" s="21">
        <f t="shared" ref="K46:K55" si="11">IF(AND(E46=1),$D$37*(1+$B$17)^(B46-$E$37)*C46*$B$24,0)</f>
        <v>0</v>
      </c>
      <c r="L46" s="21">
        <f t="shared" ref="L46:L55" si="12">IF(AND(E46=1),IF(D46=1,$D$43,$D$38)*(1+$B$16)^(B46-IF(D46=1,$E$43,$E$38))*C46*$B$24,0)</f>
        <v>0</v>
      </c>
      <c r="M46" s="21">
        <f t="shared" ref="M46:M55" si="13">IF(AND(E46=1,A46=0),$D$39*(1+$B$16)^(B46-$E$39)*$B$24,0)</f>
        <v>0</v>
      </c>
      <c r="N46" s="21">
        <f t="shared" ref="N46:N55" si="14">IF(AND(E46=1,A46=0),$D$40*(1+$B$17)^(B46-$E$40)*$B$24,0)</f>
        <v>0</v>
      </c>
      <c r="O46" s="21">
        <f t="shared" ref="O46:O55" si="15">IF(AND(E46=1,A46=0),$D$41*(1+$B$17)^(B46-$E$41)*$B$24,0)</f>
        <v>0</v>
      </c>
      <c r="P46" s="21">
        <f t="shared" ref="P46:P55" si="16">F46*(1-Coverage)</f>
        <v>0</v>
      </c>
      <c r="Q46" s="21">
        <f t="shared" ref="Q46:Q55" si="17">G46*(1-Coverage)</f>
        <v>0</v>
      </c>
      <c r="R46" s="21">
        <f t="shared" ref="R46:R55" si="18">H46*(1-Coverage)</f>
        <v>0</v>
      </c>
      <c r="S46" s="21">
        <f t="shared" ref="S46:S55" si="19">I46*(1-Coverage)</f>
        <v>0</v>
      </c>
      <c r="T46" s="21">
        <f t="shared" ref="T46:T55" si="20">J46*(1-Coverage)</f>
        <v>0</v>
      </c>
      <c r="U46" s="21">
        <f t="shared" ref="U46:U55" si="21">K46*(1-Coverage)</f>
        <v>0</v>
      </c>
      <c r="V46" s="21">
        <f t="shared" ref="V46:V55" si="22">L46*(1-Coverage)</f>
        <v>0</v>
      </c>
      <c r="W46" s="21">
        <f t="shared" ref="W46:W55" si="23">M46*(1-Coverage)</f>
        <v>0</v>
      </c>
      <c r="X46" s="21">
        <f t="shared" ref="X46:X55" si="24">N46*1</f>
        <v>0</v>
      </c>
      <c r="Y46" s="21">
        <f t="shared" ref="Y46:Y55" si="25">O46*1</f>
        <v>0</v>
      </c>
      <c r="Z46" s="20">
        <f t="shared" ref="Z46:Z55" si="26">SUM(P46:Y46)</f>
        <v>0</v>
      </c>
      <c r="AA46" s="21">
        <f t="shared" ref="AA46:AA55" si="27">SUM(F46:O46)</f>
        <v>0</v>
      </c>
    </row>
    <row r="47" spans="1:27" x14ac:dyDescent="0.3">
      <c r="A47" s="16">
        <v>1</v>
      </c>
      <c r="B47" s="16">
        <f t="shared" si="2"/>
        <v>2027</v>
      </c>
      <c r="C47" s="16">
        <f t="shared" si="3"/>
        <v>0</v>
      </c>
      <c r="D47" s="16">
        <f t="shared" si="4"/>
        <v>0</v>
      </c>
      <c r="E47" s="16">
        <f t="shared" si="5"/>
        <v>0</v>
      </c>
      <c r="F47" s="21">
        <f t="shared" si="6"/>
        <v>0</v>
      </c>
      <c r="G47" s="21">
        <f t="shared" si="7"/>
        <v>0</v>
      </c>
      <c r="H47" s="21">
        <f t="shared" si="8"/>
        <v>0</v>
      </c>
      <c r="I47" s="21">
        <f t="shared" si="9"/>
        <v>0</v>
      </c>
      <c r="J47" s="21">
        <f t="shared" si="10"/>
        <v>0</v>
      </c>
      <c r="K47" s="21">
        <f t="shared" si="11"/>
        <v>0</v>
      </c>
      <c r="L47" s="21">
        <f t="shared" si="12"/>
        <v>0</v>
      </c>
      <c r="M47" s="21">
        <f t="shared" si="13"/>
        <v>0</v>
      </c>
      <c r="N47" s="21">
        <f t="shared" si="14"/>
        <v>0</v>
      </c>
      <c r="O47" s="21">
        <f t="shared" si="15"/>
        <v>0</v>
      </c>
      <c r="P47" s="21">
        <f t="shared" si="16"/>
        <v>0</v>
      </c>
      <c r="Q47" s="21">
        <f t="shared" si="17"/>
        <v>0</v>
      </c>
      <c r="R47" s="21">
        <f t="shared" si="18"/>
        <v>0</v>
      </c>
      <c r="S47" s="21">
        <f t="shared" si="19"/>
        <v>0</v>
      </c>
      <c r="T47" s="21">
        <f t="shared" si="20"/>
        <v>0</v>
      </c>
      <c r="U47" s="21">
        <f t="shared" si="21"/>
        <v>0</v>
      </c>
      <c r="V47" s="21">
        <f t="shared" si="22"/>
        <v>0</v>
      </c>
      <c r="W47" s="21">
        <f t="shared" si="23"/>
        <v>0</v>
      </c>
      <c r="X47" s="21">
        <f t="shared" si="24"/>
        <v>0</v>
      </c>
      <c r="Y47" s="21">
        <f t="shared" si="25"/>
        <v>0</v>
      </c>
      <c r="Z47" s="20">
        <f t="shared" si="26"/>
        <v>0</v>
      </c>
      <c r="AA47" s="21">
        <f t="shared" si="27"/>
        <v>0</v>
      </c>
    </row>
    <row r="48" spans="1:27" x14ac:dyDescent="0.3">
      <c r="A48" s="16">
        <v>2</v>
      </c>
      <c r="B48" s="16">
        <f t="shared" si="2"/>
        <v>2028</v>
      </c>
      <c r="C48" s="16">
        <f t="shared" si="3"/>
        <v>0</v>
      </c>
      <c r="D48" s="16">
        <f t="shared" si="4"/>
        <v>0</v>
      </c>
      <c r="E48" s="16">
        <f t="shared" si="5"/>
        <v>0</v>
      </c>
      <c r="F48" s="21">
        <f t="shared" si="6"/>
        <v>0</v>
      </c>
      <c r="G48" s="21">
        <f t="shared" si="7"/>
        <v>0</v>
      </c>
      <c r="H48" s="21">
        <f t="shared" si="8"/>
        <v>0</v>
      </c>
      <c r="I48" s="21">
        <f t="shared" si="9"/>
        <v>0</v>
      </c>
      <c r="J48" s="21">
        <f t="shared" si="10"/>
        <v>0</v>
      </c>
      <c r="K48" s="21">
        <f t="shared" si="11"/>
        <v>0</v>
      </c>
      <c r="L48" s="21">
        <f t="shared" si="12"/>
        <v>0</v>
      </c>
      <c r="M48" s="21">
        <f t="shared" si="13"/>
        <v>0</v>
      </c>
      <c r="N48" s="21">
        <f t="shared" si="14"/>
        <v>0</v>
      </c>
      <c r="O48" s="21">
        <f t="shared" si="15"/>
        <v>0</v>
      </c>
      <c r="P48" s="21">
        <f t="shared" si="16"/>
        <v>0</v>
      </c>
      <c r="Q48" s="21">
        <f t="shared" si="17"/>
        <v>0</v>
      </c>
      <c r="R48" s="21">
        <f t="shared" si="18"/>
        <v>0</v>
      </c>
      <c r="S48" s="21">
        <f t="shared" si="19"/>
        <v>0</v>
      </c>
      <c r="T48" s="21">
        <f t="shared" si="20"/>
        <v>0</v>
      </c>
      <c r="U48" s="21">
        <f t="shared" si="21"/>
        <v>0</v>
      </c>
      <c r="V48" s="21">
        <f t="shared" si="22"/>
        <v>0</v>
      </c>
      <c r="W48" s="21">
        <f t="shared" si="23"/>
        <v>0</v>
      </c>
      <c r="X48" s="21">
        <f t="shared" si="24"/>
        <v>0</v>
      </c>
      <c r="Y48" s="21">
        <f t="shared" si="25"/>
        <v>0</v>
      </c>
      <c r="Z48" s="20">
        <f t="shared" si="26"/>
        <v>0</v>
      </c>
      <c r="AA48" s="21">
        <f t="shared" si="27"/>
        <v>0</v>
      </c>
    </row>
    <row r="49" spans="1:27" x14ac:dyDescent="0.3">
      <c r="A49" s="16">
        <v>3</v>
      </c>
      <c r="B49" s="16">
        <f t="shared" si="2"/>
        <v>2029</v>
      </c>
      <c r="C49" s="16">
        <f t="shared" si="3"/>
        <v>0</v>
      </c>
      <c r="D49" s="16">
        <f t="shared" si="4"/>
        <v>0</v>
      </c>
      <c r="E49" s="16">
        <f t="shared" si="5"/>
        <v>0</v>
      </c>
      <c r="F49" s="21">
        <f t="shared" si="6"/>
        <v>0</v>
      </c>
      <c r="G49" s="21">
        <f t="shared" si="7"/>
        <v>0</v>
      </c>
      <c r="H49" s="21">
        <f t="shared" si="8"/>
        <v>0</v>
      </c>
      <c r="I49" s="21">
        <f t="shared" si="9"/>
        <v>0</v>
      </c>
      <c r="J49" s="21">
        <f t="shared" si="10"/>
        <v>0</v>
      </c>
      <c r="K49" s="21">
        <f t="shared" si="11"/>
        <v>0</v>
      </c>
      <c r="L49" s="21">
        <f t="shared" si="12"/>
        <v>0</v>
      </c>
      <c r="M49" s="21">
        <f t="shared" si="13"/>
        <v>0</v>
      </c>
      <c r="N49" s="21">
        <f t="shared" si="14"/>
        <v>0</v>
      </c>
      <c r="O49" s="21">
        <f t="shared" si="15"/>
        <v>0</v>
      </c>
      <c r="P49" s="21">
        <f t="shared" si="16"/>
        <v>0</v>
      </c>
      <c r="Q49" s="21">
        <f t="shared" si="17"/>
        <v>0</v>
      </c>
      <c r="R49" s="21">
        <f t="shared" si="18"/>
        <v>0</v>
      </c>
      <c r="S49" s="21">
        <f t="shared" si="19"/>
        <v>0</v>
      </c>
      <c r="T49" s="21">
        <f t="shared" si="20"/>
        <v>0</v>
      </c>
      <c r="U49" s="21">
        <f t="shared" si="21"/>
        <v>0</v>
      </c>
      <c r="V49" s="21">
        <f t="shared" si="22"/>
        <v>0</v>
      </c>
      <c r="W49" s="21">
        <f t="shared" si="23"/>
        <v>0</v>
      </c>
      <c r="X49" s="21">
        <f t="shared" si="24"/>
        <v>0</v>
      </c>
      <c r="Y49" s="21">
        <f t="shared" si="25"/>
        <v>0</v>
      </c>
      <c r="Z49" s="20">
        <f t="shared" si="26"/>
        <v>0</v>
      </c>
      <c r="AA49" s="21">
        <f t="shared" si="27"/>
        <v>0</v>
      </c>
    </row>
    <row r="50" spans="1:27" x14ac:dyDescent="0.3">
      <c r="A50" s="16">
        <v>4</v>
      </c>
      <c r="B50" s="16">
        <f t="shared" si="2"/>
        <v>2030</v>
      </c>
      <c r="C50" s="16">
        <f t="shared" si="3"/>
        <v>0</v>
      </c>
      <c r="D50" s="16">
        <f t="shared" si="4"/>
        <v>0</v>
      </c>
      <c r="E50" s="16">
        <f t="shared" si="5"/>
        <v>0</v>
      </c>
      <c r="F50" s="21">
        <f t="shared" si="6"/>
        <v>0</v>
      </c>
      <c r="G50" s="21">
        <f t="shared" si="7"/>
        <v>0</v>
      </c>
      <c r="H50" s="21">
        <f t="shared" si="8"/>
        <v>0</v>
      </c>
      <c r="I50" s="21">
        <f t="shared" si="9"/>
        <v>0</v>
      </c>
      <c r="J50" s="21">
        <f t="shared" si="10"/>
        <v>0</v>
      </c>
      <c r="K50" s="21">
        <f t="shared" si="11"/>
        <v>0</v>
      </c>
      <c r="L50" s="21">
        <f t="shared" si="12"/>
        <v>0</v>
      </c>
      <c r="M50" s="21">
        <f t="shared" si="13"/>
        <v>0</v>
      </c>
      <c r="N50" s="21">
        <f t="shared" si="14"/>
        <v>0</v>
      </c>
      <c r="O50" s="21">
        <f t="shared" si="15"/>
        <v>0</v>
      </c>
      <c r="P50" s="21">
        <f t="shared" si="16"/>
        <v>0</v>
      </c>
      <c r="Q50" s="21">
        <f t="shared" si="17"/>
        <v>0</v>
      </c>
      <c r="R50" s="21">
        <f t="shared" si="18"/>
        <v>0</v>
      </c>
      <c r="S50" s="21">
        <f t="shared" si="19"/>
        <v>0</v>
      </c>
      <c r="T50" s="21">
        <f t="shared" si="20"/>
        <v>0</v>
      </c>
      <c r="U50" s="21">
        <f t="shared" si="21"/>
        <v>0</v>
      </c>
      <c r="V50" s="21">
        <f t="shared" si="22"/>
        <v>0</v>
      </c>
      <c r="W50" s="21">
        <f t="shared" si="23"/>
        <v>0</v>
      </c>
      <c r="X50" s="21">
        <f t="shared" si="24"/>
        <v>0</v>
      </c>
      <c r="Y50" s="21">
        <f t="shared" si="25"/>
        <v>0</v>
      </c>
      <c r="Z50" s="20">
        <f t="shared" si="26"/>
        <v>0</v>
      </c>
      <c r="AA50" s="21">
        <f t="shared" si="27"/>
        <v>0</v>
      </c>
    </row>
    <row r="51" spans="1:27" x14ac:dyDescent="0.3">
      <c r="A51" s="16">
        <v>5</v>
      </c>
      <c r="B51" s="16">
        <f t="shared" si="2"/>
        <v>2031</v>
      </c>
      <c r="C51" s="16">
        <f t="shared" si="3"/>
        <v>0</v>
      </c>
      <c r="D51" s="16">
        <f t="shared" si="4"/>
        <v>0</v>
      </c>
      <c r="E51" s="16">
        <f t="shared" si="5"/>
        <v>0</v>
      </c>
      <c r="F51" s="21">
        <f t="shared" si="6"/>
        <v>0</v>
      </c>
      <c r="G51" s="21">
        <f t="shared" si="7"/>
        <v>0</v>
      </c>
      <c r="H51" s="21">
        <f t="shared" si="8"/>
        <v>0</v>
      </c>
      <c r="I51" s="21">
        <f t="shared" si="9"/>
        <v>0</v>
      </c>
      <c r="J51" s="21">
        <f t="shared" si="10"/>
        <v>0</v>
      </c>
      <c r="K51" s="21">
        <f t="shared" si="11"/>
        <v>0</v>
      </c>
      <c r="L51" s="21">
        <f t="shared" si="12"/>
        <v>0</v>
      </c>
      <c r="M51" s="21">
        <f t="shared" si="13"/>
        <v>0</v>
      </c>
      <c r="N51" s="21">
        <f t="shared" si="14"/>
        <v>0</v>
      </c>
      <c r="O51" s="21">
        <f t="shared" si="15"/>
        <v>0</v>
      </c>
      <c r="P51" s="21">
        <f t="shared" si="16"/>
        <v>0</v>
      </c>
      <c r="Q51" s="21">
        <f t="shared" si="17"/>
        <v>0</v>
      </c>
      <c r="R51" s="21">
        <f t="shared" si="18"/>
        <v>0</v>
      </c>
      <c r="S51" s="21">
        <f t="shared" si="19"/>
        <v>0</v>
      </c>
      <c r="T51" s="21">
        <f t="shared" si="20"/>
        <v>0</v>
      </c>
      <c r="U51" s="21">
        <f t="shared" si="21"/>
        <v>0</v>
      </c>
      <c r="V51" s="21">
        <f t="shared" si="22"/>
        <v>0</v>
      </c>
      <c r="W51" s="21">
        <f t="shared" si="23"/>
        <v>0</v>
      </c>
      <c r="X51" s="21">
        <f t="shared" si="24"/>
        <v>0</v>
      </c>
      <c r="Y51" s="21">
        <f t="shared" si="25"/>
        <v>0</v>
      </c>
      <c r="Z51" s="20">
        <f t="shared" si="26"/>
        <v>0</v>
      </c>
      <c r="AA51" s="21">
        <f t="shared" si="27"/>
        <v>0</v>
      </c>
    </row>
    <row r="52" spans="1:27" x14ac:dyDescent="0.3">
      <c r="A52" s="16">
        <v>6</v>
      </c>
      <c r="B52" s="16">
        <f t="shared" si="2"/>
        <v>2032</v>
      </c>
      <c r="C52" s="16">
        <f t="shared" si="3"/>
        <v>0</v>
      </c>
      <c r="D52" s="16">
        <f t="shared" si="4"/>
        <v>0</v>
      </c>
      <c r="E52" s="16">
        <f t="shared" si="5"/>
        <v>0</v>
      </c>
      <c r="F52" s="21">
        <f t="shared" si="6"/>
        <v>0</v>
      </c>
      <c r="G52" s="21">
        <f t="shared" si="7"/>
        <v>0</v>
      </c>
      <c r="H52" s="21">
        <f t="shared" si="8"/>
        <v>0</v>
      </c>
      <c r="I52" s="21">
        <f t="shared" si="9"/>
        <v>0</v>
      </c>
      <c r="J52" s="21">
        <f t="shared" si="10"/>
        <v>0</v>
      </c>
      <c r="K52" s="21">
        <f t="shared" si="11"/>
        <v>0</v>
      </c>
      <c r="L52" s="21">
        <f t="shared" si="12"/>
        <v>0</v>
      </c>
      <c r="M52" s="21">
        <f t="shared" si="13"/>
        <v>0</v>
      </c>
      <c r="N52" s="21">
        <f t="shared" si="14"/>
        <v>0</v>
      </c>
      <c r="O52" s="21">
        <f t="shared" si="15"/>
        <v>0</v>
      </c>
      <c r="P52" s="21">
        <f t="shared" si="16"/>
        <v>0</v>
      </c>
      <c r="Q52" s="21">
        <f t="shared" si="17"/>
        <v>0</v>
      </c>
      <c r="R52" s="21">
        <f t="shared" si="18"/>
        <v>0</v>
      </c>
      <c r="S52" s="21">
        <f t="shared" si="19"/>
        <v>0</v>
      </c>
      <c r="T52" s="21">
        <f t="shared" si="20"/>
        <v>0</v>
      </c>
      <c r="U52" s="21">
        <f t="shared" si="21"/>
        <v>0</v>
      </c>
      <c r="V52" s="21">
        <f t="shared" si="22"/>
        <v>0</v>
      </c>
      <c r="W52" s="21">
        <f t="shared" si="23"/>
        <v>0</v>
      </c>
      <c r="X52" s="21">
        <f t="shared" si="24"/>
        <v>0</v>
      </c>
      <c r="Y52" s="21">
        <f t="shared" si="25"/>
        <v>0</v>
      </c>
      <c r="Z52" s="20">
        <f t="shared" si="26"/>
        <v>0</v>
      </c>
      <c r="AA52" s="21">
        <f t="shared" si="27"/>
        <v>0</v>
      </c>
    </row>
    <row r="53" spans="1:27" x14ac:dyDescent="0.3">
      <c r="A53" s="16">
        <v>7</v>
      </c>
      <c r="B53" s="16">
        <f t="shared" si="2"/>
        <v>2033</v>
      </c>
      <c r="C53" s="16">
        <f t="shared" si="3"/>
        <v>0</v>
      </c>
      <c r="D53" s="16">
        <f t="shared" si="4"/>
        <v>0</v>
      </c>
      <c r="E53" s="16">
        <f t="shared" si="5"/>
        <v>0</v>
      </c>
      <c r="F53" s="21">
        <f t="shared" si="6"/>
        <v>0</v>
      </c>
      <c r="G53" s="21">
        <f t="shared" si="7"/>
        <v>0</v>
      </c>
      <c r="H53" s="21">
        <f t="shared" si="8"/>
        <v>0</v>
      </c>
      <c r="I53" s="21">
        <f t="shared" si="9"/>
        <v>0</v>
      </c>
      <c r="J53" s="21">
        <f t="shared" si="10"/>
        <v>0</v>
      </c>
      <c r="K53" s="21">
        <f t="shared" si="11"/>
        <v>0</v>
      </c>
      <c r="L53" s="21">
        <f t="shared" si="12"/>
        <v>0</v>
      </c>
      <c r="M53" s="21">
        <f t="shared" si="13"/>
        <v>0</v>
      </c>
      <c r="N53" s="21">
        <f t="shared" si="14"/>
        <v>0</v>
      </c>
      <c r="O53" s="21">
        <f t="shared" si="15"/>
        <v>0</v>
      </c>
      <c r="P53" s="21">
        <f t="shared" si="16"/>
        <v>0</v>
      </c>
      <c r="Q53" s="21">
        <f t="shared" si="17"/>
        <v>0</v>
      </c>
      <c r="R53" s="21">
        <f t="shared" si="18"/>
        <v>0</v>
      </c>
      <c r="S53" s="21">
        <f t="shared" si="19"/>
        <v>0</v>
      </c>
      <c r="T53" s="21">
        <f t="shared" si="20"/>
        <v>0</v>
      </c>
      <c r="U53" s="21">
        <f t="shared" si="21"/>
        <v>0</v>
      </c>
      <c r="V53" s="21">
        <f t="shared" si="22"/>
        <v>0</v>
      </c>
      <c r="W53" s="21">
        <f t="shared" si="23"/>
        <v>0</v>
      </c>
      <c r="X53" s="21">
        <f t="shared" si="24"/>
        <v>0</v>
      </c>
      <c r="Y53" s="21">
        <f t="shared" si="25"/>
        <v>0</v>
      </c>
      <c r="Z53" s="20">
        <f t="shared" si="26"/>
        <v>0</v>
      </c>
      <c r="AA53" s="21">
        <f t="shared" si="27"/>
        <v>0</v>
      </c>
    </row>
    <row r="54" spans="1:27" x14ac:dyDescent="0.3">
      <c r="A54" s="16">
        <v>8</v>
      </c>
      <c r="B54" s="16">
        <f t="shared" si="2"/>
        <v>2034</v>
      </c>
      <c r="C54" s="16">
        <f t="shared" si="3"/>
        <v>0</v>
      </c>
      <c r="D54" s="16">
        <f t="shared" si="4"/>
        <v>0</v>
      </c>
      <c r="E54" s="16">
        <f t="shared" si="5"/>
        <v>0</v>
      </c>
      <c r="F54" s="21">
        <f t="shared" si="6"/>
        <v>0</v>
      </c>
      <c r="G54" s="21">
        <f t="shared" si="7"/>
        <v>0</v>
      </c>
      <c r="H54" s="21">
        <f t="shared" si="8"/>
        <v>0</v>
      </c>
      <c r="I54" s="21">
        <f t="shared" si="9"/>
        <v>0</v>
      </c>
      <c r="J54" s="21">
        <f t="shared" si="10"/>
        <v>0</v>
      </c>
      <c r="K54" s="21">
        <f t="shared" si="11"/>
        <v>0</v>
      </c>
      <c r="L54" s="21">
        <f t="shared" si="12"/>
        <v>0</v>
      </c>
      <c r="M54" s="21">
        <f t="shared" si="13"/>
        <v>0</v>
      </c>
      <c r="N54" s="21">
        <f t="shared" si="14"/>
        <v>0</v>
      </c>
      <c r="O54" s="21">
        <f t="shared" si="15"/>
        <v>0</v>
      </c>
      <c r="P54" s="21">
        <f t="shared" si="16"/>
        <v>0</v>
      </c>
      <c r="Q54" s="21">
        <f t="shared" si="17"/>
        <v>0</v>
      </c>
      <c r="R54" s="21">
        <f t="shared" si="18"/>
        <v>0</v>
      </c>
      <c r="S54" s="21">
        <f t="shared" si="19"/>
        <v>0</v>
      </c>
      <c r="T54" s="21">
        <f t="shared" si="20"/>
        <v>0</v>
      </c>
      <c r="U54" s="21">
        <f t="shared" si="21"/>
        <v>0</v>
      </c>
      <c r="V54" s="21">
        <f t="shared" si="22"/>
        <v>0</v>
      </c>
      <c r="W54" s="21">
        <f t="shared" si="23"/>
        <v>0</v>
      </c>
      <c r="X54" s="21">
        <f t="shared" si="24"/>
        <v>0</v>
      </c>
      <c r="Y54" s="21">
        <f t="shared" si="25"/>
        <v>0</v>
      </c>
      <c r="Z54" s="20">
        <f t="shared" si="26"/>
        <v>0</v>
      </c>
      <c r="AA54" s="21">
        <f t="shared" si="27"/>
        <v>0</v>
      </c>
    </row>
    <row r="55" spans="1:27" x14ac:dyDescent="0.3">
      <c r="A55" s="16">
        <v>9</v>
      </c>
      <c r="B55" s="16">
        <f t="shared" si="2"/>
        <v>2035</v>
      </c>
      <c r="C55" s="16">
        <f t="shared" si="3"/>
        <v>0</v>
      </c>
      <c r="D55" s="16">
        <f t="shared" si="4"/>
        <v>0</v>
      </c>
      <c r="E55" s="16">
        <f t="shared" si="5"/>
        <v>0</v>
      </c>
      <c r="F55" s="21">
        <f t="shared" si="6"/>
        <v>0</v>
      </c>
      <c r="G55" s="21">
        <f t="shared" si="7"/>
        <v>0</v>
      </c>
      <c r="H55" s="21">
        <f t="shared" si="8"/>
        <v>0</v>
      </c>
      <c r="I55" s="21">
        <f t="shared" si="9"/>
        <v>0</v>
      </c>
      <c r="J55" s="21">
        <f t="shared" si="10"/>
        <v>0</v>
      </c>
      <c r="K55" s="21">
        <f t="shared" si="11"/>
        <v>0</v>
      </c>
      <c r="L55" s="21">
        <f t="shared" si="12"/>
        <v>0</v>
      </c>
      <c r="M55" s="21">
        <f t="shared" si="13"/>
        <v>0</v>
      </c>
      <c r="N55" s="21">
        <f t="shared" si="14"/>
        <v>0</v>
      </c>
      <c r="O55" s="21">
        <f t="shared" si="15"/>
        <v>0</v>
      </c>
      <c r="P55" s="21">
        <f t="shared" si="16"/>
        <v>0</v>
      </c>
      <c r="Q55" s="21">
        <f t="shared" si="17"/>
        <v>0</v>
      </c>
      <c r="R55" s="21">
        <f t="shared" si="18"/>
        <v>0</v>
      </c>
      <c r="S55" s="21">
        <f t="shared" si="19"/>
        <v>0</v>
      </c>
      <c r="T55" s="21">
        <f t="shared" si="20"/>
        <v>0</v>
      </c>
      <c r="U55" s="21">
        <f t="shared" si="21"/>
        <v>0</v>
      </c>
      <c r="V55" s="21">
        <f t="shared" si="22"/>
        <v>0</v>
      </c>
      <c r="W55" s="21">
        <f t="shared" si="23"/>
        <v>0</v>
      </c>
      <c r="X55" s="21">
        <f t="shared" si="24"/>
        <v>0</v>
      </c>
      <c r="Y55" s="21">
        <f t="shared" si="25"/>
        <v>0</v>
      </c>
      <c r="Z55" s="20">
        <f t="shared" si="26"/>
        <v>0</v>
      </c>
      <c r="AA55" s="21">
        <f t="shared" si="27"/>
        <v>0</v>
      </c>
    </row>
    <row r="56" spans="1:27" x14ac:dyDescent="0.3">
      <c r="A56" s="8" t="s">
        <v>76</v>
      </c>
      <c r="F56" s="20">
        <f t="shared" ref="F56:AA56" si="28">SUM(F46:F55)</f>
        <v>0</v>
      </c>
      <c r="G56" s="20">
        <f t="shared" si="28"/>
        <v>0</v>
      </c>
      <c r="H56" s="20">
        <f t="shared" si="28"/>
        <v>0</v>
      </c>
      <c r="I56" s="20">
        <f t="shared" si="28"/>
        <v>0</v>
      </c>
      <c r="J56" s="20">
        <f t="shared" si="28"/>
        <v>0</v>
      </c>
      <c r="K56" s="20">
        <f t="shared" si="28"/>
        <v>0</v>
      </c>
      <c r="L56" s="20">
        <f t="shared" si="28"/>
        <v>0</v>
      </c>
      <c r="M56" s="20">
        <f t="shared" si="28"/>
        <v>0</v>
      </c>
      <c r="N56" s="20">
        <f t="shared" si="28"/>
        <v>0</v>
      </c>
      <c r="O56" s="20">
        <f t="shared" si="28"/>
        <v>0</v>
      </c>
      <c r="P56" s="20">
        <f t="shared" si="28"/>
        <v>0</v>
      </c>
      <c r="Q56" s="20">
        <f t="shared" si="28"/>
        <v>0</v>
      </c>
      <c r="R56" s="20">
        <f t="shared" si="28"/>
        <v>0</v>
      </c>
      <c r="S56" s="20">
        <f t="shared" si="28"/>
        <v>0</v>
      </c>
      <c r="T56" s="20">
        <f t="shared" si="28"/>
        <v>0</v>
      </c>
      <c r="U56" s="20">
        <f t="shared" si="28"/>
        <v>0</v>
      </c>
      <c r="V56" s="20">
        <f t="shared" si="28"/>
        <v>0</v>
      </c>
      <c r="W56" s="20">
        <f t="shared" si="28"/>
        <v>0</v>
      </c>
      <c r="X56" s="20">
        <f t="shared" si="28"/>
        <v>0</v>
      </c>
      <c r="Y56" s="20">
        <f t="shared" si="28"/>
        <v>0</v>
      </c>
      <c r="Z56" s="20">
        <f t="shared" si="28"/>
        <v>0</v>
      </c>
      <c r="AA56" s="20">
        <f t="shared" si="28"/>
        <v>0</v>
      </c>
    </row>
    <row r="58" spans="1:27" x14ac:dyDescent="0.3">
      <c r="A58" s="8" t="s">
        <v>161</v>
      </c>
      <c r="B58" s="26">
        <f>$Z$56</f>
        <v>0</v>
      </c>
    </row>
    <row r="59" spans="1:27" x14ac:dyDescent="0.3">
      <c r="A59" s="16" t="s">
        <v>14</v>
      </c>
      <c r="B59" s="21">
        <f>$AA$56-$Z$56</f>
        <v>0</v>
      </c>
    </row>
    <row r="60" spans="1:27" x14ac:dyDescent="0.3">
      <c r="A60" s="16" t="s">
        <v>162</v>
      </c>
      <c r="B60" s="16" t="str">
        <f>IF(OR($F$32="missing",AND($B$15&gt;0,$F$42="missing")),"missing",IF(OR($F$32="estimated",AND($B$15&gt;0,$F$42="estimated")),"estimated",IF($B$15&gt;0,$F$42,$F$32)))</f>
        <v>missing</v>
      </c>
    </row>
    <row r="61" spans="1:27" x14ac:dyDescent="0.3">
      <c r="A61" s="16" t="s">
        <v>163</v>
      </c>
      <c r="B61" s="16">
        <f>IF(OR($F$32="missing",AND($B$15&gt;0,$F$42="missing"),$F$33="missing"),1,0)</f>
        <v>1</v>
      </c>
    </row>
    <row r="63" spans="1:27" ht="15.6" x14ac:dyDescent="0.3">
      <c r="A63" s="7" t="s">
        <v>164</v>
      </c>
    </row>
    <row r="64" spans="1:27" ht="39.6" x14ac:dyDescent="0.3">
      <c r="A64" s="22" t="s">
        <v>165</v>
      </c>
      <c r="B64" s="22" t="s">
        <v>146</v>
      </c>
      <c r="C64" s="22" t="s">
        <v>166</v>
      </c>
      <c r="D64" s="22" t="s">
        <v>83</v>
      </c>
      <c r="E64" s="22" t="s">
        <v>167</v>
      </c>
      <c r="F64" s="22" t="s">
        <v>168</v>
      </c>
      <c r="G64" s="22" t="s">
        <v>169</v>
      </c>
      <c r="H64" s="22" t="s">
        <v>170</v>
      </c>
      <c r="I64" s="22" t="s">
        <v>171</v>
      </c>
      <c r="J64" s="22" t="s">
        <v>172</v>
      </c>
      <c r="K64" s="22" t="s">
        <v>173</v>
      </c>
      <c r="L64" s="22" t="s">
        <v>174</v>
      </c>
      <c r="M64" s="22" t="s">
        <v>80</v>
      </c>
      <c r="N64" s="22" t="s">
        <v>81</v>
      </c>
      <c r="O64" s="22" t="s">
        <v>82</v>
      </c>
      <c r="P64" s="22" t="s">
        <v>84</v>
      </c>
      <c r="Q64" s="22" t="s">
        <v>175</v>
      </c>
    </row>
    <row r="65" spans="1:17" x14ac:dyDescent="0.3">
      <c r="A65" s="16">
        <v>1</v>
      </c>
      <c r="B65" s="16">
        <f t="shared" ref="B65:B96" si="29">PlanYear+A65-1</f>
        <v>2026</v>
      </c>
      <c r="C65" s="16">
        <f t="shared" ref="C65:C96" si="30">A65-1-$B$18</f>
        <v>0</v>
      </c>
      <c r="D65" s="21">
        <f t="shared" ref="D65:D96" si="31">IF(AND($B$22=1,C65&gt;=0,C65&lt;$B$19),INDEX($Z$46:$Z$55,C65+1),0)</f>
        <v>0</v>
      </c>
      <c r="E65" s="27">
        <f t="shared" ref="E65:E96" si="32">IF(AND($B$22=1,A65&lt;=$B$21),(1+SavInc)^(A65-1),0)</f>
        <v>0</v>
      </c>
      <c r="F65" s="27">
        <f t="shared" ref="F65:F96" si="33">(1+ReturnRate)^(A65-1)</f>
        <v>1</v>
      </c>
      <c r="G65" s="21">
        <f>-D65</f>
        <v>0</v>
      </c>
      <c r="H65" s="27">
        <f>0</f>
        <v>0</v>
      </c>
      <c r="I65" s="21">
        <f t="shared" ref="I65:I96" si="34">G65*(1+ReturnRate)</f>
        <v>0</v>
      </c>
      <c r="J65" s="27">
        <f t="shared" ref="J65:J96" si="35">H65*(1+ReturnRate)+E65</f>
        <v>0</v>
      </c>
      <c r="K65" s="21">
        <f t="shared" ref="K65:K96" si="36">IF(AND(D65&gt;0,H65&lt;=0.000000000001,G65&lt;0),-G65/F65,0)</f>
        <v>0</v>
      </c>
      <c r="L65" s="21">
        <f t="shared" ref="L65:L96" si="37">IF(AND(D65&gt;0,H65&gt;0.000000000001),-(G65+$B$126*F65)/H65,0)</f>
        <v>0</v>
      </c>
      <c r="M65" s="21">
        <f>$B$126</f>
        <v>0</v>
      </c>
      <c r="N65" s="21">
        <f t="shared" ref="N65:N96" si="38">E65*$B$127</f>
        <v>0</v>
      </c>
      <c r="O65" s="21">
        <f t="shared" ref="O65:O96" si="39">IF(AND($B$22=1,A65&lt;=$B$20),(M65-D65)*ReturnRate,0)</f>
        <v>0</v>
      </c>
      <c r="P65" s="21">
        <f t="shared" ref="P65:P96" si="40">M65-D65+O65+N65</f>
        <v>0</v>
      </c>
      <c r="Q65" s="16">
        <f t="shared" ref="Q65:Q96" si="41">IF(AND($B$22=1,C65&gt;=0,C65&lt;$B$19),1,0)</f>
        <v>0</v>
      </c>
    </row>
    <row r="66" spans="1:17" x14ac:dyDescent="0.3">
      <c r="A66" s="16">
        <v>2</v>
      </c>
      <c r="B66" s="16">
        <f t="shared" si="29"/>
        <v>2027</v>
      </c>
      <c r="C66" s="16">
        <f t="shared" si="30"/>
        <v>1</v>
      </c>
      <c r="D66" s="21">
        <f t="shared" si="31"/>
        <v>0</v>
      </c>
      <c r="E66" s="27">
        <f t="shared" si="32"/>
        <v>0</v>
      </c>
      <c r="F66" s="27">
        <f t="shared" si="33"/>
        <v>1.06</v>
      </c>
      <c r="G66" s="21">
        <f t="shared" ref="G66:G97" si="42">I65-D66</f>
        <v>0</v>
      </c>
      <c r="H66" s="27">
        <f t="shared" ref="H66:H97" si="43">J65</f>
        <v>0</v>
      </c>
      <c r="I66" s="21">
        <f t="shared" si="34"/>
        <v>0</v>
      </c>
      <c r="J66" s="27">
        <f t="shared" si="35"/>
        <v>0</v>
      </c>
      <c r="K66" s="21">
        <f t="shared" si="36"/>
        <v>0</v>
      </c>
      <c r="L66" s="21">
        <f t="shared" si="37"/>
        <v>0</v>
      </c>
      <c r="M66" s="21">
        <f t="shared" ref="M66:M97" si="44">P65</f>
        <v>0</v>
      </c>
      <c r="N66" s="21">
        <f t="shared" si="38"/>
        <v>0</v>
      </c>
      <c r="O66" s="21">
        <f t="shared" si="39"/>
        <v>0</v>
      </c>
      <c r="P66" s="21">
        <f t="shared" si="40"/>
        <v>0</v>
      </c>
      <c r="Q66" s="16">
        <f t="shared" si="41"/>
        <v>0</v>
      </c>
    </row>
    <row r="67" spans="1:17" x14ac:dyDescent="0.3">
      <c r="A67" s="16">
        <v>3</v>
      </c>
      <c r="B67" s="16">
        <f t="shared" si="29"/>
        <v>2028</v>
      </c>
      <c r="C67" s="16">
        <f t="shared" si="30"/>
        <v>2</v>
      </c>
      <c r="D67" s="21">
        <f t="shared" si="31"/>
        <v>0</v>
      </c>
      <c r="E67" s="27">
        <f t="shared" si="32"/>
        <v>0</v>
      </c>
      <c r="F67" s="27">
        <f t="shared" si="33"/>
        <v>1.1236000000000002</v>
      </c>
      <c r="G67" s="21">
        <f t="shared" si="42"/>
        <v>0</v>
      </c>
      <c r="H67" s="27">
        <f t="shared" si="43"/>
        <v>0</v>
      </c>
      <c r="I67" s="21">
        <f t="shared" si="34"/>
        <v>0</v>
      </c>
      <c r="J67" s="27">
        <f t="shared" si="35"/>
        <v>0</v>
      </c>
      <c r="K67" s="21">
        <f t="shared" si="36"/>
        <v>0</v>
      </c>
      <c r="L67" s="21">
        <f t="shared" si="37"/>
        <v>0</v>
      </c>
      <c r="M67" s="21">
        <f t="shared" si="44"/>
        <v>0</v>
      </c>
      <c r="N67" s="21">
        <f t="shared" si="38"/>
        <v>0</v>
      </c>
      <c r="O67" s="21">
        <f t="shared" si="39"/>
        <v>0</v>
      </c>
      <c r="P67" s="21">
        <f t="shared" si="40"/>
        <v>0</v>
      </c>
      <c r="Q67" s="16">
        <f t="shared" si="41"/>
        <v>0</v>
      </c>
    </row>
    <row r="68" spans="1:17" x14ac:dyDescent="0.3">
      <c r="A68" s="16">
        <v>4</v>
      </c>
      <c r="B68" s="16">
        <f t="shared" si="29"/>
        <v>2029</v>
      </c>
      <c r="C68" s="16">
        <f t="shared" si="30"/>
        <v>3</v>
      </c>
      <c r="D68" s="21">
        <f t="shared" si="31"/>
        <v>0</v>
      </c>
      <c r="E68" s="27">
        <f t="shared" si="32"/>
        <v>0</v>
      </c>
      <c r="F68" s="27">
        <f t="shared" si="33"/>
        <v>1.1910160000000003</v>
      </c>
      <c r="G68" s="21">
        <f t="shared" si="42"/>
        <v>0</v>
      </c>
      <c r="H68" s="27">
        <f t="shared" si="43"/>
        <v>0</v>
      </c>
      <c r="I68" s="21">
        <f t="shared" si="34"/>
        <v>0</v>
      </c>
      <c r="J68" s="27">
        <f t="shared" si="35"/>
        <v>0</v>
      </c>
      <c r="K68" s="21">
        <f t="shared" si="36"/>
        <v>0</v>
      </c>
      <c r="L68" s="21">
        <f t="shared" si="37"/>
        <v>0</v>
      </c>
      <c r="M68" s="21">
        <f t="shared" si="44"/>
        <v>0</v>
      </c>
      <c r="N68" s="21">
        <f t="shared" si="38"/>
        <v>0</v>
      </c>
      <c r="O68" s="21">
        <f t="shared" si="39"/>
        <v>0</v>
      </c>
      <c r="P68" s="21">
        <f t="shared" si="40"/>
        <v>0</v>
      </c>
      <c r="Q68" s="16">
        <f t="shared" si="41"/>
        <v>0</v>
      </c>
    </row>
    <row r="69" spans="1:17" x14ac:dyDescent="0.3">
      <c r="A69" s="16">
        <v>5</v>
      </c>
      <c r="B69" s="16">
        <f t="shared" si="29"/>
        <v>2030</v>
      </c>
      <c r="C69" s="16">
        <f t="shared" si="30"/>
        <v>4</v>
      </c>
      <c r="D69" s="21">
        <f t="shared" si="31"/>
        <v>0</v>
      </c>
      <c r="E69" s="27">
        <f t="shared" si="32"/>
        <v>0</v>
      </c>
      <c r="F69" s="27">
        <f t="shared" si="33"/>
        <v>1.2624769600000003</v>
      </c>
      <c r="G69" s="21">
        <f t="shared" si="42"/>
        <v>0</v>
      </c>
      <c r="H69" s="27">
        <f t="shared" si="43"/>
        <v>0</v>
      </c>
      <c r="I69" s="21">
        <f t="shared" si="34"/>
        <v>0</v>
      </c>
      <c r="J69" s="27">
        <f t="shared" si="35"/>
        <v>0</v>
      </c>
      <c r="K69" s="21">
        <f t="shared" si="36"/>
        <v>0</v>
      </c>
      <c r="L69" s="21">
        <f t="shared" si="37"/>
        <v>0</v>
      </c>
      <c r="M69" s="21">
        <f t="shared" si="44"/>
        <v>0</v>
      </c>
      <c r="N69" s="21">
        <f t="shared" si="38"/>
        <v>0</v>
      </c>
      <c r="O69" s="21">
        <f t="shared" si="39"/>
        <v>0</v>
      </c>
      <c r="P69" s="21">
        <f t="shared" si="40"/>
        <v>0</v>
      </c>
      <c r="Q69" s="16">
        <f t="shared" si="41"/>
        <v>0</v>
      </c>
    </row>
    <row r="70" spans="1:17" x14ac:dyDescent="0.3">
      <c r="A70" s="16">
        <v>6</v>
      </c>
      <c r="B70" s="16">
        <f t="shared" si="29"/>
        <v>2031</v>
      </c>
      <c r="C70" s="16">
        <f t="shared" si="30"/>
        <v>5</v>
      </c>
      <c r="D70" s="21">
        <f t="shared" si="31"/>
        <v>0</v>
      </c>
      <c r="E70" s="27">
        <f t="shared" si="32"/>
        <v>0</v>
      </c>
      <c r="F70" s="27">
        <f t="shared" si="33"/>
        <v>1.3382255776000005</v>
      </c>
      <c r="G70" s="21">
        <f t="shared" si="42"/>
        <v>0</v>
      </c>
      <c r="H70" s="27">
        <f t="shared" si="43"/>
        <v>0</v>
      </c>
      <c r="I70" s="21">
        <f t="shared" si="34"/>
        <v>0</v>
      </c>
      <c r="J70" s="27">
        <f t="shared" si="35"/>
        <v>0</v>
      </c>
      <c r="K70" s="21">
        <f t="shared" si="36"/>
        <v>0</v>
      </c>
      <c r="L70" s="21">
        <f t="shared" si="37"/>
        <v>0</v>
      </c>
      <c r="M70" s="21">
        <f t="shared" si="44"/>
        <v>0</v>
      </c>
      <c r="N70" s="21">
        <f t="shared" si="38"/>
        <v>0</v>
      </c>
      <c r="O70" s="21">
        <f t="shared" si="39"/>
        <v>0</v>
      </c>
      <c r="P70" s="21">
        <f t="shared" si="40"/>
        <v>0</v>
      </c>
      <c r="Q70" s="16">
        <f t="shared" si="41"/>
        <v>0</v>
      </c>
    </row>
    <row r="71" spans="1:17" x14ac:dyDescent="0.3">
      <c r="A71" s="16">
        <v>7</v>
      </c>
      <c r="B71" s="16">
        <f t="shared" si="29"/>
        <v>2032</v>
      </c>
      <c r="C71" s="16">
        <f t="shared" si="30"/>
        <v>6</v>
      </c>
      <c r="D71" s="21">
        <f t="shared" si="31"/>
        <v>0</v>
      </c>
      <c r="E71" s="27">
        <f t="shared" si="32"/>
        <v>0</v>
      </c>
      <c r="F71" s="27">
        <f t="shared" si="33"/>
        <v>1.4185191122560006</v>
      </c>
      <c r="G71" s="21">
        <f t="shared" si="42"/>
        <v>0</v>
      </c>
      <c r="H71" s="27">
        <f t="shared" si="43"/>
        <v>0</v>
      </c>
      <c r="I71" s="21">
        <f t="shared" si="34"/>
        <v>0</v>
      </c>
      <c r="J71" s="27">
        <f t="shared" si="35"/>
        <v>0</v>
      </c>
      <c r="K71" s="21">
        <f t="shared" si="36"/>
        <v>0</v>
      </c>
      <c r="L71" s="21">
        <f t="shared" si="37"/>
        <v>0</v>
      </c>
      <c r="M71" s="21">
        <f t="shared" si="44"/>
        <v>0</v>
      </c>
      <c r="N71" s="21">
        <f t="shared" si="38"/>
        <v>0</v>
      </c>
      <c r="O71" s="21">
        <f t="shared" si="39"/>
        <v>0</v>
      </c>
      <c r="P71" s="21">
        <f t="shared" si="40"/>
        <v>0</v>
      </c>
      <c r="Q71" s="16">
        <f t="shared" si="41"/>
        <v>0</v>
      </c>
    </row>
    <row r="72" spans="1:17" x14ac:dyDescent="0.3">
      <c r="A72" s="16">
        <v>8</v>
      </c>
      <c r="B72" s="16">
        <f t="shared" si="29"/>
        <v>2033</v>
      </c>
      <c r="C72" s="16">
        <f t="shared" si="30"/>
        <v>7</v>
      </c>
      <c r="D72" s="21">
        <f t="shared" si="31"/>
        <v>0</v>
      </c>
      <c r="E72" s="27">
        <f t="shared" si="32"/>
        <v>0</v>
      </c>
      <c r="F72" s="27">
        <f t="shared" si="33"/>
        <v>1.5036302589913608</v>
      </c>
      <c r="G72" s="21">
        <f t="shared" si="42"/>
        <v>0</v>
      </c>
      <c r="H72" s="27">
        <f t="shared" si="43"/>
        <v>0</v>
      </c>
      <c r="I72" s="21">
        <f t="shared" si="34"/>
        <v>0</v>
      </c>
      <c r="J72" s="27">
        <f t="shared" si="35"/>
        <v>0</v>
      </c>
      <c r="K72" s="21">
        <f t="shared" si="36"/>
        <v>0</v>
      </c>
      <c r="L72" s="21">
        <f t="shared" si="37"/>
        <v>0</v>
      </c>
      <c r="M72" s="21">
        <f t="shared" si="44"/>
        <v>0</v>
      </c>
      <c r="N72" s="21">
        <f t="shared" si="38"/>
        <v>0</v>
      </c>
      <c r="O72" s="21">
        <f t="shared" si="39"/>
        <v>0</v>
      </c>
      <c r="P72" s="21">
        <f t="shared" si="40"/>
        <v>0</v>
      </c>
      <c r="Q72" s="16">
        <f t="shared" si="41"/>
        <v>0</v>
      </c>
    </row>
    <row r="73" spans="1:17" x14ac:dyDescent="0.3">
      <c r="A73" s="16">
        <v>9</v>
      </c>
      <c r="B73" s="16">
        <f t="shared" si="29"/>
        <v>2034</v>
      </c>
      <c r="C73" s="16">
        <f t="shared" si="30"/>
        <v>8</v>
      </c>
      <c r="D73" s="21">
        <f t="shared" si="31"/>
        <v>0</v>
      </c>
      <c r="E73" s="27">
        <f t="shared" si="32"/>
        <v>0</v>
      </c>
      <c r="F73" s="27">
        <f t="shared" si="33"/>
        <v>1.5938480745308423</v>
      </c>
      <c r="G73" s="21">
        <f t="shared" si="42"/>
        <v>0</v>
      </c>
      <c r="H73" s="27">
        <f t="shared" si="43"/>
        <v>0</v>
      </c>
      <c r="I73" s="21">
        <f t="shared" si="34"/>
        <v>0</v>
      </c>
      <c r="J73" s="27">
        <f t="shared" si="35"/>
        <v>0</v>
      </c>
      <c r="K73" s="21">
        <f t="shared" si="36"/>
        <v>0</v>
      </c>
      <c r="L73" s="21">
        <f t="shared" si="37"/>
        <v>0</v>
      </c>
      <c r="M73" s="21">
        <f t="shared" si="44"/>
        <v>0</v>
      </c>
      <c r="N73" s="21">
        <f t="shared" si="38"/>
        <v>0</v>
      </c>
      <c r="O73" s="21">
        <f t="shared" si="39"/>
        <v>0</v>
      </c>
      <c r="P73" s="21">
        <f t="shared" si="40"/>
        <v>0</v>
      </c>
      <c r="Q73" s="16">
        <f t="shared" si="41"/>
        <v>0</v>
      </c>
    </row>
    <row r="74" spans="1:17" x14ac:dyDescent="0.3">
      <c r="A74" s="16">
        <v>10</v>
      </c>
      <c r="B74" s="16">
        <f t="shared" si="29"/>
        <v>2035</v>
      </c>
      <c r="C74" s="16">
        <f t="shared" si="30"/>
        <v>9</v>
      </c>
      <c r="D74" s="21">
        <f t="shared" si="31"/>
        <v>0</v>
      </c>
      <c r="E74" s="27">
        <f t="shared" si="32"/>
        <v>0</v>
      </c>
      <c r="F74" s="27">
        <f t="shared" si="33"/>
        <v>1.6894789590026928</v>
      </c>
      <c r="G74" s="21">
        <f t="shared" si="42"/>
        <v>0</v>
      </c>
      <c r="H74" s="27">
        <f t="shared" si="43"/>
        <v>0</v>
      </c>
      <c r="I74" s="21">
        <f t="shared" si="34"/>
        <v>0</v>
      </c>
      <c r="J74" s="27">
        <f t="shared" si="35"/>
        <v>0</v>
      </c>
      <c r="K74" s="21">
        <f t="shared" si="36"/>
        <v>0</v>
      </c>
      <c r="L74" s="21">
        <f t="shared" si="37"/>
        <v>0</v>
      </c>
      <c r="M74" s="21">
        <f t="shared" si="44"/>
        <v>0</v>
      </c>
      <c r="N74" s="21">
        <f t="shared" si="38"/>
        <v>0</v>
      </c>
      <c r="O74" s="21">
        <f t="shared" si="39"/>
        <v>0</v>
      </c>
      <c r="P74" s="21">
        <f t="shared" si="40"/>
        <v>0</v>
      </c>
      <c r="Q74" s="16">
        <f t="shared" si="41"/>
        <v>0</v>
      </c>
    </row>
    <row r="75" spans="1:17" x14ac:dyDescent="0.3">
      <c r="A75" s="16">
        <v>11</v>
      </c>
      <c r="B75" s="16">
        <f t="shared" si="29"/>
        <v>2036</v>
      </c>
      <c r="C75" s="16">
        <f t="shared" si="30"/>
        <v>10</v>
      </c>
      <c r="D75" s="21">
        <f t="shared" si="31"/>
        <v>0</v>
      </c>
      <c r="E75" s="27">
        <f t="shared" si="32"/>
        <v>0</v>
      </c>
      <c r="F75" s="27">
        <f t="shared" si="33"/>
        <v>1.7908476965428546</v>
      </c>
      <c r="G75" s="21">
        <f t="shared" si="42"/>
        <v>0</v>
      </c>
      <c r="H75" s="27">
        <f t="shared" si="43"/>
        <v>0</v>
      </c>
      <c r="I75" s="21">
        <f t="shared" si="34"/>
        <v>0</v>
      </c>
      <c r="J75" s="27">
        <f t="shared" si="35"/>
        <v>0</v>
      </c>
      <c r="K75" s="21">
        <f t="shared" si="36"/>
        <v>0</v>
      </c>
      <c r="L75" s="21">
        <f t="shared" si="37"/>
        <v>0</v>
      </c>
      <c r="M75" s="21">
        <f t="shared" si="44"/>
        <v>0</v>
      </c>
      <c r="N75" s="21">
        <f t="shared" si="38"/>
        <v>0</v>
      </c>
      <c r="O75" s="21">
        <f t="shared" si="39"/>
        <v>0</v>
      </c>
      <c r="P75" s="21">
        <f t="shared" si="40"/>
        <v>0</v>
      </c>
      <c r="Q75" s="16">
        <f t="shared" si="41"/>
        <v>0</v>
      </c>
    </row>
    <row r="76" spans="1:17" x14ac:dyDescent="0.3">
      <c r="A76" s="16">
        <v>12</v>
      </c>
      <c r="B76" s="16">
        <f t="shared" si="29"/>
        <v>2037</v>
      </c>
      <c r="C76" s="16">
        <f t="shared" si="30"/>
        <v>11</v>
      </c>
      <c r="D76" s="21">
        <f t="shared" si="31"/>
        <v>0</v>
      </c>
      <c r="E76" s="27">
        <f t="shared" si="32"/>
        <v>0</v>
      </c>
      <c r="F76" s="27">
        <f t="shared" si="33"/>
        <v>1.8982985583354262</v>
      </c>
      <c r="G76" s="21">
        <f t="shared" si="42"/>
        <v>0</v>
      </c>
      <c r="H76" s="27">
        <f t="shared" si="43"/>
        <v>0</v>
      </c>
      <c r="I76" s="21">
        <f t="shared" si="34"/>
        <v>0</v>
      </c>
      <c r="J76" s="27">
        <f t="shared" si="35"/>
        <v>0</v>
      </c>
      <c r="K76" s="21">
        <f t="shared" si="36"/>
        <v>0</v>
      </c>
      <c r="L76" s="21">
        <f t="shared" si="37"/>
        <v>0</v>
      </c>
      <c r="M76" s="21">
        <f t="shared" si="44"/>
        <v>0</v>
      </c>
      <c r="N76" s="21">
        <f t="shared" si="38"/>
        <v>0</v>
      </c>
      <c r="O76" s="21">
        <f t="shared" si="39"/>
        <v>0</v>
      </c>
      <c r="P76" s="21">
        <f t="shared" si="40"/>
        <v>0</v>
      </c>
      <c r="Q76" s="16">
        <f t="shared" si="41"/>
        <v>0</v>
      </c>
    </row>
    <row r="77" spans="1:17" x14ac:dyDescent="0.3">
      <c r="A77" s="16">
        <v>13</v>
      </c>
      <c r="B77" s="16">
        <f t="shared" si="29"/>
        <v>2038</v>
      </c>
      <c r="C77" s="16">
        <f t="shared" si="30"/>
        <v>12</v>
      </c>
      <c r="D77" s="21">
        <f t="shared" si="31"/>
        <v>0</v>
      </c>
      <c r="E77" s="27">
        <f t="shared" si="32"/>
        <v>0</v>
      </c>
      <c r="F77" s="27">
        <f t="shared" si="33"/>
        <v>2.0121964718355518</v>
      </c>
      <c r="G77" s="21">
        <f t="shared" si="42"/>
        <v>0</v>
      </c>
      <c r="H77" s="27">
        <f t="shared" si="43"/>
        <v>0</v>
      </c>
      <c r="I77" s="21">
        <f t="shared" si="34"/>
        <v>0</v>
      </c>
      <c r="J77" s="27">
        <f t="shared" si="35"/>
        <v>0</v>
      </c>
      <c r="K77" s="21">
        <f t="shared" si="36"/>
        <v>0</v>
      </c>
      <c r="L77" s="21">
        <f t="shared" si="37"/>
        <v>0</v>
      </c>
      <c r="M77" s="21">
        <f t="shared" si="44"/>
        <v>0</v>
      </c>
      <c r="N77" s="21">
        <f t="shared" si="38"/>
        <v>0</v>
      </c>
      <c r="O77" s="21">
        <f t="shared" si="39"/>
        <v>0</v>
      </c>
      <c r="P77" s="21">
        <f t="shared" si="40"/>
        <v>0</v>
      </c>
      <c r="Q77" s="16">
        <f t="shared" si="41"/>
        <v>0</v>
      </c>
    </row>
    <row r="78" spans="1:17" x14ac:dyDescent="0.3">
      <c r="A78" s="16">
        <v>14</v>
      </c>
      <c r="B78" s="16">
        <f t="shared" si="29"/>
        <v>2039</v>
      </c>
      <c r="C78" s="16">
        <f t="shared" si="30"/>
        <v>13</v>
      </c>
      <c r="D78" s="21">
        <f t="shared" si="31"/>
        <v>0</v>
      </c>
      <c r="E78" s="27">
        <f t="shared" si="32"/>
        <v>0</v>
      </c>
      <c r="F78" s="27">
        <f t="shared" si="33"/>
        <v>2.1329282601456852</v>
      </c>
      <c r="G78" s="21">
        <f t="shared" si="42"/>
        <v>0</v>
      </c>
      <c r="H78" s="27">
        <f t="shared" si="43"/>
        <v>0</v>
      </c>
      <c r="I78" s="21">
        <f t="shared" si="34"/>
        <v>0</v>
      </c>
      <c r="J78" s="27">
        <f t="shared" si="35"/>
        <v>0</v>
      </c>
      <c r="K78" s="21">
        <f t="shared" si="36"/>
        <v>0</v>
      </c>
      <c r="L78" s="21">
        <f t="shared" si="37"/>
        <v>0</v>
      </c>
      <c r="M78" s="21">
        <f t="shared" si="44"/>
        <v>0</v>
      </c>
      <c r="N78" s="21">
        <f t="shared" si="38"/>
        <v>0</v>
      </c>
      <c r="O78" s="21">
        <f t="shared" si="39"/>
        <v>0</v>
      </c>
      <c r="P78" s="21">
        <f t="shared" si="40"/>
        <v>0</v>
      </c>
      <c r="Q78" s="16">
        <f t="shared" si="41"/>
        <v>0</v>
      </c>
    </row>
    <row r="79" spans="1:17" x14ac:dyDescent="0.3">
      <c r="A79" s="16">
        <v>15</v>
      </c>
      <c r="B79" s="16">
        <f t="shared" si="29"/>
        <v>2040</v>
      </c>
      <c r="C79" s="16">
        <f t="shared" si="30"/>
        <v>14</v>
      </c>
      <c r="D79" s="21">
        <f t="shared" si="31"/>
        <v>0</v>
      </c>
      <c r="E79" s="27">
        <f t="shared" si="32"/>
        <v>0</v>
      </c>
      <c r="F79" s="27">
        <f t="shared" si="33"/>
        <v>2.2609039557544262</v>
      </c>
      <c r="G79" s="21">
        <f t="shared" si="42"/>
        <v>0</v>
      </c>
      <c r="H79" s="27">
        <f t="shared" si="43"/>
        <v>0</v>
      </c>
      <c r="I79" s="21">
        <f t="shared" si="34"/>
        <v>0</v>
      </c>
      <c r="J79" s="27">
        <f t="shared" si="35"/>
        <v>0</v>
      </c>
      <c r="K79" s="21">
        <f t="shared" si="36"/>
        <v>0</v>
      </c>
      <c r="L79" s="21">
        <f t="shared" si="37"/>
        <v>0</v>
      </c>
      <c r="M79" s="21">
        <f t="shared" si="44"/>
        <v>0</v>
      </c>
      <c r="N79" s="21">
        <f t="shared" si="38"/>
        <v>0</v>
      </c>
      <c r="O79" s="21">
        <f t="shared" si="39"/>
        <v>0</v>
      </c>
      <c r="P79" s="21">
        <f t="shared" si="40"/>
        <v>0</v>
      </c>
      <c r="Q79" s="16">
        <f t="shared" si="41"/>
        <v>0</v>
      </c>
    </row>
    <row r="80" spans="1:17" x14ac:dyDescent="0.3">
      <c r="A80" s="16">
        <v>16</v>
      </c>
      <c r="B80" s="16">
        <f t="shared" si="29"/>
        <v>2041</v>
      </c>
      <c r="C80" s="16">
        <f t="shared" si="30"/>
        <v>15</v>
      </c>
      <c r="D80" s="21">
        <f t="shared" si="31"/>
        <v>0</v>
      </c>
      <c r="E80" s="27">
        <f t="shared" si="32"/>
        <v>0</v>
      </c>
      <c r="F80" s="27">
        <f t="shared" si="33"/>
        <v>2.3965581930996924</v>
      </c>
      <c r="G80" s="21">
        <f t="shared" si="42"/>
        <v>0</v>
      </c>
      <c r="H80" s="27">
        <f t="shared" si="43"/>
        <v>0</v>
      </c>
      <c r="I80" s="21">
        <f t="shared" si="34"/>
        <v>0</v>
      </c>
      <c r="J80" s="27">
        <f t="shared" si="35"/>
        <v>0</v>
      </c>
      <c r="K80" s="21">
        <f t="shared" si="36"/>
        <v>0</v>
      </c>
      <c r="L80" s="21">
        <f t="shared" si="37"/>
        <v>0</v>
      </c>
      <c r="M80" s="21">
        <f t="shared" si="44"/>
        <v>0</v>
      </c>
      <c r="N80" s="21">
        <f t="shared" si="38"/>
        <v>0</v>
      </c>
      <c r="O80" s="21">
        <f t="shared" si="39"/>
        <v>0</v>
      </c>
      <c r="P80" s="21">
        <f t="shared" si="40"/>
        <v>0</v>
      </c>
      <c r="Q80" s="16">
        <f t="shared" si="41"/>
        <v>0</v>
      </c>
    </row>
    <row r="81" spans="1:17" x14ac:dyDescent="0.3">
      <c r="A81" s="16">
        <v>17</v>
      </c>
      <c r="B81" s="16">
        <f t="shared" si="29"/>
        <v>2042</v>
      </c>
      <c r="C81" s="16">
        <f t="shared" si="30"/>
        <v>16</v>
      </c>
      <c r="D81" s="21">
        <f t="shared" si="31"/>
        <v>0</v>
      </c>
      <c r="E81" s="27">
        <f t="shared" si="32"/>
        <v>0</v>
      </c>
      <c r="F81" s="27">
        <f t="shared" si="33"/>
        <v>2.5403516846856733</v>
      </c>
      <c r="G81" s="21">
        <f t="shared" si="42"/>
        <v>0</v>
      </c>
      <c r="H81" s="27">
        <f t="shared" si="43"/>
        <v>0</v>
      </c>
      <c r="I81" s="21">
        <f t="shared" si="34"/>
        <v>0</v>
      </c>
      <c r="J81" s="27">
        <f t="shared" si="35"/>
        <v>0</v>
      </c>
      <c r="K81" s="21">
        <f t="shared" si="36"/>
        <v>0</v>
      </c>
      <c r="L81" s="21">
        <f t="shared" si="37"/>
        <v>0</v>
      </c>
      <c r="M81" s="21">
        <f t="shared" si="44"/>
        <v>0</v>
      </c>
      <c r="N81" s="21">
        <f t="shared" si="38"/>
        <v>0</v>
      </c>
      <c r="O81" s="21">
        <f t="shared" si="39"/>
        <v>0</v>
      </c>
      <c r="P81" s="21">
        <f t="shared" si="40"/>
        <v>0</v>
      </c>
      <c r="Q81" s="16">
        <f t="shared" si="41"/>
        <v>0</v>
      </c>
    </row>
    <row r="82" spans="1:17" x14ac:dyDescent="0.3">
      <c r="A82" s="16">
        <v>18</v>
      </c>
      <c r="B82" s="16">
        <f t="shared" si="29"/>
        <v>2043</v>
      </c>
      <c r="C82" s="16">
        <f t="shared" si="30"/>
        <v>17</v>
      </c>
      <c r="D82" s="21">
        <f t="shared" si="31"/>
        <v>0</v>
      </c>
      <c r="E82" s="27">
        <f t="shared" si="32"/>
        <v>0</v>
      </c>
      <c r="F82" s="27">
        <f t="shared" si="33"/>
        <v>2.692772785766814</v>
      </c>
      <c r="G82" s="21">
        <f t="shared" si="42"/>
        <v>0</v>
      </c>
      <c r="H82" s="27">
        <f t="shared" si="43"/>
        <v>0</v>
      </c>
      <c r="I82" s="21">
        <f t="shared" si="34"/>
        <v>0</v>
      </c>
      <c r="J82" s="27">
        <f t="shared" si="35"/>
        <v>0</v>
      </c>
      <c r="K82" s="21">
        <f t="shared" si="36"/>
        <v>0</v>
      </c>
      <c r="L82" s="21">
        <f t="shared" si="37"/>
        <v>0</v>
      </c>
      <c r="M82" s="21">
        <f t="shared" si="44"/>
        <v>0</v>
      </c>
      <c r="N82" s="21">
        <f t="shared" si="38"/>
        <v>0</v>
      </c>
      <c r="O82" s="21">
        <f t="shared" si="39"/>
        <v>0</v>
      </c>
      <c r="P82" s="21">
        <f t="shared" si="40"/>
        <v>0</v>
      </c>
      <c r="Q82" s="16">
        <f t="shared" si="41"/>
        <v>0</v>
      </c>
    </row>
    <row r="83" spans="1:17" x14ac:dyDescent="0.3">
      <c r="A83" s="16">
        <v>19</v>
      </c>
      <c r="B83" s="16">
        <f t="shared" si="29"/>
        <v>2044</v>
      </c>
      <c r="C83" s="16">
        <f t="shared" si="30"/>
        <v>18</v>
      </c>
      <c r="D83" s="21">
        <f t="shared" si="31"/>
        <v>0</v>
      </c>
      <c r="E83" s="27">
        <f t="shared" si="32"/>
        <v>0</v>
      </c>
      <c r="F83" s="27">
        <f t="shared" si="33"/>
        <v>2.8543391529128228</v>
      </c>
      <c r="G83" s="21">
        <f t="shared" si="42"/>
        <v>0</v>
      </c>
      <c r="H83" s="27">
        <f t="shared" si="43"/>
        <v>0</v>
      </c>
      <c r="I83" s="21">
        <f t="shared" si="34"/>
        <v>0</v>
      </c>
      <c r="J83" s="27">
        <f t="shared" si="35"/>
        <v>0</v>
      </c>
      <c r="K83" s="21">
        <f t="shared" si="36"/>
        <v>0</v>
      </c>
      <c r="L83" s="21">
        <f t="shared" si="37"/>
        <v>0</v>
      </c>
      <c r="M83" s="21">
        <f t="shared" si="44"/>
        <v>0</v>
      </c>
      <c r="N83" s="21">
        <f t="shared" si="38"/>
        <v>0</v>
      </c>
      <c r="O83" s="21">
        <f t="shared" si="39"/>
        <v>0</v>
      </c>
      <c r="P83" s="21">
        <f t="shared" si="40"/>
        <v>0</v>
      </c>
      <c r="Q83" s="16">
        <f t="shared" si="41"/>
        <v>0</v>
      </c>
    </row>
    <row r="84" spans="1:17" x14ac:dyDescent="0.3">
      <c r="A84" s="16">
        <v>20</v>
      </c>
      <c r="B84" s="16">
        <f t="shared" si="29"/>
        <v>2045</v>
      </c>
      <c r="C84" s="16">
        <f t="shared" si="30"/>
        <v>19</v>
      </c>
      <c r="D84" s="21">
        <f t="shared" si="31"/>
        <v>0</v>
      </c>
      <c r="E84" s="27">
        <f t="shared" si="32"/>
        <v>0</v>
      </c>
      <c r="F84" s="27">
        <f t="shared" si="33"/>
        <v>3.0255995020875925</v>
      </c>
      <c r="G84" s="21">
        <f t="shared" si="42"/>
        <v>0</v>
      </c>
      <c r="H84" s="27">
        <f t="shared" si="43"/>
        <v>0</v>
      </c>
      <c r="I84" s="21">
        <f t="shared" si="34"/>
        <v>0</v>
      </c>
      <c r="J84" s="27">
        <f t="shared" si="35"/>
        <v>0</v>
      </c>
      <c r="K84" s="21">
        <f t="shared" si="36"/>
        <v>0</v>
      </c>
      <c r="L84" s="21">
        <f t="shared" si="37"/>
        <v>0</v>
      </c>
      <c r="M84" s="21">
        <f t="shared" si="44"/>
        <v>0</v>
      </c>
      <c r="N84" s="21">
        <f t="shared" si="38"/>
        <v>0</v>
      </c>
      <c r="O84" s="21">
        <f t="shared" si="39"/>
        <v>0</v>
      </c>
      <c r="P84" s="21">
        <f t="shared" si="40"/>
        <v>0</v>
      </c>
      <c r="Q84" s="16">
        <f t="shared" si="41"/>
        <v>0</v>
      </c>
    </row>
    <row r="85" spans="1:17" x14ac:dyDescent="0.3">
      <c r="A85" s="16">
        <v>21</v>
      </c>
      <c r="B85" s="16">
        <f t="shared" si="29"/>
        <v>2046</v>
      </c>
      <c r="C85" s="16">
        <f t="shared" si="30"/>
        <v>20</v>
      </c>
      <c r="D85" s="21">
        <f t="shared" si="31"/>
        <v>0</v>
      </c>
      <c r="E85" s="27">
        <f t="shared" si="32"/>
        <v>0</v>
      </c>
      <c r="F85" s="27">
        <f t="shared" si="33"/>
        <v>3.207135472212848</v>
      </c>
      <c r="G85" s="21">
        <f t="shared" si="42"/>
        <v>0</v>
      </c>
      <c r="H85" s="27">
        <f t="shared" si="43"/>
        <v>0</v>
      </c>
      <c r="I85" s="21">
        <f t="shared" si="34"/>
        <v>0</v>
      </c>
      <c r="J85" s="27">
        <f t="shared" si="35"/>
        <v>0</v>
      </c>
      <c r="K85" s="21">
        <f t="shared" si="36"/>
        <v>0</v>
      </c>
      <c r="L85" s="21">
        <f t="shared" si="37"/>
        <v>0</v>
      </c>
      <c r="M85" s="21">
        <f t="shared" si="44"/>
        <v>0</v>
      </c>
      <c r="N85" s="21">
        <f t="shared" si="38"/>
        <v>0</v>
      </c>
      <c r="O85" s="21">
        <f t="shared" si="39"/>
        <v>0</v>
      </c>
      <c r="P85" s="21">
        <f t="shared" si="40"/>
        <v>0</v>
      </c>
      <c r="Q85" s="16">
        <f t="shared" si="41"/>
        <v>0</v>
      </c>
    </row>
    <row r="86" spans="1:17" x14ac:dyDescent="0.3">
      <c r="A86" s="16">
        <v>22</v>
      </c>
      <c r="B86" s="16">
        <f t="shared" si="29"/>
        <v>2047</v>
      </c>
      <c r="C86" s="16">
        <f t="shared" si="30"/>
        <v>21</v>
      </c>
      <c r="D86" s="21">
        <f t="shared" si="31"/>
        <v>0</v>
      </c>
      <c r="E86" s="27">
        <f t="shared" si="32"/>
        <v>0</v>
      </c>
      <c r="F86" s="27">
        <f t="shared" si="33"/>
        <v>3.3995636005456196</v>
      </c>
      <c r="G86" s="21">
        <f t="shared" si="42"/>
        <v>0</v>
      </c>
      <c r="H86" s="27">
        <f t="shared" si="43"/>
        <v>0</v>
      </c>
      <c r="I86" s="21">
        <f t="shared" si="34"/>
        <v>0</v>
      </c>
      <c r="J86" s="27">
        <f t="shared" si="35"/>
        <v>0</v>
      </c>
      <c r="K86" s="21">
        <f t="shared" si="36"/>
        <v>0</v>
      </c>
      <c r="L86" s="21">
        <f t="shared" si="37"/>
        <v>0</v>
      </c>
      <c r="M86" s="21">
        <f t="shared" si="44"/>
        <v>0</v>
      </c>
      <c r="N86" s="21">
        <f t="shared" si="38"/>
        <v>0</v>
      </c>
      <c r="O86" s="21">
        <f t="shared" si="39"/>
        <v>0</v>
      </c>
      <c r="P86" s="21">
        <f t="shared" si="40"/>
        <v>0</v>
      </c>
      <c r="Q86" s="16">
        <f t="shared" si="41"/>
        <v>0</v>
      </c>
    </row>
    <row r="87" spans="1:17" x14ac:dyDescent="0.3">
      <c r="A87" s="16">
        <v>23</v>
      </c>
      <c r="B87" s="16">
        <f t="shared" si="29"/>
        <v>2048</v>
      </c>
      <c r="C87" s="16">
        <f t="shared" si="30"/>
        <v>22</v>
      </c>
      <c r="D87" s="21">
        <f t="shared" si="31"/>
        <v>0</v>
      </c>
      <c r="E87" s="27">
        <f t="shared" si="32"/>
        <v>0</v>
      </c>
      <c r="F87" s="27">
        <f t="shared" si="33"/>
        <v>3.6035374165783569</v>
      </c>
      <c r="G87" s="21">
        <f t="shared" si="42"/>
        <v>0</v>
      </c>
      <c r="H87" s="27">
        <f t="shared" si="43"/>
        <v>0</v>
      </c>
      <c r="I87" s="21">
        <f t="shared" si="34"/>
        <v>0</v>
      </c>
      <c r="J87" s="27">
        <f t="shared" si="35"/>
        <v>0</v>
      </c>
      <c r="K87" s="21">
        <f t="shared" si="36"/>
        <v>0</v>
      </c>
      <c r="L87" s="21">
        <f t="shared" si="37"/>
        <v>0</v>
      </c>
      <c r="M87" s="21">
        <f t="shared" si="44"/>
        <v>0</v>
      </c>
      <c r="N87" s="21">
        <f t="shared" si="38"/>
        <v>0</v>
      </c>
      <c r="O87" s="21">
        <f t="shared" si="39"/>
        <v>0</v>
      </c>
      <c r="P87" s="21">
        <f t="shared" si="40"/>
        <v>0</v>
      </c>
      <c r="Q87" s="16">
        <f t="shared" si="41"/>
        <v>0</v>
      </c>
    </row>
    <row r="88" spans="1:17" x14ac:dyDescent="0.3">
      <c r="A88" s="16">
        <v>24</v>
      </c>
      <c r="B88" s="16">
        <f t="shared" si="29"/>
        <v>2049</v>
      </c>
      <c r="C88" s="16">
        <f t="shared" si="30"/>
        <v>23</v>
      </c>
      <c r="D88" s="21">
        <f t="shared" si="31"/>
        <v>0</v>
      </c>
      <c r="E88" s="27">
        <f t="shared" si="32"/>
        <v>0</v>
      </c>
      <c r="F88" s="27">
        <f t="shared" si="33"/>
        <v>3.8197496615730588</v>
      </c>
      <c r="G88" s="21">
        <f t="shared" si="42"/>
        <v>0</v>
      </c>
      <c r="H88" s="27">
        <f t="shared" si="43"/>
        <v>0</v>
      </c>
      <c r="I88" s="21">
        <f t="shared" si="34"/>
        <v>0</v>
      </c>
      <c r="J88" s="27">
        <f t="shared" si="35"/>
        <v>0</v>
      </c>
      <c r="K88" s="21">
        <f t="shared" si="36"/>
        <v>0</v>
      </c>
      <c r="L88" s="21">
        <f t="shared" si="37"/>
        <v>0</v>
      </c>
      <c r="M88" s="21">
        <f t="shared" si="44"/>
        <v>0</v>
      </c>
      <c r="N88" s="21">
        <f t="shared" si="38"/>
        <v>0</v>
      </c>
      <c r="O88" s="21">
        <f t="shared" si="39"/>
        <v>0</v>
      </c>
      <c r="P88" s="21">
        <f t="shared" si="40"/>
        <v>0</v>
      </c>
      <c r="Q88" s="16">
        <f t="shared" si="41"/>
        <v>0</v>
      </c>
    </row>
    <row r="89" spans="1:17" x14ac:dyDescent="0.3">
      <c r="A89" s="16">
        <v>25</v>
      </c>
      <c r="B89" s="16">
        <f t="shared" si="29"/>
        <v>2050</v>
      </c>
      <c r="C89" s="16">
        <f t="shared" si="30"/>
        <v>24</v>
      </c>
      <c r="D89" s="21">
        <f t="shared" si="31"/>
        <v>0</v>
      </c>
      <c r="E89" s="27">
        <f t="shared" si="32"/>
        <v>0</v>
      </c>
      <c r="F89" s="27">
        <f t="shared" si="33"/>
        <v>4.0489346412674418</v>
      </c>
      <c r="G89" s="21">
        <f t="shared" si="42"/>
        <v>0</v>
      </c>
      <c r="H89" s="27">
        <f t="shared" si="43"/>
        <v>0</v>
      </c>
      <c r="I89" s="21">
        <f t="shared" si="34"/>
        <v>0</v>
      </c>
      <c r="J89" s="27">
        <f t="shared" si="35"/>
        <v>0</v>
      </c>
      <c r="K89" s="21">
        <f t="shared" si="36"/>
        <v>0</v>
      </c>
      <c r="L89" s="21">
        <f t="shared" si="37"/>
        <v>0</v>
      </c>
      <c r="M89" s="21">
        <f t="shared" si="44"/>
        <v>0</v>
      </c>
      <c r="N89" s="21">
        <f t="shared" si="38"/>
        <v>0</v>
      </c>
      <c r="O89" s="21">
        <f t="shared" si="39"/>
        <v>0</v>
      </c>
      <c r="P89" s="21">
        <f t="shared" si="40"/>
        <v>0</v>
      </c>
      <c r="Q89" s="16">
        <f t="shared" si="41"/>
        <v>0</v>
      </c>
    </row>
    <row r="90" spans="1:17" x14ac:dyDescent="0.3">
      <c r="A90" s="16">
        <v>26</v>
      </c>
      <c r="B90" s="16">
        <f t="shared" si="29"/>
        <v>2051</v>
      </c>
      <c r="C90" s="16">
        <f t="shared" si="30"/>
        <v>25</v>
      </c>
      <c r="D90" s="21">
        <f t="shared" si="31"/>
        <v>0</v>
      </c>
      <c r="E90" s="27">
        <f t="shared" si="32"/>
        <v>0</v>
      </c>
      <c r="F90" s="27">
        <f t="shared" si="33"/>
        <v>4.2918707197434882</v>
      </c>
      <c r="G90" s="21">
        <f t="shared" si="42"/>
        <v>0</v>
      </c>
      <c r="H90" s="27">
        <f t="shared" si="43"/>
        <v>0</v>
      </c>
      <c r="I90" s="21">
        <f t="shared" si="34"/>
        <v>0</v>
      </c>
      <c r="J90" s="27">
        <f t="shared" si="35"/>
        <v>0</v>
      </c>
      <c r="K90" s="21">
        <f t="shared" si="36"/>
        <v>0</v>
      </c>
      <c r="L90" s="21">
        <f t="shared" si="37"/>
        <v>0</v>
      </c>
      <c r="M90" s="21">
        <f t="shared" si="44"/>
        <v>0</v>
      </c>
      <c r="N90" s="21">
        <f t="shared" si="38"/>
        <v>0</v>
      </c>
      <c r="O90" s="21">
        <f t="shared" si="39"/>
        <v>0</v>
      </c>
      <c r="P90" s="21">
        <f t="shared" si="40"/>
        <v>0</v>
      </c>
      <c r="Q90" s="16">
        <f t="shared" si="41"/>
        <v>0</v>
      </c>
    </row>
    <row r="91" spans="1:17" x14ac:dyDescent="0.3">
      <c r="A91" s="16">
        <v>27</v>
      </c>
      <c r="B91" s="16">
        <f t="shared" si="29"/>
        <v>2052</v>
      </c>
      <c r="C91" s="16">
        <f t="shared" si="30"/>
        <v>26</v>
      </c>
      <c r="D91" s="21">
        <f t="shared" si="31"/>
        <v>0</v>
      </c>
      <c r="E91" s="27">
        <f t="shared" si="32"/>
        <v>0</v>
      </c>
      <c r="F91" s="27">
        <f t="shared" si="33"/>
        <v>4.5493829629280977</v>
      </c>
      <c r="G91" s="21">
        <f t="shared" si="42"/>
        <v>0</v>
      </c>
      <c r="H91" s="27">
        <f t="shared" si="43"/>
        <v>0</v>
      </c>
      <c r="I91" s="21">
        <f t="shared" si="34"/>
        <v>0</v>
      </c>
      <c r="J91" s="27">
        <f t="shared" si="35"/>
        <v>0</v>
      </c>
      <c r="K91" s="21">
        <f t="shared" si="36"/>
        <v>0</v>
      </c>
      <c r="L91" s="21">
        <f t="shared" si="37"/>
        <v>0</v>
      </c>
      <c r="M91" s="21">
        <f t="shared" si="44"/>
        <v>0</v>
      </c>
      <c r="N91" s="21">
        <f t="shared" si="38"/>
        <v>0</v>
      </c>
      <c r="O91" s="21">
        <f t="shared" si="39"/>
        <v>0</v>
      </c>
      <c r="P91" s="21">
        <f t="shared" si="40"/>
        <v>0</v>
      </c>
      <c r="Q91" s="16">
        <f t="shared" si="41"/>
        <v>0</v>
      </c>
    </row>
    <row r="92" spans="1:17" x14ac:dyDescent="0.3">
      <c r="A92" s="16">
        <v>28</v>
      </c>
      <c r="B92" s="16">
        <f t="shared" si="29"/>
        <v>2053</v>
      </c>
      <c r="C92" s="16">
        <f t="shared" si="30"/>
        <v>27</v>
      </c>
      <c r="D92" s="21">
        <f t="shared" si="31"/>
        <v>0</v>
      </c>
      <c r="E92" s="27">
        <f t="shared" si="32"/>
        <v>0</v>
      </c>
      <c r="F92" s="27">
        <f t="shared" si="33"/>
        <v>4.8223459407037845</v>
      </c>
      <c r="G92" s="21">
        <f t="shared" si="42"/>
        <v>0</v>
      </c>
      <c r="H92" s="27">
        <f t="shared" si="43"/>
        <v>0</v>
      </c>
      <c r="I92" s="21">
        <f t="shared" si="34"/>
        <v>0</v>
      </c>
      <c r="J92" s="27">
        <f t="shared" si="35"/>
        <v>0</v>
      </c>
      <c r="K92" s="21">
        <f t="shared" si="36"/>
        <v>0</v>
      </c>
      <c r="L92" s="21">
        <f t="shared" si="37"/>
        <v>0</v>
      </c>
      <c r="M92" s="21">
        <f t="shared" si="44"/>
        <v>0</v>
      </c>
      <c r="N92" s="21">
        <f t="shared" si="38"/>
        <v>0</v>
      </c>
      <c r="O92" s="21">
        <f t="shared" si="39"/>
        <v>0</v>
      </c>
      <c r="P92" s="21">
        <f t="shared" si="40"/>
        <v>0</v>
      </c>
      <c r="Q92" s="16">
        <f t="shared" si="41"/>
        <v>0</v>
      </c>
    </row>
    <row r="93" spans="1:17" x14ac:dyDescent="0.3">
      <c r="A93" s="16">
        <v>29</v>
      </c>
      <c r="B93" s="16">
        <f t="shared" si="29"/>
        <v>2054</v>
      </c>
      <c r="C93" s="16">
        <f t="shared" si="30"/>
        <v>28</v>
      </c>
      <c r="D93" s="21">
        <f t="shared" si="31"/>
        <v>0</v>
      </c>
      <c r="E93" s="27">
        <f t="shared" si="32"/>
        <v>0</v>
      </c>
      <c r="F93" s="27">
        <f t="shared" si="33"/>
        <v>5.1116866971460118</v>
      </c>
      <c r="G93" s="21">
        <f t="shared" si="42"/>
        <v>0</v>
      </c>
      <c r="H93" s="27">
        <f t="shared" si="43"/>
        <v>0</v>
      </c>
      <c r="I93" s="21">
        <f t="shared" si="34"/>
        <v>0</v>
      </c>
      <c r="J93" s="27">
        <f t="shared" si="35"/>
        <v>0</v>
      </c>
      <c r="K93" s="21">
        <f t="shared" si="36"/>
        <v>0</v>
      </c>
      <c r="L93" s="21">
        <f t="shared" si="37"/>
        <v>0</v>
      </c>
      <c r="M93" s="21">
        <f t="shared" si="44"/>
        <v>0</v>
      </c>
      <c r="N93" s="21">
        <f t="shared" si="38"/>
        <v>0</v>
      </c>
      <c r="O93" s="21">
        <f t="shared" si="39"/>
        <v>0</v>
      </c>
      <c r="P93" s="21">
        <f t="shared" si="40"/>
        <v>0</v>
      </c>
      <c r="Q93" s="16">
        <f t="shared" si="41"/>
        <v>0</v>
      </c>
    </row>
    <row r="94" spans="1:17" x14ac:dyDescent="0.3">
      <c r="A94" s="16">
        <v>30</v>
      </c>
      <c r="B94" s="16">
        <f t="shared" si="29"/>
        <v>2055</v>
      </c>
      <c r="C94" s="16">
        <f t="shared" si="30"/>
        <v>29</v>
      </c>
      <c r="D94" s="21">
        <f t="shared" si="31"/>
        <v>0</v>
      </c>
      <c r="E94" s="27">
        <f t="shared" si="32"/>
        <v>0</v>
      </c>
      <c r="F94" s="27">
        <f t="shared" si="33"/>
        <v>5.4183878989747729</v>
      </c>
      <c r="G94" s="21">
        <f t="shared" si="42"/>
        <v>0</v>
      </c>
      <c r="H94" s="27">
        <f t="shared" si="43"/>
        <v>0</v>
      </c>
      <c r="I94" s="21">
        <f t="shared" si="34"/>
        <v>0</v>
      </c>
      <c r="J94" s="27">
        <f t="shared" si="35"/>
        <v>0</v>
      </c>
      <c r="K94" s="21">
        <f t="shared" si="36"/>
        <v>0</v>
      </c>
      <c r="L94" s="21">
        <f t="shared" si="37"/>
        <v>0</v>
      </c>
      <c r="M94" s="21">
        <f t="shared" si="44"/>
        <v>0</v>
      </c>
      <c r="N94" s="21">
        <f t="shared" si="38"/>
        <v>0</v>
      </c>
      <c r="O94" s="21">
        <f t="shared" si="39"/>
        <v>0</v>
      </c>
      <c r="P94" s="21">
        <f t="shared" si="40"/>
        <v>0</v>
      </c>
      <c r="Q94" s="16">
        <f t="shared" si="41"/>
        <v>0</v>
      </c>
    </row>
    <row r="95" spans="1:17" x14ac:dyDescent="0.3">
      <c r="A95" s="16">
        <v>31</v>
      </c>
      <c r="B95" s="16">
        <f t="shared" si="29"/>
        <v>2056</v>
      </c>
      <c r="C95" s="16">
        <f t="shared" si="30"/>
        <v>30</v>
      </c>
      <c r="D95" s="21">
        <f t="shared" si="31"/>
        <v>0</v>
      </c>
      <c r="E95" s="27">
        <f t="shared" si="32"/>
        <v>0</v>
      </c>
      <c r="F95" s="27">
        <f t="shared" si="33"/>
        <v>5.7434911729132594</v>
      </c>
      <c r="G95" s="21">
        <f t="shared" si="42"/>
        <v>0</v>
      </c>
      <c r="H95" s="27">
        <f t="shared" si="43"/>
        <v>0</v>
      </c>
      <c r="I95" s="21">
        <f t="shared" si="34"/>
        <v>0</v>
      </c>
      <c r="J95" s="27">
        <f t="shared" si="35"/>
        <v>0</v>
      </c>
      <c r="K95" s="21">
        <f t="shared" si="36"/>
        <v>0</v>
      </c>
      <c r="L95" s="21">
        <f t="shared" si="37"/>
        <v>0</v>
      </c>
      <c r="M95" s="21">
        <f t="shared" si="44"/>
        <v>0</v>
      </c>
      <c r="N95" s="21">
        <f t="shared" si="38"/>
        <v>0</v>
      </c>
      <c r="O95" s="21">
        <f t="shared" si="39"/>
        <v>0</v>
      </c>
      <c r="P95" s="21">
        <f t="shared" si="40"/>
        <v>0</v>
      </c>
      <c r="Q95" s="16">
        <f t="shared" si="41"/>
        <v>0</v>
      </c>
    </row>
    <row r="96" spans="1:17" x14ac:dyDescent="0.3">
      <c r="A96" s="16">
        <v>32</v>
      </c>
      <c r="B96" s="16">
        <f t="shared" si="29"/>
        <v>2057</v>
      </c>
      <c r="C96" s="16">
        <f t="shared" si="30"/>
        <v>31</v>
      </c>
      <c r="D96" s="21">
        <f t="shared" si="31"/>
        <v>0</v>
      </c>
      <c r="E96" s="27">
        <f t="shared" si="32"/>
        <v>0</v>
      </c>
      <c r="F96" s="27">
        <f t="shared" si="33"/>
        <v>6.0881006432880564</v>
      </c>
      <c r="G96" s="21">
        <f t="shared" si="42"/>
        <v>0</v>
      </c>
      <c r="H96" s="27">
        <f t="shared" si="43"/>
        <v>0</v>
      </c>
      <c r="I96" s="21">
        <f t="shared" si="34"/>
        <v>0</v>
      </c>
      <c r="J96" s="27">
        <f t="shared" si="35"/>
        <v>0</v>
      </c>
      <c r="K96" s="21">
        <f t="shared" si="36"/>
        <v>0</v>
      </c>
      <c r="L96" s="21">
        <f t="shared" si="37"/>
        <v>0</v>
      </c>
      <c r="M96" s="21">
        <f t="shared" si="44"/>
        <v>0</v>
      </c>
      <c r="N96" s="21">
        <f t="shared" si="38"/>
        <v>0</v>
      </c>
      <c r="O96" s="21">
        <f t="shared" si="39"/>
        <v>0</v>
      </c>
      <c r="P96" s="21">
        <f t="shared" si="40"/>
        <v>0</v>
      </c>
      <c r="Q96" s="16">
        <f t="shared" si="41"/>
        <v>0</v>
      </c>
    </row>
    <row r="97" spans="1:17" x14ac:dyDescent="0.3">
      <c r="A97" s="16">
        <v>33</v>
      </c>
      <c r="B97" s="16">
        <f t="shared" ref="B97:B128" si="45">PlanYear+A97-1</f>
        <v>2058</v>
      </c>
      <c r="C97" s="16">
        <f t="shared" ref="C97:C124" si="46">A97-1-$B$18</f>
        <v>32</v>
      </c>
      <c r="D97" s="21">
        <f t="shared" ref="D97:D128" si="47">IF(AND($B$22=1,C97&gt;=0,C97&lt;$B$19),INDEX($Z$46:$Z$55,C97+1),0)</f>
        <v>0</v>
      </c>
      <c r="E97" s="27">
        <f t="shared" ref="E97:E124" si="48">IF(AND($B$22=1,A97&lt;=$B$21),(1+SavInc)^(A97-1),0)</f>
        <v>0</v>
      </c>
      <c r="F97" s="27">
        <f t="shared" ref="F97:F124" si="49">(1+ReturnRate)^(A97-1)</f>
        <v>6.4533866818853385</v>
      </c>
      <c r="G97" s="21">
        <f t="shared" si="42"/>
        <v>0</v>
      </c>
      <c r="H97" s="27">
        <f t="shared" si="43"/>
        <v>0</v>
      </c>
      <c r="I97" s="21">
        <f t="shared" ref="I97:I124" si="50">G97*(1+ReturnRate)</f>
        <v>0</v>
      </c>
      <c r="J97" s="27">
        <f t="shared" ref="J97:J124" si="51">H97*(1+ReturnRate)+E97</f>
        <v>0</v>
      </c>
      <c r="K97" s="21">
        <f t="shared" ref="K97:K124" si="52">IF(AND(D97&gt;0,H97&lt;=0.000000000001,G97&lt;0),-G97/F97,0)</f>
        <v>0</v>
      </c>
      <c r="L97" s="21">
        <f t="shared" ref="L97:L124" si="53">IF(AND(D97&gt;0,H97&gt;0.000000000001),-(G97+$B$126*F97)/H97,0)</f>
        <v>0</v>
      </c>
      <c r="M97" s="21">
        <f t="shared" si="44"/>
        <v>0</v>
      </c>
      <c r="N97" s="21">
        <f t="shared" ref="N97:N124" si="54">E97*$B$127</f>
        <v>0</v>
      </c>
      <c r="O97" s="21">
        <f t="shared" ref="O97:O124" si="55">IF(AND($B$22=1,A97&lt;=$B$20),(M97-D97)*ReturnRate,0)</f>
        <v>0</v>
      </c>
      <c r="P97" s="21">
        <f t="shared" ref="P97:P128" si="56">M97-D97+O97+N97</f>
        <v>0</v>
      </c>
      <c r="Q97" s="16">
        <f t="shared" ref="Q97:Q124" si="57">IF(AND($B$22=1,C97&gt;=0,C97&lt;$B$19),1,0)</f>
        <v>0</v>
      </c>
    </row>
    <row r="98" spans="1:17" x14ac:dyDescent="0.3">
      <c r="A98" s="16">
        <v>34</v>
      </c>
      <c r="B98" s="16">
        <f t="shared" si="45"/>
        <v>2059</v>
      </c>
      <c r="C98" s="16">
        <f t="shared" si="46"/>
        <v>33</v>
      </c>
      <c r="D98" s="21">
        <f t="shared" si="47"/>
        <v>0</v>
      </c>
      <c r="E98" s="27">
        <f t="shared" si="48"/>
        <v>0</v>
      </c>
      <c r="F98" s="27">
        <f t="shared" si="49"/>
        <v>6.8405898827984588</v>
      </c>
      <c r="G98" s="21">
        <f t="shared" ref="G98:G124" si="58">I97-D98</f>
        <v>0</v>
      </c>
      <c r="H98" s="27">
        <f t="shared" ref="H98:H124" si="59">J97</f>
        <v>0</v>
      </c>
      <c r="I98" s="21">
        <f t="shared" si="50"/>
        <v>0</v>
      </c>
      <c r="J98" s="27">
        <f t="shared" si="51"/>
        <v>0</v>
      </c>
      <c r="K98" s="21">
        <f t="shared" si="52"/>
        <v>0</v>
      </c>
      <c r="L98" s="21">
        <f t="shared" si="53"/>
        <v>0</v>
      </c>
      <c r="M98" s="21">
        <f t="shared" ref="M98:M124" si="60">P97</f>
        <v>0</v>
      </c>
      <c r="N98" s="21">
        <f t="shared" si="54"/>
        <v>0</v>
      </c>
      <c r="O98" s="21">
        <f t="shared" si="55"/>
        <v>0</v>
      </c>
      <c r="P98" s="21">
        <f t="shared" si="56"/>
        <v>0</v>
      </c>
      <c r="Q98" s="16">
        <f t="shared" si="57"/>
        <v>0</v>
      </c>
    </row>
    <row r="99" spans="1:17" x14ac:dyDescent="0.3">
      <c r="A99" s="16">
        <v>35</v>
      </c>
      <c r="B99" s="16">
        <f t="shared" si="45"/>
        <v>2060</v>
      </c>
      <c r="C99" s="16">
        <f t="shared" si="46"/>
        <v>34</v>
      </c>
      <c r="D99" s="21">
        <f t="shared" si="47"/>
        <v>0</v>
      </c>
      <c r="E99" s="27">
        <f t="shared" si="48"/>
        <v>0</v>
      </c>
      <c r="F99" s="27">
        <f t="shared" si="49"/>
        <v>7.2510252757663674</v>
      </c>
      <c r="G99" s="21">
        <f t="shared" si="58"/>
        <v>0</v>
      </c>
      <c r="H99" s="27">
        <f t="shared" si="59"/>
        <v>0</v>
      </c>
      <c r="I99" s="21">
        <f t="shared" si="50"/>
        <v>0</v>
      </c>
      <c r="J99" s="27">
        <f t="shared" si="51"/>
        <v>0</v>
      </c>
      <c r="K99" s="21">
        <f t="shared" si="52"/>
        <v>0</v>
      </c>
      <c r="L99" s="21">
        <f t="shared" si="53"/>
        <v>0</v>
      </c>
      <c r="M99" s="21">
        <f t="shared" si="60"/>
        <v>0</v>
      </c>
      <c r="N99" s="21">
        <f t="shared" si="54"/>
        <v>0</v>
      </c>
      <c r="O99" s="21">
        <f t="shared" si="55"/>
        <v>0</v>
      </c>
      <c r="P99" s="21">
        <f t="shared" si="56"/>
        <v>0</v>
      </c>
      <c r="Q99" s="16">
        <f t="shared" si="57"/>
        <v>0</v>
      </c>
    </row>
    <row r="100" spans="1:17" x14ac:dyDescent="0.3">
      <c r="A100" s="16">
        <v>36</v>
      </c>
      <c r="B100" s="16">
        <f t="shared" si="45"/>
        <v>2061</v>
      </c>
      <c r="C100" s="16">
        <f t="shared" si="46"/>
        <v>35</v>
      </c>
      <c r="D100" s="21">
        <f t="shared" si="47"/>
        <v>0</v>
      </c>
      <c r="E100" s="27">
        <f t="shared" si="48"/>
        <v>0</v>
      </c>
      <c r="F100" s="27">
        <f t="shared" si="49"/>
        <v>7.6860867923123504</v>
      </c>
      <c r="G100" s="21">
        <f t="shared" si="58"/>
        <v>0</v>
      </c>
      <c r="H100" s="27">
        <f t="shared" si="59"/>
        <v>0</v>
      </c>
      <c r="I100" s="21">
        <f t="shared" si="50"/>
        <v>0</v>
      </c>
      <c r="J100" s="27">
        <f t="shared" si="51"/>
        <v>0</v>
      </c>
      <c r="K100" s="21">
        <f t="shared" si="52"/>
        <v>0</v>
      </c>
      <c r="L100" s="21">
        <f t="shared" si="53"/>
        <v>0</v>
      </c>
      <c r="M100" s="21">
        <f t="shared" si="60"/>
        <v>0</v>
      </c>
      <c r="N100" s="21">
        <f t="shared" si="54"/>
        <v>0</v>
      </c>
      <c r="O100" s="21">
        <f t="shared" si="55"/>
        <v>0</v>
      </c>
      <c r="P100" s="21">
        <f t="shared" si="56"/>
        <v>0</v>
      </c>
      <c r="Q100" s="16">
        <f t="shared" si="57"/>
        <v>0</v>
      </c>
    </row>
    <row r="101" spans="1:17" x14ac:dyDescent="0.3">
      <c r="A101" s="16">
        <v>37</v>
      </c>
      <c r="B101" s="16">
        <f t="shared" si="45"/>
        <v>2062</v>
      </c>
      <c r="C101" s="16">
        <f t="shared" si="46"/>
        <v>36</v>
      </c>
      <c r="D101" s="21">
        <f t="shared" si="47"/>
        <v>0</v>
      </c>
      <c r="E101" s="27">
        <f t="shared" si="48"/>
        <v>0</v>
      </c>
      <c r="F101" s="27">
        <f t="shared" si="49"/>
        <v>8.1472519998510915</v>
      </c>
      <c r="G101" s="21">
        <f t="shared" si="58"/>
        <v>0</v>
      </c>
      <c r="H101" s="27">
        <f t="shared" si="59"/>
        <v>0</v>
      </c>
      <c r="I101" s="21">
        <f t="shared" si="50"/>
        <v>0</v>
      </c>
      <c r="J101" s="27">
        <f t="shared" si="51"/>
        <v>0</v>
      </c>
      <c r="K101" s="21">
        <f t="shared" si="52"/>
        <v>0</v>
      </c>
      <c r="L101" s="21">
        <f t="shared" si="53"/>
        <v>0</v>
      </c>
      <c r="M101" s="21">
        <f t="shared" si="60"/>
        <v>0</v>
      </c>
      <c r="N101" s="21">
        <f t="shared" si="54"/>
        <v>0</v>
      </c>
      <c r="O101" s="21">
        <f t="shared" si="55"/>
        <v>0</v>
      </c>
      <c r="P101" s="21">
        <f t="shared" si="56"/>
        <v>0</v>
      </c>
      <c r="Q101" s="16">
        <f t="shared" si="57"/>
        <v>0</v>
      </c>
    </row>
    <row r="102" spans="1:17" x14ac:dyDescent="0.3">
      <c r="A102" s="16">
        <v>38</v>
      </c>
      <c r="B102" s="16">
        <f t="shared" si="45"/>
        <v>2063</v>
      </c>
      <c r="C102" s="16">
        <f t="shared" si="46"/>
        <v>37</v>
      </c>
      <c r="D102" s="21">
        <f t="shared" si="47"/>
        <v>0</v>
      </c>
      <c r="E102" s="27">
        <f t="shared" si="48"/>
        <v>0</v>
      </c>
      <c r="F102" s="27">
        <f t="shared" si="49"/>
        <v>8.6360871198421574</v>
      </c>
      <c r="G102" s="21">
        <f t="shared" si="58"/>
        <v>0</v>
      </c>
      <c r="H102" s="27">
        <f t="shared" si="59"/>
        <v>0</v>
      </c>
      <c r="I102" s="21">
        <f t="shared" si="50"/>
        <v>0</v>
      </c>
      <c r="J102" s="27">
        <f t="shared" si="51"/>
        <v>0</v>
      </c>
      <c r="K102" s="21">
        <f t="shared" si="52"/>
        <v>0</v>
      </c>
      <c r="L102" s="21">
        <f t="shared" si="53"/>
        <v>0</v>
      </c>
      <c r="M102" s="21">
        <f t="shared" si="60"/>
        <v>0</v>
      </c>
      <c r="N102" s="21">
        <f t="shared" si="54"/>
        <v>0</v>
      </c>
      <c r="O102" s="21">
        <f t="shared" si="55"/>
        <v>0</v>
      </c>
      <c r="P102" s="21">
        <f t="shared" si="56"/>
        <v>0</v>
      </c>
      <c r="Q102" s="16">
        <f t="shared" si="57"/>
        <v>0</v>
      </c>
    </row>
    <row r="103" spans="1:17" x14ac:dyDescent="0.3">
      <c r="A103" s="16">
        <v>39</v>
      </c>
      <c r="B103" s="16">
        <f t="shared" si="45"/>
        <v>2064</v>
      </c>
      <c r="C103" s="16">
        <f t="shared" si="46"/>
        <v>38</v>
      </c>
      <c r="D103" s="21">
        <f t="shared" si="47"/>
        <v>0</v>
      </c>
      <c r="E103" s="27">
        <f t="shared" si="48"/>
        <v>0</v>
      </c>
      <c r="F103" s="27">
        <f t="shared" si="49"/>
        <v>9.1542523470326884</v>
      </c>
      <c r="G103" s="21">
        <f t="shared" si="58"/>
        <v>0</v>
      </c>
      <c r="H103" s="27">
        <f t="shared" si="59"/>
        <v>0</v>
      </c>
      <c r="I103" s="21">
        <f t="shared" si="50"/>
        <v>0</v>
      </c>
      <c r="J103" s="27">
        <f t="shared" si="51"/>
        <v>0</v>
      </c>
      <c r="K103" s="21">
        <f t="shared" si="52"/>
        <v>0</v>
      </c>
      <c r="L103" s="21">
        <f t="shared" si="53"/>
        <v>0</v>
      </c>
      <c r="M103" s="21">
        <f t="shared" si="60"/>
        <v>0</v>
      </c>
      <c r="N103" s="21">
        <f t="shared" si="54"/>
        <v>0</v>
      </c>
      <c r="O103" s="21">
        <f t="shared" si="55"/>
        <v>0</v>
      </c>
      <c r="P103" s="21">
        <f t="shared" si="56"/>
        <v>0</v>
      </c>
      <c r="Q103" s="16">
        <f t="shared" si="57"/>
        <v>0</v>
      </c>
    </row>
    <row r="104" spans="1:17" x14ac:dyDescent="0.3">
      <c r="A104" s="16">
        <v>40</v>
      </c>
      <c r="B104" s="16">
        <f t="shared" si="45"/>
        <v>2065</v>
      </c>
      <c r="C104" s="16">
        <f t="shared" si="46"/>
        <v>39</v>
      </c>
      <c r="D104" s="21">
        <f t="shared" si="47"/>
        <v>0</v>
      </c>
      <c r="E104" s="27">
        <f t="shared" si="48"/>
        <v>0</v>
      </c>
      <c r="F104" s="27">
        <f t="shared" si="49"/>
        <v>9.703507487854651</v>
      </c>
      <c r="G104" s="21">
        <f t="shared" si="58"/>
        <v>0</v>
      </c>
      <c r="H104" s="27">
        <f t="shared" si="59"/>
        <v>0</v>
      </c>
      <c r="I104" s="21">
        <f t="shared" si="50"/>
        <v>0</v>
      </c>
      <c r="J104" s="27">
        <f t="shared" si="51"/>
        <v>0</v>
      </c>
      <c r="K104" s="21">
        <f t="shared" si="52"/>
        <v>0</v>
      </c>
      <c r="L104" s="21">
        <f t="shared" si="53"/>
        <v>0</v>
      </c>
      <c r="M104" s="21">
        <f t="shared" si="60"/>
        <v>0</v>
      </c>
      <c r="N104" s="21">
        <f t="shared" si="54"/>
        <v>0</v>
      </c>
      <c r="O104" s="21">
        <f t="shared" si="55"/>
        <v>0</v>
      </c>
      <c r="P104" s="21">
        <f t="shared" si="56"/>
        <v>0</v>
      </c>
      <c r="Q104" s="16">
        <f t="shared" si="57"/>
        <v>0</v>
      </c>
    </row>
    <row r="105" spans="1:17" x14ac:dyDescent="0.3">
      <c r="A105" s="16">
        <v>41</v>
      </c>
      <c r="B105" s="16">
        <f t="shared" si="45"/>
        <v>2066</v>
      </c>
      <c r="C105" s="16">
        <f t="shared" si="46"/>
        <v>40</v>
      </c>
      <c r="D105" s="21">
        <f t="shared" si="47"/>
        <v>0</v>
      </c>
      <c r="E105" s="27">
        <f t="shared" si="48"/>
        <v>0</v>
      </c>
      <c r="F105" s="27">
        <f t="shared" si="49"/>
        <v>10.285717937125929</v>
      </c>
      <c r="G105" s="21">
        <f t="shared" si="58"/>
        <v>0</v>
      </c>
      <c r="H105" s="27">
        <f t="shared" si="59"/>
        <v>0</v>
      </c>
      <c r="I105" s="21">
        <f t="shared" si="50"/>
        <v>0</v>
      </c>
      <c r="J105" s="27">
        <f t="shared" si="51"/>
        <v>0</v>
      </c>
      <c r="K105" s="21">
        <f t="shared" si="52"/>
        <v>0</v>
      </c>
      <c r="L105" s="21">
        <f t="shared" si="53"/>
        <v>0</v>
      </c>
      <c r="M105" s="21">
        <f t="shared" si="60"/>
        <v>0</v>
      </c>
      <c r="N105" s="21">
        <f t="shared" si="54"/>
        <v>0</v>
      </c>
      <c r="O105" s="21">
        <f t="shared" si="55"/>
        <v>0</v>
      </c>
      <c r="P105" s="21">
        <f t="shared" si="56"/>
        <v>0</v>
      </c>
      <c r="Q105" s="16">
        <f t="shared" si="57"/>
        <v>0</v>
      </c>
    </row>
    <row r="106" spans="1:17" x14ac:dyDescent="0.3">
      <c r="A106" s="16">
        <v>42</v>
      </c>
      <c r="B106" s="16">
        <f t="shared" si="45"/>
        <v>2067</v>
      </c>
      <c r="C106" s="16">
        <f t="shared" si="46"/>
        <v>41</v>
      </c>
      <c r="D106" s="21">
        <f t="shared" si="47"/>
        <v>0</v>
      </c>
      <c r="E106" s="27">
        <f t="shared" si="48"/>
        <v>0</v>
      </c>
      <c r="F106" s="27">
        <f t="shared" si="49"/>
        <v>10.902861013353483</v>
      </c>
      <c r="G106" s="21">
        <f t="shared" si="58"/>
        <v>0</v>
      </c>
      <c r="H106" s="27">
        <f t="shared" si="59"/>
        <v>0</v>
      </c>
      <c r="I106" s="21">
        <f t="shared" si="50"/>
        <v>0</v>
      </c>
      <c r="J106" s="27">
        <f t="shared" si="51"/>
        <v>0</v>
      </c>
      <c r="K106" s="21">
        <f t="shared" si="52"/>
        <v>0</v>
      </c>
      <c r="L106" s="21">
        <f t="shared" si="53"/>
        <v>0</v>
      </c>
      <c r="M106" s="21">
        <f t="shared" si="60"/>
        <v>0</v>
      </c>
      <c r="N106" s="21">
        <f t="shared" si="54"/>
        <v>0</v>
      </c>
      <c r="O106" s="21">
        <f t="shared" si="55"/>
        <v>0</v>
      </c>
      <c r="P106" s="21">
        <f t="shared" si="56"/>
        <v>0</v>
      </c>
      <c r="Q106" s="16">
        <f t="shared" si="57"/>
        <v>0</v>
      </c>
    </row>
    <row r="107" spans="1:17" x14ac:dyDescent="0.3">
      <c r="A107" s="16">
        <v>43</v>
      </c>
      <c r="B107" s="16">
        <f t="shared" si="45"/>
        <v>2068</v>
      </c>
      <c r="C107" s="16">
        <f t="shared" si="46"/>
        <v>42</v>
      </c>
      <c r="D107" s="21">
        <f t="shared" si="47"/>
        <v>0</v>
      </c>
      <c r="E107" s="27">
        <f t="shared" si="48"/>
        <v>0</v>
      </c>
      <c r="F107" s="27">
        <f t="shared" si="49"/>
        <v>11.557032674154694</v>
      </c>
      <c r="G107" s="21">
        <f t="shared" si="58"/>
        <v>0</v>
      </c>
      <c r="H107" s="27">
        <f t="shared" si="59"/>
        <v>0</v>
      </c>
      <c r="I107" s="21">
        <f t="shared" si="50"/>
        <v>0</v>
      </c>
      <c r="J107" s="27">
        <f t="shared" si="51"/>
        <v>0</v>
      </c>
      <c r="K107" s="21">
        <f t="shared" si="52"/>
        <v>0</v>
      </c>
      <c r="L107" s="21">
        <f t="shared" si="53"/>
        <v>0</v>
      </c>
      <c r="M107" s="21">
        <f t="shared" si="60"/>
        <v>0</v>
      </c>
      <c r="N107" s="21">
        <f t="shared" si="54"/>
        <v>0</v>
      </c>
      <c r="O107" s="21">
        <f t="shared" si="55"/>
        <v>0</v>
      </c>
      <c r="P107" s="21">
        <f t="shared" si="56"/>
        <v>0</v>
      </c>
      <c r="Q107" s="16">
        <f t="shared" si="57"/>
        <v>0</v>
      </c>
    </row>
    <row r="108" spans="1:17" x14ac:dyDescent="0.3">
      <c r="A108" s="16">
        <v>44</v>
      </c>
      <c r="B108" s="16">
        <f t="shared" si="45"/>
        <v>2069</v>
      </c>
      <c r="C108" s="16">
        <f t="shared" si="46"/>
        <v>43</v>
      </c>
      <c r="D108" s="21">
        <f t="shared" si="47"/>
        <v>0</v>
      </c>
      <c r="E108" s="27">
        <f t="shared" si="48"/>
        <v>0</v>
      </c>
      <c r="F108" s="27">
        <f t="shared" si="49"/>
        <v>12.250454634603978</v>
      </c>
      <c r="G108" s="21">
        <f t="shared" si="58"/>
        <v>0</v>
      </c>
      <c r="H108" s="27">
        <f t="shared" si="59"/>
        <v>0</v>
      </c>
      <c r="I108" s="21">
        <f t="shared" si="50"/>
        <v>0</v>
      </c>
      <c r="J108" s="27">
        <f t="shared" si="51"/>
        <v>0</v>
      </c>
      <c r="K108" s="21">
        <f t="shared" si="52"/>
        <v>0</v>
      </c>
      <c r="L108" s="21">
        <f t="shared" si="53"/>
        <v>0</v>
      </c>
      <c r="M108" s="21">
        <f t="shared" si="60"/>
        <v>0</v>
      </c>
      <c r="N108" s="21">
        <f t="shared" si="54"/>
        <v>0</v>
      </c>
      <c r="O108" s="21">
        <f t="shared" si="55"/>
        <v>0</v>
      </c>
      <c r="P108" s="21">
        <f t="shared" si="56"/>
        <v>0</v>
      </c>
      <c r="Q108" s="16">
        <f t="shared" si="57"/>
        <v>0</v>
      </c>
    </row>
    <row r="109" spans="1:17" x14ac:dyDescent="0.3">
      <c r="A109" s="16">
        <v>45</v>
      </c>
      <c r="B109" s="16">
        <f t="shared" si="45"/>
        <v>2070</v>
      </c>
      <c r="C109" s="16">
        <f t="shared" si="46"/>
        <v>44</v>
      </c>
      <c r="D109" s="21">
        <f t="shared" si="47"/>
        <v>0</v>
      </c>
      <c r="E109" s="27">
        <f t="shared" si="48"/>
        <v>0</v>
      </c>
      <c r="F109" s="27">
        <f t="shared" si="49"/>
        <v>12.985481912680218</v>
      </c>
      <c r="G109" s="21">
        <f t="shared" si="58"/>
        <v>0</v>
      </c>
      <c r="H109" s="27">
        <f t="shared" si="59"/>
        <v>0</v>
      </c>
      <c r="I109" s="21">
        <f t="shared" si="50"/>
        <v>0</v>
      </c>
      <c r="J109" s="27">
        <f t="shared" si="51"/>
        <v>0</v>
      </c>
      <c r="K109" s="21">
        <f t="shared" si="52"/>
        <v>0</v>
      </c>
      <c r="L109" s="21">
        <f t="shared" si="53"/>
        <v>0</v>
      </c>
      <c r="M109" s="21">
        <f t="shared" si="60"/>
        <v>0</v>
      </c>
      <c r="N109" s="21">
        <f t="shared" si="54"/>
        <v>0</v>
      </c>
      <c r="O109" s="21">
        <f t="shared" si="55"/>
        <v>0</v>
      </c>
      <c r="P109" s="21">
        <f t="shared" si="56"/>
        <v>0</v>
      </c>
      <c r="Q109" s="16">
        <f t="shared" si="57"/>
        <v>0</v>
      </c>
    </row>
    <row r="110" spans="1:17" x14ac:dyDescent="0.3">
      <c r="A110" s="16">
        <v>46</v>
      </c>
      <c r="B110" s="16">
        <f t="shared" si="45"/>
        <v>2071</v>
      </c>
      <c r="C110" s="16">
        <f t="shared" si="46"/>
        <v>45</v>
      </c>
      <c r="D110" s="21">
        <f t="shared" si="47"/>
        <v>0</v>
      </c>
      <c r="E110" s="27">
        <f t="shared" si="48"/>
        <v>0</v>
      </c>
      <c r="F110" s="27">
        <f t="shared" si="49"/>
        <v>13.764610827441031</v>
      </c>
      <c r="G110" s="21">
        <f t="shared" si="58"/>
        <v>0</v>
      </c>
      <c r="H110" s="27">
        <f t="shared" si="59"/>
        <v>0</v>
      </c>
      <c r="I110" s="21">
        <f t="shared" si="50"/>
        <v>0</v>
      </c>
      <c r="J110" s="27">
        <f t="shared" si="51"/>
        <v>0</v>
      </c>
      <c r="K110" s="21">
        <f t="shared" si="52"/>
        <v>0</v>
      </c>
      <c r="L110" s="21">
        <f t="shared" si="53"/>
        <v>0</v>
      </c>
      <c r="M110" s="21">
        <f t="shared" si="60"/>
        <v>0</v>
      </c>
      <c r="N110" s="21">
        <f t="shared" si="54"/>
        <v>0</v>
      </c>
      <c r="O110" s="21">
        <f t="shared" si="55"/>
        <v>0</v>
      </c>
      <c r="P110" s="21">
        <f t="shared" si="56"/>
        <v>0</v>
      </c>
      <c r="Q110" s="16">
        <f t="shared" si="57"/>
        <v>0</v>
      </c>
    </row>
    <row r="111" spans="1:17" x14ac:dyDescent="0.3">
      <c r="A111" s="16">
        <v>47</v>
      </c>
      <c r="B111" s="16">
        <f t="shared" si="45"/>
        <v>2072</v>
      </c>
      <c r="C111" s="16">
        <f t="shared" si="46"/>
        <v>46</v>
      </c>
      <c r="D111" s="21">
        <f t="shared" si="47"/>
        <v>0</v>
      </c>
      <c r="E111" s="27">
        <f t="shared" si="48"/>
        <v>0</v>
      </c>
      <c r="F111" s="27">
        <f t="shared" si="49"/>
        <v>14.590487477087493</v>
      </c>
      <c r="G111" s="21">
        <f t="shared" si="58"/>
        <v>0</v>
      </c>
      <c r="H111" s="27">
        <f t="shared" si="59"/>
        <v>0</v>
      </c>
      <c r="I111" s="21">
        <f t="shared" si="50"/>
        <v>0</v>
      </c>
      <c r="J111" s="27">
        <f t="shared" si="51"/>
        <v>0</v>
      </c>
      <c r="K111" s="21">
        <f t="shared" si="52"/>
        <v>0</v>
      </c>
      <c r="L111" s="21">
        <f t="shared" si="53"/>
        <v>0</v>
      </c>
      <c r="M111" s="21">
        <f t="shared" si="60"/>
        <v>0</v>
      </c>
      <c r="N111" s="21">
        <f t="shared" si="54"/>
        <v>0</v>
      </c>
      <c r="O111" s="21">
        <f t="shared" si="55"/>
        <v>0</v>
      </c>
      <c r="P111" s="21">
        <f t="shared" si="56"/>
        <v>0</v>
      </c>
      <c r="Q111" s="16">
        <f t="shared" si="57"/>
        <v>0</v>
      </c>
    </row>
    <row r="112" spans="1:17" x14ac:dyDescent="0.3">
      <c r="A112" s="16">
        <v>48</v>
      </c>
      <c r="B112" s="16">
        <f t="shared" si="45"/>
        <v>2073</v>
      </c>
      <c r="C112" s="16">
        <f t="shared" si="46"/>
        <v>47</v>
      </c>
      <c r="D112" s="21">
        <f t="shared" si="47"/>
        <v>0</v>
      </c>
      <c r="E112" s="27">
        <f t="shared" si="48"/>
        <v>0</v>
      </c>
      <c r="F112" s="27">
        <f t="shared" si="49"/>
        <v>15.465916725712747</v>
      </c>
      <c r="G112" s="21">
        <f t="shared" si="58"/>
        <v>0</v>
      </c>
      <c r="H112" s="27">
        <f t="shared" si="59"/>
        <v>0</v>
      </c>
      <c r="I112" s="21">
        <f t="shared" si="50"/>
        <v>0</v>
      </c>
      <c r="J112" s="27">
        <f t="shared" si="51"/>
        <v>0</v>
      </c>
      <c r="K112" s="21">
        <f t="shared" si="52"/>
        <v>0</v>
      </c>
      <c r="L112" s="21">
        <f t="shared" si="53"/>
        <v>0</v>
      </c>
      <c r="M112" s="21">
        <f t="shared" si="60"/>
        <v>0</v>
      </c>
      <c r="N112" s="21">
        <f t="shared" si="54"/>
        <v>0</v>
      </c>
      <c r="O112" s="21">
        <f t="shared" si="55"/>
        <v>0</v>
      </c>
      <c r="P112" s="21">
        <f t="shared" si="56"/>
        <v>0</v>
      </c>
      <c r="Q112" s="16">
        <f t="shared" si="57"/>
        <v>0</v>
      </c>
    </row>
    <row r="113" spans="1:17" x14ac:dyDescent="0.3">
      <c r="A113" s="16">
        <v>49</v>
      </c>
      <c r="B113" s="16">
        <f t="shared" si="45"/>
        <v>2074</v>
      </c>
      <c r="C113" s="16">
        <f t="shared" si="46"/>
        <v>48</v>
      </c>
      <c r="D113" s="21">
        <f t="shared" si="47"/>
        <v>0</v>
      </c>
      <c r="E113" s="27">
        <f t="shared" si="48"/>
        <v>0</v>
      </c>
      <c r="F113" s="27">
        <f t="shared" si="49"/>
        <v>16.393871729255508</v>
      </c>
      <c r="G113" s="21">
        <f t="shared" si="58"/>
        <v>0</v>
      </c>
      <c r="H113" s="27">
        <f t="shared" si="59"/>
        <v>0</v>
      </c>
      <c r="I113" s="21">
        <f t="shared" si="50"/>
        <v>0</v>
      </c>
      <c r="J113" s="27">
        <f t="shared" si="51"/>
        <v>0</v>
      </c>
      <c r="K113" s="21">
        <f t="shared" si="52"/>
        <v>0</v>
      </c>
      <c r="L113" s="21">
        <f t="shared" si="53"/>
        <v>0</v>
      </c>
      <c r="M113" s="21">
        <f t="shared" si="60"/>
        <v>0</v>
      </c>
      <c r="N113" s="21">
        <f t="shared" si="54"/>
        <v>0</v>
      </c>
      <c r="O113" s="21">
        <f t="shared" si="55"/>
        <v>0</v>
      </c>
      <c r="P113" s="21">
        <f t="shared" si="56"/>
        <v>0</v>
      </c>
      <c r="Q113" s="16">
        <f t="shared" si="57"/>
        <v>0</v>
      </c>
    </row>
    <row r="114" spans="1:17" x14ac:dyDescent="0.3">
      <c r="A114" s="16">
        <v>50</v>
      </c>
      <c r="B114" s="16">
        <f t="shared" si="45"/>
        <v>2075</v>
      </c>
      <c r="C114" s="16">
        <f t="shared" si="46"/>
        <v>49</v>
      </c>
      <c r="D114" s="21">
        <f t="shared" si="47"/>
        <v>0</v>
      </c>
      <c r="E114" s="27">
        <f t="shared" si="48"/>
        <v>0</v>
      </c>
      <c r="F114" s="27">
        <f t="shared" si="49"/>
        <v>17.37750403301084</v>
      </c>
      <c r="G114" s="21">
        <f t="shared" si="58"/>
        <v>0</v>
      </c>
      <c r="H114" s="27">
        <f t="shared" si="59"/>
        <v>0</v>
      </c>
      <c r="I114" s="21">
        <f t="shared" si="50"/>
        <v>0</v>
      </c>
      <c r="J114" s="27">
        <f t="shared" si="51"/>
        <v>0</v>
      </c>
      <c r="K114" s="21">
        <f t="shared" si="52"/>
        <v>0</v>
      </c>
      <c r="L114" s="21">
        <f t="shared" si="53"/>
        <v>0</v>
      </c>
      <c r="M114" s="21">
        <f t="shared" si="60"/>
        <v>0</v>
      </c>
      <c r="N114" s="21">
        <f t="shared" si="54"/>
        <v>0</v>
      </c>
      <c r="O114" s="21">
        <f t="shared" si="55"/>
        <v>0</v>
      </c>
      <c r="P114" s="21">
        <f t="shared" si="56"/>
        <v>0</v>
      </c>
      <c r="Q114" s="16">
        <f t="shared" si="57"/>
        <v>0</v>
      </c>
    </row>
    <row r="115" spans="1:17" x14ac:dyDescent="0.3">
      <c r="A115" s="16">
        <v>51</v>
      </c>
      <c r="B115" s="16">
        <f t="shared" si="45"/>
        <v>2076</v>
      </c>
      <c r="C115" s="16">
        <f t="shared" si="46"/>
        <v>50</v>
      </c>
      <c r="D115" s="21">
        <f t="shared" si="47"/>
        <v>0</v>
      </c>
      <c r="E115" s="27">
        <f t="shared" si="48"/>
        <v>0</v>
      </c>
      <c r="F115" s="27">
        <f t="shared" si="49"/>
        <v>18.420154274991489</v>
      </c>
      <c r="G115" s="21">
        <f t="shared" si="58"/>
        <v>0</v>
      </c>
      <c r="H115" s="27">
        <f t="shared" si="59"/>
        <v>0</v>
      </c>
      <c r="I115" s="21">
        <f t="shared" si="50"/>
        <v>0</v>
      </c>
      <c r="J115" s="27">
        <f t="shared" si="51"/>
        <v>0</v>
      </c>
      <c r="K115" s="21">
        <f t="shared" si="52"/>
        <v>0</v>
      </c>
      <c r="L115" s="21">
        <f t="shared" si="53"/>
        <v>0</v>
      </c>
      <c r="M115" s="21">
        <f t="shared" si="60"/>
        <v>0</v>
      </c>
      <c r="N115" s="21">
        <f t="shared" si="54"/>
        <v>0</v>
      </c>
      <c r="O115" s="21">
        <f t="shared" si="55"/>
        <v>0</v>
      </c>
      <c r="P115" s="21">
        <f t="shared" si="56"/>
        <v>0</v>
      </c>
      <c r="Q115" s="16">
        <f t="shared" si="57"/>
        <v>0</v>
      </c>
    </row>
    <row r="116" spans="1:17" x14ac:dyDescent="0.3">
      <c r="A116" s="16">
        <v>52</v>
      </c>
      <c r="B116" s="16">
        <f t="shared" si="45"/>
        <v>2077</v>
      </c>
      <c r="C116" s="16">
        <f t="shared" si="46"/>
        <v>51</v>
      </c>
      <c r="D116" s="21">
        <f t="shared" si="47"/>
        <v>0</v>
      </c>
      <c r="E116" s="27">
        <f t="shared" si="48"/>
        <v>0</v>
      </c>
      <c r="F116" s="27">
        <f t="shared" si="49"/>
        <v>19.525363531490981</v>
      </c>
      <c r="G116" s="21">
        <f t="shared" si="58"/>
        <v>0</v>
      </c>
      <c r="H116" s="27">
        <f t="shared" si="59"/>
        <v>0</v>
      </c>
      <c r="I116" s="21">
        <f t="shared" si="50"/>
        <v>0</v>
      </c>
      <c r="J116" s="27">
        <f t="shared" si="51"/>
        <v>0</v>
      </c>
      <c r="K116" s="21">
        <f t="shared" si="52"/>
        <v>0</v>
      </c>
      <c r="L116" s="21">
        <f t="shared" si="53"/>
        <v>0</v>
      </c>
      <c r="M116" s="21">
        <f t="shared" si="60"/>
        <v>0</v>
      </c>
      <c r="N116" s="21">
        <f t="shared" si="54"/>
        <v>0</v>
      </c>
      <c r="O116" s="21">
        <f t="shared" si="55"/>
        <v>0</v>
      </c>
      <c r="P116" s="21">
        <f t="shared" si="56"/>
        <v>0</v>
      </c>
      <c r="Q116" s="16">
        <f t="shared" si="57"/>
        <v>0</v>
      </c>
    </row>
    <row r="117" spans="1:17" x14ac:dyDescent="0.3">
      <c r="A117" s="16">
        <v>53</v>
      </c>
      <c r="B117" s="16">
        <f t="shared" si="45"/>
        <v>2078</v>
      </c>
      <c r="C117" s="16">
        <f t="shared" si="46"/>
        <v>52</v>
      </c>
      <c r="D117" s="21">
        <f t="shared" si="47"/>
        <v>0</v>
      </c>
      <c r="E117" s="27">
        <f t="shared" si="48"/>
        <v>0</v>
      </c>
      <c r="F117" s="27">
        <f t="shared" si="49"/>
        <v>20.696885343380441</v>
      </c>
      <c r="G117" s="21">
        <f t="shared" si="58"/>
        <v>0</v>
      </c>
      <c r="H117" s="27">
        <f t="shared" si="59"/>
        <v>0</v>
      </c>
      <c r="I117" s="21">
        <f t="shared" si="50"/>
        <v>0</v>
      </c>
      <c r="J117" s="27">
        <f t="shared" si="51"/>
        <v>0</v>
      </c>
      <c r="K117" s="21">
        <f t="shared" si="52"/>
        <v>0</v>
      </c>
      <c r="L117" s="21">
        <f t="shared" si="53"/>
        <v>0</v>
      </c>
      <c r="M117" s="21">
        <f t="shared" si="60"/>
        <v>0</v>
      </c>
      <c r="N117" s="21">
        <f t="shared" si="54"/>
        <v>0</v>
      </c>
      <c r="O117" s="21">
        <f t="shared" si="55"/>
        <v>0</v>
      </c>
      <c r="P117" s="21">
        <f t="shared" si="56"/>
        <v>0</v>
      </c>
      <c r="Q117" s="16">
        <f t="shared" si="57"/>
        <v>0</v>
      </c>
    </row>
    <row r="118" spans="1:17" x14ac:dyDescent="0.3">
      <c r="A118" s="16">
        <v>54</v>
      </c>
      <c r="B118" s="16">
        <f t="shared" si="45"/>
        <v>2079</v>
      </c>
      <c r="C118" s="16">
        <f t="shared" si="46"/>
        <v>53</v>
      </c>
      <c r="D118" s="21">
        <f t="shared" si="47"/>
        <v>0</v>
      </c>
      <c r="E118" s="27">
        <f t="shared" si="48"/>
        <v>0</v>
      </c>
      <c r="F118" s="27">
        <f t="shared" si="49"/>
        <v>21.938698463983272</v>
      </c>
      <c r="G118" s="21">
        <f t="shared" si="58"/>
        <v>0</v>
      </c>
      <c r="H118" s="27">
        <f t="shared" si="59"/>
        <v>0</v>
      </c>
      <c r="I118" s="21">
        <f t="shared" si="50"/>
        <v>0</v>
      </c>
      <c r="J118" s="27">
        <f t="shared" si="51"/>
        <v>0</v>
      </c>
      <c r="K118" s="21">
        <f t="shared" si="52"/>
        <v>0</v>
      </c>
      <c r="L118" s="21">
        <f t="shared" si="53"/>
        <v>0</v>
      </c>
      <c r="M118" s="21">
        <f t="shared" si="60"/>
        <v>0</v>
      </c>
      <c r="N118" s="21">
        <f t="shared" si="54"/>
        <v>0</v>
      </c>
      <c r="O118" s="21">
        <f t="shared" si="55"/>
        <v>0</v>
      </c>
      <c r="P118" s="21">
        <f t="shared" si="56"/>
        <v>0</v>
      </c>
      <c r="Q118" s="16">
        <f t="shared" si="57"/>
        <v>0</v>
      </c>
    </row>
    <row r="119" spans="1:17" x14ac:dyDescent="0.3">
      <c r="A119" s="16">
        <v>55</v>
      </c>
      <c r="B119" s="16">
        <f t="shared" si="45"/>
        <v>2080</v>
      </c>
      <c r="C119" s="16">
        <f t="shared" si="46"/>
        <v>54</v>
      </c>
      <c r="D119" s="21">
        <f t="shared" si="47"/>
        <v>0</v>
      </c>
      <c r="E119" s="27">
        <f t="shared" si="48"/>
        <v>0</v>
      </c>
      <c r="F119" s="27">
        <f t="shared" si="49"/>
        <v>23.255020371822269</v>
      </c>
      <c r="G119" s="21">
        <f t="shared" si="58"/>
        <v>0</v>
      </c>
      <c r="H119" s="27">
        <f t="shared" si="59"/>
        <v>0</v>
      </c>
      <c r="I119" s="21">
        <f t="shared" si="50"/>
        <v>0</v>
      </c>
      <c r="J119" s="27">
        <f t="shared" si="51"/>
        <v>0</v>
      </c>
      <c r="K119" s="21">
        <f t="shared" si="52"/>
        <v>0</v>
      </c>
      <c r="L119" s="21">
        <f t="shared" si="53"/>
        <v>0</v>
      </c>
      <c r="M119" s="21">
        <f t="shared" si="60"/>
        <v>0</v>
      </c>
      <c r="N119" s="21">
        <f t="shared" si="54"/>
        <v>0</v>
      </c>
      <c r="O119" s="21">
        <f t="shared" si="55"/>
        <v>0</v>
      </c>
      <c r="P119" s="21">
        <f t="shared" si="56"/>
        <v>0</v>
      </c>
      <c r="Q119" s="16">
        <f t="shared" si="57"/>
        <v>0</v>
      </c>
    </row>
    <row r="120" spans="1:17" x14ac:dyDescent="0.3">
      <c r="A120" s="16">
        <v>56</v>
      </c>
      <c r="B120" s="16">
        <f t="shared" si="45"/>
        <v>2081</v>
      </c>
      <c r="C120" s="16">
        <f t="shared" si="46"/>
        <v>55</v>
      </c>
      <c r="D120" s="21">
        <f t="shared" si="47"/>
        <v>0</v>
      </c>
      <c r="E120" s="27">
        <f t="shared" si="48"/>
        <v>0</v>
      </c>
      <c r="F120" s="27">
        <f t="shared" si="49"/>
        <v>24.650321594131608</v>
      </c>
      <c r="G120" s="21">
        <f t="shared" si="58"/>
        <v>0</v>
      </c>
      <c r="H120" s="27">
        <f t="shared" si="59"/>
        <v>0</v>
      </c>
      <c r="I120" s="21">
        <f t="shared" si="50"/>
        <v>0</v>
      </c>
      <c r="J120" s="27">
        <f t="shared" si="51"/>
        <v>0</v>
      </c>
      <c r="K120" s="21">
        <f t="shared" si="52"/>
        <v>0</v>
      </c>
      <c r="L120" s="21">
        <f t="shared" si="53"/>
        <v>0</v>
      </c>
      <c r="M120" s="21">
        <f t="shared" si="60"/>
        <v>0</v>
      </c>
      <c r="N120" s="21">
        <f t="shared" si="54"/>
        <v>0</v>
      </c>
      <c r="O120" s="21">
        <f t="shared" si="55"/>
        <v>0</v>
      </c>
      <c r="P120" s="21">
        <f t="shared" si="56"/>
        <v>0</v>
      </c>
      <c r="Q120" s="16">
        <f t="shared" si="57"/>
        <v>0</v>
      </c>
    </row>
    <row r="121" spans="1:17" x14ac:dyDescent="0.3">
      <c r="A121" s="16">
        <v>57</v>
      </c>
      <c r="B121" s="16">
        <f t="shared" si="45"/>
        <v>2082</v>
      </c>
      <c r="C121" s="16">
        <f t="shared" si="46"/>
        <v>56</v>
      </c>
      <c r="D121" s="21">
        <f t="shared" si="47"/>
        <v>0</v>
      </c>
      <c r="E121" s="27">
        <f t="shared" si="48"/>
        <v>0</v>
      </c>
      <c r="F121" s="27">
        <f t="shared" si="49"/>
        <v>26.129340889779499</v>
      </c>
      <c r="G121" s="21">
        <f t="shared" si="58"/>
        <v>0</v>
      </c>
      <c r="H121" s="27">
        <f t="shared" si="59"/>
        <v>0</v>
      </c>
      <c r="I121" s="21">
        <f t="shared" si="50"/>
        <v>0</v>
      </c>
      <c r="J121" s="27">
        <f t="shared" si="51"/>
        <v>0</v>
      </c>
      <c r="K121" s="21">
        <f t="shared" si="52"/>
        <v>0</v>
      </c>
      <c r="L121" s="21">
        <f t="shared" si="53"/>
        <v>0</v>
      </c>
      <c r="M121" s="21">
        <f t="shared" si="60"/>
        <v>0</v>
      </c>
      <c r="N121" s="21">
        <f t="shared" si="54"/>
        <v>0</v>
      </c>
      <c r="O121" s="21">
        <f t="shared" si="55"/>
        <v>0</v>
      </c>
      <c r="P121" s="21">
        <f t="shared" si="56"/>
        <v>0</v>
      </c>
      <c r="Q121" s="16">
        <f t="shared" si="57"/>
        <v>0</v>
      </c>
    </row>
    <row r="122" spans="1:17" x14ac:dyDescent="0.3">
      <c r="A122" s="16">
        <v>58</v>
      </c>
      <c r="B122" s="16">
        <f t="shared" si="45"/>
        <v>2083</v>
      </c>
      <c r="C122" s="16">
        <f t="shared" si="46"/>
        <v>57</v>
      </c>
      <c r="D122" s="21">
        <f t="shared" si="47"/>
        <v>0</v>
      </c>
      <c r="E122" s="27">
        <f t="shared" si="48"/>
        <v>0</v>
      </c>
      <c r="F122" s="27">
        <f t="shared" si="49"/>
        <v>27.69710134316627</v>
      </c>
      <c r="G122" s="21">
        <f t="shared" si="58"/>
        <v>0</v>
      </c>
      <c r="H122" s="27">
        <f t="shared" si="59"/>
        <v>0</v>
      </c>
      <c r="I122" s="21">
        <f t="shared" si="50"/>
        <v>0</v>
      </c>
      <c r="J122" s="27">
        <f t="shared" si="51"/>
        <v>0</v>
      </c>
      <c r="K122" s="21">
        <f t="shared" si="52"/>
        <v>0</v>
      </c>
      <c r="L122" s="21">
        <f t="shared" si="53"/>
        <v>0</v>
      </c>
      <c r="M122" s="21">
        <f t="shared" si="60"/>
        <v>0</v>
      </c>
      <c r="N122" s="21">
        <f t="shared" si="54"/>
        <v>0</v>
      </c>
      <c r="O122" s="21">
        <f t="shared" si="55"/>
        <v>0</v>
      </c>
      <c r="P122" s="21">
        <f t="shared" si="56"/>
        <v>0</v>
      </c>
      <c r="Q122" s="16">
        <f t="shared" si="57"/>
        <v>0</v>
      </c>
    </row>
    <row r="123" spans="1:17" x14ac:dyDescent="0.3">
      <c r="A123" s="16">
        <v>59</v>
      </c>
      <c r="B123" s="16">
        <f t="shared" si="45"/>
        <v>2084</v>
      </c>
      <c r="C123" s="16">
        <f t="shared" si="46"/>
        <v>58</v>
      </c>
      <c r="D123" s="21">
        <f t="shared" si="47"/>
        <v>0</v>
      </c>
      <c r="E123" s="27">
        <f t="shared" si="48"/>
        <v>0</v>
      </c>
      <c r="F123" s="27">
        <f t="shared" si="49"/>
        <v>29.358927423756246</v>
      </c>
      <c r="G123" s="21">
        <f t="shared" si="58"/>
        <v>0</v>
      </c>
      <c r="H123" s="27">
        <f t="shared" si="59"/>
        <v>0</v>
      </c>
      <c r="I123" s="21">
        <f t="shared" si="50"/>
        <v>0</v>
      </c>
      <c r="J123" s="27">
        <f t="shared" si="51"/>
        <v>0</v>
      </c>
      <c r="K123" s="21">
        <f t="shared" si="52"/>
        <v>0</v>
      </c>
      <c r="L123" s="21">
        <f t="shared" si="53"/>
        <v>0</v>
      </c>
      <c r="M123" s="21">
        <f t="shared" si="60"/>
        <v>0</v>
      </c>
      <c r="N123" s="21">
        <f t="shared" si="54"/>
        <v>0</v>
      </c>
      <c r="O123" s="21">
        <f t="shared" si="55"/>
        <v>0</v>
      </c>
      <c r="P123" s="21">
        <f t="shared" si="56"/>
        <v>0</v>
      </c>
      <c r="Q123" s="16">
        <f t="shared" si="57"/>
        <v>0</v>
      </c>
    </row>
    <row r="124" spans="1:17" x14ac:dyDescent="0.3">
      <c r="A124" s="16">
        <v>60</v>
      </c>
      <c r="B124" s="16">
        <f t="shared" si="45"/>
        <v>2085</v>
      </c>
      <c r="C124" s="16">
        <f t="shared" si="46"/>
        <v>59</v>
      </c>
      <c r="D124" s="21">
        <f t="shared" si="47"/>
        <v>0</v>
      </c>
      <c r="E124" s="27">
        <f t="shared" si="48"/>
        <v>0</v>
      </c>
      <c r="F124" s="27">
        <f t="shared" si="49"/>
        <v>31.120463069181628</v>
      </c>
      <c r="G124" s="21">
        <f t="shared" si="58"/>
        <v>0</v>
      </c>
      <c r="H124" s="27">
        <f t="shared" si="59"/>
        <v>0</v>
      </c>
      <c r="I124" s="21">
        <f t="shared" si="50"/>
        <v>0</v>
      </c>
      <c r="J124" s="27">
        <f t="shared" si="51"/>
        <v>0</v>
      </c>
      <c r="K124" s="21">
        <f t="shared" si="52"/>
        <v>0</v>
      </c>
      <c r="L124" s="21">
        <f t="shared" si="53"/>
        <v>0</v>
      </c>
      <c r="M124" s="21">
        <f t="shared" si="60"/>
        <v>0</v>
      </c>
      <c r="N124" s="21">
        <f t="shared" si="54"/>
        <v>0</v>
      </c>
      <c r="O124" s="21">
        <f t="shared" si="55"/>
        <v>0</v>
      </c>
      <c r="P124" s="21">
        <f t="shared" si="56"/>
        <v>0</v>
      </c>
      <c r="Q124" s="16">
        <f t="shared" si="57"/>
        <v>0</v>
      </c>
    </row>
    <row r="126" spans="1:17" x14ac:dyDescent="0.3">
      <c r="A126" s="8" t="s">
        <v>64</v>
      </c>
      <c r="B126" s="26">
        <f>IF($B$22=1,MAX(K65:K124),0)</f>
        <v>0</v>
      </c>
    </row>
    <row r="127" spans="1:17" x14ac:dyDescent="0.3">
      <c r="A127" s="8" t="s">
        <v>176</v>
      </c>
      <c r="B127" s="26">
        <f>IF($B$22=1,IF(MAX(0,MAX(L65:L124))&lt;0.000000001,0,MAX(0,MAX(L65:L124))),0)</f>
        <v>0</v>
      </c>
    </row>
  </sheetData>
  <sheetProtection sheet="1" objects="1" formatCells="0" formatColumns="0" formatRows="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27"/>
  <sheetViews>
    <sheetView workbookViewId="0">
      <pane xSplit="1" ySplit="3" topLeftCell="B4" activePane="bottomRight" state="frozen"/>
      <selection pane="topRight"/>
      <selection pane="bottomLeft"/>
      <selection pane="bottomRight"/>
    </sheetView>
  </sheetViews>
  <sheetFormatPr defaultRowHeight="14.4" x14ac:dyDescent="0.3"/>
  <cols>
    <col min="1" max="1" width="44" customWidth="1"/>
    <col min="2" max="2" width="18" customWidth="1"/>
    <col min="3" max="6" width="13" customWidth="1"/>
    <col min="7" max="7" width="30" customWidth="1"/>
    <col min="8" max="29" width="13" customWidth="1"/>
  </cols>
  <sheetData>
    <row r="1" spans="1:2" ht="21" x14ac:dyDescent="0.4">
      <c r="A1" s="5" t="s">
        <v>177</v>
      </c>
    </row>
    <row r="2" spans="1:2" x14ac:dyDescent="0.3">
      <c r="A2" s="6" t="s">
        <v>103</v>
      </c>
    </row>
    <row r="4" spans="1:2" x14ac:dyDescent="0.3">
      <c r="A4" s="16" t="s">
        <v>104</v>
      </c>
      <c r="B4" s="12">
        <f>IF(2&lt;=NumChildren,1,0)</f>
        <v>0</v>
      </c>
    </row>
    <row r="5" spans="1:2" x14ac:dyDescent="0.3">
      <c r="A5" s="16" t="s">
        <v>30</v>
      </c>
      <c r="B5" s="12" t="str">
        <f>IF(Inputs!$D$17="","",Inputs!$D$17)</f>
        <v/>
      </c>
    </row>
    <row r="6" spans="1:2" x14ac:dyDescent="0.3">
      <c r="A6" s="16" t="s">
        <v>31</v>
      </c>
      <c r="B6" s="12" t="str">
        <f>IF(Inputs!$D$18="","",Inputs!$D$18)</f>
        <v/>
      </c>
    </row>
    <row r="7" spans="1:2" x14ac:dyDescent="0.3">
      <c r="A7" s="16" t="s">
        <v>105</v>
      </c>
      <c r="B7" s="12" t="str">
        <f>IF(Inputs!$D$15="","",Inputs!$D$15)</f>
        <v/>
      </c>
    </row>
    <row r="8" spans="1:2" x14ac:dyDescent="0.3">
      <c r="A8" s="16" t="s">
        <v>106</v>
      </c>
      <c r="B8" s="12">
        <f>IF(Inputs!$D$19="","",Inputs!$D$19)</f>
        <v>18</v>
      </c>
    </row>
    <row r="9" spans="1:2" x14ac:dyDescent="0.3">
      <c r="A9" s="16" t="s">
        <v>107</v>
      </c>
      <c r="B9" s="12" t="str">
        <f>IF($B$5="","",IF(COUNTIF(DomKey,$B$5&amp;"|"&amp;Nationality)&gt;0,"domestic","international"))</f>
        <v/>
      </c>
    </row>
    <row r="10" spans="1:2" x14ac:dyDescent="0.3">
      <c r="A10" s="16" t="s">
        <v>108</v>
      </c>
      <c r="B10" s="12" t="str">
        <f>$B$5&amp;"|"&amp;$B$6&amp;"|"&amp;$B$9</f>
        <v>||</v>
      </c>
    </row>
    <row r="11" spans="1:2" x14ac:dyDescent="0.3">
      <c r="A11" s="16" t="s">
        <v>109</v>
      </c>
      <c r="B11" s="12">
        <f>IFERROR(MATCH($B$10,DB_Key,0),0)</f>
        <v>0</v>
      </c>
    </row>
    <row r="12" spans="1:2" x14ac:dyDescent="0.3">
      <c r="A12" s="16" t="s">
        <v>110</v>
      </c>
      <c r="B12" s="12" t="str">
        <f>IFERROR(INDEX(Ctry_Ccy,MATCH($B$5,Ctry_Name,0)),"USD")</f>
        <v>USD</v>
      </c>
    </row>
    <row r="13" spans="1:2" x14ac:dyDescent="0.3">
      <c r="A13" s="16" t="s">
        <v>68</v>
      </c>
      <c r="B13" s="12">
        <f>IF($B$11&gt;0,INDEX(DB_Dur,$B$11),0)</f>
        <v>0</v>
      </c>
    </row>
    <row r="14" spans="1:2" x14ac:dyDescent="0.3">
      <c r="A14" s="16" t="s">
        <v>111</v>
      </c>
      <c r="B14" s="12">
        <f>IF($B$11&gt;0,INDEX(DB_Avail,$B$11),0)</f>
        <v>0</v>
      </c>
    </row>
    <row r="15" spans="1:2" x14ac:dyDescent="0.3">
      <c r="A15" s="16" t="s">
        <v>112</v>
      </c>
      <c r="B15" s="12">
        <f>IF($B$11&gt;0,INDEX(DB_PreYears,$B$11),0)</f>
        <v>0</v>
      </c>
    </row>
    <row r="16" spans="1:2" x14ac:dyDescent="0.3">
      <c r="A16" s="16" t="s">
        <v>113</v>
      </c>
      <c r="B16" s="14">
        <f>IF(ISNUMBER(Inputs!$D$20),Inputs!$D$20,IF($B$11&gt;0,INDEX(DB_TInf,$B$11),0))</f>
        <v>0</v>
      </c>
    </row>
    <row r="17" spans="1:10" x14ac:dyDescent="0.3">
      <c r="A17" s="16" t="s">
        <v>114</v>
      </c>
      <c r="B17" s="14">
        <f>IF(ISNUMBER(Inputs!$D$21),Inputs!$D$21,IFERROR(INDEX(Ctry_LInf,MATCH($B$5,Ctry_Name,0)),0))</f>
        <v>0</v>
      </c>
    </row>
    <row r="18" spans="1:10" x14ac:dyDescent="0.3">
      <c r="A18" s="16" t="s">
        <v>115</v>
      </c>
      <c r="B18" s="12">
        <f>IF($B$22=1,MAX(0,$B$8-$B$7),0)</f>
        <v>0</v>
      </c>
    </row>
    <row r="19" spans="1:10" x14ac:dyDescent="0.3">
      <c r="A19" s="16" t="s">
        <v>116</v>
      </c>
      <c r="B19" s="12">
        <f>ROUNDUP($B$13,0)</f>
        <v>0</v>
      </c>
    </row>
    <row r="20" spans="1:10" x14ac:dyDescent="0.3">
      <c r="A20" s="16" t="s">
        <v>117</v>
      </c>
      <c r="B20" s="12">
        <f>IF($B$22=1,$B$18+$B$19,0)</f>
        <v>0</v>
      </c>
    </row>
    <row r="21" spans="1:10" x14ac:dyDescent="0.3">
      <c r="A21" s="16" t="s">
        <v>118</v>
      </c>
      <c r="B21" s="12">
        <f>MAX(0,$B$20-1)</f>
        <v>0</v>
      </c>
    </row>
    <row r="22" spans="1:10" x14ac:dyDescent="0.3">
      <c r="A22" s="16" t="s">
        <v>119</v>
      </c>
      <c r="B22" s="12">
        <f>IF(IFERROR(AND($B$4=1,$B$5&lt;&gt;"",$B$6&lt;&gt;"",$B$14=1,IFERROR(AND(ISNUMBER($B$7),$B$7&gt;=0,$B$7&lt;=18,INT($B$7)=$B$7),FALSE),IFERROR(AND(ISNUMBER($B$8),$B$8&gt;=14,$B$8&lt;=45,INT($B$8)=$B$8),FALSE)),FALSE),1,0)</f>
        <v>0</v>
      </c>
    </row>
    <row r="23" spans="1:10" x14ac:dyDescent="0.3">
      <c r="A23" s="16" t="s">
        <v>70</v>
      </c>
      <c r="B23" s="12" t="str">
        <f>IF($B$4&lt;&gt;1,"",IF(AND($B$7="",$B$5="",$B$6=""),"Enter this child's details on the Inputs sheet.",IF(NOT(IFERROR(AND(ISNUMBER($B$7),$B$7&gt;=0,$B$7&lt;=18,INT($B$7)=$B$7),FALSE)),"Choose the child's current age (0 to 18).",IF(NOT(IFERROR(AND(ISNUMBER($B$8),$B$8&gt;=14,$B$8&lt;=45,INT($B$8)=$B$8),FALSE)),"College-entry age must be a whole number from 14 to 45.",IF($B$5="","Choose the education country.",IF($B$6="","Choose the qualification.",IF($B$14&lt;&gt;1,"This qualification is not offered (or has no typical duration) in the selected country.","")))))))</f>
        <v/>
      </c>
    </row>
    <row r="24" spans="1:10" x14ac:dyDescent="0.3">
      <c r="A24" s="16" t="s">
        <v>120</v>
      </c>
      <c r="B24" s="12">
        <f>INDEX(FxUsed,MATCH(RepCcy,FxCodes,0))/INDEX(FxUsed,MATCH($B$12,FxCodes,0))</f>
        <v>1</v>
      </c>
    </row>
    <row r="25" spans="1:10" x14ac:dyDescent="0.3">
      <c r="A25" s="16" t="s">
        <v>121</v>
      </c>
      <c r="B25" s="12">
        <f>IF($B$11=0,0,COUNTIF(RecKey,$B$10))</f>
        <v>0</v>
      </c>
    </row>
    <row r="26" spans="1:10" x14ac:dyDescent="0.3">
      <c r="A26" s="16" t="s">
        <v>122</v>
      </c>
      <c r="B26" s="12" t="str">
        <f>IF($B$25&gt;0,INDEX(DB_RecCcy,$B$11),IF($B$11&gt;0,INDEX(DB_EstCcy,$B$11),$B$12))</f>
        <v>USD</v>
      </c>
    </row>
    <row r="27" spans="1:10" x14ac:dyDescent="0.3">
      <c r="A27" s="16" t="s">
        <v>123</v>
      </c>
      <c r="B27" s="12">
        <f>IFERROR(MATCH($B$5&amp;"|"&amp;$B$9,LivKey,0),0)</f>
        <v>0</v>
      </c>
    </row>
    <row r="28" spans="1:10" x14ac:dyDescent="0.3">
      <c r="A28" s="16" t="s">
        <v>124</v>
      </c>
      <c r="B28" s="12">
        <f>IFERROR(MATCH($B$5&amp;"|"&amp;Nationality,VisaKey,0),0)</f>
        <v>0</v>
      </c>
    </row>
    <row r="29" spans="1:10" x14ac:dyDescent="0.3">
      <c r="A29" s="16" t="s">
        <v>125</v>
      </c>
      <c r="B29" s="12">
        <f>IFERROR(MATCH($B$5&amp;"|"&amp;Residence,TravKey,0),0)</f>
        <v>0</v>
      </c>
    </row>
    <row r="31" spans="1:10" ht="39.6" x14ac:dyDescent="0.3">
      <c r="A31" s="22" t="s">
        <v>126</v>
      </c>
      <c r="B31" s="22" t="s">
        <v>127</v>
      </c>
      <c r="C31" s="22" t="s">
        <v>128</v>
      </c>
      <c r="D31" s="22" t="s">
        <v>129</v>
      </c>
      <c r="E31" s="22" t="s">
        <v>130</v>
      </c>
      <c r="F31" s="22" t="s">
        <v>131</v>
      </c>
      <c r="G31" s="22" t="s">
        <v>132</v>
      </c>
      <c r="H31" s="22" t="s">
        <v>133</v>
      </c>
      <c r="I31" s="22" t="s">
        <v>134</v>
      </c>
      <c r="J31" s="22" t="s">
        <v>135</v>
      </c>
    </row>
    <row r="32" spans="1:10" x14ac:dyDescent="0.3">
      <c r="A32" s="16" t="s">
        <v>36</v>
      </c>
      <c r="B32" s="25">
        <f>IF($B$11=0,0,(IF($B$25&gt;0,SUMPRODUCT((RecKey=$B$10)*RecTuition*(1+$B$16)^(PlanYear-RecYear))/$B$25,INDEX(DB_EstTuition,$B$11)))/INDEX(FxUsed,MATCH($B$26,FxCodes,0))*INDEX(FxUsed,MATCH($B$12,FxCodes,0)))</f>
        <v>0</v>
      </c>
      <c r="C32" s="21" t="str">
        <f>IF(ISNUMBER(Inputs!$D$23),Inputs!$D$23,"")</f>
        <v/>
      </c>
      <c r="D32" s="25">
        <f t="shared" ref="D32:D43" si="0">IF(ISNUMBER(C32),IF(C32&gt;=0,C32,B32),B32)</f>
        <v>0</v>
      </c>
      <c r="E32" s="12">
        <f>IF(ISNUMBER(C32),PlanYear,IF($B$25&gt;0,PlanYear,IF($B$11&gt;0,INDEX(DB_EstBase,$B$11),PlanYear)))</f>
        <v>2026</v>
      </c>
      <c r="F32" s="12" t="str">
        <f>IF(ISNUMBER(C32),"override",IF($B$11=0,"missing",IF($B$25&gt;0,"verified",INDEX(DB_EstStatus,$B$11))))</f>
        <v>missing</v>
      </c>
      <c r="G32" s="16" t="str">
        <f t="shared" ref="G32:G43" si="1">IF(F32="verified","Published figure",IF(F32="estimated","Estimated — please review",IF(F32="notNeeded","Not needed",IF(F32="override","Your figure",IF(F32="missing","No figure yet — enter your own","")))))</f>
        <v>No figure yet — enter your own</v>
      </c>
      <c r="H32" s="16" t="s">
        <v>136</v>
      </c>
      <c r="I32" s="16" t="s">
        <v>137</v>
      </c>
      <c r="J32" s="16" t="s">
        <v>138</v>
      </c>
    </row>
    <row r="33" spans="1:27" x14ac:dyDescent="0.3">
      <c r="A33" s="16" t="s">
        <v>37</v>
      </c>
      <c r="B33" s="25">
        <f>IF($B$27=0,0,(INDEX(Liv_accommodation_Amt,$B$27))/INDEX(FxUsed,MATCH(INDEX(Liv_accommodation_Ccy,$B$27),FxCodes,0))*INDEX(FxUsed,MATCH($B$12,FxCodes,0)))</f>
        <v>0</v>
      </c>
      <c r="C33" s="21" t="str">
        <f>IF(ISNUMBER(Inputs!$D$24),Inputs!$D$24,"")</f>
        <v/>
      </c>
      <c r="D33" s="25">
        <f t="shared" si="0"/>
        <v>0</v>
      </c>
      <c r="E33" s="12">
        <f>IF(ISNUMBER(C33),PlanYear,IF($B$27=0,PlanYear,INDEX(Liv_accommodation_Base,$B$27)))</f>
        <v>2026</v>
      </c>
      <c r="F33" s="12" t="str">
        <f>IF(ISNUMBER(C33),"override",IF($B$27=0,"missing",INDEX(Liv_accommodation_Status,$B$27)))</f>
        <v>missing</v>
      </c>
      <c r="G33" s="16" t="str">
        <f t="shared" si="1"/>
        <v>No figure yet — enter your own</v>
      </c>
      <c r="H33" s="16" t="s">
        <v>139</v>
      </c>
      <c r="I33" s="16" t="s">
        <v>137</v>
      </c>
      <c r="J33" s="16" t="s">
        <v>138</v>
      </c>
    </row>
    <row r="34" spans="1:27" x14ac:dyDescent="0.3">
      <c r="A34" s="16" t="s">
        <v>38</v>
      </c>
      <c r="B34" s="25">
        <f>IF($B$27=0,0,(INDEX(Liv_food_Amt,$B$27))/INDEX(FxUsed,MATCH(INDEX(Liv_food_Ccy,$B$27),FxCodes,0))*INDEX(FxUsed,MATCH($B$12,FxCodes,0)))</f>
        <v>0</v>
      </c>
      <c r="C34" s="21" t="str">
        <f>IF(ISNUMBER(Inputs!$D$25),Inputs!$D$25,"")</f>
        <v/>
      </c>
      <c r="D34" s="25">
        <f t="shared" si="0"/>
        <v>0</v>
      </c>
      <c r="E34" s="12">
        <f>IF(ISNUMBER(C34),PlanYear,IF($B$27=0,PlanYear,INDEX(Liv_food_Base,$B$27)))</f>
        <v>2026</v>
      </c>
      <c r="F34" s="12" t="str">
        <f>IF(ISNUMBER(C34),"override",IF($B$27=0,"missing",INDEX(Liv_food_Status,$B$27)))</f>
        <v>missing</v>
      </c>
      <c r="G34" s="16" t="str">
        <f t="shared" si="1"/>
        <v>No figure yet — enter your own</v>
      </c>
      <c r="H34" s="16" t="s">
        <v>139</v>
      </c>
      <c r="I34" s="16" t="s">
        <v>137</v>
      </c>
      <c r="J34" s="16" t="s">
        <v>138</v>
      </c>
    </row>
    <row r="35" spans="1:27" x14ac:dyDescent="0.3">
      <c r="A35" s="16" t="s">
        <v>39</v>
      </c>
      <c r="B35" s="25">
        <f>IF($B$27=0,0,(INDEX(Liv_transport_Amt,$B$27))/INDEX(FxUsed,MATCH(INDEX(Liv_transport_Ccy,$B$27),FxCodes,0))*INDEX(FxUsed,MATCH($B$12,FxCodes,0)))</f>
        <v>0</v>
      </c>
      <c r="C35" s="21" t="str">
        <f>IF(ISNUMBER(Inputs!$D$26),Inputs!$D$26,"")</f>
        <v/>
      </c>
      <c r="D35" s="25">
        <f t="shared" si="0"/>
        <v>0</v>
      </c>
      <c r="E35" s="12">
        <f>IF(ISNUMBER(C35),PlanYear,IF($B$27=0,PlanYear,INDEX(Liv_transport_Base,$B$27)))</f>
        <v>2026</v>
      </c>
      <c r="F35" s="12" t="str">
        <f>IF(ISNUMBER(C35),"override",IF($B$27=0,"missing",INDEX(Liv_transport_Status,$B$27)))</f>
        <v>missing</v>
      </c>
      <c r="G35" s="16" t="str">
        <f t="shared" si="1"/>
        <v>No figure yet — enter your own</v>
      </c>
      <c r="H35" s="16" t="s">
        <v>139</v>
      </c>
      <c r="I35" s="16" t="s">
        <v>137</v>
      </c>
      <c r="J35" s="16" t="s">
        <v>138</v>
      </c>
    </row>
    <row r="36" spans="1:27" x14ac:dyDescent="0.3">
      <c r="A36" s="16" t="s">
        <v>40</v>
      </c>
      <c r="B36" s="25">
        <f>IF($B$27=0,0,(INDEX(Liv_healthInsurance_Amt,$B$27))/INDEX(FxUsed,MATCH(INDEX(Liv_healthInsurance_Ccy,$B$27),FxCodes,0))*INDEX(FxUsed,MATCH($B$12,FxCodes,0)))</f>
        <v>0</v>
      </c>
      <c r="C36" s="21" t="str">
        <f>IF(ISNUMBER(Inputs!$D$27),Inputs!$D$27,"")</f>
        <v/>
      </c>
      <c r="D36" s="25">
        <f t="shared" si="0"/>
        <v>0</v>
      </c>
      <c r="E36" s="12">
        <f>IF(ISNUMBER(C36),PlanYear,IF($B$27=0,PlanYear,INDEX(Liv_healthInsurance_Base,$B$27)))</f>
        <v>2026</v>
      </c>
      <c r="F36" s="12" t="str">
        <f>IF(ISNUMBER(C36),"override",IF($B$27=0,"missing",INDEX(Liv_healthInsurance_Status,$B$27)))</f>
        <v>missing</v>
      </c>
      <c r="G36" s="16" t="str">
        <f t="shared" si="1"/>
        <v>No figure yet — enter your own</v>
      </c>
      <c r="H36" s="16" t="s">
        <v>139</v>
      </c>
      <c r="I36" s="16" t="s">
        <v>137</v>
      </c>
      <c r="J36" s="16" t="s">
        <v>138</v>
      </c>
    </row>
    <row r="37" spans="1:27" x14ac:dyDescent="0.3">
      <c r="A37" s="16" t="s">
        <v>41</v>
      </c>
      <c r="B37" s="25">
        <f>IF($B$27=0,0,(INDEX(Liv_books_Amt,$B$27))/INDEX(FxUsed,MATCH(INDEX(Liv_books_Ccy,$B$27),FxCodes,0))*INDEX(FxUsed,MATCH($B$12,FxCodes,0)))</f>
        <v>0</v>
      </c>
      <c r="C37" s="21" t="str">
        <f>IF(ISNUMBER(Inputs!$D$28),Inputs!$D$28,"")</f>
        <v/>
      </c>
      <c r="D37" s="25">
        <f t="shared" si="0"/>
        <v>0</v>
      </c>
      <c r="E37" s="12">
        <f>IF(ISNUMBER(C37),PlanYear,IF($B$27=0,PlanYear,INDEX(Liv_books_Base,$B$27)))</f>
        <v>2026</v>
      </c>
      <c r="F37" s="12" t="str">
        <f>IF(ISNUMBER(C37),"override",IF($B$27=0,"missing",INDEX(Liv_books_Status,$B$27)))</f>
        <v>missing</v>
      </c>
      <c r="G37" s="16" t="str">
        <f t="shared" si="1"/>
        <v>No figure yet — enter your own</v>
      </c>
      <c r="H37" s="16" t="s">
        <v>139</v>
      </c>
      <c r="I37" s="16" t="s">
        <v>137</v>
      </c>
      <c r="J37" s="16" t="s">
        <v>138</v>
      </c>
    </row>
    <row r="38" spans="1:27" x14ac:dyDescent="0.3">
      <c r="A38" s="16" t="s">
        <v>42</v>
      </c>
      <c r="B38" s="25">
        <f>IF($B$11=0,0,(IF($B$25&gt;0,SUMPRODUCT((RecKey=$B$10)*RecOther*(1+$B$16)^(PlanYear-RecYear))/$B$25,INDEX(DB_EstOther,$B$11)))/INDEX(FxUsed,MATCH($B$26,FxCodes,0))*INDEX(FxUsed,MATCH($B$12,FxCodes,0)))</f>
        <v>0</v>
      </c>
      <c r="C38" s="21" t="str">
        <f>IF(ISNUMBER(Inputs!$D$29),Inputs!$D$29,"")</f>
        <v/>
      </c>
      <c r="D38" s="25">
        <f t="shared" si="0"/>
        <v>0</v>
      </c>
      <c r="E38" s="12">
        <f>IF(ISNUMBER(C38),PlanYear,IF($B$25&gt;0,PlanYear,IF($B$11&gt;0,INDEX(DB_EstBase,$B$11),PlanYear)))</f>
        <v>2026</v>
      </c>
      <c r="F38" s="12" t="str">
        <f>IF(ISNUMBER(C38),"override",IF($B$11=0,"missing",IF($B$25&gt;0,"verified",INDEX(DB_EstStatus,$B$11))))</f>
        <v>missing</v>
      </c>
      <c r="G38" s="16" t="str">
        <f t="shared" si="1"/>
        <v>No figure yet — enter your own</v>
      </c>
      <c r="H38" s="16" t="s">
        <v>136</v>
      </c>
      <c r="I38" s="16" t="s">
        <v>137</v>
      </c>
      <c r="J38" s="16" t="s">
        <v>138</v>
      </c>
    </row>
    <row r="39" spans="1:27" x14ac:dyDescent="0.3">
      <c r="A39" s="16" t="s">
        <v>140</v>
      </c>
      <c r="B39" s="25">
        <f>IF($B$15&gt;0,IF($B$15&gt;0,(INDEX(DB_PreAdm,$B$11))/INDEX(FxUsed,MATCH(INDEX(DB_PreCcy,$B$11),FxCodes,0))*INDEX(FxUsed,MATCH($B$12,FxCodes,0)),0),IF($B$11=0,0,(IF($B$25&gt;0,SUMPRODUCT((RecKey=$B$10)*RecAdm*(1+$B$16)^(PlanYear-RecYear))/$B$25,INDEX(DB_EstAdm,$B$11)))/INDEX(FxUsed,MATCH($B$26,FxCodes,0))*INDEX(FxUsed,MATCH($B$12,FxCodes,0))))</f>
        <v>0</v>
      </c>
      <c r="C39" s="21" t="str">
        <f>IF(ISNUMBER(Inputs!$D$30),Inputs!$D$30,"")</f>
        <v/>
      </c>
      <c r="D39" s="25">
        <f t="shared" si="0"/>
        <v>0</v>
      </c>
      <c r="E39" s="12">
        <f>IF(ISNUMBER(C39),PlanYear,IF($B$15&gt;0,INDEX(DB_PreBase,$B$11),IF($B$25&gt;0,PlanYear,IF($B$11&gt;0,INDEX(DB_EstBase,$B$11),PlanYear))))</f>
        <v>2026</v>
      </c>
      <c r="F39" s="12" t="str">
        <f>IF(ISNUMBER(C39),"override",IF($B$15&gt;0,INDEX(DB_PreStatus,$B$11),IF($B$11=0,"missing",IF($B$25&gt;0,"verified",INDEX(DB_EstStatus,$B$11)))))</f>
        <v>missing</v>
      </c>
      <c r="G39" s="16" t="str">
        <f t="shared" si="1"/>
        <v>No figure yet — enter your own</v>
      </c>
      <c r="H39" s="16" t="s">
        <v>136</v>
      </c>
      <c r="I39" s="16" t="s">
        <v>141</v>
      </c>
      <c r="J39" s="16" t="s">
        <v>138</v>
      </c>
    </row>
    <row r="40" spans="1:27" x14ac:dyDescent="0.3">
      <c r="A40" s="16" t="s">
        <v>142</v>
      </c>
      <c r="B40" s="25">
        <f>IF(OR($B$28=0,AND($B$9&lt;&gt;"domestic",Residence=$B$5,COUNTIF(ResNoVisa,$B$5)&gt;0)),0,(INDEX(VisaAmt,$B$28))/INDEX(FxUsed,MATCH(INDEX(VisaCcy,$B$28),FxCodes,0))*INDEX(FxUsed,MATCH($B$12,FxCodes,0)))</f>
        <v>0</v>
      </c>
      <c r="C40" s="21" t="str">
        <f>IF(ISNUMBER(Inputs!$D$31),Inputs!$D$31,"")</f>
        <v/>
      </c>
      <c r="D40" s="25">
        <f t="shared" si="0"/>
        <v>0</v>
      </c>
      <c r="E40" s="12">
        <f>IF(ISNUMBER(C40),PlanYear,IF(OR($B$28=0,AND($B$9&lt;&gt;"domestic",Residence=$B$5,COUNTIF(ResNoVisa,$B$5)&gt;0)),PlanYear,INDEX(VisaBase,$B$28)))</f>
        <v>2026</v>
      </c>
      <c r="F40" s="12" t="str">
        <f>IF(ISNUMBER(C40),"override",IF(AND($B$9&lt;&gt;"domestic",Residence=$B$5,COUNTIF(ResNoVisa,$B$5)&gt;0),"notNeeded",IF($B$28=0,"missing",INDEX(VisaStatus,$B$28))))</f>
        <v>missing</v>
      </c>
      <c r="G40" s="16" t="str">
        <f t="shared" si="1"/>
        <v>No figure yet — enter your own</v>
      </c>
      <c r="H40" s="16" t="s">
        <v>139</v>
      </c>
      <c r="I40" s="16" t="s">
        <v>141</v>
      </c>
      <c r="J40" s="16" t="s">
        <v>143</v>
      </c>
    </row>
    <row r="41" spans="1:27" x14ac:dyDescent="0.3">
      <c r="A41" s="16" t="s">
        <v>144</v>
      </c>
      <c r="B41" s="25">
        <f>IF($B$29=0,0,(INDEX(TravAmt,$B$29))/INDEX(FxUsed,MATCH(INDEX(TravCcy,$B$29),FxCodes,0))*INDEX(FxUsed,MATCH($B$12,FxCodes,0)))</f>
        <v>0</v>
      </c>
      <c r="C41" s="21" t="str">
        <f>IF(ISNUMBER(Inputs!$D$32),Inputs!$D$32,"")</f>
        <v/>
      </c>
      <c r="D41" s="25">
        <f t="shared" si="0"/>
        <v>0</v>
      </c>
      <c r="E41" s="12">
        <f>IF(ISNUMBER(C41),PlanYear,IF($B$29=0,PlanYear,INDEX(TravBase,$B$29)))</f>
        <v>2026</v>
      </c>
      <c r="F41" s="12" t="str">
        <f>IF(ISNUMBER(C41),"override",IF($B$29=0,"missing",INDEX(TravStatus,$B$29)))</f>
        <v>missing</v>
      </c>
      <c r="G41" s="16" t="str">
        <f t="shared" si="1"/>
        <v>No figure yet — enter your own</v>
      </c>
      <c r="H41" s="16" t="s">
        <v>139</v>
      </c>
      <c r="I41" s="16" t="s">
        <v>141</v>
      </c>
      <c r="J41" s="16" t="s">
        <v>143</v>
      </c>
    </row>
    <row r="42" spans="1:27" x14ac:dyDescent="0.3">
      <c r="A42" s="16" t="s">
        <v>46</v>
      </c>
      <c r="B42" s="25">
        <f>IF($B$15&gt;0,(INDEX(DB_PreTuition,$B$11))/INDEX(FxUsed,MATCH(INDEX(DB_PreCcy,$B$11),FxCodes,0))*INDEX(FxUsed,MATCH($B$12,FxCodes,0)),0)</f>
        <v>0</v>
      </c>
      <c r="C42" s="21" t="str">
        <f>IF(ISNUMBER(Inputs!$D$33),Inputs!$D$33,"")</f>
        <v/>
      </c>
      <c r="D42" s="25">
        <f t="shared" si="0"/>
        <v>0</v>
      </c>
      <c r="E42" s="12">
        <f>IF(ISNUMBER(C42),PlanYear,IF($B$15&gt;0,INDEX(DB_PreBase,$B$11),PlanYear))</f>
        <v>2026</v>
      </c>
      <c r="F42" s="12" t="str">
        <f>IF(ISNUMBER(C42),"override",IF($B$15&gt;0,INDEX(DB_PreStatus,$B$11),""))</f>
        <v/>
      </c>
      <c r="G42" s="16" t="str">
        <f t="shared" si="1"/>
        <v/>
      </c>
      <c r="H42" s="16" t="s">
        <v>136</v>
      </c>
      <c r="I42" s="16" t="s">
        <v>137</v>
      </c>
      <c r="J42" s="16" t="s">
        <v>138</v>
      </c>
    </row>
    <row r="43" spans="1:27" x14ac:dyDescent="0.3">
      <c r="A43" s="16" t="s">
        <v>47</v>
      </c>
      <c r="B43" s="25">
        <f>IF($B$15&gt;0,(INDEX(DB_PreOther,$B$11))/INDEX(FxUsed,MATCH(INDEX(DB_PreCcy,$B$11),FxCodes,0))*INDEX(FxUsed,MATCH($B$12,FxCodes,0)),0)</f>
        <v>0</v>
      </c>
      <c r="C43" s="21" t="str">
        <f>IF(ISNUMBER(Inputs!$D$34),Inputs!$D$34,"")</f>
        <v/>
      </c>
      <c r="D43" s="25">
        <f t="shared" si="0"/>
        <v>0</v>
      </c>
      <c r="E43" s="12">
        <f>IF(ISNUMBER(C43),PlanYear,IF($B$15&gt;0,INDEX(DB_PreBase,$B$11),PlanYear))</f>
        <v>2026</v>
      </c>
      <c r="F43" s="12" t="str">
        <f>IF(ISNUMBER(C43),"override",IF($B$15&gt;0,INDEX(DB_PreStatus,$B$11),""))</f>
        <v/>
      </c>
      <c r="G43" s="16" t="str">
        <f t="shared" si="1"/>
        <v/>
      </c>
      <c r="H43" s="16" t="s">
        <v>136</v>
      </c>
      <c r="I43" s="16" t="s">
        <v>137</v>
      </c>
      <c r="J43" s="16" t="s">
        <v>138</v>
      </c>
    </row>
    <row r="45" spans="1:27" ht="52.8" x14ac:dyDescent="0.3">
      <c r="A45" s="22" t="s">
        <v>145</v>
      </c>
      <c r="B45" s="22" t="s">
        <v>146</v>
      </c>
      <c r="C45" s="22" t="s">
        <v>147</v>
      </c>
      <c r="D45" s="22" t="s">
        <v>148</v>
      </c>
      <c r="E45" s="22" t="s">
        <v>149</v>
      </c>
      <c r="F45" s="22" t="s">
        <v>150</v>
      </c>
      <c r="G45" s="22" t="s">
        <v>151</v>
      </c>
      <c r="H45" s="22" t="s">
        <v>152</v>
      </c>
      <c r="I45" s="22" t="s">
        <v>153</v>
      </c>
      <c r="J45" s="22" t="s">
        <v>154</v>
      </c>
      <c r="K45" s="22" t="s">
        <v>155</v>
      </c>
      <c r="L45" s="22" t="s">
        <v>156</v>
      </c>
      <c r="M45" s="22" t="s">
        <v>157</v>
      </c>
      <c r="N45" s="22" t="s">
        <v>158</v>
      </c>
      <c r="O45" s="22" t="s">
        <v>159</v>
      </c>
      <c r="P45" s="22" t="s">
        <v>36</v>
      </c>
      <c r="Q45" s="22" t="s">
        <v>37</v>
      </c>
      <c r="R45" s="22" t="s">
        <v>38</v>
      </c>
      <c r="S45" s="22" t="s">
        <v>39</v>
      </c>
      <c r="T45" s="22" t="s">
        <v>40</v>
      </c>
      <c r="U45" s="22" t="s">
        <v>41</v>
      </c>
      <c r="V45" s="22" t="s">
        <v>42</v>
      </c>
      <c r="W45" s="22" t="s">
        <v>140</v>
      </c>
      <c r="X45" s="22" t="s">
        <v>142</v>
      </c>
      <c r="Y45" s="22" t="s">
        <v>144</v>
      </c>
      <c r="Z45" s="22" t="s">
        <v>83</v>
      </c>
      <c r="AA45" s="22" t="s">
        <v>160</v>
      </c>
    </row>
    <row r="46" spans="1:27" x14ac:dyDescent="0.3">
      <c r="A46" s="16">
        <v>0</v>
      </c>
      <c r="B46" s="16">
        <f t="shared" ref="B46:B55" si="2">PlanYear+$B$18+A46</f>
        <v>2026</v>
      </c>
      <c r="C46" s="16">
        <f t="shared" ref="C46:C55" si="3">MAX(0,MIN(1,$B$13-A46))</f>
        <v>0</v>
      </c>
      <c r="D46" s="16">
        <f t="shared" ref="D46:D55" si="4">IF(A46&lt;$B$15,1,0)</f>
        <v>0</v>
      </c>
      <c r="E46" s="16">
        <f t="shared" ref="E46:E55" si="5">IF(AND($B$22=1,A46&lt;$B$19),1,0)</f>
        <v>0</v>
      </c>
      <c r="F46" s="21">
        <f t="shared" ref="F46:F55" si="6">IF(AND(E46=1),IF(D46=1,$D$42,$D$32)*(1+$B$16)^(B46-IF(D46=1,$E$42,$E$32))*C46*$B$24,0)</f>
        <v>0</v>
      </c>
      <c r="G46" s="21">
        <f t="shared" ref="G46:G55" si="7">IF(AND(E46=1),$D$33*(1+$B$17)^(B46-$E$33)*C46*$B$24,0)</f>
        <v>0</v>
      </c>
      <c r="H46" s="21">
        <f t="shared" ref="H46:H55" si="8">IF(AND(E46=1),$D$34*(1+$B$17)^(B46-$E$34)*C46*$B$24,0)</f>
        <v>0</v>
      </c>
      <c r="I46" s="21">
        <f t="shared" ref="I46:I55" si="9">IF(AND(E46=1),$D$35*(1+$B$17)^(B46-$E$35)*C46*$B$24,0)</f>
        <v>0</v>
      </c>
      <c r="J46" s="21">
        <f t="shared" ref="J46:J55" si="10">IF(AND(E46=1),$D$36*(1+$B$17)^(B46-$E$36)*C46*$B$24,0)</f>
        <v>0</v>
      </c>
      <c r="K46" s="21">
        <f t="shared" ref="K46:K55" si="11">IF(AND(E46=1),$D$37*(1+$B$17)^(B46-$E$37)*C46*$B$24,0)</f>
        <v>0</v>
      </c>
      <c r="L46" s="21">
        <f t="shared" ref="L46:L55" si="12">IF(AND(E46=1),IF(D46=1,$D$43,$D$38)*(1+$B$16)^(B46-IF(D46=1,$E$43,$E$38))*C46*$B$24,0)</f>
        <v>0</v>
      </c>
      <c r="M46" s="21">
        <f t="shared" ref="M46:M55" si="13">IF(AND(E46=1,A46=0),$D$39*(1+$B$16)^(B46-$E$39)*$B$24,0)</f>
        <v>0</v>
      </c>
      <c r="N46" s="21">
        <f t="shared" ref="N46:N55" si="14">IF(AND(E46=1,A46=0),$D$40*(1+$B$17)^(B46-$E$40)*$B$24,0)</f>
        <v>0</v>
      </c>
      <c r="O46" s="21">
        <f t="shared" ref="O46:O55" si="15">IF(AND(E46=1,A46=0),$D$41*(1+$B$17)^(B46-$E$41)*$B$24,0)</f>
        <v>0</v>
      </c>
      <c r="P46" s="21">
        <f t="shared" ref="P46:P55" si="16">F46*(1-Coverage)</f>
        <v>0</v>
      </c>
      <c r="Q46" s="21">
        <f t="shared" ref="Q46:Q55" si="17">G46*(1-Coverage)</f>
        <v>0</v>
      </c>
      <c r="R46" s="21">
        <f t="shared" ref="R46:R55" si="18">H46*(1-Coverage)</f>
        <v>0</v>
      </c>
      <c r="S46" s="21">
        <f t="shared" ref="S46:S55" si="19">I46*(1-Coverage)</f>
        <v>0</v>
      </c>
      <c r="T46" s="21">
        <f t="shared" ref="T46:T55" si="20">J46*(1-Coverage)</f>
        <v>0</v>
      </c>
      <c r="U46" s="21">
        <f t="shared" ref="U46:U55" si="21">K46*(1-Coverage)</f>
        <v>0</v>
      </c>
      <c r="V46" s="21">
        <f t="shared" ref="V46:V55" si="22">L46*(1-Coverage)</f>
        <v>0</v>
      </c>
      <c r="W46" s="21">
        <f t="shared" ref="W46:W55" si="23">M46*(1-Coverage)</f>
        <v>0</v>
      </c>
      <c r="X46" s="21">
        <f t="shared" ref="X46:X55" si="24">N46*1</f>
        <v>0</v>
      </c>
      <c r="Y46" s="21">
        <f t="shared" ref="Y46:Y55" si="25">O46*1</f>
        <v>0</v>
      </c>
      <c r="Z46" s="20">
        <f t="shared" ref="Z46:Z55" si="26">SUM(P46:Y46)</f>
        <v>0</v>
      </c>
      <c r="AA46" s="21">
        <f t="shared" ref="AA46:AA55" si="27">SUM(F46:O46)</f>
        <v>0</v>
      </c>
    </row>
    <row r="47" spans="1:27" x14ac:dyDescent="0.3">
      <c r="A47" s="16">
        <v>1</v>
      </c>
      <c r="B47" s="16">
        <f t="shared" si="2"/>
        <v>2027</v>
      </c>
      <c r="C47" s="16">
        <f t="shared" si="3"/>
        <v>0</v>
      </c>
      <c r="D47" s="16">
        <f t="shared" si="4"/>
        <v>0</v>
      </c>
      <c r="E47" s="16">
        <f t="shared" si="5"/>
        <v>0</v>
      </c>
      <c r="F47" s="21">
        <f t="shared" si="6"/>
        <v>0</v>
      </c>
      <c r="G47" s="21">
        <f t="shared" si="7"/>
        <v>0</v>
      </c>
      <c r="H47" s="21">
        <f t="shared" si="8"/>
        <v>0</v>
      </c>
      <c r="I47" s="21">
        <f t="shared" si="9"/>
        <v>0</v>
      </c>
      <c r="J47" s="21">
        <f t="shared" si="10"/>
        <v>0</v>
      </c>
      <c r="K47" s="21">
        <f t="shared" si="11"/>
        <v>0</v>
      </c>
      <c r="L47" s="21">
        <f t="shared" si="12"/>
        <v>0</v>
      </c>
      <c r="M47" s="21">
        <f t="shared" si="13"/>
        <v>0</v>
      </c>
      <c r="N47" s="21">
        <f t="shared" si="14"/>
        <v>0</v>
      </c>
      <c r="O47" s="21">
        <f t="shared" si="15"/>
        <v>0</v>
      </c>
      <c r="P47" s="21">
        <f t="shared" si="16"/>
        <v>0</v>
      </c>
      <c r="Q47" s="21">
        <f t="shared" si="17"/>
        <v>0</v>
      </c>
      <c r="R47" s="21">
        <f t="shared" si="18"/>
        <v>0</v>
      </c>
      <c r="S47" s="21">
        <f t="shared" si="19"/>
        <v>0</v>
      </c>
      <c r="T47" s="21">
        <f t="shared" si="20"/>
        <v>0</v>
      </c>
      <c r="U47" s="21">
        <f t="shared" si="21"/>
        <v>0</v>
      </c>
      <c r="V47" s="21">
        <f t="shared" si="22"/>
        <v>0</v>
      </c>
      <c r="W47" s="21">
        <f t="shared" si="23"/>
        <v>0</v>
      </c>
      <c r="X47" s="21">
        <f t="shared" si="24"/>
        <v>0</v>
      </c>
      <c r="Y47" s="21">
        <f t="shared" si="25"/>
        <v>0</v>
      </c>
      <c r="Z47" s="20">
        <f t="shared" si="26"/>
        <v>0</v>
      </c>
      <c r="AA47" s="21">
        <f t="shared" si="27"/>
        <v>0</v>
      </c>
    </row>
    <row r="48" spans="1:27" x14ac:dyDescent="0.3">
      <c r="A48" s="16">
        <v>2</v>
      </c>
      <c r="B48" s="16">
        <f t="shared" si="2"/>
        <v>2028</v>
      </c>
      <c r="C48" s="16">
        <f t="shared" si="3"/>
        <v>0</v>
      </c>
      <c r="D48" s="16">
        <f t="shared" si="4"/>
        <v>0</v>
      </c>
      <c r="E48" s="16">
        <f t="shared" si="5"/>
        <v>0</v>
      </c>
      <c r="F48" s="21">
        <f t="shared" si="6"/>
        <v>0</v>
      </c>
      <c r="G48" s="21">
        <f t="shared" si="7"/>
        <v>0</v>
      </c>
      <c r="H48" s="21">
        <f t="shared" si="8"/>
        <v>0</v>
      </c>
      <c r="I48" s="21">
        <f t="shared" si="9"/>
        <v>0</v>
      </c>
      <c r="J48" s="21">
        <f t="shared" si="10"/>
        <v>0</v>
      </c>
      <c r="K48" s="21">
        <f t="shared" si="11"/>
        <v>0</v>
      </c>
      <c r="L48" s="21">
        <f t="shared" si="12"/>
        <v>0</v>
      </c>
      <c r="M48" s="21">
        <f t="shared" si="13"/>
        <v>0</v>
      </c>
      <c r="N48" s="21">
        <f t="shared" si="14"/>
        <v>0</v>
      </c>
      <c r="O48" s="21">
        <f t="shared" si="15"/>
        <v>0</v>
      </c>
      <c r="P48" s="21">
        <f t="shared" si="16"/>
        <v>0</v>
      </c>
      <c r="Q48" s="21">
        <f t="shared" si="17"/>
        <v>0</v>
      </c>
      <c r="R48" s="21">
        <f t="shared" si="18"/>
        <v>0</v>
      </c>
      <c r="S48" s="21">
        <f t="shared" si="19"/>
        <v>0</v>
      </c>
      <c r="T48" s="21">
        <f t="shared" si="20"/>
        <v>0</v>
      </c>
      <c r="U48" s="21">
        <f t="shared" si="21"/>
        <v>0</v>
      </c>
      <c r="V48" s="21">
        <f t="shared" si="22"/>
        <v>0</v>
      </c>
      <c r="W48" s="21">
        <f t="shared" si="23"/>
        <v>0</v>
      </c>
      <c r="X48" s="21">
        <f t="shared" si="24"/>
        <v>0</v>
      </c>
      <c r="Y48" s="21">
        <f t="shared" si="25"/>
        <v>0</v>
      </c>
      <c r="Z48" s="20">
        <f t="shared" si="26"/>
        <v>0</v>
      </c>
      <c r="AA48" s="21">
        <f t="shared" si="27"/>
        <v>0</v>
      </c>
    </row>
    <row r="49" spans="1:27" x14ac:dyDescent="0.3">
      <c r="A49" s="16">
        <v>3</v>
      </c>
      <c r="B49" s="16">
        <f t="shared" si="2"/>
        <v>2029</v>
      </c>
      <c r="C49" s="16">
        <f t="shared" si="3"/>
        <v>0</v>
      </c>
      <c r="D49" s="16">
        <f t="shared" si="4"/>
        <v>0</v>
      </c>
      <c r="E49" s="16">
        <f t="shared" si="5"/>
        <v>0</v>
      </c>
      <c r="F49" s="21">
        <f t="shared" si="6"/>
        <v>0</v>
      </c>
      <c r="G49" s="21">
        <f t="shared" si="7"/>
        <v>0</v>
      </c>
      <c r="H49" s="21">
        <f t="shared" si="8"/>
        <v>0</v>
      </c>
      <c r="I49" s="21">
        <f t="shared" si="9"/>
        <v>0</v>
      </c>
      <c r="J49" s="21">
        <f t="shared" si="10"/>
        <v>0</v>
      </c>
      <c r="K49" s="21">
        <f t="shared" si="11"/>
        <v>0</v>
      </c>
      <c r="L49" s="21">
        <f t="shared" si="12"/>
        <v>0</v>
      </c>
      <c r="M49" s="21">
        <f t="shared" si="13"/>
        <v>0</v>
      </c>
      <c r="N49" s="21">
        <f t="shared" si="14"/>
        <v>0</v>
      </c>
      <c r="O49" s="21">
        <f t="shared" si="15"/>
        <v>0</v>
      </c>
      <c r="P49" s="21">
        <f t="shared" si="16"/>
        <v>0</v>
      </c>
      <c r="Q49" s="21">
        <f t="shared" si="17"/>
        <v>0</v>
      </c>
      <c r="R49" s="21">
        <f t="shared" si="18"/>
        <v>0</v>
      </c>
      <c r="S49" s="21">
        <f t="shared" si="19"/>
        <v>0</v>
      </c>
      <c r="T49" s="21">
        <f t="shared" si="20"/>
        <v>0</v>
      </c>
      <c r="U49" s="21">
        <f t="shared" si="21"/>
        <v>0</v>
      </c>
      <c r="V49" s="21">
        <f t="shared" si="22"/>
        <v>0</v>
      </c>
      <c r="W49" s="21">
        <f t="shared" si="23"/>
        <v>0</v>
      </c>
      <c r="X49" s="21">
        <f t="shared" si="24"/>
        <v>0</v>
      </c>
      <c r="Y49" s="21">
        <f t="shared" si="25"/>
        <v>0</v>
      </c>
      <c r="Z49" s="20">
        <f t="shared" si="26"/>
        <v>0</v>
      </c>
      <c r="AA49" s="21">
        <f t="shared" si="27"/>
        <v>0</v>
      </c>
    </row>
    <row r="50" spans="1:27" x14ac:dyDescent="0.3">
      <c r="A50" s="16">
        <v>4</v>
      </c>
      <c r="B50" s="16">
        <f t="shared" si="2"/>
        <v>2030</v>
      </c>
      <c r="C50" s="16">
        <f t="shared" si="3"/>
        <v>0</v>
      </c>
      <c r="D50" s="16">
        <f t="shared" si="4"/>
        <v>0</v>
      </c>
      <c r="E50" s="16">
        <f t="shared" si="5"/>
        <v>0</v>
      </c>
      <c r="F50" s="21">
        <f t="shared" si="6"/>
        <v>0</v>
      </c>
      <c r="G50" s="21">
        <f t="shared" si="7"/>
        <v>0</v>
      </c>
      <c r="H50" s="21">
        <f t="shared" si="8"/>
        <v>0</v>
      </c>
      <c r="I50" s="21">
        <f t="shared" si="9"/>
        <v>0</v>
      </c>
      <c r="J50" s="21">
        <f t="shared" si="10"/>
        <v>0</v>
      </c>
      <c r="K50" s="21">
        <f t="shared" si="11"/>
        <v>0</v>
      </c>
      <c r="L50" s="21">
        <f t="shared" si="12"/>
        <v>0</v>
      </c>
      <c r="M50" s="21">
        <f t="shared" si="13"/>
        <v>0</v>
      </c>
      <c r="N50" s="21">
        <f t="shared" si="14"/>
        <v>0</v>
      </c>
      <c r="O50" s="21">
        <f t="shared" si="15"/>
        <v>0</v>
      </c>
      <c r="P50" s="21">
        <f t="shared" si="16"/>
        <v>0</v>
      </c>
      <c r="Q50" s="21">
        <f t="shared" si="17"/>
        <v>0</v>
      </c>
      <c r="R50" s="21">
        <f t="shared" si="18"/>
        <v>0</v>
      </c>
      <c r="S50" s="21">
        <f t="shared" si="19"/>
        <v>0</v>
      </c>
      <c r="T50" s="21">
        <f t="shared" si="20"/>
        <v>0</v>
      </c>
      <c r="U50" s="21">
        <f t="shared" si="21"/>
        <v>0</v>
      </c>
      <c r="V50" s="21">
        <f t="shared" si="22"/>
        <v>0</v>
      </c>
      <c r="W50" s="21">
        <f t="shared" si="23"/>
        <v>0</v>
      </c>
      <c r="X50" s="21">
        <f t="shared" si="24"/>
        <v>0</v>
      </c>
      <c r="Y50" s="21">
        <f t="shared" si="25"/>
        <v>0</v>
      </c>
      <c r="Z50" s="20">
        <f t="shared" si="26"/>
        <v>0</v>
      </c>
      <c r="AA50" s="21">
        <f t="shared" si="27"/>
        <v>0</v>
      </c>
    </row>
    <row r="51" spans="1:27" x14ac:dyDescent="0.3">
      <c r="A51" s="16">
        <v>5</v>
      </c>
      <c r="B51" s="16">
        <f t="shared" si="2"/>
        <v>2031</v>
      </c>
      <c r="C51" s="16">
        <f t="shared" si="3"/>
        <v>0</v>
      </c>
      <c r="D51" s="16">
        <f t="shared" si="4"/>
        <v>0</v>
      </c>
      <c r="E51" s="16">
        <f t="shared" si="5"/>
        <v>0</v>
      </c>
      <c r="F51" s="21">
        <f t="shared" si="6"/>
        <v>0</v>
      </c>
      <c r="G51" s="21">
        <f t="shared" si="7"/>
        <v>0</v>
      </c>
      <c r="H51" s="21">
        <f t="shared" si="8"/>
        <v>0</v>
      </c>
      <c r="I51" s="21">
        <f t="shared" si="9"/>
        <v>0</v>
      </c>
      <c r="J51" s="21">
        <f t="shared" si="10"/>
        <v>0</v>
      </c>
      <c r="K51" s="21">
        <f t="shared" si="11"/>
        <v>0</v>
      </c>
      <c r="L51" s="21">
        <f t="shared" si="12"/>
        <v>0</v>
      </c>
      <c r="M51" s="21">
        <f t="shared" si="13"/>
        <v>0</v>
      </c>
      <c r="N51" s="21">
        <f t="shared" si="14"/>
        <v>0</v>
      </c>
      <c r="O51" s="21">
        <f t="shared" si="15"/>
        <v>0</v>
      </c>
      <c r="P51" s="21">
        <f t="shared" si="16"/>
        <v>0</v>
      </c>
      <c r="Q51" s="21">
        <f t="shared" si="17"/>
        <v>0</v>
      </c>
      <c r="R51" s="21">
        <f t="shared" si="18"/>
        <v>0</v>
      </c>
      <c r="S51" s="21">
        <f t="shared" si="19"/>
        <v>0</v>
      </c>
      <c r="T51" s="21">
        <f t="shared" si="20"/>
        <v>0</v>
      </c>
      <c r="U51" s="21">
        <f t="shared" si="21"/>
        <v>0</v>
      </c>
      <c r="V51" s="21">
        <f t="shared" si="22"/>
        <v>0</v>
      </c>
      <c r="W51" s="21">
        <f t="shared" si="23"/>
        <v>0</v>
      </c>
      <c r="X51" s="21">
        <f t="shared" si="24"/>
        <v>0</v>
      </c>
      <c r="Y51" s="21">
        <f t="shared" si="25"/>
        <v>0</v>
      </c>
      <c r="Z51" s="20">
        <f t="shared" si="26"/>
        <v>0</v>
      </c>
      <c r="AA51" s="21">
        <f t="shared" si="27"/>
        <v>0</v>
      </c>
    </row>
    <row r="52" spans="1:27" x14ac:dyDescent="0.3">
      <c r="A52" s="16">
        <v>6</v>
      </c>
      <c r="B52" s="16">
        <f t="shared" si="2"/>
        <v>2032</v>
      </c>
      <c r="C52" s="16">
        <f t="shared" si="3"/>
        <v>0</v>
      </c>
      <c r="D52" s="16">
        <f t="shared" si="4"/>
        <v>0</v>
      </c>
      <c r="E52" s="16">
        <f t="shared" si="5"/>
        <v>0</v>
      </c>
      <c r="F52" s="21">
        <f t="shared" si="6"/>
        <v>0</v>
      </c>
      <c r="G52" s="21">
        <f t="shared" si="7"/>
        <v>0</v>
      </c>
      <c r="H52" s="21">
        <f t="shared" si="8"/>
        <v>0</v>
      </c>
      <c r="I52" s="21">
        <f t="shared" si="9"/>
        <v>0</v>
      </c>
      <c r="J52" s="21">
        <f t="shared" si="10"/>
        <v>0</v>
      </c>
      <c r="K52" s="21">
        <f t="shared" si="11"/>
        <v>0</v>
      </c>
      <c r="L52" s="21">
        <f t="shared" si="12"/>
        <v>0</v>
      </c>
      <c r="M52" s="21">
        <f t="shared" si="13"/>
        <v>0</v>
      </c>
      <c r="N52" s="21">
        <f t="shared" si="14"/>
        <v>0</v>
      </c>
      <c r="O52" s="21">
        <f t="shared" si="15"/>
        <v>0</v>
      </c>
      <c r="P52" s="21">
        <f t="shared" si="16"/>
        <v>0</v>
      </c>
      <c r="Q52" s="21">
        <f t="shared" si="17"/>
        <v>0</v>
      </c>
      <c r="R52" s="21">
        <f t="shared" si="18"/>
        <v>0</v>
      </c>
      <c r="S52" s="21">
        <f t="shared" si="19"/>
        <v>0</v>
      </c>
      <c r="T52" s="21">
        <f t="shared" si="20"/>
        <v>0</v>
      </c>
      <c r="U52" s="21">
        <f t="shared" si="21"/>
        <v>0</v>
      </c>
      <c r="V52" s="21">
        <f t="shared" si="22"/>
        <v>0</v>
      </c>
      <c r="W52" s="21">
        <f t="shared" si="23"/>
        <v>0</v>
      </c>
      <c r="X52" s="21">
        <f t="shared" si="24"/>
        <v>0</v>
      </c>
      <c r="Y52" s="21">
        <f t="shared" si="25"/>
        <v>0</v>
      </c>
      <c r="Z52" s="20">
        <f t="shared" si="26"/>
        <v>0</v>
      </c>
      <c r="AA52" s="21">
        <f t="shared" si="27"/>
        <v>0</v>
      </c>
    </row>
    <row r="53" spans="1:27" x14ac:dyDescent="0.3">
      <c r="A53" s="16">
        <v>7</v>
      </c>
      <c r="B53" s="16">
        <f t="shared" si="2"/>
        <v>2033</v>
      </c>
      <c r="C53" s="16">
        <f t="shared" si="3"/>
        <v>0</v>
      </c>
      <c r="D53" s="16">
        <f t="shared" si="4"/>
        <v>0</v>
      </c>
      <c r="E53" s="16">
        <f t="shared" si="5"/>
        <v>0</v>
      </c>
      <c r="F53" s="21">
        <f t="shared" si="6"/>
        <v>0</v>
      </c>
      <c r="G53" s="21">
        <f t="shared" si="7"/>
        <v>0</v>
      </c>
      <c r="H53" s="21">
        <f t="shared" si="8"/>
        <v>0</v>
      </c>
      <c r="I53" s="21">
        <f t="shared" si="9"/>
        <v>0</v>
      </c>
      <c r="J53" s="21">
        <f t="shared" si="10"/>
        <v>0</v>
      </c>
      <c r="K53" s="21">
        <f t="shared" si="11"/>
        <v>0</v>
      </c>
      <c r="L53" s="21">
        <f t="shared" si="12"/>
        <v>0</v>
      </c>
      <c r="M53" s="21">
        <f t="shared" si="13"/>
        <v>0</v>
      </c>
      <c r="N53" s="21">
        <f t="shared" si="14"/>
        <v>0</v>
      </c>
      <c r="O53" s="21">
        <f t="shared" si="15"/>
        <v>0</v>
      </c>
      <c r="P53" s="21">
        <f t="shared" si="16"/>
        <v>0</v>
      </c>
      <c r="Q53" s="21">
        <f t="shared" si="17"/>
        <v>0</v>
      </c>
      <c r="R53" s="21">
        <f t="shared" si="18"/>
        <v>0</v>
      </c>
      <c r="S53" s="21">
        <f t="shared" si="19"/>
        <v>0</v>
      </c>
      <c r="T53" s="21">
        <f t="shared" si="20"/>
        <v>0</v>
      </c>
      <c r="U53" s="21">
        <f t="shared" si="21"/>
        <v>0</v>
      </c>
      <c r="V53" s="21">
        <f t="shared" si="22"/>
        <v>0</v>
      </c>
      <c r="W53" s="21">
        <f t="shared" si="23"/>
        <v>0</v>
      </c>
      <c r="X53" s="21">
        <f t="shared" si="24"/>
        <v>0</v>
      </c>
      <c r="Y53" s="21">
        <f t="shared" si="25"/>
        <v>0</v>
      </c>
      <c r="Z53" s="20">
        <f t="shared" si="26"/>
        <v>0</v>
      </c>
      <c r="AA53" s="21">
        <f t="shared" si="27"/>
        <v>0</v>
      </c>
    </row>
    <row r="54" spans="1:27" x14ac:dyDescent="0.3">
      <c r="A54" s="16">
        <v>8</v>
      </c>
      <c r="B54" s="16">
        <f t="shared" si="2"/>
        <v>2034</v>
      </c>
      <c r="C54" s="16">
        <f t="shared" si="3"/>
        <v>0</v>
      </c>
      <c r="D54" s="16">
        <f t="shared" si="4"/>
        <v>0</v>
      </c>
      <c r="E54" s="16">
        <f t="shared" si="5"/>
        <v>0</v>
      </c>
      <c r="F54" s="21">
        <f t="shared" si="6"/>
        <v>0</v>
      </c>
      <c r="G54" s="21">
        <f t="shared" si="7"/>
        <v>0</v>
      </c>
      <c r="H54" s="21">
        <f t="shared" si="8"/>
        <v>0</v>
      </c>
      <c r="I54" s="21">
        <f t="shared" si="9"/>
        <v>0</v>
      </c>
      <c r="J54" s="21">
        <f t="shared" si="10"/>
        <v>0</v>
      </c>
      <c r="K54" s="21">
        <f t="shared" si="11"/>
        <v>0</v>
      </c>
      <c r="L54" s="21">
        <f t="shared" si="12"/>
        <v>0</v>
      </c>
      <c r="M54" s="21">
        <f t="shared" si="13"/>
        <v>0</v>
      </c>
      <c r="N54" s="21">
        <f t="shared" si="14"/>
        <v>0</v>
      </c>
      <c r="O54" s="21">
        <f t="shared" si="15"/>
        <v>0</v>
      </c>
      <c r="P54" s="21">
        <f t="shared" si="16"/>
        <v>0</v>
      </c>
      <c r="Q54" s="21">
        <f t="shared" si="17"/>
        <v>0</v>
      </c>
      <c r="R54" s="21">
        <f t="shared" si="18"/>
        <v>0</v>
      </c>
      <c r="S54" s="21">
        <f t="shared" si="19"/>
        <v>0</v>
      </c>
      <c r="T54" s="21">
        <f t="shared" si="20"/>
        <v>0</v>
      </c>
      <c r="U54" s="21">
        <f t="shared" si="21"/>
        <v>0</v>
      </c>
      <c r="V54" s="21">
        <f t="shared" si="22"/>
        <v>0</v>
      </c>
      <c r="W54" s="21">
        <f t="shared" si="23"/>
        <v>0</v>
      </c>
      <c r="X54" s="21">
        <f t="shared" si="24"/>
        <v>0</v>
      </c>
      <c r="Y54" s="21">
        <f t="shared" si="25"/>
        <v>0</v>
      </c>
      <c r="Z54" s="20">
        <f t="shared" si="26"/>
        <v>0</v>
      </c>
      <c r="AA54" s="21">
        <f t="shared" si="27"/>
        <v>0</v>
      </c>
    </row>
    <row r="55" spans="1:27" x14ac:dyDescent="0.3">
      <c r="A55" s="16">
        <v>9</v>
      </c>
      <c r="B55" s="16">
        <f t="shared" si="2"/>
        <v>2035</v>
      </c>
      <c r="C55" s="16">
        <f t="shared" si="3"/>
        <v>0</v>
      </c>
      <c r="D55" s="16">
        <f t="shared" si="4"/>
        <v>0</v>
      </c>
      <c r="E55" s="16">
        <f t="shared" si="5"/>
        <v>0</v>
      </c>
      <c r="F55" s="21">
        <f t="shared" si="6"/>
        <v>0</v>
      </c>
      <c r="G55" s="21">
        <f t="shared" si="7"/>
        <v>0</v>
      </c>
      <c r="H55" s="21">
        <f t="shared" si="8"/>
        <v>0</v>
      </c>
      <c r="I55" s="21">
        <f t="shared" si="9"/>
        <v>0</v>
      </c>
      <c r="J55" s="21">
        <f t="shared" si="10"/>
        <v>0</v>
      </c>
      <c r="K55" s="21">
        <f t="shared" si="11"/>
        <v>0</v>
      </c>
      <c r="L55" s="21">
        <f t="shared" si="12"/>
        <v>0</v>
      </c>
      <c r="M55" s="21">
        <f t="shared" si="13"/>
        <v>0</v>
      </c>
      <c r="N55" s="21">
        <f t="shared" si="14"/>
        <v>0</v>
      </c>
      <c r="O55" s="21">
        <f t="shared" si="15"/>
        <v>0</v>
      </c>
      <c r="P55" s="21">
        <f t="shared" si="16"/>
        <v>0</v>
      </c>
      <c r="Q55" s="21">
        <f t="shared" si="17"/>
        <v>0</v>
      </c>
      <c r="R55" s="21">
        <f t="shared" si="18"/>
        <v>0</v>
      </c>
      <c r="S55" s="21">
        <f t="shared" si="19"/>
        <v>0</v>
      </c>
      <c r="T55" s="21">
        <f t="shared" si="20"/>
        <v>0</v>
      </c>
      <c r="U55" s="21">
        <f t="shared" si="21"/>
        <v>0</v>
      </c>
      <c r="V55" s="21">
        <f t="shared" si="22"/>
        <v>0</v>
      </c>
      <c r="W55" s="21">
        <f t="shared" si="23"/>
        <v>0</v>
      </c>
      <c r="X55" s="21">
        <f t="shared" si="24"/>
        <v>0</v>
      </c>
      <c r="Y55" s="21">
        <f t="shared" si="25"/>
        <v>0</v>
      </c>
      <c r="Z55" s="20">
        <f t="shared" si="26"/>
        <v>0</v>
      </c>
      <c r="AA55" s="21">
        <f t="shared" si="27"/>
        <v>0</v>
      </c>
    </row>
    <row r="56" spans="1:27" x14ac:dyDescent="0.3">
      <c r="A56" s="8" t="s">
        <v>76</v>
      </c>
      <c r="F56" s="20">
        <f t="shared" ref="F56:AA56" si="28">SUM(F46:F55)</f>
        <v>0</v>
      </c>
      <c r="G56" s="20">
        <f t="shared" si="28"/>
        <v>0</v>
      </c>
      <c r="H56" s="20">
        <f t="shared" si="28"/>
        <v>0</v>
      </c>
      <c r="I56" s="20">
        <f t="shared" si="28"/>
        <v>0</v>
      </c>
      <c r="J56" s="20">
        <f t="shared" si="28"/>
        <v>0</v>
      </c>
      <c r="K56" s="20">
        <f t="shared" si="28"/>
        <v>0</v>
      </c>
      <c r="L56" s="20">
        <f t="shared" si="28"/>
        <v>0</v>
      </c>
      <c r="M56" s="20">
        <f t="shared" si="28"/>
        <v>0</v>
      </c>
      <c r="N56" s="20">
        <f t="shared" si="28"/>
        <v>0</v>
      </c>
      <c r="O56" s="20">
        <f t="shared" si="28"/>
        <v>0</v>
      </c>
      <c r="P56" s="20">
        <f t="shared" si="28"/>
        <v>0</v>
      </c>
      <c r="Q56" s="20">
        <f t="shared" si="28"/>
        <v>0</v>
      </c>
      <c r="R56" s="20">
        <f t="shared" si="28"/>
        <v>0</v>
      </c>
      <c r="S56" s="20">
        <f t="shared" si="28"/>
        <v>0</v>
      </c>
      <c r="T56" s="20">
        <f t="shared" si="28"/>
        <v>0</v>
      </c>
      <c r="U56" s="20">
        <f t="shared" si="28"/>
        <v>0</v>
      </c>
      <c r="V56" s="20">
        <f t="shared" si="28"/>
        <v>0</v>
      </c>
      <c r="W56" s="20">
        <f t="shared" si="28"/>
        <v>0</v>
      </c>
      <c r="X56" s="20">
        <f t="shared" si="28"/>
        <v>0</v>
      </c>
      <c r="Y56" s="20">
        <f t="shared" si="28"/>
        <v>0</v>
      </c>
      <c r="Z56" s="20">
        <f t="shared" si="28"/>
        <v>0</v>
      </c>
      <c r="AA56" s="20">
        <f t="shared" si="28"/>
        <v>0</v>
      </c>
    </row>
    <row r="58" spans="1:27" x14ac:dyDescent="0.3">
      <c r="A58" s="8" t="s">
        <v>161</v>
      </c>
      <c r="B58" s="26">
        <f>$Z$56</f>
        <v>0</v>
      </c>
    </row>
    <row r="59" spans="1:27" x14ac:dyDescent="0.3">
      <c r="A59" s="16" t="s">
        <v>14</v>
      </c>
      <c r="B59" s="21">
        <f>$AA$56-$Z$56</f>
        <v>0</v>
      </c>
    </row>
    <row r="60" spans="1:27" x14ac:dyDescent="0.3">
      <c r="A60" s="16" t="s">
        <v>162</v>
      </c>
      <c r="B60" s="16" t="str">
        <f>IF(OR($F$32="missing",AND($B$15&gt;0,$F$42="missing")),"missing",IF(OR($F$32="estimated",AND($B$15&gt;0,$F$42="estimated")),"estimated",IF($B$15&gt;0,$F$42,$F$32)))</f>
        <v>missing</v>
      </c>
    </row>
    <row r="61" spans="1:27" x14ac:dyDescent="0.3">
      <c r="A61" s="16" t="s">
        <v>163</v>
      </c>
      <c r="B61" s="16">
        <f>IF(OR($F$32="missing",AND($B$15&gt;0,$F$42="missing"),$F$33="missing"),1,0)</f>
        <v>1</v>
      </c>
    </row>
    <row r="63" spans="1:27" ht="15.6" x14ac:dyDescent="0.3">
      <c r="A63" s="7" t="s">
        <v>164</v>
      </c>
    </row>
    <row r="64" spans="1:27" ht="39.6" x14ac:dyDescent="0.3">
      <c r="A64" s="22" t="s">
        <v>165</v>
      </c>
      <c r="B64" s="22" t="s">
        <v>146</v>
      </c>
      <c r="C64" s="22" t="s">
        <v>166</v>
      </c>
      <c r="D64" s="22" t="s">
        <v>83</v>
      </c>
      <c r="E64" s="22" t="s">
        <v>167</v>
      </c>
      <c r="F64" s="22" t="s">
        <v>168</v>
      </c>
      <c r="G64" s="22" t="s">
        <v>169</v>
      </c>
      <c r="H64" s="22" t="s">
        <v>170</v>
      </c>
      <c r="I64" s="22" t="s">
        <v>171</v>
      </c>
      <c r="J64" s="22" t="s">
        <v>172</v>
      </c>
      <c r="K64" s="22" t="s">
        <v>173</v>
      </c>
      <c r="L64" s="22" t="s">
        <v>174</v>
      </c>
      <c r="M64" s="22" t="s">
        <v>80</v>
      </c>
      <c r="N64" s="22" t="s">
        <v>81</v>
      </c>
      <c r="O64" s="22" t="s">
        <v>82</v>
      </c>
      <c r="P64" s="22" t="s">
        <v>84</v>
      </c>
      <c r="Q64" s="22" t="s">
        <v>175</v>
      </c>
    </row>
    <row r="65" spans="1:17" x14ac:dyDescent="0.3">
      <c r="A65" s="16">
        <v>1</v>
      </c>
      <c r="B65" s="16">
        <f t="shared" ref="B65:B96" si="29">PlanYear+A65-1</f>
        <v>2026</v>
      </c>
      <c r="C65" s="16">
        <f t="shared" ref="C65:C96" si="30">A65-1-$B$18</f>
        <v>0</v>
      </c>
      <c r="D65" s="21">
        <f t="shared" ref="D65:D96" si="31">IF(AND($B$22=1,C65&gt;=0,C65&lt;$B$19),INDEX($Z$46:$Z$55,C65+1),0)</f>
        <v>0</v>
      </c>
      <c r="E65" s="27">
        <f t="shared" ref="E65:E96" si="32">IF(AND($B$22=1,A65&lt;=$B$21),(1+SavInc)^(A65-1),0)</f>
        <v>0</v>
      </c>
      <c r="F65" s="27">
        <f t="shared" ref="F65:F96" si="33">(1+ReturnRate)^(A65-1)</f>
        <v>1</v>
      </c>
      <c r="G65" s="21">
        <f>-D65</f>
        <v>0</v>
      </c>
      <c r="H65" s="27">
        <f>0</f>
        <v>0</v>
      </c>
      <c r="I65" s="21">
        <f t="shared" ref="I65:I96" si="34">G65*(1+ReturnRate)</f>
        <v>0</v>
      </c>
      <c r="J65" s="27">
        <f t="shared" ref="J65:J96" si="35">H65*(1+ReturnRate)+E65</f>
        <v>0</v>
      </c>
      <c r="K65" s="21">
        <f t="shared" ref="K65:K96" si="36">IF(AND(D65&gt;0,H65&lt;=0.000000000001,G65&lt;0),-G65/F65,0)</f>
        <v>0</v>
      </c>
      <c r="L65" s="21">
        <f t="shared" ref="L65:L96" si="37">IF(AND(D65&gt;0,H65&gt;0.000000000001),-(G65+$B$126*F65)/H65,0)</f>
        <v>0</v>
      </c>
      <c r="M65" s="21">
        <f>$B$126</f>
        <v>0</v>
      </c>
      <c r="N65" s="21">
        <f t="shared" ref="N65:N96" si="38">E65*$B$127</f>
        <v>0</v>
      </c>
      <c r="O65" s="21">
        <f t="shared" ref="O65:O96" si="39">IF(AND($B$22=1,A65&lt;=$B$20),(M65-D65)*ReturnRate,0)</f>
        <v>0</v>
      </c>
      <c r="P65" s="21">
        <f t="shared" ref="P65:P96" si="40">M65-D65+O65+N65</f>
        <v>0</v>
      </c>
      <c r="Q65" s="16">
        <f t="shared" ref="Q65:Q96" si="41">IF(AND($B$22=1,C65&gt;=0,C65&lt;$B$19),1,0)</f>
        <v>0</v>
      </c>
    </row>
    <row r="66" spans="1:17" x14ac:dyDescent="0.3">
      <c r="A66" s="16">
        <v>2</v>
      </c>
      <c r="B66" s="16">
        <f t="shared" si="29"/>
        <v>2027</v>
      </c>
      <c r="C66" s="16">
        <f t="shared" si="30"/>
        <v>1</v>
      </c>
      <c r="D66" s="21">
        <f t="shared" si="31"/>
        <v>0</v>
      </c>
      <c r="E66" s="27">
        <f t="shared" si="32"/>
        <v>0</v>
      </c>
      <c r="F66" s="27">
        <f t="shared" si="33"/>
        <v>1.06</v>
      </c>
      <c r="G66" s="21">
        <f t="shared" ref="G66:G97" si="42">I65-D66</f>
        <v>0</v>
      </c>
      <c r="H66" s="27">
        <f t="shared" ref="H66:H97" si="43">J65</f>
        <v>0</v>
      </c>
      <c r="I66" s="21">
        <f t="shared" si="34"/>
        <v>0</v>
      </c>
      <c r="J66" s="27">
        <f t="shared" si="35"/>
        <v>0</v>
      </c>
      <c r="K66" s="21">
        <f t="shared" si="36"/>
        <v>0</v>
      </c>
      <c r="L66" s="21">
        <f t="shared" si="37"/>
        <v>0</v>
      </c>
      <c r="M66" s="21">
        <f t="shared" ref="M66:M97" si="44">P65</f>
        <v>0</v>
      </c>
      <c r="N66" s="21">
        <f t="shared" si="38"/>
        <v>0</v>
      </c>
      <c r="O66" s="21">
        <f t="shared" si="39"/>
        <v>0</v>
      </c>
      <c r="P66" s="21">
        <f t="shared" si="40"/>
        <v>0</v>
      </c>
      <c r="Q66" s="16">
        <f t="shared" si="41"/>
        <v>0</v>
      </c>
    </row>
    <row r="67" spans="1:17" x14ac:dyDescent="0.3">
      <c r="A67" s="16">
        <v>3</v>
      </c>
      <c r="B67" s="16">
        <f t="shared" si="29"/>
        <v>2028</v>
      </c>
      <c r="C67" s="16">
        <f t="shared" si="30"/>
        <v>2</v>
      </c>
      <c r="D67" s="21">
        <f t="shared" si="31"/>
        <v>0</v>
      </c>
      <c r="E67" s="27">
        <f t="shared" si="32"/>
        <v>0</v>
      </c>
      <c r="F67" s="27">
        <f t="shared" si="33"/>
        <v>1.1236000000000002</v>
      </c>
      <c r="G67" s="21">
        <f t="shared" si="42"/>
        <v>0</v>
      </c>
      <c r="H67" s="27">
        <f t="shared" si="43"/>
        <v>0</v>
      </c>
      <c r="I67" s="21">
        <f t="shared" si="34"/>
        <v>0</v>
      </c>
      <c r="J67" s="27">
        <f t="shared" si="35"/>
        <v>0</v>
      </c>
      <c r="K67" s="21">
        <f t="shared" si="36"/>
        <v>0</v>
      </c>
      <c r="L67" s="21">
        <f t="shared" si="37"/>
        <v>0</v>
      </c>
      <c r="M67" s="21">
        <f t="shared" si="44"/>
        <v>0</v>
      </c>
      <c r="N67" s="21">
        <f t="shared" si="38"/>
        <v>0</v>
      </c>
      <c r="O67" s="21">
        <f t="shared" si="39"/>
        <v>0</v>
      </c>
      <c r="P67" s="21">
        <f t="shared" si="40"/>
        <v>0</v>
      </c>
      <c r="Q67" s="16">
        <f t="shared" si="41"/>
        <v>0</v>
      </c>
    </row>
    <row r="68" spans="1:17" x14ac:dyDescent="0.3">
      <c r="A68" s="16">
        <v>4</v>
      </c>
      <c r="B68" s="16">
        <f t="shared" si="29"/>
        <v>2029</v>
      </c>
      <c r="C68" s="16">
        <f t="shared" si="30"/>
        <v>3</v>
      </c>
      <c r="D68" s="21">
        <f t="shared" si="31"/>
        <v>0</v>
      </c>
      <c r="E68" s="27">
        <f t="shared" si="32"/>
        <v>0</v>
      </c>
      <c r="F68" s="27">
        <f t="shared" si="33"/>
        <v>1.1910160000000003</v>
      </c>
      <c r="G68" s="21">
        <f t="shared" si="42"/>
        <v>0</v>
      </c>
      <c r="H68" s="27">
        <f t="shared" si="43"/>
        <v>0</v>
      </c>
      <c r="I68" s="21">
        <f t="shared" si="34"/>
        <v>0</v>
      </c>
      <c r="J68" s="27">
        <f t="shared" si="35"/>
        <v>0</v>
      </c>
      <c r="K68" s="21">
        <f t="shared" si="36"/>
        <v>0</v>
      </c>
      <c r="L68" s="21">
        <f t="shared" si="37"/>
        <v>0</v>
      </c>
      <c r="M68" s="21">
        <f t="shared" si="44"/>
        <v>0</v>
      </c>
      <c r="N68" s="21">
        <f t="shared" si="38"/>
        <v>0</v>
      </c>
      <c r="O68" s="21">
        <f t="shared" si="39"/>
        <v>0</v>
      </c>
      <c r="P68" s="21">
        <f t="shared" si="40"/>
        <v>0</v>
      </c>
      <c r="Q68" s="16">
        <f t="shared" si="41"/>
        <v>0</v>
      </c>
    </row>
    <row r="69" spans="1:17" x14ac:dyDescent="0.3">
      <c r="A69" s="16">
        <v>5</v>
      </c>
      <c r="B69" s="16">
        <f t="shared" si="29"/>
        <v>2030</v>
      </c>
      <c r="C69" s="16">
        <f t="shared" si="30"/>
        <v>4</v>
      </c>
      <c r="D69" s="21">
        <f t="shared" si="31"/>
        <v>0</v>
      </c>
      <c r="E69" s="27">
        <f t="shared" si="32"/>
        <v>0</v>
      </c>
      <c r="F69" s="27">
        <f t="shared" si="33"/>
        <v>1.2624769600000003</v>
      </c>
      <c r="G69" s="21">
        <f t="shared" si="42"/>
        <v>0</v>
      </c>
      <c r="H69" s="27">
        <f t="shared" si="43"/>
        <v>0</v>
      </c>
      <c r="I69" s="21">
        <f t="shared" si="34"/>
        <v>0</v>
      </c>
      <c r="J69" s="27">
        <f t="shared" si="35"/>
        <v>0</v>
      </c>
      <c r="K69" s="21">
        <f t="shared" si="36"/>
        <v>0</v>
      </c>
      <c r="L69" s="21">
        <f t="shared" si="37"/>
        <v>0</v>
      </c>
      <c r="M69" s="21">
        <f t="shared" si="44"/>
        <v>0</v>
      </c>
      <c r="N69" s="21">
        <f t="shared" si="38"/>
        <v>0</v>
      </c>
      <c r="O69" s="21">
        <f t="shared" si="39"/>
        <v>0</v>
      </c>
      <c r="P69" s="21">
        <f t="shared" si="40"/>
        <v>0</v>
      </c>
      <c r="Q69" s="16">
        <f t="shared" si="41"/>
        <v>0</v>
      </c>
    </row>
    <row r="70" spans="1:17" x14ac:dyDescent="0.3">
      <c r="A70" s="16">
        <v>6</v>
      </c>
      <c r="B70" s="16">
        <f t="shared" si="29"/>
        <v>2031</v>
      </c>
      <c r="C70" s="16">
        <f t="shared" si="30"/>
        <v>5</v>
      </c>
      <c r="D70" s="21">
        <f t="shared" si="31"/>
        <v>0</v>
      </c>
      <c r="E70" s="27">
        <f t="shared" si="32"/>
        <v>0</v>
      </c>
      <c r="F70" s="27">
        <f t="shared" si="33"/>
        <v>1.3382255776000005</v>
      </c>
      <c r="G70" s="21">
        <f t="shared" si="42"/>
        <v>0</v>
      </c>
      <c r="H70" s="27">
        <f t="shared" si="43"/>
        <v>0</v>
      </c>
      <c r="I70" s="21">
        <f t="shared" si="34"/>
        <v>0</v>
      </c>
      <c r="J70" s="27">
        <f t="shared" si="35"/>
        <v>0</v>
      </c>
      <c r="K70" s="21">
        <f t="shared" si="36"/>
        <v>0</v>
      </c>
      <c r="L70" s="21">
        <f t="shared" si="37"/>
        <v>0</v>
      </c>
      <c r="M70" s="21">
        <f t="shared" si="44"/>
        <v>0</v>
      </c>
      <c r="N70" s="21">
        <f t="shared" si="38"/>
        <v>0</v>
      </c>
      <c r="O70" s="21">
        <f t="shared" si="39"/>
        <v>0</v>
      </c>
      <c r="P70" s="21">
        <f t="shared" si="40"/>
        <v>0</v>
      </c>
      <c r="Q70" s="16">
        <f t="shared" si="41"/>
        <v>0</v>
      </c>
    </row>
    <row r="71" spans="1:17" x14ac:dyDescent="0.3">
      <c r="A71" s="16">
        <v>7</v>
      </c>
      <c r="B71" s="16">
        <f t="shared" si="29"/>
        <v>2032</v>
      </c>
      <c r="C71" s="16">
        <f t="shared" si="30"/>
        <v>6</v>
      </c>
      <c r="D71" s="21">
        <f t="shared" si="31"/>
        <v>0</v>
      </c>
      <c r="E71" s="27">
        <f t="shared" si="32"/>
        <v>0</v>
      </c>
      <c r="F71" s="27">
        <f t="shared" si="33"/>
        <v>1.4185191122560006</v>
      </c>
      <c r="G71" s="21">
        <f t="shared" si="42"/>
        <v>0</v>
      </c>
      <c r="H71" s="27">
        <f t="shared" si="43"/>
        <v>0</v>
      </c>
      <c r="I71" s="21">
        <f t="shared" si="34"/>
        <v>0</v>
      </c>
      <c r="J71" s="27">
        <f t="shared" si="35"/>
        <v>0</v>
      </c>
      <c r="K71" s="21">
        <f t="shared" si="36"/>
        <v>0</v>
      </c>
      <c r="L71" s="21">
        <f t="shared" si="37"/>
        <v>0</v>
      </c>
      <c r="M71" s="21">
        <f t="shared" si="44"/>
        <v>0</v>
      </c>
      <c r="N71" s="21">
        <f t="shared" si="38"/>
        <v>0</v>
      </c>
      <c r="O71" s="21">
        <f t="shared" si="39"/>
        <v>0</v>
      </c>
      <c r="P71" s="21">
        <f t="shared" si="40"/>
        <v>0</v>
      </c>
      <c r="Q71" s="16">
        <f t="shared" si="41"/>
        <v>0</v>
      </c>
    </row>
    <row r="72" spans="1:17" x14ac:dyDescent="0.3">
      <c r="A72" s="16">
        <v>8</v>
      </c>
      <c r="B72" s="16">
        <f t="shared" si="29"/>
        <v>2033</v>
      </c>
      <c r="C72" s="16">
        <f t="shared" si="30"/>
        <v>7</v>
      </c>
      <c r="D72" s="21">
        <f t="shared" si="31"/>
        <v>0</v>
      </c>
      <c r="E72" s="27">
        <f t="shared" si="32"/>
        <v>0</v>
      </c>
      <c r="F72" s="27">
        <f t="shared" si="33"/>
        <v>1.5036302589913608</v>
      </c>
      <c r="G72" s="21">
        <f t="shared" si="42"/>
        <v>0</v>
      </c>
      <c r="H72" s="27">
        <f t="shared" si="43"/>
        <v>0</v>
      </c>
      <c r="I72" s="21">
        <f t="shared" si="34"/>
        <v>0</v>
      </c>
      <c r="J72" s="27">
        <f t="shared" si="35"/>
        <v>0</v>
      </c>
      <c r="K72" s="21">
        <f t="shared" si="36"/>
        <v>0</v>
      </c>
      <c r="L72" s="21">
        <f t="shared" si="37"/>
        <v>0</v>
      </c>
      <c r="M72" s="21">
        <f t="shared" si="44"/>
        <v>0</v>
      </c>
      <c r="N72" s="21">
        <f t="shared" si="38"/>
        <v>0</v>
      </c>
      <c r="O72" s="21">
        <f t="shared" si="39"/>
        <v>0</v>
      </c>
      <c r="P72" s="21">
        <f t="shared" si="40"/>
        <v>0</v>
      </c>
      <c r="Q72" s="16">
        <f t="shared" si="41"/>
        <v>0</v>
      </c>
    </row>
    <row r="73" spans="1:17" x14ac:dyDescent="0.3">
      <c r="A73" s="16">
        <v>9</v>
      </c>
      <c r="B73" s="16">
        <f t="shared" si="29"/>
        <v>2034</v>
      </c>
      <c r="C73" s="16">
        <f t="shared" si="30"/>
        <v>8</v>
      </c>
      <c r="D73" s="21">
        <f t="shared" si="31"/>
        <v>0</v>
      </c>
      <c r="E73" s="27">
        <f t="shared" si="32"/>
        <v>0</v>
      </c>
      <c r="F73" s="27">
        <f t="shared" si="33"/>
        <v>1.5938480745308423</v>
      </c>
      <c r="G73" s="21">
        <f t="shared" si="42"/>
        <v>0</v>
      </c>
      <c r="H73" s="27">
        <f t="shared" si="43"/>
        <v>0</v>
      </c>
      <c r="I73" s="21">
        <f t="shared" si="34"/>
        <v>0</v>
      </c>
      <c r="J73" s="27">
        <f t="shared" si="35"/>
        <v>0</v>
      </c>
      <c r="K73" s="21">
        <f t="shared" si="36"/>
        <v>0</v>
      </c>
      <c r="L73" s="21">
        <f t="shared" si="37"/>
        <v>0</v>
      </c>
      <c r="M73" s="21">
        <f t="shared" si="44"/>
        <v>0</v>
      </c>
      <c r="N73" s="21">
        <f t="shared" si="38"/>
        <v>0</v>
      </c>
      <c r="O73" s="21">
        <f t="shared" si="39"/>
        <v>0</v>
      </c>
      <c r="P73" s="21">
        <f t="shared" si="40"/>
        <v>0</v>
      </c>
      <c r="Q73" s="16">
        <f t="shared" si="41"/>
        <v>0</v>
      </c>
    </row>
    <row r="74" spans="1:17" x14ac:dyDescent="0.3">
      <c r="A74" s="16">
        <v>10</v>
      </c>
      <c r="B74" s="16">
        <f t="shared" si="29"/>
        <v>2035</v>
      </c>
      <c r="C74" s="16">
        <f t="shared" si="30"/>
        <v>9</v>
      </c>
      <c r="D74" s="21">
        <f t="shared" si="31"/>
        <v>0</v>
      </c>
      <c r="E74" s="27">
        <f t="shared" si="32"/>
        <v>0</v>
      </c>
      <c r="F74" s="27">
        <f t="shared" si="33"/>
        <v>1.6894789590026928</v>
      </c>
      <c r="G74" s="21">
        <f t="shared" si="42"/>
        <v>0</v>
      </c>
      <c r="H74" s="27">
        <f t="shared" si="43"/>
        <v>0</v>
      </c>
      <c r="I74" s="21">
        <f t="shared" si="34"/>
        <v>0</v>
      </c>
      <c r="J74" s="27">
        <f t="shared" si="35"/>
        <v>0</v>
      </c>
      <c r="K74" s="21">
        <f t="shared" si="36"/>
        <v>0</v>
      </c>
      <c r="L74" s="21">
        <f t="shared" si="37"/>
        <v>0</v>
      </c>
      <c r="M74" s="21">
        <f t="shared" si="44"/>
        <v>0</v>
      </c>
      <c r="N74" s="21">
        <f t="shared" si="38"/>
        <v>0</v>
      </c>
      <c r="O74" s="21">
        <f t="shared" si="39"/>
        <v>0</v>
      </c>
      <c r="P74" s="21">
        <f t="shared" si="40"/>
        <v>0</v>
      </c>
      <c r="Q74" s="16">
        <f t="shared" si="41"/>
        <v>0</v>
      </c>
    </row>
    <row r="75" spans="1:17" x14ac:dyDescent="0.3">
      <c r="A75" s="16">
        <v>11</v>
      </c>
      <c r="B75" s="16">
        <f t="shared" si="29"/>
        <v>2036</v>
      </c>
      <c r="C75" s="16">
        <f t="shared" si="30"/>
        <v>10</v>
      </c>
      <c r="D75" s="21">
        <f t="shared" si="31"/>
        <v>0</v>
      </c>
      <c r="E75" s="27">
        <f t="shared" si="32"/>
        <v>0</v>
      </c>
      <c r="F75" s="27">
        <f t="shared" si="33"/>
        <v>1.7908476965428546</v>
      </c>
      <c r="G75" s="21">
        <f t="shared" si="42"/>
        <v>0</v>
      </c>
      <c r="H75" s="27">
        <f t="shared" si="43"/>
        <v>0</v>
      </c>
      <c r="I75" s="21">
        <f t="shared" si="34"/>
        <v>0</v>
      </c>
      <c r="J75" s="27">
        <f t="shared" si="35"/>
        <v>0</v>
      </c>
      <c r="K75" s="21">
        <f t="shared" si="36"/>
        <v>0</v>
      </c>
      <c r="L75" s="21">
        <f t="shared" si="37"/>
        <v>0</v>
      </c>
      <c r="M75" s="21">
        <f t="shared" si="44"/>
        <v>0</v>
      </c>
      <c r="N75" s="21">
        <f t="shared" si="38"/>
        <v>0</v>
      </c>
      <c r="O75" s="21">
        <f t="shared" si="39"/>
        <v>0</v>
      </c>
      <c r="P75" s="21">
        <f t="shared" si="40"/>
        <v>0</v>
      </c>
      <c r="Q75" s="16">
        <f t="shared" si="41"/>
        <v>0</v>
      </c>
    </row>
    <row r="76" spans="1:17" x14ac:dyDescent="0.3">
      <c r="A76" s="16">
        <v>12</v>
      </c>
      <c r="B76" s="16">
        <f t="shared" si="29"/>
        <v>2037</v>
      </c>
      <c r="C76" s="16">
        <f t="shared" si="30"/>
        <v>11</v>
      </c>
      <c r="D76" s="21">
        <f t="shared" si="31"/>
        <v>0</v>
      </c>
      <c r="E76" s="27">
        <f t="shared" si="32"/>
        <v>0</v>
      </c>
      <c r="F76" s="27">
        <f t="shared" si="33"/>
        <v>1.8982985583354262</v>
      </c>
      <c r="G76" s="21">
        <f t="shared" si="42"/>
        <v>0</v>
      </c>
      <c r="H76" s="27">
        <f t="shared" si="43"/>
        <v>0</v>
      </c>
      <c r="I76" s="21">
        <f t="shared" si="34"/>
        <v>0</v>
      </c>
      <c r="J76" s="27">
        <f t="shared" si="35"/>
        <v>0</v>
      </c>
      <c r="K76" s="21">
        <f t="shared" si="36"/>
        <v>0</v>
      </c>
      <c r="L76" s="21">
        <f t="shared" si="37"/>
        <v>0</v>
      </c>
      <c r="M76" s="21">
        <f t="shared" si="44"/>
        <v>0</v>
      </c>
      <c r="N76" s="21">
        <f t="shared" si="38"/>
        <v>0</v>
      </c>
      <c r="O76" s="21">
        <f t="shared" si="39"/>
        <v>0</v>
      </c>
      <c r="P76" s="21">
        <f t="shared" si="40"/>
        <v>0</v>
      </c>
      <c r="Q76" s="16">
        <f t="shared" si="41"/>
        <v>0</v>
      </c>
    </row>
    <row r="77" spans="1:17" x14ac:dyDescent="0.3">
      <c r="A77" s="16">
        <v>13</v>
      </c>
      <c r="B77" s="16">
        <f t="shared" si="29"/>
        <v>2038</v>
      </c>
      <c r="C77" s="16">
        <f t="shared" si="30"/>
        <v>12</v>
      </c>
      <c r="D77" s="21">
        <f t="shared" si="31"/>
        <v>0</v>
      </c>
      <c r="E77" s="27">
        <f t="shared" si="32"/>
        <v>0</v>
      </c>
      <c r="F77" s="27">
        <f t="shared" si="33"/>
        <v>2.0121964718355518</v>
      </c>
      <c r="G77" s="21">
        <f t="shared" si="42"/>
        <v>0</v>
      </c>
      <c r="H77" s="27">
        <f t="shared" si="43"/>
        <v>0</v>
      </c>
      <c r="I77" s="21">
        <f t="shared" si="34"/>
        <v>0</v>
      </c>
      <c r="J77" s="27">
        <f t="shared" si="35"/>
        <v>0</v>
      </c>
      <c r="K77" s="21">
        <f t="shared" si="36"/>
        <v>0</v>
      </c>
      <c r="L77" s="21">
        <f t="shared" si="37"/>
        <v>0</v>
      </c>
      <c r="M77" s="21">
        <f t="shared" si="44"/>
        <v>0</v>
      </c>
      <c r="N77" s="21">
        <f t="shared" si="38"/>
        <v>0</v>
      </c>
      <c r="O77" s="21">
        <f t="shared" si="39"/>
        <v>0</v>
      </c>
      <c r="P77" s="21">
        <f t="shared" si="40"/>
        <v>0</v>
      </c>
      <c r="Q77" s="16">
        <f t="shared" si="41"/>
        <v>0</v>
      </c>
    </row>
    <row r="78" spans="1:17" x14ac:dyDescent="0.3">
      <c r="A78" s="16">
        <v>14</v>
      </c>
      <c r="B78" s="16">
        <f t="shared" si="29"/>
        <v>2039</v>
      </c>
      <c r="C78" s="16">
        <f t="shared" si="30"/>
        <v>13</v>
      </c>
      <c r="D78" s="21">
        <f t="shared" si="31"/>
        <v>0</v>
      </c>
      <c r="E78" s="27">
        <f t="shared" si="32"/>
        <v>0</v>
      </c>
      <c r="F78" s="27">
        <f t="shared" si="33"/>
        <v>2.1329282601456852</v>
      </c>
      <c r="G78" s="21">
        <f t="shared" si="42"/>
        <v>0</v>
      </c>
      <c r="H78" s="27">
        <f t="shared" si="43"/>
        <v>0</v>
      </c>
      <c r="I78" s="21">
        <f t="shared" si="34"/>
        <v>0</v>
      </c>
      <c r="J78" s="27">
        <f t="shared" si="35"/>
        <v>0</v>
      </c>
      <c r="K78" s="21">
        <f t="shared" si="36"/>
        <v>0</v>
      </c>
      <c r="L78" s="21">
        <f t="shared" si="37"/>
        <v>0</v>
      </c>
      <c r="M78" s="21">
        <f t="shared" si="44"/>
        <v>0</v>
      </c>
      <c r="N78" s="21">
        <f t="shared" si="38"/>
        <v>0</v>
      </c>
      <c r="O78" s="21">
        <f t="shared" si="39"/>
        <v>0</v>
      </c>
      <c r="P78" s="21">
        <f t="shared" si="40"/>
        <v>0</v>
      </c>
      <c r="Q78" s="16">
        <f t="shared" si="41"/>
        <v>0</v>
      </c>
    </row>
    <row r="79" spans="1:17" x14ac:dyDescent="0.3">
      <c r="A79" s="16">
        <v>15</v>
      </c>
      <c r="B79" s="16">
        <f t="shared" si="29"/>
        <v>2040</v>
      </c>
      <c r="C79" s="16">
        <f t="shared" si="30"/>
        <v>14</v>
      </c>
      <c r="D79" s="21">
        <f t="shared" si="31"/>
        <v>0</v>
      </c>
      <c r="E79" s="27">
        <f t="shared" si="32"/>
        <v>0</v>
      </c>
      <c r="F79" s="27">
        <f t="shared" si="33"/>
        <v>2.2609039557544262</v>
      </c>
      <c r="G79" s="21">
        <f t="shared" si="42"/>
        <v>0</v>
      </c>
      <c r="H79" s="27">
        <f t="shared" si="43"/>
        <v>0</v>
      </c>
      <c r="I79" s="21">
        <f t="shared" si="34"/>
        <v>0</v>
      </c>
      <c r="J79" s="27">
        <f t="shared" si="35"/>
        <v>0</v>
      </c>
      <c r="K79" s="21">
        <f t="shared" si="36"/>
        <v>0</v>
      </c>
      <c r="L79" s="21">
        <f t="shared" si="37"/>
        <v>0</v>
      </c>
      <c r="M79" s="21">
        <f t="shared" si="44"/>
        <v>0</v>
      </c>
      <c r="N79" s="21">
        <f t="shared" si="38"/>
        <v>0</v>
      </c>
      <c r="O79" s="21">
        <f t="shared" si="39"/>
        <v>0</v>
      </c>
      <c r="P79" s="21">
        <f t="shared" si="40"/>
        <v>0</v>
      </c>
      <c r="Q79" s="16">
        <f t="shared" si="41"/>
        <v>0</v>
      </c>
    </row>
    <row r="80" spans="1:17" x14ac:dyDescent="0.3">
      <c r="A80" s="16">
        <v>16</v>
      </c>
      <c r="B80" s="16">
        <f t="shared" si="29"/>
        <v>2041</v>
      </c>
      <c r="C80" s="16">
        <f t="shared" si="30"/>
        <v>15</v>
      </c>
      <c r="D80" s="21">
        <f t="shared" si="31"/>
        <v>0</v>
      </c>
      <c r="E80" s="27">
        <f t="shared" si="32"/>
        <v>0</v>
      </c>
      <c r="F80" s="27">
        <f t="shared" si="33"/>
        <v>2.3965581930996924</v>
      </c>
      <c r="G80" s="21">
        <f t="shared" si="42"/>
        <v>0</v>
      </c>
      <c r="H80" s="27">
        <f t="shared" si="43"/>
        <v>0</v>
      </c>
      <c r="I80" s="21">
        <f t="shared" si="34"/>
        <v>0</v>
      </c>
      <c r="J80" s="27">
        <f t="shared" si="35"/>
        <v>0</v>
      </c>
      <c r="K80" s="21">
        <f t="shared" si="36"/>
        <v>0</v>
      </c>
      <c r="L80" s="21">
        <f t="shared" si="37"/>
        <v>0</v>
      </c>
      <c r="M80" s="21">
        <f t="shared" si="44"/>
        <v>0</v>
      </c>
      <c r="N80" s="21">
        <f t="shared" si="38"/>
        <v>0</v>
      </c>
      <c r="O80" s="21">
        <f t="shared" si="39"/>
        <v>0</v>
      </c>
      <c r="P80" s="21">
        <f t="shared" si="40"/>
        <v>0</v>
      </c>
      <c r="Q80" s="16">
        <f t="shared" si="41"/>
        <v>0</v>
      </c>
    </row>
    <row r="81" spans="1:17" x14ac:dyDescent="0.3">
      <c r="A81" s="16">
        <v>17</v>
      </c>
      <c r="B81" s="16">
        <f t="shared" si="29"/>
        <v>2042</v>
      </c>
      <c r="C81" s="16">
        <f t="shared" si="30"/>
        <v>16</v>
      </c>
      <c r="D81" s="21">
        <f t="shared" si="31"/>
        <v>0</v>
      </c>
      <c r="E81" s="27">
        <f t="shared" si="32"/>
        <v>0</v>
      </c>
      <c r="F81" s="27">
        <f t="shared" si="33"/>
        <v>2.5403516846856733</v>
      </c>
      <c r="G81" s="21">
        <f t="shared" si="42"/>
        <v>0</v>
      </c>
      <c r="H81" s="27">
        <f t="shared" si="43"/>
        <v>0</v>
      </c>
      <c r="I81" s="21">
        <f t="shared" si="34"/>
        <v>0</v>
      </c>
      <c r="J81" s="27">
        <f t="shared" si="35"/>
        <v>0</v>
      </c>
      <c r="K81" s="21">
        <f t="shared" si="36"/>
        <v>0</v>
      </c>
      <c r="L81" s="21">
        <f t="shared" si="37"/>
        <v>0</v>
      </c>
      <c r="M81" s="21">
        <f t="shared" si="44"/>
        <v>0</v>
      </c>
      <c r="N81" s="21">
        <f t="shared" si="38"/>
        <v>0</v>
      </c>
      <c r="O81" s="21">
        <f t="shared" si="39"/>
        <v>0</v>
      </c>
      <c r="P81" s="21">
        <f t="shared" si="40"/>
        <v>0</v>
      </c>
      <c r="Q81" s="16">
        <f t="shared" si="41"/>
        <v>0</v>
      </c>
    </row>
    <row r="82" spans="1:17" x14ac:dyDescent="0.3">
      <c r="A82" s="16">
        <v>18</v>
      </c>
      <c r="B82" s="16">
        <f t="shared" si="29"/>
        <v>2043</v>
      </c>
      <c r="C82" s="16">
        <f t="shared" si="30"/>
        <v>17</v>
      </c>
      <c r="D82" s="21">
        <f t="shared" si="31"/>
        <v>0</v>
      </c>
      <c r="E82" s="27">
        <f t="shared" si="32"/>
        <v>0</v>
      </c>
      <c r="F82" s="27">
        <f t="shared" si="33"/>
        <v>2.692772785766814</v>
      </c>
      <c r="G82" s="21">
        <f t="shared" si="42"/>
        <v>0</v>
      </c>
      <c r="H82" s="27">
        <f t="shared" si="43"/>
        <v>0</v>
      </c>
      <c r="I82" s="21">
        <f t="shared" si="34"/>
        <v>0</v>
      </c>
      <c r="J82" s="27">
        <f t="shared" si="35"/>
        <v>0</v>
      </c>
      <c r="K82" s="21">
        <f t="shared" si="36"/>
        <v>0</v>
      </c>
      <c r="L82" s="21">
        <f t="shared" si="37"/>
        <v>0</v>
      </c>
      <c r="M82" s="21">
        <f t="shared" si="44"/>
        <v>0</v>
      </c>
      <c r="N82" s="21">
        <f t="shared" si="38"/>
        <v>0</v>
      </c>
      <c r="O82" s="21">
        <f t="shared" si="39"/>
        <v>0</v>
      </c>
      <c r="P82" s="21">
        <f t="shared" si="40"/>
        <v>0</v>
      </c>
      <c r="Q82" s="16">
        <f t="shared" si="41"/>
        <v>0</v>
      </c>
    </row>
    <row r="83" spans="1:17" x14ac:dyDescent="0.3">
      <c r="A83" s="16">
        <v>19</v>
      </c>
      <c r="B83" s="16">
        <f t="shared" si="29"/>
        <v>2044</v>
      </c>
      <c r="C83" s="16">
        <f t="shared" si="30"/>
        <v>18</v>
      </c>
      <c r="D83" s="21">
        <f t="shared" si="31"/>
        <v>0</v>
      </c>
      <c r="E83" s="27">
        <f t="shared" si="32"/>
        <v>0</v>
      </c>
      <c r="F83" s="27">
        <f t="shared" si="33"/>
        <v>2.8543391529128228</v>
      </c>
      <c r="G83" s="21">
        <f t="shared" si="42"/>
        <v>0</v>
      </c>
      <c r="H83" s="27">
        <f t="shared" si="43"/>
        <v>0</v>
      </c>
      <c r="I83" s="21">
        <f t="shared" si="34"/>
        <v>0</v>
      </c>
      <c r="J83" s="27">
        <f t="shared" si="35"/>
        <v>0</v>
      </c>
      <c r="K83" s="21">
        <f t="shared" si="36"/>
        <v>0</v>
      </c>
      <c r="L83" s="21">
        <f t="shared" si="37"/>
        <v>0</v>
      </c>
      <c r="M83" s="21">
        <f t="shared" si="44"/>
        <v>0</v>
      </c>
      <c r="N83" s="21">
        <f t="shared" si="38"/>
        <v>0</v>
      </c>
      <c r="O83" s="21">
        <f t="shared" si="39"/>
        <v>0</v>
      </c>
      <c r="P83" s="21">
        <f t="shared" si="40"/>
        <v>0</v>
      </c>
      <c r="Q83" s="16">
        <f t="shared" si="41"/>
        <v>0</v>
      </c>
    </row>
    <row r="84" spans="1:17" x14ac:dyDescent="0.3">
      <c r="A84" s="16">
        <v>20</v>
      </c>
      <c r="B84" s="16">
        <f t="shared" si="29"/>
        <v>2045</v>
      </c>
      <c r="C84" s="16">
        <f t="shared" si="30"/>
        <v>19</v>
      </c>
      <c r="D84" s="21">
        <f t="shared" si="31"/>
        <v>0</v>
      </c>
      <c r="E84" s="27">
        <f t="shared" si="32"/>
        <v>0</v>
      </c>
      <c r="F84" s="27">
        <f t="shared" si="33"/>
        <v>3.0255995020875925</v>
      </c>
      <c r="G84" s="21">
        <f t="shared" si="42"/>
        <v>0</v>
      </c>
      <c r="H84" s="27">
        <f t="shared" si="43"/>
        <v>0</v>
      </c>
      <c r="I84" s="21">
        <f t="shared" si="34"/>
        <v>0</v>
      </c>
      <c r="J84" s="27">
        <f t="shared" si="35"/>
        <v>0</v>
      </c>
      <c r="K84" s="21">
        <f t="shared" si="36"/>
        <v>0</v>
      </c>
      <c r="L84" s="21">
        <f t="shared" si="37"/>
        <v>0</v>
      </c>
      <c r="M84" s="21">
        <f t="shared" si="44"/>
        <v>0</v>
      </c>
      <c r="N84" s="21">
        <f t="shared" si="38"/>
        <v>0</v>
      </c>
      <c r="O84" s="21">
        <f t="shared" si="39"/>
        <v>0</v>
      </c>
      <c r="P84" s="21">
        <f t="shared" si="40"/>
        <v>0</v>
      </c>
      <c r="Q84" s="16">
        <f t="shared" si="41"/>
        <v>0</v>
      </c>
    </row>
    <row r="85" spans="1:17" x14ac:dyDescent="0.3">
      <c r="A85" s="16">
        <v>21</v>
      </c>
      <c r="B85" s="16">
        <f t="shared" si="29"/>
        <v>2046</v>
      </c>
      <c r="C85" s="16">
        <f t="shared" si="30"/>
        <v>20</v>
      </c>
      <c r="D85" s="21">
        <f t="shared" si="31"/>
        <v>0</v>
      </c>
      <c r="E85" s="27">
        <f t="shared" si="32"/>
        <v>0</v>
      </c>
      <c r="F85" s="27">
        <f t="shared" si="33"/>
        <v>3.207135472212848</v>
      </c>
      <c r="G85" s="21">
        <f t="shared" si="42"/>
        <v>0</v>
      </c>
      <c r="H85" s="27">
        <f t="shared" si="43"/>
        <v>0</v>
      </c>
      <c r="I85" s="21">
        <f t="shared" si="34"/>
        <v>0</v>
      </c>
      <c r="J85" s="27">
        <f t="shared" si="35"/>
        <v>0</v>
      </c>
      <c r="K85" s="21">
        <f t="shared" si="36"/>
        <v>0</v>
      </c>
      <c r="L85" s="21">
        <f t="shared" si="37"/>
        <v>0</v>
      </c>
      <c r="M85" s="21">
        <f t="shared" si="44"/>
        <v>0</v>
      </c>
      <c r="N85" s="21">
        <f t="shared" si="38"/>
        <v>0</v>
      </c>
      <c r="O85" s="21">
        <f t="shared" si="39"/>
        <v>0</v>
      </c>
      <c r="P85" s="21">
        <f t="shared" si="40"/>
        <v>0</v>
      </c>
      <c r="Q85" s="16">
        <f t="shared" si="41"/>
        <v>0</v>
      </c>
    </row>
    <row r="86" spans="1:17" x14ac:dyDescent="0.3">
      <c r="A86" s="16">
        <v>22</v>
      </c>
      <c r="B86" s="16">
        <f t="shared" si="29"/>
        <v>2047</v>
      </c>
      <c r="C86" s="16">
        <f t="shared" si="30"/>
        <v>21</v>
      </c>
      <c r="D86" s="21">
        <f t="shared" si="31"/>
        <v>0</v>
      </c>
      <c r="E86" s="27">
        <f t="shared" si="32"/>
        <v>0</v>
      </c>
      <c r="F86" s="27">
        <f t="shared" si="33"/>
        <v>3.3995636005456196</v>
      </c>
      <c r="G86" s="21">
        <f t="shared" si="42"/>
        <v>0</v>
      </c>
      <c r="H86" s="27">
        <f t="shared" si="43"/>
        <v>0</v>
      </c>
      <c r="I86" s="21">
        <f t="shared" si="34"/>
        <v>0</v>
      </c>
      <c r="J86" s="27">
        <f t="shared" si="35"/>
        <v>0</v>
      </c>
      <c r="K86" s="21">
        <f t="shared" si="36"/>
        <v>0</v>
      </c>
      <c r="L86" s="21">
        <f t="shared" si="37"/>
        <v>0</v>
      </c>
      <c r="M86" s="21">
        <f t="shared" si="44"/>
        <v>0</v>
      </c>
      <c r="N86" s="21">
        <f t="shared" si="38"/>
        <v>0</v>
      </c>
      <c r="O86" s="21">
        <f t="shared" si="39"/>
        <v>0</v>
      </c>
      <c r="P86" s="21">
        <f t="shared" si="40"/>
        <v>0</v>
      </c>
      <c r="Q86" s="16">
        <f t="shared" si="41"/>
        <v>0</v>
      </c>
    </row>
    <row r="87" spans="1:17" x14ac:dyDescent="0.3">
      <c r="A87" s="16">
        <v>23</v>
      </c>
      <c r="B87" s="16">
        <f t="shared" si="29"/>
        <v>2048</v>
      </c>
      <c r="C87" s="16">
        <f t="shared" si="30"/>
        <v>22</v>
      </c>
      <c r="D87" s="21">
        <f t="shared" si="31"/>
        <v>0</v>
      </c>
      <c r="E87" s="27">
        <f t="shared" si="32"/>
        <v>0</v>
      </c>
      <c r="F87" s="27">
        <f t="shared" si="33"/>
        <v>3.6035374165783569</v>
      </c>
      <c r="G87" s="21">
        <f t="shared" si="42"/>
        <v>0</v>
      </c>
      <c r="H87" s="27">
        <f t="shared" si="43"/>
        <v>0</v>
      </c>
      <c r="I87" s="21">
        <f t="shared" si="34"/>
        <v>0</v>
      </c>
      <c r="J87" s="27">
        <f t="shared" si="35"/>
        <v>0</v>
      </c>
      <c r="K87" s="21">
        <f t="shared" si="36"/>
        <v>0</v>
      </c>
      <c r="L87" s="21">
        <f t="shared" si="37"/>
        <v>0</v>
      </c>
      <c r="M87" s="21">
        <f t="shared" si="44"/>
        <v>0</v>
      </c>
      <c r="N87" s="21">
        <f t="shared" si="38"/>
        <v>0</v>
      </c>
      <c r="O87" s="21">
        <f t="shared" si="39"/>
        <v>0</v>
      </c>
      <c r="P87" s="21">
        <f t="shared" si="40"/>
        <v>0</v>
      </c>
      <c r="Q87" s="16">
        <f t="shared" si="41"/>
        <v>0</v>
      </c>
    </row>
    <row r="88" spans="1:17" x14ac:dyDescent="0.3">
      <c r="A88" s="16">
        <v>24</v>
      </c>
      <c r="B88" s="16">
        <f t="shared" si="29"/>
        <v>2049</v>
      </c>
      <c r="C88" s="16">
        <f t="shared" si="30"/>
        <v>23</v>
      </c>
      <c r="D88" s="21">
        <f t="shared" si="31"/>
        <v>0</v>
      </c>
      <c r="E88" s="27">
        <f t="shared" si="32"/>
        <v>0</v>
      </c>
      <c r="F88" s="27">
        <f t="shared" si="33"/>
        <v>3.8197496615730588</v>
      </c>
      <c r="G88" s="21">
        <f t="shared" si="42"/>
        <v>0</v>
      </c>
      <c r="H88" s="27">
        <f t="shared" si="43"/>
        <v>0</v>
      </c>
      <c r="I88" s="21">
        <f t="shared" si="34"/>
        <v>0</v>
      </c>
      <c r="J88" s="27">
        <f t="shared" si="35"/>
        <v>0</v>
      </c>
      <c r="K88" s="21">
        <f t="shared" si="36"/>
        <v>0</v>
      </c>
      <c r="L88" s="21">
        <f t="shared" si="37"/>
        <v>0</v>
      </c>
      <c r="M88" s="21">
        <f t="shared" si="44"/>
        <v>0</v>
      </c>
      <c r="N88" s="21">
        <f t="shared" si="38"/>
        <v>0</v>
      </c>
      <c r="O88" s="21">
        <f t="shared" si="39"/>
        <v>0</v>
      </c>
      <c r="P88" s="21">
        <f t="shared" si="40"/>
        <v>0</v>
      </c>
      <c r="Q88" s="16">
        <f t="shared" si="41"/>
        <v>0</v>
      </c>
    </row>
    <row r="89" spans="1:17" x14ac:dyDescent="0.3">
      <c r="A89" s="16">
        <v>25</v>
      </c>
      <c r="B89" s="16">
        <f t="shared" si="29"/>
        <v>2050</v>
      </c>
      <c r="C89" s="16">
        <f t="shared" si="30"/>
        <v>24</v>
      </c>
      <c r="D89" s="21">
        <f t="shared" si="31"/>
        <v>0</v>
      </c>
      <c r="E89" s="27">
        <f t="shared" si="32"/>
        <v>0</v>
      </c>
      <c r="F89" s="27">
        <f t="shared" si="33"/>
        <v>4.0489346412674418</v>
      </c>
      <c r="G89" s="21">
        <f t="shared" si="42"/>
        <v>0</v>
      </c>
      <c r="H89" s="27">
        <f t="shared" si="43"/>
        <v>0</v>
      </c>
      <c r="I89" s="21">
        <f t="shared" si="34"/>
        <v>0</v>
      </c>
      <c r="J89" s="27">
        <f t="shared" si="35"/>
        <v>0</v>
      </c>
      <c r="K89" s="21">
        <f t="shared" si="36"/>
        <v>0</v>
      </c>
      <c r="L89" s="21">
        <f t="shared" si="37"/>
        <v>0</v>
      </c>
      <c r="M89" s="21">
        <f t="shared" si="44"/>
        <v>0</v>
      </c>
      <c r="N89" s="21">
        <f t="shared" si="38"/>
        <v>0</v>
      </c>
      <c r="O89" s="21">
        <f t="shared" si="39"/>
        <v>0</v>
      </c>
      <c r="P89" s="21">
        <f t="shared" si="40"/>
        <v>0</v>
      </c>
      <c r="Q89" s="16">
        <f t="shared" si="41"/>
        <v>0</v>
      </c>
    </row>
    <row r="90" spans="1:17" x14ac:dyDescent="0.3">
      <c r="A90" s="16">
        <v>26</v>
      </c>
      <c r="B90" s="16">
        <f t="shared" si="29"/>
        <v>2051</v>
      </c>
      <c r="C90" s="16">
        <f t="shared" si="30"/>
        <v>25</v>
      </c>
      <c r="D90" s="21">
        <f t="shared" si="31"/>
        <v>0</v>
      </c>
      <c r="E90" s="27">
        <f t="shared" si="32"/>
        <v>0</v>
      </c>
      <c r="F90" s="27">
        <f t="shared" si="33"/>
        <v>4.2918707197434882</v>
      </c>
      <c r="G90" s="21">
        <f t="shared" si="42"/>
        <v>0</v>
      </c>
      <c r="H90" s="27">
        <f t="shared" si="43"/>
        <v>0</v>
      </c>
      <c r="I90" s="21">
        <f t="shared" si="34"/>
        <v>0</v>
      </c>
      <c r="J90" s="27">
        <f t="shared" si="35"/>
        <v>0</v>
      </c>
      <c r="K90" s="21">
        <f t="shared" si="36"/>
        <v>0</v>
      </c>
      <c r="L90" s="21">
        <f t="shared" si="37"/>
        <v>0</v>
      </c>
      <c r="M90" s="21">
        <f t="shared" si="44"/>
        <v>0</v>
      </c>
      <c r="N90" s="21">
        <f t="shared" si="38"/>
        <v>0</v>
      </c>
      <c r="O90" s="21">
        <f t="shared" si="39"/>
        <v>0</v>
      </c>
      <c r="P90" s="21">
        <f t="shared" si="40"/>
        <v>0</v>
      </c>
      <c r="Q90" s="16">
        <f t="shared" si="41"/>
        <v>0</v>
      </c>
    </row>
    <row r="91" spans="1:17" x14ac:dyDescent="0.3">
      <c r="A91" s="16">
        <v>27</v>
      </c>
      <c r="B91" s="16">
        <f t="shared" si="29"/>
        <v>2052</v>
      </c>
      <c r="C91" s="16">
        <f t="shared" si="30"/>
        <v>26</v>
      </c>
      <c r="D91" s="21">
        <f t="shared" si="31"/>
        <v>0</v>
      </c>
      <c r="E91" s="27">
        <f t="shared" si="32"/>
        <v>0</v>
      </c>
      <c r="F91" s="27">
        <f t="shared" si="33"/>
        <v>4.5493829629280977</v>
      </c>
      <c r="G91" s="21">
        <f t="shared" si="42"/>
        <v>0</v>
      </c>
      <c r="H91" s="27">
        <f t="shared" si="43"/>
        <v>0</v>
      </c>
      <c r="I91" s="21">
        <f t="shared" si="34"/>
        <v>0</v>
      </c>
      <c r="J91" s="27">
        <f t="shared" si="35"/>
        <v>0</v>
      </c>
      <c r="K91" s="21">
        <f t="shared" si="36"/>
        <v>0</v>
      </c>
      <c r="L91" s="21">
        <f t="shared" si="37"/>
        <v>0</v>
      </c>
      <c r="M91" s="21">
        <f t="shared" si="44"/>
        <v>0</v>
      </c>
      <c r="N91" s="21">
        <f t="shared" si="38"/>
        <v>0</v>
      </c>
      <c r="O91" s="21">
        <f t="shared" si="39"/>
        <v>0</v>
      </c>
      <c r="P91" s="21">
        <f t="shared" si="40"/>
        <v>0</v>
      </c>
      <c r="Q91" s="16">
        <f t="shared" si="41"/>
        <v>0</v>
      </c>
    </row>
    <row r="92" spans="1:17" x14ac:dyDescent="0.3">
      <c r="A92" s="16">
        <v>28</v>
      </c>
      <c r="B92" s="16">
        <f t="shared" si="29"/>
        <v>2053</v>
      </c>
      <c r="C92" s="16">
        <f t="shared" si="30"/>
        <v>27</v>
      </c>
      <c r="D92" s="21">
        <f t="shared" si="31"/>
        <v>0</v>
      </c>
      <c r="E92" s="27">
        <f t="shared" si="32"/>
        <v>0</v>
      </c>
      <c r="F92" s="27">
        <f t="shared" si="33"/>
        <v>4.8223459407037845</v>
      </c>
      <c r="G92" s="21">
        <f t="shared" si="42"/>
        <v>0</v>
      </c>
      <c r="H92" s="27">
        <f t="shared" si="43"/>
        <v>0</v>
      </c>
      <c r="I92" s="21">
        <f t="shared" si="34"/>
        <v>0</v>
      </c>
      <c r="J92" s="27">
        <f t="shared" si="35"/>
        <v>0</v>
      </c>
      <c r="K92" s="21">
        <f t="shared" si="36"/>
        <v>0</v>
      </c>
      <c r="L92" s="21">
        <f t="shared" si="37"/>
        <v>0</v>
      </c>
      <c r="M92" s="21">
        <f t="shared" si="44"/>
        <v>0</v>
      </c>
      <c r="N92" s="21">
        <f t="shared" si="38"/>
        <v>0</v>
      </c>
      <c r="O92" s="21">
        <f t="shared" si="39"/>
        <v>0</v>
      </c>
      <c r="P92" s="21">
        <f t="shared" si="40"/>
        <v>0</v>
      </c>
      <c r="Q92" s="16">
        <f t="shared" si="41"/>
        <v>0</v>
      </c>
    </row>
    <row r="93" spans="1:17" x14ac:dyDescent="0.3">
      <c r="A93" s="16">
        <v>29</v>
      </c>
      <c r="B93" s="16">
        <f t="shared" si="29"/>
        <v>2054</v>
      </c>
      <c r="C93" s="16">
        <f t="shared" si="30"/>
        <v>28</v>
      </c>
      <c r="D93" s="21">
        <f t="shared" si="31"/>
        <v>0</v>
      </c>
      <c r="E93" s="27">
        <f t="shared" si="32"/>
        <v>0</v>
      </c>
      <c r="F93" s="27">
        <f t="shared" si="33"/>
        <v>5.1116866971460118</v>
      </c>
      <c r="G93" s="21">
        <f t="shared" si="42"/>
        <v>0</v>
      </c>
      <c r="H93" s="27">
        <f t="shared" si="43"/>
        <v>0</v>
      </c>
      <c r="I93" s="21">
        <f t="shared" si="34"/>
        <v>0</v>
      </c>
      <c r="J93" s="27">
        <f t="shared" si="35"/>
        <v>0</v>
      </c>
      <c r="K93" s="21">
        <f t="shared" si="36"/>
        <v>0</v>
      </c>
      <c r="L93" s="21">
        <f t="shared" si="37"/>
        <v>0</v>
      </c>
      <c r="M93" s="21">
        <f t="shared" si="44"/>
        <v>0</v>
      </c>
      <c r="N93" s="21">
        <f t="shared" si="38"/>
        <v>0</v>
      </c>
      <c r="O93" s="21">
        <f t="shared" si="39"/>
        <v>0</v>
      </c>
      <c r="P93" s="21">
        <f t="shared" si="40"/>
        <v>0</v>
      </c>
      <c r="Q93" s="16">
        <f t="shared" si="41"/>
        <v>0</v>
      </c>
    </row>
    <row r="94" spans="1:17" x14ac:dyDescent="0.3">
      <c r="A94" s="16">
        <v>30</v>
      </c>
      <c r="B94" s="16">
        <f t="shared" si="29"/>
        <v>2055</v>
      </c>
      <c r="C94" s="16">
        <f t="shared" si="30"/>
        <v>29</v>
      </c>
      <c r="D94" s="21">
        <f t="shared" si="31"/>
        <v>0</v>
      </c>
      <c r="E94" s="27">
        <f t="shared" si="32"/>
        <v>0</v>
      </c>
      <c r="F94" s="27">
        <f t="shared" si="33"/>
        <v>5.4183878989747729</v>
      </c>
      <c r="G94" s="21">
        <f t="shared" si="42"/>
        <v>0</v>
      </c>
      <c r="H94" s="27">
        <f t="shared" si="43"/>
        <v>0</v>
      </c>
      <c r="I94" s="21">
        <f t="shared" si="34"/>
        <v>0</v>
      </c>
      <c r="J94" s="27">
        <f t="shared" si="35"/>
        <v>0</v>
      </c>
      <c r="K94" s="21">
        <f t="shared" si="36"/>
        <v>0</v>
      </c>
      <c r="L94" s="21">
        <f t="shared" si="37"/>
        <v>0</v>
      </c>
      <c r="M94" s="21">
        <f t="shared" si="44"/>
        <v>0</v>
      </c>
      <c r="N94" s="21">
        <f t="shared" si="38"/>
        <v>0</v>
      </c>
      <c r="O94" s="21">
        <f t="shared" si="39"/>
        <v>0</v>
      </c>
      <c r="P94" s="21">
        <f t="shared" si="40"/>
        <v>0</v>
      </c>
      <c r="Q94" s="16">
        <f t="shared" si="41"/>
        <v>0</v>
      </c>
    </row>
    <row r="95" spans="1:17" x14ac:dyDescent="0.3">
      <c r="A95" s="16">
        <v>31</v>
      </c>
      <c r="B95" s="16">
        <f t="shared" si="29"/>
        <v>2056</v>
      </c>
      <c r="C95" s="16">
        <f t="shared" si="30"/>
        <v>30</v>
      </c>
      <c r="D95" s="21">
        <f t="shared" si="31"/>
        <v>0</v>
      </c>
      <c r="E95" s="27">
        <f t="shared" si="32"/>
        <v>0</v>
      </c>
      <c r="F95" s="27">
        <f t="shared" si="33"/>
        <v>5.7434911729132594</v>
      </c>
      <c r="G95" s="21">
        <f t="shared" si="42"/>
        <v>0</v>
      </c>
      <c r="H95" s="27">
        <f t="shared" si="43"/>
        <v>0</v>
      </c>
      <c r="I95" s="21">
        <f t="shared" si="34"/>
        <v>0</v>
      </c>
      <c r="J95" s="27">
        <f t="shared" si="35"/>
        <v>0</v>
      </c>
      <c r="K95" s="21">
        <f t="shared" si="36"/>
        <v>0</v>
      </c>
      <c r="L95" s="21">
        <f t="shared" si="37"/>
        <v>0</v>
      </c>
      <c r="M95" s="21">
        <f t="shared" si="44"/>
        <v>0</v>
      </c>
      <c r="N95" s="21">
        <f t="shared" si="38"/>
        <v>0</v>
      </c>
      <c r="O95" s="21">
        <f t="shared" si="39"/>
        <v>0</v>
      </c>
      <c r="P95" s="21">
        <f t="shared" si="40"/>
        <v>0</v>
      </c>
      <c r="Q95" s="16">
        <f t="shared" si="41"/>
        <v>0</v>
      </c>
    </row>
    <row r="96" spans="1:17" x14ac:dyDescent="0.3">
      <c r="A96" s="16">
        <v>32</v>
      </c>
      <c r="B96" s="16">
        <f t="shared" si="29"/>
        <v>2057</v>
      </c>
      <c r="C96" s="16">
        <f t="shared" si="30"/>
        <v>31</v>
      </c>
      <c r="D96" s="21">
        <f t="shared" si="31"/>
        <v>0</v>
      </c>
      <c r="E96" s="27">
        <f t="shared" si="32"/>
        <v>0</v>
      </c>
      <c r="F96" s="27">
        <f t="shared" si="33"/>
        <v>6.0881006432880564</v>
      </c>
      <c r="G96" s="21">
        <f t="shared" si="42"/>
        <v>0</v>
      </c>
      <c r="H96" s="27">
        <f t="shared" si="43"/>
        <v>0</v>
      </c>
      <c r="I96" s="21">
        <f t="shared" si="34"/>
        <v>0</v>
      </c>
      <c r="J96" s="27">
        <f t="shared" si="35"/>
        <v>0</v>
      </c>
      <c r="K96" s="21">
        <f t="shared" si="36"/>
        <v>0</v>
      </c>
      <c r="L96" s="21">
        <f t="shared" si="37"/>
        <v>0</v>
      </c>
      <c r="M96" s="21">
        <f t="shared" si="44"/>
        <v>0</v>
      </c>
      <c r="N96" s="21">
        <f t="shared" si="38"/>
        <v>0</v>
      </c>
      <c r="O96" s="21">
        <f t="shared" si="39"/>
        <v>0</v>
      </c>
      <c r="P96" s="21">
        <f t="shared" si="40"/>
        <v>0</v>
      </c>
      <c r="Q96" s="16">
        <f t="shared" si="41"/>
        <v>0</v>
      </c>
    </row>
    <row r="97" spans="1:17" x14ac:dyDescent="0.3">
      <c r="A97" s="16">
        <v>33</v>
      </c>
      <c r="B97" s="16">
        <f t="shared" ref="B97:B128" si="45">PlanYear+A97-1</f>
        <v>2058</v>
      </c>
      <c r="C97" s="16">
        <f t="shared" ref="C97:C124" si="46">A97-1-$B$18</f>
        <v>32</v>
      </c>
      <c r="D97" s="21">
        <f t="shared" ref="D97:D128" si="47">IF(AND($B$22=1,C97&gt;=0,C97&lt;$B$19),INDEX($Z$46:$Z$55,C97+1),0)</f>
        <v>0</v>
      </c>
      <c r="E97" s="27">
        <f t="shared" ref="E97:E124" si="48">IF(AND($B$22=1,A97&lt;=$B$21),(1+SavInc)^(A97-1),0)</f>
        <v>0</v>
      </c>
      <c r="F97" s="27">
        <f t="shared" ref="F97:F124" si="49">(1+ReturnRate)^(A97-1)</f>
        <v>6.4533866818853385</v>
      </c>
      <c r="G97" s="21">
        <f t="shared" si="42"/>
        <v>0</v>
      </c>
      <c r="H97" s="27">
        <f t="shared" si="43"/>
        <v>0</v>
      </c>
      <c r="I97" s="21">
        <f t="shared" ref="I97:I124" si="50">G97*(1+ReturnRate)</f>
        <v>0</v>
      </c>
      <c r="J97" s="27">
        <f t="shared" ref="J97:J124" si="51">H97*(1+ReturnRate)+E97</f>
        <v>0</v>
      </c>
      <c r="K97" s="21">
        <f t="shared" ref="K97:K124" si="52">IF(AND(D97&gt;0,H97&lt;=0.000000000001,G97&lt;0),-G97/F97,0)</f>
        <v>0</v>
      </c>
      <c r="L97" s="21">
        <f t="shared" ref="L97:L124" si="53">IF(AND(D97&gt;0,H97&gt;0.000000000001),-(G97+$B$126*F97)/H97,0)</f>
        <v>0</v>
      </c>
      <c r="M97" s="21">
        <f t="shared" si="44"/>
        <v>0</v>
      </c>
      <c r="N97" s="21">
        <f t="shared" ref="N97:N124" si="54">E97*$B$127</f>
        <v>0</v>
      </c>
      <c r="O97" s="21">
        <f t="shared" ref="O97:O124" si="55">IF(AND($B$22=1,A97&lt;=$B$20),(M97-D97)*ReturnRate,0)</f>
        <v>0</v>
      </c>
      <c r="P97" s="21">
        <f t="shared" ref="P97:P128" si="56">M97-D97+O97+N97</f>
        <v>0</v>
      </c>
      <c r="Q97" s="16">
        <f t="shared" ref="Q97:Q124" si="57">IF(AND($B$22=1,C97&gt;=0,C97&lt;$B$19),1,0)</f>
        <v>0</v>
      </c>
    </row>
    <row r="98" spans="1:17" x14ac:dyDescent="0.3">
      <c r="A98" s="16">
        <v>34</v>
      </c>
      <c r="B98" s="16">
        <f t="shared" si="45"/>
        <v>2059</v>
      </c>
      <c r="C98" s="16">
        <f t="shared" si="46"/>
        <v>33</v>
      </c>
      <c r="D98" s="21">
        <f t="shared" si="47"/>
        <v>0</v>
      </c>
      <c r="E98" s="27">
        <f t="shared" si="48"/>
        <v>0</v>
      </c>
      <c r="F98" s="27">
        <f t="shared" si="49"/>
        <v>6.8405898827984588</v>
      </c>
      <c r="G98" s="21">
        <f t="shared" ref="G98:G124" si="58">I97-D98</f>
        <v>0</v>
      </c>
      <c r="H98" s="27">
        <f t="shared" ref="H98:H124" si="59">J97</f>
        <v>0</v>
      </c>
      <c r="I98" s="21">
        <f t="shared" si="50"/>
        <v>0</v>
      </c>
      <c r="J98" s="27">
        <f t="shared" si="51"/>
        <v>0</v>
      </c>
      <c r="K98" s="21">
        <f t="shared" si="52"/>
        <v>0</v>
      </c>
      <c r="L98" s="21">
        <f t="shared" si="53"/>
        <v>0</v>
      </c>
      <c r="M98" s="21">
        <f t="shared" ref="M98:M124" si="60">P97</f>
        <v>0</v>
      </c>
      <c r="N98" s="21">
        <f t="shared" si="54"/>
        <v>0</v>
      </c>
      <c r="O98" s="21">
        <f t="shared" si="55"/>
        <v>0</v>
      </c>
      <c r="P98" s="21">
        <f t="shared" si="56"/>
        <v>0</v>
      </c>
      <c r="Q98" s="16">
        <f t="shared" si="57"/>
        <v>0</v>
      </c>
    </row>
    <row r="99" spans="1:17" x14ac:dyDescent="0.3">
      <c r="A99" s="16">
        <v>35</v>
      </c>
      <c r="B99" s="16">
        <f t="shared" si="45"/>
        <v>2060</v>
      </c>
      <c r="C99" s="16">
        <f t="shared" si="46"/>
        <v>34</v>
      </c>
      <c r="D99" s="21">
        <f t="shared" si="47"/>
        <v>0</v>
      </c>
      <c r="E99" s="27">
        <f t="shared" si="48"/>
        <v>0</v>
      </c>
      <c r="F99" s="27">
        <f t="shared" si="49"/>
        <v>7.2510252757663674</v>
      </c>
      <c r="G99" s="21">
        <f t="shared" si="58"/>
        <v>0</v>
      </c>
      <c r="H99" s="27">
        <f t="shared" si="59"/>
        <v>0</v>
      </c>
      <c r="I99" s="21">
        <f t="shared" si="50"/>
        <v>0</v>
      </c>
      <c r="J99" s="27">
        <f t="shared" si="51"/>
        <v>0</v>
      </c>
      <c r="K99" s="21">
        <f t="shared" si="52"/>
        <v>0</v>
      </c>
      <c r="L99" s="21">
        <f t="shared" si="53"/>
        <v>0</v>
      </c>
      <c r="M99" s="21">
        <f t="shared" si="60"/>
        <v>0</v>
      </c>
      <c r="N99" s="21">
        <f t="shared" si="54"/>
        <v>0</v>
      </c>
      <c r="O99" s="21">
        <f t="shared" si="55"/>
        <v>0</v>
      </c>
      <c r="P99" s="21">
        <f t="shared" si="56"/>
        <v>0</v>
      </c>
      <c r="Q99" s="16">
        <f t="shared" si="57"/>
        <v>0</v>
      </c>
    </row>
    <row r="100" spans="1:17" x14ac:dyDescent="0.3">
      <c r="A100" s="16">
        <v>36</v>
      </c>
      <c r="B100" s="16">
        <f t="shared" si="45"/>
        <v>2061</v>
      </c>
      <c r="C100" s="16">
        <f t="shared" si="46"/>
        <v>35</v>
      </c>
      <c r="D100" s="21">
        <f t="shared" si="47"/>
        <v>0</v>
      </c>
      <c r="E100" s="27">
        <f t="shared" si="48"/>
        <v>0</v>
      </c>
      <c r="F100" s="27">
        <f t="shared" si="49"/>
        <v>7.6860867923123504</v>
      </c>
      <c r="G100" s="21">
        <f t="shared" si="58"/>
        <v>0</v>
      </c>
      <c r="H100" s="27">
        <f t="shared" si="59"/>
        <v>0</v>
      </c>
      <c r="I100" s="21">
        <f t="shared" si="50"/>
        <v>0</v>
      </c>
      <c r="J100" s="27">
        <f t="shared" si="51"/>
        <v>0</v>
      </c>
      <c r="K100" s="21">
        <f t="shared" si="52"/>
        <v>0</v>
      </c>
      <c r="L100" s="21">
        <f t="shared" si="53"/>
        <v>0</v>
      </c>
      <c r="M100" s="21">
        <f t="shared" si="60"/>
        <v>0</v>
      </c>
      <c r="N100" s="21">
        <f t="shared" si="54"/>
        <v>0</v>
      </c>
      <c r="O100" s="21">
        <f t="shared" si="55"/>
        <v>0</v>
      </c>
      <c r="P100" s="21">
        <f t="shared" si="56"/>
        <v>0</v>
      </c>
      <c r="Q100" s="16">
        <f t="shared" si="57"/>
        <v>0</v>
      </c>
    </row>
    <row r="101" spans="1:17" x14ac:dyDescent="0.3">
      <c r="A101" s="16">
        <v>37</v>
      </c>
      <c r="B101" s="16">
        <f t="shared" si="45"/>
        <v>2062</v>
      </c>
      <c r="C101" s="16">
        <f t="shared" si="46"/>
        <v>36</v>
      </c>
      <c r="D101" s="21">
        <f t="shared" si="47"/>
        <v>0</v>
      </c>
      <c r="E101" s="27">
        <f t="shared" si="48"/>
        <v>0</v>
      </c>
      <c r="F101" s="27">
        <f t="shared" si="49"/>
        <v>8.1472519998510915</v>
      </c>
      <c r="G101" s="21">
        <f t="shared" si="58"/>
        <v>0</v>
      </c>
      <c r="H101" s="27">
        <f t="shared" si="59"/>
        <v>0</v>
      </c>
      <c r="I101" s="21">
        <f t="shared" si="50"/>
        <v>0</v>
      </c>
      <c r="J101" s="27">
        <f t="shared" si="51"/>
        <v>0</v>
      </c>
      <c r="K101" s="21">
        <f t="shared" si="52"/>
        <v>0</v>
      </c>
      <c r="L101" s="21">
        <f t="shared" si="53"/>
        <v>0</v>
      </c>
      <c r="M101" s="21">
        <f t="shared" si="60"/>
        <v>0</v>
      </c>
      <c r="N101" s="21">
        <f t="shared" si="54"/>
        <v>0</v>
      </c>
      <c r="O101" s="21">
        <f t="shared" si="55"/>
        <v>0</v>
      </c>
      <c r="P101" s="21">
        <f t="shared" si="56"/>
        <v>0</v>
      </c>
      <c r="Q101" s="16">
        <f t="shared" si="57"/>
        <v>0</v>
      </c>
    </row>
    <row r="102" spans="1:17" x14ac:dyDescent="0.3">
      <c r="A102" s="16">
        <v>38</v>
      </c>
      <c r="B102" s="16">
        <f t="shared" si="45"/>
        <v>2063</v>
      </c>
      <c r="C102" s="16">
        <f t="shared" si="46"/>
        <v>37</v>
      </c>
      <c r="D102" s="21">
        <f t="shared" si="47"/>
        <v>0</v>
      </c>
      <c r="E102" s="27">
        <f t="shared" si="48"/>
        <v>0</v>
      </c>
      <c r="F102" s="27">
        <f t="shared" si="49"/>
        <v>8.6360871198421574</v>
      </c>
      <c r="G102" s="21">
        <f t="shared" si="58"/>
        <v>0</v>
      </c>
      <c r="H102" s="27">
        <f t="shared" si="59"/>
        <v>0</v>
      </c>
      <c r="I102" s="21">
        <f t="shared" si="50"/>
        <v>0</v>
      </c>
      <c r="J102" s="27">
        <f t="shared" si="51"/>
        <v>0</v>
      </c>
      <c r="K102" s="21">
        <f t="shared" si="52"/>
        <v>0</v>
      </c>
      <c r="L102" s="21">
        <f t="shared" si="53"/>
        <v>0</v>
      </c>
      <c r="M102" s="21">
        <f t="shared" si="60"/>
        <v>0</v>
      </c>
      <c r="N102" s="21">
        <f t="shared" si="54"/>
        <v>0</v>
      </c>
      <c r="O102" s="21">
        <f t="shared" si="55"/>
        <v>0</v>
      </c>
      <c r="P102" s="21">
        <f t="shared" si="56"/>
        <v>0</v>
      </c>
      <c r="Q102" s="16">
        <f t="shared" si="57"/>
        <v>0</v>
      </c>
    </row>
    <row r="103" spans="1:17" x14ac:dyDescent="0.3">
      <c r="A103" s="16">
        <v>39</v>
      </c>
      <c r="B103" s="16">
        <f t="shared" si="45"/>
        <v>2064</v>
      </c>
      <c r="C103" s="16">
        <f t="shared" si="46"/>
        <v>38</v>
      </c>
      <c r="D103" s="21">
        <f t="shared" si="47"/>
        <v>0</v>
      </c>
      <c r="E103" s="27">
        <f t="shared" si="48"/>
        <v>0</v>
      </c>
      <c r="F103" s="27">
        <f t="shared" si="49"/>
        <v>9.1542523470326884</v>
      </c>
      <c r="G103" s="21">
        <f t="shared" si="58"/>
        <v>0</v>
      </c>
      <c r="H103" s="27">
        <f t="shared" si="59"/>
        <v>0</v>
      </c>
      <c r="I103" s="21">
        <f t="shared" si="50"/>
        <v>0</v>
      </c>
      <c r="J103" s="27">
        <f t="shared" si="51"/>
        <v>0</v>
      </c>
      <c r="K103" s="21">
        <f t="shared" si="52"/>
        <v>0</v>
      </c>
      <c r="L103" s="21">
        <f t="shared" si="53"/>
        <v>0</v>
      </c>
      <c r="M103" s="21">
        <f t="shared" si="60"/>
        <v>0</v>
      </c>
      <c r="N103" s="21">
        <f t="shared" si="54"/>
        <v>0</v>
      </c>
      <c r="O103" s="21">
        <f t="shared" si="55"/>
        <v>0</v>
      </c>
      <c r="P103" s="21">
        <f t="shared" si="56"/>
        <v>0</v>
      </c>
      <c r="Q103" s="16">
        <f t="shared" si="57"/>
        <v>0</v>
      </c>
    </row>
    <row r="104" spans="1:17" x14ac:dyDescent="0.3">
      <c r="A104" s="16">
        <v>40</v>
      </c>
      <c r="B104" s="16">
        <f t="shared" si="45"/>
        <v>2065</v>
      </c>
      <c r="C104" s="16">
        <f t="shared" si="46"/>
        <v>39</v>
      </c>
      <c r="D104" s="21">
        <f t="shared" si="47"/>
        <v>0</v>
      </c>
      <c r="E104" s="27">
        <f t="shared" si="48"/>
        <v>0</v>
      </c>
      <c r="F104" s="27">
        <f t="shared" si="49"/>
        <v>9.703507487854651</v>
      </c>
      <c r="G104" s="21">
        <f t="shared" si="58"/>
        <v>0</v>
      </c>
      <c r="H104" s="27">
        <f t="shared" si="59"/>
        <v>0</v>
      </c>
      <c r="I104" s="21">
        <f t="shared" si="50"/>
        <v>0</v>
      </c>
      <c r="J104" s="27">
        <f t="shared" si="51"/>
        <v>0</v>
      </c>
      <c r="K104" s="21">
        <f t="shared" si="52"/>
        <v>0</v>
      </c>
      <c r="L104" s="21">
        <f t="shared" si="53"/>
        <v>0</v>
      </c>
      <c r="M104" s="21">
        <f t="shared" si="60"/>
        <v>0</v>
      </c>
      <c r="N104" s="21">
        <f t="shared" si="54"/>
        <v>0</v>
      </c>
      <c r="O104" s="21">
        <f t="shared" si="55"/>
        <v>0</v>
      </c>
      <c r="P104" s="21">
        <f t="shared" si="56"/>
        <v>0</v>
      </c>
      <c r="Q104" s="16">
        <f t="shared" si="57"/>
        <v>0</v>
      </c>
    </row>
    <row r="105" spans="1:17" x14ac:dyDescent="0.3">
      <c r="A105" s="16">
        <v>41</v>
      </c>
      <c r="B105" s="16">
        <f t="shared" si="45"/>
        <v>2066</v>
      </c>
      <c r="C105" s="16">
        <f t="shared" si="46"/>
        <v>40</v>
      </c>
      <c r="D105" s="21">
        <f t="shared" si="47"/>
        <v>0</v>
      </c>
      <c r="E105" s="27">
        <f t="shared" si="48"/>
        <v>0</v>
      </c>
      <c r="F105" s="27">
        <f t="shared" si="49"/>
        <v>10.285717937125929</v>
      </c>
      <c r="G105" s="21">
        <f t="shared" si="58"/>
        <v>0</v>
      </c>
      <c r="H105" s="27">
        <f t="shared" si="59"/>
        <v>0</v>
      </c>
      <c r="I105" s="21">
        <f t="shared" si="50"/>
        <v>0</v>
      </c>
      <c r="J105" s="27">
        <f t="shared" si="51"/>
        <v>0</v>
      </c>
      <c r="K105" s="21">
        <f t="shared" si="52"/>
        <v>0</v>
      </c>
      <c r="L105" s="21">
        <f t="shared" si="53"/>
        <v>0</v>
      </c>
      <c r="M105" s="21">
        <f t="shared" si="60"/>
        <v>0</v>
      </c>
      <c r="N105" s="21">
        <f t="shared" si="54"/>
        <v>0</v>
      </c>
      <c r="O105" s="21">
        <f t="shared" si="55"/>
        <v>0</v>
      </c>
      <c r="P105" s="21">
        <f t="shared" si="56"/>
        <v>0</v>
      </c>
      <c r="Q105" s="16">
        <f t="shared" si="57"/>
        <v>0</v>
      </c>
    </row>
    <row r="106" spans="1:17" x14ac:dyDescent="0.3">
      <c r="A106" s="16">
        <v>42</v>
      </c>
      <c r="B106" s="16">
        <f t="shared" si="45"/>
        <v>2067</v>
      </c>
      <c r="C106" s="16">
        <f t="shared" si="46"/>
        <v>41</v>
      </c>
      <c r="D106" s="21">
        <f t="shared" si="47"/>
        <v>0</v>
      </c>
      <c r="E106" s="27">
        <f t="shared" si="48"/>
        <v>0</v>
      </c>
      <c r="F106" s="27">
        <f t="shared" si="49"/>
        <v>10.902861013353483</v>
      </c>
      <c r="G106" s="21">
        <f t="shared" si="58"/>
        <v>0</v>
      </c>
      <c r="H106" s="27">
        <f t="shared" si="59"/>
        <v>0</v>
      </c>
      <c r="I106" s="21">
        <f t="shared" si="50"/>
        <v>0</v>
      </c>
      <c r="J106" s="27">
        <f t="shared" si="51"/>
        <v>0</v>
      </c>
      <c r="K106" s="21">
        <f t="shared" si="52"/>
        <v>0</v>
      </c>
      <c r="L106" s="21">
        <f t="shared" si="53"/>
        <v>0</v>
      </c>
      <c r="M106" s="21">
        <f t="shared" si="60"/>
        <v>0</v>
      </c>
      <c r="N106" s="21">
        <f t="shared" si="54"/>
        <v>0</v>
      </c>
      <c r="O106" s="21">
        <f t="shared" si="55"/>
        <v>0</v>
      </c>
      <c r="P106" s="21">
        <f t="shared" si="56"/>
        <v>0</v>
      </c>
      <c r="Q106" s="16">
        <f t="shared" si="57"/>
        <v>0</v>
      </c>
    </row>
    <row r="107" spans="1:17" x14ac:dyDescent="0.3">
      <c r="A107" s="16">
        <v>43</v>
      </c>
      <c r="B107" s="16">
        <f t="shared" si="45"/>
        <v>2068</v>
      </c>
      <c r="C107" s="16">
        <f t="shared" si="46"/>
        <v>42</v>
      </c>
      <c r="D107" s="21">
        <f t="shared" si="47"/>
        <v>0</v>
      </c>
      <c r="E107" s="27">
        <f t="shared" si="48"/>
        <v>0</v>
      </c>
      <c r="F107" s="27">
        <f t="shared" si="49"/>
        <v>11.557032674154694</v>
      </c>
      <c r="G107" s="21">
        <f t="shared" si="58"/>
        <v>0</v>
      </c>
      <c r="H107" s="27">
        <f t="shared" si="59"/>
        <v>0</v>
      </c>
      <c r="I107" s="21">
        <f t="shared" si="50"/>
        <v>0</v>
      </c>
      <c r="J107" s="27">
        <f t="shared" si="51"/>
        <v>0</v>
      </c>
      <c r="K107" s="21">
        <f t="shared" si="52"/>
        <v>0</v>
      </c>
      <c r="L107" s="21">
        <f t="shared" si="53"/>
        <v>0</v>
      </c>
      <c r="M107" s="21">
        <f t="shared" si="60"/>
        <v>0</v>
      </c>
      <c r="N107" s="21">
        <f t="shared" si="54"/>
        <v>0</v>
      </c>
      <c r="O107" s="21">
        <f t="shared" si="55"/>
        <v>0</v>
      </c>
      <c r="P107" s="21">
        <f t="shared" si="56"/>
        <v>0</v>
      </c>
      <c r="Q107" s="16">
        <f t="shared" si="57"/>
        <v>0</v>
      </c>
    </row>
    <row r="108" spans="1:17" x14ac:dyDescent="0.3">
      <c r="A108" s="16">
        <v>44</v>
      </c>
      <c r="B108" s="16">
        <f t="shared" si="45"/>
        <v>2069</v>
      </c>
      <c r="C108" s="16">
        <f t="shared" si="46"/>
        <v>43</v>
      </c>
      <c r="D108" s="21">
        <f t="shared" si="47"/>
        <v>0</v>
      </c>
      <c r="E108" s="27">
        <f t="shared" si="48"/>
        <v>0</v>
      </c>
      <c r="F108" s="27">
        <f t="shared" si="49"/>
        <v>12.250454634603978</v>
      </c>
      <c r="G108" s="21">
        <f t="shared" si="58"/>
        <v>0</v>
      </c>
      <c r="H108" s="27">
        <f t="shared" si="59"/>
        <v>0</v>
      </c>
      <c r="I108" s="21">
        <f t="shared" si="50"/>
        <v>0</v>
      </c>
      <c r="J108" s="27">
        <f t="shared" si="51"/>
        <v>0</v>
      </c>
      <c r="K108" s="21">
        <f t="shared" si="52"/>
        <v>0</v>
      </c>
      <c r="L108" s="21">
        <f t="shared" si="53"/>
        <v>0</v>
      </c>
      <c r="M108" s="21">
        <f t="shared" si="60"/>
        <v>0</v>
      </c>
      <c r="N108" s="21">
        <f t="shared" si="54"/>
        <v>0</v>
      </c>
      <c r="O108" s="21">
        <f t="shared" si="55"/>
        <v>0</v>
      </c>
      <c r="P108" s="21">
        <f t="shared" si="56"/>
        <v>0</v>
      </c>
      <c r="Q108" s="16">
        <f t="shared" si="57"/>
        <v>0</v>
      </c>
    </row>
    <row r="109" spans="1:17" x14ac:dyDescent="0.3">
      <c r="A109" s="16">
        <v>45</v>
      </c>
      <c r="B109" s="16">
        <f t="shared" si="45"/>
        <v>2070</v>
      </c>
      <c r="C109" s="16">
        <f t="shared" si="46"/>
        <v>44</v>
      </c>
      <c r="D109" s="21">
        <f t="shared" si="47"/>
        <v>0</v>
      </c>
      <c r="E109" s="27">
        <f t="shared" si="48"/>
        <v>0</v>
      </c>
      <c r="F109" s="27">
        <f t="shared" si="49"/>
        <v>12.985481912680218</v>
      </c>
      <c r="G109" s="21">
        <f t="shared" si="58"/>
        <v>0</v>
      </c>
      <c r="H109" s="27">
        <f t="shared" si="59"/>
        <v>0</v>
      </c>
      <c r="I109" s="21">
        <f t="shared" si="50"/>
        <v>0</v>
      </c>
      <c r="J109" s="27">
        <f t="shared" si="51"/>
        <v>0</v>
      </c>
      <c r="K109" s="21">
        <f t="shared" si="52"/>
        <v>0</v>
      </c>
      <c r="L109" s="21">
        <f t="shared" si="53"/>
        <v>0</v>
      </c>
      <c r="M109" s="21">
        <f t="shared" si="60"/>
        <v>0</v>
      </c>
      <c r="N109" s="21">
        <f t="shared" si="54"/>
        <v>0</v>
      </c>
      <c r="O109" s="21">
        <f t="shared" si="55"/>
        <v>0</v>
      </c>
      <c r="P109" s="21">
        <f t="shared" si="56"/>
        <v>0</v>
      </c>
      <c r="Q109" s="16">
        <f t="shared" si="57"/>
        <v>0</v>
      </c>
    </row>
    <row r="110" spans="1:17" x14ac:dyDescent="0.3">
      <c r="A110" s="16">
        <v>46</v>
      </c>
      <c r="B110" s="16">
        <f t="shared" si="45"/>
        <v>2071</v>
      </c>
      <c r="C110" s="16">
        <f t="shared" si="46"/>
        <v>45</v>
      </c>
      <c r="D110" s="21">
        <f t="shared" si="47"/>
        <v>0</v>
      </c>
      <c r="E110" s="27">
        <f t="shared" si="48"/>
        <v>0</v>
      </c>
      <c r="F110" s="27">
        <f t="shared" si="49"/>
        <v>13.764610827441031</v>
      </c>
      <c r="G110" s="21">
        <f t="shared" si="58"/>
        <v>0</v>
      </c>
      <c r="H110" s="27">
        <f t="shared" si="59"/>
        <v>0</v>
      </c>
      <c r="I110" s="21">
        <f t="shared" si="50"/>
        <v>0</v>
      </c>
      <c r="J110" s="27">
        <f t="shared" si="51"/>
        <v>0</v>
      </c>
      <c r="K110" s="21">
        <f t="shared" si="52"/>
        <v>0</v>
      </c>
      <c r="L110" s="21">
        <f t="shared" si="53"/>
        <v>0</v>
      </c>
      <c r="M110" s="21">
        <f t="shared" si="60"/>
        <v>0</v>
      </c>
      <c r="N110" s="21">
        <f t="shared" si="54"/>
        <v>0</v>
      </c>
      <c r="O110" s="21">
        <f t="shared" si="55"/>
        <v>0</v>
      </c>
      <c r="P110" s="21">
        <f t="shared" si="56"/>
        <v>0</v>
      </c>
      <c r="Q110" s="16">
        <f t="shared" si="57"/>
        <v>0</v>
      </c>
    </row>
    <row r="111" spans="1:17" x14ac:dyDescent="0.3">
      <c r="A111" s="16">
        <v>47</v>
      </c>
      <c r="B111" s="16">
        <f t="shared" si="45"/>
        <v>2072</v>
      </c>
      <c r="C111" s="16">
        <f t="shared" si="46"/>
        <v>46</v>
      </c>
      <c r="D111" s="21">
        <f t="shared" si="47"/>
        <v>0</v>
      </c>
      <c r="E111" s="27">
        <f t="shared" si="48"/>
        <v>0</v>
      </c>
      <c r="F111" s="27">
        <f t="shared" si="49"/>
        <v>14.590487477087493</v>
      </c>
      <c r="G111" s="21">
        <f t="shared" si="58"/>
        <v>0</v>
      </c>
      <c r="H111" s="27">
        <f t="shared" si="59"/>
        <v>0</v>
      </c>
      <c r="I111" s="21">
        <f t="shared" si="50"/>
        <v>0</v>
      </c>
      <c r="J111" s="27">
        <f t="shared" si="51"/>
        <v>0</v>
      </c>
      <c r="K111" s="21">
        <f t="shared" si="52"/>
        <v>0</v>
      </c>
      <c r="L111" s="21">
        <f t="shared" si="53"/>
        <v>0</v>
      </c>
      <c r="M111" s="21">
        <f t="shared" si="60"/>
        <v>0</v>
      </c>
      <c r="N111" s="21">
        <f t="shared" si="54"/>
        <v>0</v>
      </c>
      <c r="O111" s="21">
        <f t="shared" si="55"/>
        <v>0</v>
      </c>
      <c r="P111" s="21">
        <f t="shared" si="56"/>
        <v>0</v>
      </c>
      <c r="Q111" s="16">
        <f t="shared" si="57"/>
        <v>0</v>
      </c>
    </row>
    <row r="112" spans="1:17" x14ac:dyDescent="0.3">
      <c r="A112" s="16">
        <v>48</v>
      </c>
      <c r="B112" s="16">
        <f t="shared" si="45"/>
        <v>2073</v>
      </c>
      <c r="C112" s="16">
        <f t="shared" si="46"/>
        <v>47</v>
      </c>
      <c r="D112" s="21">
        <f t="shared" si="47"/>
        <v>0</v>
      </c>
      <c r="E112" s="27">
        <f t="shared" si="48"/>
        <v>0</v>
      </c>
      <c r="F112" s="27">
        <f t="shared" si="49"/>
        <v>15.465916725712747</v>
      </c>
      <c r="G112" s="21">
        <f t="shared" si="58"/>
        <v>0</v>
      </c>
      <c r="H112" s="27">
        <f t="shared" si="59"/>
        <v>0</v>
      </c>
      <c r="I112" s="21">
        <f t="shared" si="50"/>
        <v>0</v>
      </c>
      <c r="J112" s="27">
        <f t="shared" si="51"/>
        <v>0</v>
      </c>
      <c r="K112" s="21">
        <f t="shared" si="52"/>
        <v>0</v>
      </c>
      <c r="L112" s="21">
        <f t="shared" si="53"/>
        <v>0</v>
      </c>
      <c r="M112" s="21">
        <f t="shared" si="60"/>
        <v>0</v>
      </c>
      <c r="N112" s="21">
        <f t="shared" si="54"/>
        <v>0</v>
      </c>
      <c r="O112" s="21">
        <f t="shared" si="55"/>
        <v>0</v>
      </c>
      <c r="P112" s="21">
        <f t="shared" si="56"/>
        <v>0</v>
      </c>
      <c r="Q112" s="16">
        <f t="shared" si="57"/>
        <v>0</v>
      </c>
    </row>
    <row r="113" spans="1:17" x14ac:dyDescent="0.3">
      <c r="A113" s="16">
        <v>49</v>
      </c>
      <c r="B113" s="16">
        <f t="shared" si="45"/>
        <v>2074</v>
      </c>
      <c r="C113" s="16">
        <f t="shared" si="46"/>
        <v>48</v>
      </c>
      <c r="D113" s="21">
        <f t="shared" si="47"/>
        <v>0</v>
      </c>
      <c r="E113" s="27">
        <f t="shared" si="48"/>
        <v>0</v>
      </c>
      <c r="F113" s="27">
        <f t="shared" si="49"/>
        <v>16.393871729255508</v>
      </c>
      <c r="G113" s="21">
        <f t="shared" si="58"/>
        <v>0</v>
      </c>
      <c r="H113" s="27">
        <f t="shared" si="59"/>
        <v>0</v>
      </c>
      <c r="I113" s="21">
        <f t="shared" si="50"/>
        <v>0</v>
      </c>
      <c r="J113" s="27">
        <f t="shared" si="51"/>
        <v>0</v>
      </c>
      <c r="K113" s="21">
        <f t="shared" si="52"/>
        <v>0</v>
      </c>
      <c r="L113" s="21">
        <f t="shared" si="53"/>
        <v>0</v>
      </c>
      <c r="M113" s="21">
        <f t="shared" si="60"/>
        <v>0</v>
      </c>
      <c r="N113" s="21">
        <f t="shared" si="54"/>
        <v>0</v>
      </c>
      <c r="O113" s="21">
        <f t="shared" si="55"/>
        <v>0</v>
      </c>
      <c r="P113" s="21">
        <f t="shared" si="56"/>
        <v>0</v>
      </c>
      <c r="Q113" s="16">
        <f t="shared" si="57"/>
        <v>0</v>
      </c>
    </row>
    <row r="114" spans="1:17" x14ac:dyDescent="0.3">
      <c r="A114" s="16">
        <v>50</v>
      </c>
      <c r="B114" s="16">
        <f t="shared" si="45"/>
        <v>2075</v>
      </c>
      <c r="C114" s="16">
        <f t="shared" si="46"/>
        <v>49</v>
      </c>
      <c r="D114" s="21">
        <f t="shared" si="47"/>
        <v>0</v>
      </c>
      <c r="E114" s="27">
        <f t="shared" si="48"/>
        <v>0</v>
      </c>
      <c r="F114" s="27">
        <f t="shared" si="49"/>
        <v>17.37750403301084</v>
      </c>
      <c r="G114" s="21">
        <f t="shared" si="58"/>
        <v>0</v>
      </c>
      <c r="H114" s="27">
        <f t="shared" si="59"/>
        <v>0</v>
      </c>
      <c r="I114" s="21">
        <f t="shared" si="50"/>
        <v>0</v>
      </c>
      <c r="J114" s="27">
        <f t="shared" si="51"/>
        <v>0</v>
      </c>
      <c r="K114" s="21">
        <f t="shared" si="52"/>
        <v>0</v>
      </c>
      <c r="L114" s="21">
        <f t="shared" si="53"/>
        <v>0</v>
      </c>
      <c r="M114" s="21">
        <f t="shared" si="60"/>
        <v>0</v>
      </c>
      <c r="N114" s="21">
        <f t="shared" si="54"/>
        <v>0</v>
      </c>
      <c r="O114" s="21">
        <f t="shared" si="55"/>
        <v>0</v>
      </c>
      <c r="P114" s="21">
        <f t="shared" si="56"/>
        <v>0</v>
      </c>
      <c r="Q114" s="16">
        <f t="shared" si="57"/>
        <v>0</v>
      </c>
    </row>
    <row r="115" spans="1:17" x14ac:dyDescent="0.3">
      <c r="A115" s="16">
        <v>51</v>
      </c>
      <c r="B115" s="16">
        <f t="shared" si="45"/>
        <v>2076</v>
      </c>
      <c r="C115" s="16">
        <f t="shared" si="46"/>
        <v>50</v>
      </c>
      <c r="D115" s="21">
        <f t="shared" si="47"/>
        <v>0</v>
      </c>
      <c r="E115" s="27">
        <f t="shared" si="48"/>
        <v>0</v>
      </c>
      <c r="F115" s="27">
        <f t="shared" si="49"/>
        <v>18.420154274991489</v>
      </c>
      <c r="G115" s="21">
        <f t="shared" si="58"/>
        <v>0</v>
      </c>
      <c r="H115" s="27">
        <f t="shared" si="59"/>
        <v>0</v>
      </c>
      <c r="I115" s="21">
        <f t="shared" si="50"/>
        <v>0</v>
      </c>
      <c r="J115" s="27">
        <f t="shared" si="51"/>
        <v>0</v>
      </c>
      <c r="K115" s="21">
        <f t="shared" si="52"/>
        <v>0</v>
      </c>
      <c r="L115" s="21">
        <f t="shared" si="53"/>
        <v>0</v>
      </c>
      <c r="M115" s="21">
        <f t="shared" si="60"/>
        <v>0</v>
      </c>
      <c r="N115" s="21">
        <f t="shared" si="54"/>
        <v>0</v>
      </c>
      <c r="O115" s="21">
        <f t="shared" si="55"/>
        <v>0</v>
      </c>
      <c r="P115" s="21">
        <f t="shared" si="56"/>
        <v>0</v>
      </c>
      <c r="Q115" s="16">
        <f t="shared" si="57"/>
        <v>0</v>
      </c>
    </row>
    <row r="116" spans="1:17" x14ac:dyDescent="0.3">
      <c r="A116" s="16">
        <v>52</v>
      </c>
      <c r="B116" s="16">
        <f t="shared" si="45"/>
        <v>2077</v>
      </c>
      <c r="C116" s="16">
        <f t="shared" si="46"/>
        <v>51</v>
      </c>
      <c r="D116" s="21">
        <f t="shared" si="47"/>
        <v>0</v>
      </c>
      <c r="E116" s="27">
        <f t="shared" si="48"/>
        <v>0</v>
      </c>
      <c r="F116" s="27">
        <f t="shared" si="49"/>
        <v>19.525363531490981</v>
      </c>
      <c r="G116" s="21">
        <f t="shared" si="58"/>
        <v>0</v>
      </c>
      <c r="H116" s="27">
        <f t="shared" si="59"/>
        <v>0</v>
      </c>
      <c r="I116" s="21">
        <f t="shared" si="50"/>
        <v>0</v>
      </c>
      <c r="J116" s="27">
        <f t="shared" si="51"/>
        <v>0</v>
      </c>
      <c r="K116" s="21">
        <f t="shared" si="52"/>
        <v>0</v>
      </c>
      <c r="L116" s="21">
        <f t="shared" si="53"/>
        <v>0</v>
      </c>
      <c r="M116" s="21">
        <f t="shared" si="60"/>
        <v>0</v>
      </c>
      <c r="N116" s="21">
        <f t="shared" si="54"/>
        <v>0</v>
      </c>
      <c r="O116" s="21">
        <f t="shared" si="55"/>
        <v>0</v>
      </c>
      <c r="P116" s="21">
        <f t="shared" si="56"/>
        <v>0</v>
      </c>
      <c r="Q116" s="16">
        <f t="shared" si="57"/>
        <v>0</v>
      </c>
    </row>
    <row r="117" spans="1:17" x14ac:dyDescent="0.3">
      <c r="A117" s="16">
        <v>53</v>
      </c>
      <c r="B117" s="16">
        <f t="shared" si="45"/>
        <v>2078</v>
      </c>
      <c r="C117" s="16">
        <f t="shared" si="46"/>
        <v>52</v>
      </c>
      <c r="D117" s="21">
        <f t="shared" si="47"/>
        <v>0</v>
      </c>
      <c r="E117" s="27">
        <f t="shared" si="48"/>
        <v>0</v>
      </c>
      <c r="F117" s="27">
        <f t="shared" si="49"/>
        <v>20.696885343380441</v>
      </c>
      <c r="G117" s="21">
        <f t="shared" si="58"/>
        <v>0</v>
      </c>
      <c r="H117" s="27">
        <f t="shared" si="59"/>
        <v>0</v>
      </c>
      <c r="I117" s="21">
        <f t="shared" si="50"/>
        <v>0</v>
      </c>
      <c r="J117" s="27">
        <f t="shared" si="51"/>
        <v>0</v>
      </c>
      <c r="K117" s="21">
        <f t="shared" si="52"/>
        <v>0</v>
      </c>
      <c r="L117" s="21">
        <f t="shared" si="53"/>
        <v>0</v>
      </c>
      <c r="M117" s="21">
        <f t="shared" si="60"/>
        <v>0</v>
      </c>
      <c r="N117" s="21">
        <f t="shared" si="54"/>
        <v>0</v>
      </c>
      <c r="O117" s="21">
        <f t="shared" si="55"/>
        <v>0</v>
      </c>
      <c r="P117" s="21">
        <f t="shared" si="56"/>
        <v>0</v>
      </c>
      <c r="Q117" s="16">
        <f t="shared" si="57"/>
        <v>0</v>
      </c>
    </row>
    <row r="118" spans="1:17" x14ac:dyDescent="0.3">
      <c r="A118" s="16">
        <v>54</v>
      </c>
      <c r="B118" s="16">
        <f t="shared" si="45"/>
        <v>2079</v>
      </c>
      <c r="C118" s="16">
        <f t="shared" si="46"/>
        <v>53</v>
      </c>
      <c r="D118" s="21">
        <f t="shared" si="47"/>
        <v>0</v>
      </c>
      <c r="E118" s="27">
        <f t="shared" si="48"/>
        <v>0</v>
      </c>
      <c r="F118" s="27">
        <f t="shared" si="49"/>
        <v>21.938698463983272</v>
      </c>
      <c r="G118" s="21">
        <f t="shared" si="58"/>
        <v>0</v>
      </c>
      <c r="H118" s="27">
        <f t="shared" si="59"/>
        <v>0</v>
      </c>
      <c r="I118" s="21">
        <f t="shared" si="50"/>
        <v>0</v>
      </c>
      <c r="J118" s="27">
        <f t="shared" si="51"/>
        <v>0</v>
      </c>
      <c r="K118" s="21">
        <f t="shared" si="52"/>
        <v>0</v>
      </c>
      <c r="L118" s="21">
        <f t="shared" si="53"/>
        <v>0</v>
      </c>
      <c r="M118" s="21">
        <f t="shared" si="60"/>
        <v>0</v>
      </c>
      <c r="N118" s="21">
        <f t="shared" si="54"/>
        <v>0</v>
      </c>
      <c r="O118" s="21">
        <f t="shared" si="55"/>
        <v>0</v>
      </c>
      <c r="P118" s="21">
        <f t="shared" si="56"/>
        <v>0</v>
      </c>
      <c r="Q118" s="16">
        <f t="shared" si="57"/>
        <v>0</v>
      </c>
    </row>
    <row r="119" spans="1:17" x14ac:dyDescent="0.3">
      <c r="A119" s="16">
        <v>55</v>
      </c>
      <c r="B119" s="16">
        <f t="shared" si="45"/>
        <v>2080</v>
      </c>
      <c r="C119" s="16">
        <f t="shared" si="46"/>
        <v>54</v>
      </c>
      <c r="D119" s="21">
        <f t="shared" si="47"/>
        <v>0</v>
      </c>
      <c r="E119" s="27">
        <f t="shared" si="48"/>
        <v>0</v>
      </c>
      <c r="F119" s="27">
        <f t="shared" si="49"/>
        <v>23.255020371822269</v>
      </c>
      <c r="G119" s="21">
        <f t="shared" si="58"/>
        <v>0</v>
      </c>
      <c r="H119" s="27">
        <f t="shared" si="59"/>
        <v>0</v>
      </c>
      <c r="I119" s="21">
        <f t="shared" si="50"/>
        <v>0</v>
      </c>
      <c r="J119" s="27">
        <f t="shared" si="51"/>
        <v>0</v>
      </c>
      <c r="K119" s="21">
        <f t="shared" si="52"/>
        <v>0</v>
      </c>
      <c r="L119" s="21">
        <f t="shared" si="53"/>
        <v>0</v>
      </c>
      <c r="M119" s="21">
        <f t="shared" si="60"/>
        <v>0</v>
      </c>
      <c r="N119" s="21">
        <f t="shared" si="54"/>
        <v>0</v>
      </c>
      <c r="O119" s="21">
        <f t="shared" si="55"/>
        <v>0</v>
      </c>
      <c r="P119" s="21">
        <f t="shared" si="56"/>
        <v>0</v>
      </c>
      <c r="Q119" s="16">
        <f t="shared" si="57"/>
        <v>0</v>
      </c>
    </row>
    <row r="120" spans="1:17" x14ac:dyDescent="0.3">
      <c r="A120" s="16">
        <v>56</v>
      </c>
      <c r="B120" s="16">
        <f t="shared" si="45"/>
        <v>2081</v>
      </c>
      <c r="C120" s="16">
        <f t="shared" si="46"/>
        <v>55</v>
      </c>
      <c r="D120" s="21">
        <f t="shared" si="47"/>
        <v>0</v>
      </c>
      <c r="E120" s="27">
        <f t="shared" si="48"/>
        <v>0</v>
      </c>
      <c r="F120" s="27">
        <f t="shared" si="49"/>
        <v>24.650321594131608</v>
      </c>
      <c r="G120" s="21">
        <f t="shared" si="58"/>
        <v>0</v>
      </c>
      <c r="H120" s="27">
        <f t="shared" si="59"/>
        <v>0</v>
      </c>
      <c r="I120" s="21">
        <f t="shared" si="50"/>
        <v>0</v>
      </c>
      <c r="J120" s="27">
        <f t="shared" si="51"/>
        <v>0</v>
      </c>
      <c r="K120" s="21">
        <f t="shared" si="52"/>
        <v>0</v>
      </c>
      <c r="L120" s="21">
        <f t="shared" si="53"/>
        <v>0</v>
      </c>
      <c r="M120" s="21">
        <f t="shared" si="60"/>
        <v>0</v>
      </c>
      <c r="N120" s="21">
        <f t="shared" si="54"/>
        <v>0</v>
      </c>
      <c r="O120" s="21">
        <f t="shared" si="55"/>
        <v>0</v>
      </c>
      <c r="P120" s="21">
        <f t="shared" si="56"/>
        <v>0</v>
      </c>
      <c r="Q120" s="16">
        <f t="shared" si="57"/>
        <v>0</v>
      </c>
    </row>
    <row r="121" spans="1:17" x14ac:dyDescent="0.3">
      <c r="A121" s="16">
        <v>57</v>
      </c>
      <c r="B121" s="16">
        <f t="shared" si="45"/>
        <v>2082</v>
      </c>
      <c r="C121" s="16">
        <f t="shared" si="46"/>
        <v>56</v>
      </c>
      <c r="D121" s="21">
        <f t="shared" si="47"/>
        <v>0</v>
      </c>
      <c r="E121" s="27">
        <f t="shared" si="48"/>
        <v>0</v>
      </c>
      <c r="F121" s="27">
        <f t="shared" si="49"/>
        <v>26.129340889779499</v>
      </c>
      <c r="G121" s="21">
        <f t="shared" si="58"/>
        <v>0</v>
      </c>
      <c r="H121" s="27">
        <f t="shared" si="59"/>
        <v>0</v>
      </c>
      <c r="I121" s="21">
        <f t="shared" si="50"/>
        <v>0</v>
      </c>
      <c r="J121" s="27">
        <f t="shared" si="51"/>
        <v>0</v>
      </c>
      <c r="K121" s="21">
        <f t="shared" si="52"/>
        <v>0</v>
      </c>
      <c r="L121" s="21">
        <f t="shared" si="53"/>
        <v>0</v>
      </c>
      <c r="M121" s="21">
        <f t="shared" si="60"/>
        <v>0</v>
      </c>
      <c r="N121" s="21">
        <f t="shared" si="54"/>
        <v>0</v>
      </c>
      <c r="O121" s="21">
        <f t="shared" si="55"/>
        <v>0</v>
      </c>
      <c r="P121" s="21">
        <f t="shared" si="56"/>
        <v>0</v>
      </c>
      <c r="Q121" s="16">
        <f t="shared" si="57"/>
        <v>0</v>
      </c>
    </row>
    <row r="122" spans="1:17" x14ac:dyDescent="0.3">
      <c r="A122" s="16">
        <v>58</v>
      </c>
      <c r="B122" s="16">
        <f t="shared" si="45"/>
        <v>2083</v>
      </c>
      <c r="C122" s="16">
        <f t="shared" si="46"/>
        <v>57</v>
      </c>
      <c r="D122" s="21">
        <f t="shared" si="47"/>
        <v>0</v>
      </c>
      <c r="E122" s="27">
        <f t="shared" si="48"/>
        <v>0</v>
      </c>
      <c r="F122" s="27">
        <f t="shared" si="49"/>
        <v>27.69710134316627</v>
      </c>
      <c r="G122" s="21">
        <f t="shared" si="58"/>
        <v>0</v>
      </c>
      <c r="H122" s="27">
        <f t="shared" si="59"/>
        <v>0</v>
      </c>
      <c r="I122" s="21">
        <f t="shared" si="50"/>
        <v>0</v>
      </c>
      <c r="J122" s="27">
        <f t="shared" si="51"/>
        <v>0</v>
      </c>
      <c r="K122" s="21">
        <f t="shared" si="52"/>
        <v>0</v>
      </c>
      <c r="L122" s="21">
        <f t="shared" si="53"/>
        <v>0</v>
      </c>
      <c r="M122" s="21">
        <f t="shared" si="60"/>
        <v>0</v>
      </c>
      <c r="N122" s="21">
        <f t="shared" si="54"/>
        <v>0</v>
      </c>
      <c r="O122" s="21">
        <f t="shared" si="55"/>
        <v>0</v>
      </c>
      <c r="P122" s="21">
        <f t="shared" si="56"/>
        <v>0</v>
      </c>
      <c r="Q122" s="16">
        <f t="shared" si="57"/>
        <v>0</v>
      </c>
    </row>
    <row r="123" spans="1:17" x14ac:dyDescent="0.3">
      <c r="A123" s="16">
        <v>59</v>
      </c>
      <c r="B123" s="16">
        <f t="shared" si="45"/>
        <v>2084</v>
      </c>
      <c r="C123" s="16">
        <f t="shared" si="46"/>
        <v>58</v>
      </c>
      <c r="D123" s="21">
        <f t="shared" si="47"/>
        <v>0</v>
      </c>
      <c r="E123" s="27">
        <f t="shared" si="48"/>
        <v>0</v>
      </c>
      <c r="F123" s="27">
        <f t="shared" si="49"/>
        <v>29.358927423756246</v>
      </c>
      <c r="G123" s="21">
        <f t="shared" si="58"/>
        <v>0</v>
      </c>
      <c r="H123" s="27">
        <f t="shared" si="59"/>
        <v>0</v>
      </c>
      <c r="I123" s="21">
        <f t="shared" si="50"/>
        <v>0</v>
      </c>
      <c r="J123" s="27">
        <f t="shared" si="51"/>
        <v>0</v>
      </c>
      <c r="K123" s="21">
        <f t="shared" si="52"/>
        <v>0</v>
      </c>
      <c r="L123" s="21">
        <f t="shared" si="53"/>
        <v>0</v>
      </c>
      <c r="M123" s="21">
        <f t="shared" si="60"/>
        <v>0</v>
      </c>
      <c r="N123" s="21">
        <f t="shared" si="54"/>
        <v>0</v>
      </c>
      <c r="O123" s="21">
        <f t="shared" si="55"/>
        <v>0</v>
      </c>
      <c r="P123" s="21">
        <f t="shared" si="56"/>
        <v>0</v>
      </c>
      <c r="Q123" s="16">
        <f t="shared" si="57"/>
        <v>0</v>
      </c>
    </row>
    <row r="124" spans="1:17" x14ac:dyDescent="0.3">
      <c r="A124" s="16">
        <v>60</v>
      </c>
      <c r="B124" s="16">
        <f t="shared" si="45"/>
        <v>2085</v>
      </c>
      <c r="C124" s="16">
        <f t="shared" si="46"/>
        <v>59</v>
      </c>
      <c r="D124" s="21">
        <f t="shared" si="47"/>
        <v>0</v>
      </c>
      <c r="E124" s="27">
        <f t="shared" si="48"/>
        <v>0</v>
      </c>
      <c r="F124" s="27">
        <f t="shared" si="49"/>
        <v>31.120463069181628</v>
      </c>
      <c r="G124" s="21">
        <f t="shared" si="58"/>
        <v>0</v>
      </c>
      <c r="H124" s="27">
        <f t="shared" si="59"/>
        <v>0</v>
      </c>
      <c r="I124" s="21">
        <f t="shared" si="50"/>
        <v>0</v>
      </c>
      <c r="J124" s="27">
        <f t="shared" si="51"/>
        <v>0</v>
      </c>
      <c r="K124" s="21">
        <f t="shared" si="52"/>
        <v>0</v>
      </c>
      <c r="L124" s="21">
        <f t="shared" si="53"/>
        <v>0</v>
      </c>
      <c r="M124" s="21">
        <f t="shared" si="60"/>
        <v>0</v>
      </c>
      <c r="N124" s="21">
        <f t="shared" si="54"/>
        <v>0</v>
      </c>
      <c r="O124" s="21">
        <f t="shared" si="55"/>
        <v>0</v>
      </c>
      <c r="P124" s="21">
        <f t="shared" si="56"/>
        <v>0</v>
      </c>
      <c r="Q124" s="16">
        <f t="shared" si="57"/>
        <v>0</v>
      </c>
    </row>
    <row r="126" spans="1:17" x14ac:dyDescent="0.3">
      <c r="A126" s="8" t="s">
        <v>64</v>
      </c>
      <c r="B126" s="26">
        <f>IF($B$22=1,MAX(K65:K124),0)</f>
        <v>0</v>
      </c>
    </row>
    <row r="127" spans="1:17" x14ac:dyDescent="0.3">
      <c r="A127" s="8" t="s">
        <v>176</v>
      </c>
      <c r="B127" s="26">
        <f>IF($B$22=1,IF(MAX(0,MAX(L65:L124))&lt;0.000000001,0,MAX(0,MAX(L65:L124))),0)</f>
        <v>0</v>
      </c>
    </row>
  </sheetData>
  <sheetProtection sheet="1" objects="1" formatCells="0" formatColumns="0" formatRows="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27"/>
  <sheetViews>
    <sheetView workbookViewId="0">
      <pane xSplit="1" ySplit="3" topLeftCell="B4" activePane="bottomRight" state="frozen"/>
      <selection pane="topRight"/>
      <selection pane="bottomLeft"/>
      <selection pane="bottomRight"/>
    </sheetView>
  </sheetViews>
  <sheetFormatPr defaultRowHeight="14.4" x14ac:dyDescent="0.3"/>
  <cols>
    <col min="1" max="1" width="44" customWidth="1"/>
    <col min="2" max="2" width="18" customWidth="1"/>
    <col min="3" max="6" width="13" customWidth="1"/>
    <col min="7" max="7" width="30" customWidth="1"/>
    <col min="8" max="29" width="13" customWidth="1"/>
  </cols>
  <sheetData>
    <row r="1" spans="1:2" ht="21" x14ac:dyDescent="0.4">
      <c r="A1" s="5" t="s">
        <v>178</v>
      </c>
    </row>
    <row r="2" spans="1:2" x14ac:dyDescent="0.3">
      <c r="A2" s="6" t="s">
        <v>103</v>
      </c>
    </row>
    <row r="4" spans="1:2" x14ac:dyDescent="0.3">
      <c r="A4" s="16" t="s">
        <v>104</v>
      </c>
      <c r="B4" s="12">
        <f>IF(3&lt;=NumChildren,1,0)</f>
        <v>0</v>
      </c>
    </row>
    <row r="5" spans="1:2" x14ac:dyDescent="0.3">
      <c r="A5" s="16" t="s">
        <v>30</v>
      </c>
      <c r="B5" s="12" t="str">
        <f>IF(Inputs!$E$17="","",Inputs!$E$17)</f>
        <v/>
      </c>
    </row>
    <row r="6" spans="1:2" x14ac:dyDescent="0.3">
      <c r="A6" s="16" t="s">
        <v>31</v>
      </c>
      <c r="B6" s="12" t="str">
        <f>IF(Inputs!$E$18="","",Inputs!$E$18)</f>
        <v/>
      </c>
    </row>
    <row r="7" spans="1:2" x14ac:dyDescent="0.3">
      <c r="A7" s="16" t="s">
        <v>105</v>
      </c>
      <c r="B7" s="12" t="str">
        <f>IF(Inputs!$E$15="","",Inputs!$E$15)</f>
        <v/>
      </c>
    </row>
    <row r="8" spans="1:2" x14ac:dyDescent="0.3">
      <c r="A8" s="16" t="s">
        <v>106</v>
      </c>
      <c r="B8" s="12">
        <f>IF(Inputs!$E$19="","",Inputs!$E$19)</f>
        <v>18</v>
      </c>
    </row>
    <row r="9" spans="1:2" x14ac:dyDescent="0.3">
      <c r="A9" s="16" t="s">
        <v>107</v>
      </c>
      <c r="B9" s="12" t="str">
        <f>IF($B$5="","",IF(COUNTIF(DomKey,$B$5&amp;"|"&amp;Nationality)&gt;0,"domestic","international"))</f>
        <v/>
      </c>
    </row>
    <row r="10" spans="1:2" x14ac:dyDescent="0.3">
      <c r="A10" s="16" t="s">
        <v>108</v>
      </c>
      <c r="B10" s="12" t="str">
        <f>$B$5&amp;"|"&amp;$B$6&amp;"|"&amp;$B$9</f>
        <v>||</v>
      </c>
    </row>
    <row r="11" spans="1:2" x14ac:dyDescent="0.3">
      <c r="A11" s="16" t="s">
        <v>109</v>
      </c>
      <c r="B11" s="12">
        <f>IFERROR(MATCH($B$10,DB_Key,0),0)</f>
        <v>0</v>
      </c>
    </row>
    <row r="12" spans="1:2" x14ac:dyDescent="0.3">
      <c r="A12" s="16" t="s">
        <v>110</v>
      </c>
      <c r="B12" s="12" t="str">
        <f>IFERROR(INDEX(Ctry_Ccy,MATCH($B$5,Ctry_Name,0)),"USD")</f>
        <v>USD</v>
      </c>
    </row>
    <row r="13" spans="1:2" x14ac:dyDescent="0.3">
      <c r="A13" s="16" t="s">
        <v>68</v>
      </c>
      <c r="B13" s="12">
        <f>IF($B$11&gt;0,INDEX(DB_Dur,$B$11),0)</f>
        <v>0</v>
      </c>
    </row>
    <row r="14" spans="1:2" x14ac:dyDescent="0.3">
      <c r="A14" s="16" t="s">
        <v>111</v>
      </c>
      <c r="B14" s="12">
        <f>IF($B$11&gt;0,INDEX(DB_Avail,$B$11),0)</f>
        <v>0</v>
      </c>
    </row>
    <row r="15" spans="1:2" x14ac:dyDescent="0.3">
      <c r="A15" s="16" t="s">
        <v>112</v>
      </c>
      <c r="B15" s="12">
        <f>IF($B$11&gt;0,INDEX(DB_PreYears,$B$11),0)</f>
        <v>0</v>
      </c>
    </row>
    <row r="16" spans="1:2" x14ac:dyDescent="0.3">
      <c r="A16" s="16" t="s">
        <v>113</v>
      </c>
      <c r="B16" s="14">
        <f>IF(ISNUMBER(Inputs!$E$20),Inputs!$E$20,IF($B$11&gt;0,INDEX(DB_TInf,$B$11),0))</f>
        <v>0</v>
      </c>
    </row>
    <row r="17" spans="1:10" x14ac:dyDescent="0.3">
      <c r="A17" s="16" t="s">
        <v>114</v>
      </c>
      <c r="B17" s="14">
        <f>IF(ISNUMBER(Inputs!$E$21),Inputs!$E$21,IFERROR(INDEX(Ctry_LInf,MATCH($B$5,Ctry_Name,0)),0))</f>
        <v>0</v>
      </c>
    </row>
    <row r="18" spans="1:10" x14ac:dyDescent="0.3">
      <c r="A18" s="16" t="s">
        <v>115</v>
      </c>
      <c r="B18" s="12">
        <f>IF($B$22=1,MAX(0,$B$8-$B$7),0)</f>
        <v>0</v>
      </c>
    </row>
    <row r="19" spans="1:10" x14ac:dyDescent="0.3">
      <c r="A19" s="16" t="s">
        <v>116</v>
      </c>
      <c r="B19" s="12">
        <f>ROUNDUP($B$13,0)</f>
        <v>0</v>
      </c>
    </row>
    <row r="20" spans="1:10" x14ac:dyDescent="0.3">
      <c r="A20" s="16" t="s">
        <v>117</v>
      </c>
      <c r="B20" s="12">
        <f>IF($B$22=1,$B$18+$B$19,0)</f>
        <v>0</v>
      </c>
    </row>
    <row r="21" spans="1:10" x14ac:dyDescent="0.3">
      <c r="A21" s="16" t="s">
        <v>118</v>
      </c>
      <c r="B21" s="12">
        <f>MAX(0,$B$20-1)</f>
        <v>0</v>
      </c>
    </row>
    <row r="22" spans="1:10" x14ac:dyDescent="0.3">
      <c r="A22" s="16" t="s">
        <v>119</v>
      </c>
      <c r="B22" s="12">
        <f>IF(IFERROR(AND($B$4=1,$B$5&lt;&gt;"",$B$6&lt;&gt;"",$B$14=1,IFERROR(AND(ISNUMBER($B$7),$B$7&gt;=0,$B$7&lt;=18,INT($B$7)=$B$7),FALSE),IFERROR(AND(ISNUMBER($B$8),$B$8&gt;=14,$B$8&lt;=45,INT($B$8)=$B$8),FALSE)),FALSE),1,0)</f>
        <v>0</v>
      </c>
    </row>
    <row r="23" spans="1:10" x14ac:dyDescent="0.3">
      <c r="A23" s="16" t="s">
        <v>70</v>
      </c>
      <c r="B23" s="12" t="str">
        <f>IF($B$4&lt;&gt;1,"",IF(AND($B$7="",$B$5="",$B$6=""),"Enter this child's details on the Inputs sheet.",IF(NOT(IFERROR(AND(ISNUMBER($B$7),$B$7&gt;=0,$B$7&lt;=18,INT($B$7)=$B$7),FALSE)),"Choose the child's current age (0 to 18).",IF(NOT(IFERROR(AND(ISNUMBER($B$8),$B$8&gt;=14,$B$8&lt;=45,INT($B$8)=$B$8),FALSE)),"College-entry age must be a whole number from 14 to 45.",IF($B$5="","Choose the education country.",IF($B$6="","Choose the qualification.",IF($B$14&lt;&gt;1,"This qualification is not offered (or has no typical duration) in the selected country.","")))))))</f>
        <v/>
      </c>
    </row>
    <row r="24" spans="1:10" x14ac:dyDescent="0.3">
      <c r="A24" s="16" t="s">
        <v>120</v>
      </c>
      <c r="B24" s="12">
        <f>INDEX(FxUsed,MATCH(RepCcy,FxCodes,0))/INDEX(FxUsed,MATCH($B$12,FxCodes,0))</f>
        <v>1</v>
      </c>
    </row>
    <row r="25" spans="1:10" x14ac:dyDescent="0.3">
      <c r="A25" s="16" t="s">
        <v>121</v>
      </c>
      <c r="B25" s="12">
        <f>IF($B$11=0,0,COUNTIF(RecKey,$B$10))</f>
        <v>0</v>
      </c>
    </row>
    <row r="26" spans="1:10" x14ac:dyDescent="0.3">
      <c r="A26" s="16" t="s">
        <v>122</v>
      </c>
      <c r="B26" s="12" t="str">
        <f>IF($B$25&gt;0,INDEX(DB_RecCcy,$B$11),IF($B$11&gt;0,INDEX(DB_EstCcy,$B$11),$B$12))</f>
        <v>USD</v>
      </c>
    </row>
    <row r="27" spans="1:10" x14ac:dyDescent="0.3">
      <c r="A27" s="16" t="s">
        <v>123</v>
      </c>
      <c r="B27" s="12">
        <f>IFERROR(MATCH($B$5&amp;"|"&amp;$B$9,LivKey,0),0)</f>
        <v>0</v>
      </c>
    </row>
    <row r="28" spans="1:10" x14ac:dyDescent="0.3">
      <c r="A28" s="16" t="s">
        <v>124</v>
      </c>
      <c r="B28" s="12">
        <f>IFERROR(MATCH($B$5&amp;"|"&amp;Nationality,VisaKey,0),0)</f>
        <v>0</v>
      </c>
    </row>
    <row r="29" spans="1:10" x14ac:dyDescent="0.3">
      <c r="A29" s="16" t="s">
        <v>125</v>
      </c>
      <c r="B29" s="12">
        <f>IFERROR(MATCH($B$5&amp;"|"&amp;Residence,TravKey,0),0)</f>
        <v>0</v>
      </c>
    </row>
    <row r="31" spans="1:10" ht="39.6" x14ac:dyDescent="0.3">
      <c r="A31" s="22" t="s">
        <v>126</v>
      </c>
      <c r="B31" s="22" t="s">
        <v>127</v>
      </c>
      <c r="C31" s="22" t="s">
        <v>128</v>
      </c>
      <c r="D31" s="22" t="s">
        <v>129</v>
      </c>
      <c r="E31" s="22" t="s">
        <v>130</v>
      </c>
      <c r="F31" s="22" t="s">
        <v>131</v>
      </c>
      <c r="G31" s="22" t="s">
        <v>132</v>
      </c>
      <c r="H31" s="22" t="s">
        <v>133</v>
      </c>
      <c r="I31" s="22" t="s">
        <v>134</v>
      </c>
      <c r="J31" s="22" t="s">
        <v>135</v>
      </c>
    </row>
    <row r="32" spans="1:10" x14ac:dyDescent="0.3">
      <c r="A32" s="16" t="s">
        <v>36</v>
      </c>
      <c r="B32" s="25">
        <f>IF($B$11=0,0,(IF($B$25&gt;0,SUMPRODUCT((RecKey=$B$10)*RecTuition*(1+$B$16)^(PlanYear-RecYear))/$B$25,INDEX(DB_EstTuition,$B$11)))/INDEX(FxUsed,MATCH($B$26,FxCodes,0))*INDEX(FxUsed,MATCH($B$12,FxCodes,0)))</f>
        <v>0</v>
      </c>
      <c r="C32" s="21" t="str">
        <f>IF(ISNUMBER(Inputs!$E$23),Inputs!$E$23,"")</f>
        <v/>
      </c>
      <c r="D32" s="25">
        <f t="shared" ref="D32:D43" si="0">IF(ISNUMBER(C32),IF(C32&gt;=0,C32,B32),B32)</f>
        <v>0</v>
      </c>
      <c r="E32" s="12">
        <f>IF(ISNUMBER(C32),PlanYear,IF($B$25&gt;0,PlanYear,IF($B$11&gt;0,INDEX(DB_EstBase,$B$11),PlanYear)))</f>
        <v>2026</v>
      </c>
      <c r="F32" s="12" t="str">
        <f>IF(ISNUMBER(C32),"override",IF($B$11=0,"missing",IF($B$25&gt;0,"verified",INDEX(DB_EstStatus,$B$11))))</f>
        <v>missing</v>
      </c>
      <c r="G32" s="16" t="str">
        <f t="shared" ref="G32:G43" si="1">IF(F32="verified","Published figure",IF(F32="estimated","Estimated — please review",IF(F32="notNeeded","Not needed",IF(F32="override","Your figure",IF(F32="missing","No figure yet — enter your own","")))))</f>
        <v>No figure yet — enter your own</v>
      </c>
      <c r="H32" s="16" t="s">
        <v>136</v>
      </c>
      <c r="I32" s="16" t="s">
        <v>137</v>
      </c>
      <c r="J32" s="16" t="s">
        <v>138</v>
      </c>
    </row>
    <row r="33" spans="1:27" x14ac:dyDescent="0.3">
      <c r="A33" s="16" t="s">
        <v>37</v>
      </c>
      <c r="B33" s="25">
        <f>IF($B$27=0,0,(INDEX(Liv_accommodation_Amt,$B$27))/INDEX(FxUsed,MATCH(INDEX(Liv_accommodation_Ccy,$B$27),FxCodes,0))*INDEX(FxUsed,MATCH($B$12,FxCodes,0)))</f>
        <v>0</v>
      </c>
      <c r="C33" s="21" t="str">
        <f>IF(ISNUMBER(Inputs!$E$24),Inputs!$E$24,"")</f>
        <v/>
      </c>
      <c r="D33" s="25">
        <f t="shared" si="0"/>
        <v>0</v>
      </c>
      <c r="E33" s="12">
        <f>IF(ISNUMBER(C33),PlanYear,IF($B$27=0,PlanYear,INDEX(Liv_accommodation_Base,$B$27)))</f>
        <v>2026</v>
      </c>
      <c r="F33" s="12" t="str">
        <f>IF(ISNUMBER(C33),"override",IF($B$27=0,"missing",INDEX(Liv_accommodation_Status,$B$27)))</f>
        <v>missing</v>
      </c>
      <c r="G33" s="16" t="str">
        <f t="shared" si="1"/>
        <v>No figure yet — enter your own</v>
      </c>
      <c r="H33" s="16" t="s">
        <v>139</v>
      </c>
      <c r="I33" s="16" t="s">
        <v>137</v>
      </c>
      <c r="J33" s="16" t="s">
        <v>138</v>
      </c>
    </row>
    <row r="34" spans="1:27" x14ac:dyDescent="0.3">
      <c r="A34" s="16" t="s">
        <v>38</v>
      </c>
      <c r="B34" s="25">
        <f>IF($B$27=0,0,(INDEX(Liv_food_Amt,$B$27))/INDEX(FxUsed,MATCH(INDEX(Liv_food_Ccy,$B$27),FxCodes,0))*INDEX(FxUsed,MATCH($B$12,FxCodes,0)))</f>
        <v>0</v>
      </c>
      <c r="C34" s="21" t="str">
        <f>IF(ISNUMBER(Inputs!$E$25),Inputs!$E$25,"")</f>
        <v/>
      </c>
      <c r="D34" s="25">
        <f t="shared" si="0"/>
        <v>0</v>
      </c>
      <c r="E34" s="12">
        <f>IF(ISNUMBER(C34),PlanYear,IF($B$27=0,PlanYear,INDEX(Liv_food_Base,$B$27)))</f>
        <v>2026</v>
      </c>
      <c r="F34" s="12" t="str">
        <f>IF(ISNUMBER(C34),"override",IF($B$27=0,"missing",INDEX(Liv_food_Status,$B$27)))</f>
        <v>missing</v>
      </c>
      <c r="G34" s="16" t="str">
        <f t="shared" si="1"/>
        <v>No figure yet — enter your own</v>
      </c>
      <c r="H34" s="16" t="s">
        <v>139</v>
      </c>
      <c r="I34" s="16" t="s">
        <v>137</v>
      </c>
      <c r="J34" s="16" t="s">
        <v>138</v>
      </c>
    </row>
    <row r="35" spans="1:27" x14ac:dyDescent="0.3">
      <c r="A35" s="16" t="s">
        <v>39</v>
      </c>
      <c r="B35" s="25">
        <f>IF($B$27=0,0,(INDEX(Liv_transport_Amt,$B$27))/INDEX(FxUsed,MATCH(INDEX(Liv_transport_Ccy,$B$27),FxCodes,0))*INDEX(FxUsed,MATCH($B$12,FxCodes,0)))</f>
        <v>0</v>
      </c>
      <c r="C35" s="21" t="str">
        <f>IF(ISNUMBER(Inputs!$E$26),Inputs!$E$26,"")</f>
        <v/>
      </c>
      <c r="D35" s="25">
        <f t="shared" si="0"/>
        <v>0</v>
      </c>
      <c r="E35" s="12">
        <f>IF(ISNUMBER(C35),PlanYear,IF($B$27=0,PlanYear,INDEX(Liv_transport_Base,$B$27)))</f>
        <v>2026</v>
      </c>
      <c r="F35" s="12" t="str">
        <f>IF(ISNUMBER(C35),"override",IF($B$27=0,"missing",INDEX(Liv_transport_Status,$B$27)))</f>
        <v>missing</v>
      </c>
      <c r="G35" s="16" t="str">
        <f t="shared" si="1"/>
        <v>No figure yet — enter your own</v>
      </c>
      <c r="H35" s="16" t="s">
        <v>139</v>
      </c>
      <c r="I35" s="16" t="s">
        <v>137</v>
      </c>
      <c r="J35" s="16" t="s">
        <v>138</v>
      </c>
    </row>
    <row r="36" spans="1:27" x14ac:dyDescent="0.3">
      <c r="A36" s="16" t="s">
        <v>40</v>
      </c>
      <c r="B36" s="25">
        <f>IF($B$27=0,0,(INDEX(Liv_healthInsurance_Amt,$B$27))/INDEX(FxUsed,MATCH(INDEX(Liv_healthInsurance_Ccy,$B$27),FxCodes,0))*INDEX(FxUsed,MATCH($B$12,FxCodes,0)))</f>
        <v>0</v>
      </c>
      <c r="C36" s="21" t="str">
        <f>IF(ISNUMBER(Inputs!$E$27),Inputs!$E$27,"")</f>
        <v/>
      </c>
      <c r="D36" s="25">
        <f t="shared" si="0"/>
        <v>0</v>
      </c>
      <c r="E36" s="12">
        <f>IF(ISNUMBER(C36),PlanYear,IF($B$27=0,PlanYear,INDEX(Liv_healthInsurance_Base,$B$27)))</f>
        <v>2026</v>
      </c>
      <c r="F36" s="12" t="str">
        <f>IF(ISNUMBER(C36),"override",IF($B$27=0,"missing",INDEX(Liv_healthInsurance_Status,$B$27)))</f>
        <v>missing</v>
      </c>
      <c r="G36" s="16" t="str">
        <f t="shared" si="1"/>
        <v>No figure yet — enter your own</v>
      </c>
      <c r="H36" s="16" t="s">
        <v>139</v>
      </c>
      <c r="I36" s="16" t="s">
        <v>137</v>
      </c>
      <c r="J36" s="16" t="s">
        <v>138</v>
      </c>
    </row>
    <row r="37" spans="1:27" x14ac:dyDescent="0.3">
      <c r="A37" s="16" t="s">
        <v>41</v>
      </c>
      <c r="B37" s="25">
        <f>IF($B$27=0,0,(INDEX(Liv_books_Amt,$B$27))/INDEX(FxUsed,MATCH(INDEX(Liv_books_Ccy,$B$27),FxCodes,0))*INDEX(FxUsed,MATCH($B$12,FxCodes,0)))</f>
        <v>0</v>
      </c>
      <c r="C37" s="21" t="str">
        <f>IF(ISNUMBER(Inputs!$E$28),Inputs!$E$28,"")</f>
        <v/>
      </c>
      <c r="D37" s="25">
        <f t="shared" si="0"/>
        <v>0</v>
      </c>
      <c r="E37" s="12">
        <f>IF(ISNUMBER(C37),PlanYear,IF($B$27=0,PlanYear,INDEX(Liv_books_Base,$B$27)))</f>
        <v>2026</v>
      </c>
      <c r="F37" s="12" t="str">
        <f>IF(ISNUMBER(C37),"override",IF($B$27=0,"missing",INDEX(Liv_books_Status,$B$27)))</f>
        <v>missing</v>
      </c>
      <c r="G37" s="16" t="str">
        <f t="shared" si="1"/>
        <v>No figure yet — enter your own</v>
      </c>
      <c r="H37" s="16" t="s">
        <v>139</v>
      </c>
      <c r="I37" s="16" t="s">
        <v>137</v>
      </c>
      <c r="J37" s="16" t="s">
        <v>138</v>
      </c>
    </row>
    <row r="38" spans="1:27" x14ac:dyDescent="0.3">
      <c r="A38" s="16" t="s">
        <v>42</v>
      </c>
      <c r="B38" s="25">
        <f>IF($B$11=0,0,(IF($B$25&gt;0,SUMPRODUCT((RecKey=$B$10)*RecOther*(1+$B$16)^(PlanYear-RecYear))/$B$25,INDEX(DB_EstOther,$B$11)))/INDEX(FxUsed,MATCH($B$26,FxCodes,0))*INDEX(FxUsed,MATCH($B$12,FxCodes,0)))</f>
        <v>0</v>
      </c>
      <c r="C38" s="21" t="str">
        <f>IF(ISNUMBER(Inputs!$E$29),Inputs!$E$29,"")</f>
        <v/>
      </c>
      <c r="D38" s="25">
        <f t="shared" si="0"/>
        <v>0</v>
      </c>
      <c r="E38" s="12">
        <f>IF(ISNUMBER(C38),PlanYear,IF($B$25&gt;0,PlanYear,IF($B$11&gt;0,INDEX(DB_EstBase,$B$11),PlanYear)))</f>
        <v>2026</v>
      </c>
      <c r="F38" s="12" t="str">
        <f>IF(ISNUMBER(C38),"override",IF($B$11=0,"missing",IF($B$25&gt;0,"verified",INDEX(DB_EstStatus,$B$11))))</f>
        <v>missing</v>
      </c>
      <c r="G38" s="16" t="str">
        <f t="shared" si="1"/>
        <v>No figure yet — enter your own</v>
      </c>
      <c r="H38" s="16" t="s">
        <v>136</v>
      </c>
      <c r="I38" s="16" t="s">
        <v>137</v>
      </c>
      <c r="J38" s="16" t="s">
        <v>138</v>
      </c>
    </row>
    <row r="39" spans="1:27" x14ac:dyDescent="0.3">
      <c r="A39" s="16" t="s">
        <v>140</v>
      </c>
      <c r="B39" s="25">
        <f>IF($B$15&gt;0,IF($B$15&gt;0,(INDEX(DB_PreAdm,$B$11))/INDEX(FxUsed,MATCH(INDEX(DB_PreCcy,$B$11),FxCodes,0))*INDEX(FxUsed,MATCH($B$12,FxCodes,0)),0),IF($B$11=0,0,(IF($B$25&gt;0,SUMPRODUCT((RecKey=$B$10)*RecAdm*(1+$B$16)^(PlanYear-RecYear))/$B$25,INDEX(DB_EstAdm,$B$11)))/INDEX(FxUsed,MATCH($B$26,FxCodes,0))*INDEX(FxUsed,MATCH($B$12,FxCodes,0))))</f>
        <v>0</v>
      </c>
      <c r="C39" s="21" t="str">
        <f>IF(ISNUMBER(Inputs!$E$30),Inputs!$E$30,"")</f>
        <v/>
      </c>
      <c r="D39" s="25">
        <f t="shared" si="0"/>
        <v>0</v>
      </c>
      <c r="E39" s="12">
        <f>IF(ISNUMBER(C39),PlanYear,IF($B$15&gt;0,INDEX(DB_PreBase,$B$11),IF($B$25&gt;0,PlanYear,IF($B$11&gt;0,INDEX(DB_EstBase,$B$11),PlanYear))))</f>
        <v>2026</v>
      </c>
      <c r="F39" s="12" t="str">
        <f>IF(ISNUMBER(C39),"override",IF($B$15&gt;0,INDEX(DB_PreStatus,$B$11),IF($B$11=0,"missing",IF($B$25&gt;0,"verified",INDEX(DB_EstStatus,$B$11)))))</f>
        <v>missing</v>
      </c>
      <c r="G39" s="16" t="str">
        <f t="shared" si="1"/>
        <v>No figure yet — enter your own</v>
      </c>
      <c r="H39" s="16" t="s">
        <v>136</v>
      </c>
      <c r="I39" s="16" t="s">
        <v>141</v>
      </c>
      <c r="J39" s="16" t="s">
        <v>138</v>
      </c>
    </row>
    <row r="40" spans="1:27" x14ac:dyDescent="0.3">
      <c r="A40" s="16" t="s">
        <v>142</v>
      </c>
      <c r="B40" s="25">
        <f>IF(OR($B$28=0,AND($B$9&lt;&gt;"domestic",Residence=$B$5,COUNTIF(ResNoVisa,$B$5)&gt;0)),0,(INDEX(VisaAmt,$B$28))/INDEX(FxUsed,MATCH(INDEX(VisaCcy,$B$28),FxCodes,0))*INDEX(FxUsed,MATCH($B$12,FxCodes,0)))</f>
        <v>0</v>
      </c>
      <c r="C40" s="21" t="str">
        <f>IF(ISNUMBER(Inputs!$E$31),Inputs!$E$31,"")</f>
        <v/>
      </c>
      <c r="D40" s="25">
        <f t="shared" si="0"/>
        <v>0</v>
      </c>
      <c r="E40" s="12">
        <f>IF(ISNUMBER(C40),PlanYear,IF(OR($B$28=0,AND($B$9&lt;&gt;"domestic",Residence=$B$5,COUNTIF(ResNoVisa,$B$5)&gt;0)),PlanYear,INDEX(VisaBase,$B$28)))</f>
        <v>2026</v>
      </c>
      <c r="F40" s="12" t="str">
        <f>IF(ISNUMBER(C40),"override",IF(AND($B$9&lt;&gt;"domestic",Residence=$B$5,COUNTIF(ResNoVisa,$B$5)&gt;0),"notNeeded",IF($B$28=0,"missing",INDEX(VisaStatus,$B$28))))</f>
        <v>missing</v>
      </c>
      <c r="G40" s="16" t="str">
        <f t="shared" si="1"/>
        <v>No figure yet — enter your own</v>
      </c>
      <c r="H40" s="16" t="s">
        <v>139</v>
      </c>
      <c r="I40" s="16" t="s">
        <v>141</v>
      </c>
      <c r="J40" s="16" t="s">
        <v>143</v>
      </c>
    </row>
    <row r="41" spans="1:27" x14ac:dyDescent="0.3">
      <c r="A41" s="16" t="s">
        <v>144</v>
      </c>
      <c r="B41" s="25">
        <f>IF($B$29=0,0,(INDEX(TravAmt,$B$29))/INDEX(FxUsed,MATCH(INDEX(TravCcy,$B$29),FxCodes,0))*INDEX(FxUsed,MATCH($B$12,FxCodes,0)))</f>
        <v>0</v>
      </c>
      <c r="C41" s="21" t="str">
        <f>IF(ISNUMBER(Inputs!$E$32),Inputs!$E$32,"")</f>
        <v/>
      </c>
      <c r="D41" s="25">
        <f t="shared" si="0"/>
        <v>0</v>
      </c>
      <c r="E41" s="12">
        <f>IF(ISNUMBER(C41),PlanYear,IF($B$29=0,PlanYear,INDEX(TravBase,$B$29)))</f>
        <v>2026</v>
      </c>
      <c r="F41" s="12" t="str">
        <f>IF(ISNUMBER(C41),"override",IF($B$29=0,"missing",INDEX(TravStatus,$B$29)))</f>
        <v>missing</v>
      </c>
      <c r="G41" s="16" t="str">
        <f t="shared" si="1"/>
        <v>No figure yet — enter your own</v>
      </c>
      <c r="H41" s="16" t="s">
        <v>139</v>
      </c>
      <c r="I41" s="16" t="s">
        <v>141</v>
      </c>
      <c r="J41" s="16" t="s">
        <v>143</v>
      </c>
    </row>
    <row r="42" spans="1:27" x14ac:dyDescent="0.3">
      <c r="A42" s="16" t="s">
        <v>46</v>
      </c>
      <c r="B42" s="25">
        <f>IF($B$15&gt;0,(INDEX(DB_PreTuition,$B$11))/INDEX(FxUsed,MATCH(INDEX(DB_PreCcy,$B$11),FxCodes,0))*INDEX(FxUsed,MATCH($B$12,FxCodes,0)),0)</f>
        <v>0</v>
      </c>
      <c r="C42" s="21" t="str">
        <f>IF(ISNUMBER(Inputs!$E$33),Inputs!$E$33,"")</f>
        <v/>
      </c>
      <c r="D42" s="25">
        <f t="shared" si="0"/>
        <v>0</v>
      </c>
      <c r="E42" s="12">
        <f>IF(ISNUMBER(C42),PlanYear,IF($B$15&gt;0,INDEX(DB_PreBase,$B$11),PlanYear))</f>
        <v>2026</v>
      </c>
      <c r="F42" s="12" t="str">
        <f>IF(ISNUMBER(C42),"override",IF($B$15&gt;0,INDEX(DB_PreStatus,$B$11),""))</f>
        <v/>
      </c>
      <c r="G42" s="16" t="str">
        <f t="shared" si="1"/>
        <v/>
      </c>
      <c r="H42" s="16" t="s">
        <v>136</v>
      </c>
      <c r="I42" s="16" t="s">
        <v>137</v>
      </c>
      <c r="J42" s="16" t="s">
        <v>138</v>
      </c>
    </row>
    <row r="43" spans="1:27" x14ac:dyDescent="0.3">
      <c r="A43" s="16" t="s">
        <v>47</v>
      </c>
      <c r="B43" s="25">
        <f>IF($B$15&gt;0,(INDEX(DB_PreOther,$B$11))/INDEX(FxUsed,MATCH(INDEX(DB_PreCcy,$B$11),FxCodes,0))*INDEX(FxUsed,MATCH($B$12,FxCodes,0)),0)</f>
        <v>0</v>
      </c>
      <c r="C43" s="21" t="str">
        <f>IF(ISNUMBER(Inputs!$E$34),Inputs!$E$34,"")</f>
        <v/>
      </c>
      <c r="D43" s="25">
        <f t="shared" si="0"/>
        <v>0</v>
      </c>
      <c r="E43" s="12">
        <f>IF(ISNUMBER(C43),PlanYear,IF($B$15&gt;0,INDEX(DB_PreBase,$B$11),PlanYear))</f>
        <v>2026</v>
      </c>
      <c r="F43" s="12" t="str">
        <f>IF(ISNUMBER(C43),"override",IF($B$15&gt;0,INDEX(DB_PreStatus,$B$11),""))</f>
        <v/>
      </c>
      <c r="G43" s="16" t="str">
        <f t="shared" si="1"/>
        <v/>
      </c>
      <c r="H43" s="16" t="s">
        <v>136</v>
      </c>
      <c r="I43" s="16" t="s">
        <v>137</v>
      </c>
      <c r="J43" s="16" t="s">
        <v>138</v>
      </c>
    </row>
    <row r="45" spans="1:27" ht="52.8" x14ac:dyDescent="0.3">
      <c r="A45" s="22" t="s">
        <v>145</v>
      </c>
      <c r="B45" s="22" t="s">
        <v>146</v>
      </c>
      <c r="C45" s="22" t="s">
        <v>147</v>
      </c>
      <c r="D45" s="22" t="s">
        <v>148</v>
      </c>
      <c r="E45" s="22" t="s">
        <v>149</v>
      </c>
      <c r="F45" s="22" t="s">
        <v>150</v>
      </c>
      <c r="G45" s="22" t="s">
        <v>151</v>
      </c>
      <c r="H45" s="22" t="s">
        <v>152</v>
      </c>
      <c r="I45" s="22" t="s">
        <v>153</v>
      </c>
      <c r="J45" s="22" t="s">
        <v>154</v>
      </c>
      <c r="K45" s="22" t="s">
        <v>155</v>
      </c>
      <c r="L45" s="22" t="s">
        <v>156</v>
      </c>
      <c r="M45" s="22" t="s">
        <v>157</v>
      </c>
      <c r="N45" s="22" t="s">
        <v>158</v>
      </c>
      <c r="O45" s="22" t="s">
        <v>159</v>
      </c>
      <c r="P45" s="22" t="s">
        <v>36</v>
      </c>
      <c r="Q45" s="22" t="s">
        <v>37</v>
      </c>
      <c r="R45" s="22" t="s">
        <v>38</v>
      </c>
      <c r="S45" s="22" t="s">
        <v>39</v>
      </c>
      <c r="T45" s="22" t="s">
        <v>40</v>
      </c>
      <c r="U45" s="22" t="s">
        <v>41</v>
      </c>
      <c r="V45" s="22" t="s">
        <v>42</v>
      </c>
      <c r="W45" s="22" t="s">
        <v>140</v>
      </c>
      <c r="X45" s="22" t="s">
        <v>142</v>
      </c>
      <c r="Y45" s="22" t="s">
        <v>144</v>
      </c>
      <c r="Z45" s="22" t="s">
        <v>83</v>
      </c>
      <c r="AA45" s="22" t="s">
        <v>160</v>
      </c>
    </row>
    <row r="46" spans="1:27" x14ac:dyDescent="0.3">
      <c r="A46" s="16">
        <v>0</v>
      </c>
      <c r="B46" s="16">
        <f t="shared" ref="B46:B55" si="2">PlanYear+$B$18+A46</f>
        <v>2026</v>
      </c>
      <c r="C46" s="16">
        <f t="shared" ref="C46:C55" si="3">MAX(0,MIN(1,$B$13-A46))</f>
        <v>0</v>
      </c>
      <c r="D46" s="16">
        <f t="shared" ref="D46:D55" si="4">IF(A46&lt;$B$15,1,0)</f>
        <v>0</v>
      </c>
      <c r="E46" s="16">
        <f t="shared" ref="E46:E55" si="5">IF(AND($B$22=1,A46&lt;$B$19),1,0)</f>
        <v>0</v>
      </c>
      <c r="F46" s="21">
        <f t="shared" ref="F46:F55" si="6">IF(AND(E46=1),IF(D46=1,$D$42,$D$32)*(1+$B$16)^(B46-IF(D46=1,$E$42,$E$32))*C46*$B$24,0)</f>
        <v>0</v>
      </c>
      <c r="G46" s="21">
        <f t="shared" ref="G46:G55" si="7">IF(AND(E46=1),$D$33*(1+$B$17)^(B46-$E$33)*C46*$B$24,0)</f>
        <v>0</v>
      </c>
      <c r="H46" s="21">
        <f t="shared" ref="H46:H55" si="8">IF(AND(E46=1),$D$34*(1+$B$17)^(B46-$E$34)*C46*$B$24,0)</f>
        <v>0</v>
      </c>
      <c r="I46" s="21">
        <f t="shared" ref="I46:I55" si="9">IF(AND(E46=1),$D$35*(1+$B$17)^(B46-$E$35)*C46*$B$24,0)</f>
        <v>0</v>
      </c>
      <c r="J46" s="21">
        <f t="shared" ref="J46:J55" si="10">IF(AND(E46=1),$D$36*(1+$B$17)^(B46-$E$36)*C46*$B$24,0)</f>
        <v>0</v>
      </c>
      <c r="K46" s="21">
        <f t="shared" ref="K46:K55" si="11">IF(AND(E46=1),$D$37*(1+$B$17)^(B46-$E$37)*C46*$B$24,0)</f>
        <v>0</v>
      </c>
      <c r="L46" s="21">
        <f t="shared" ref="L46:L55" si="12">IF(AND(E46=1),IF(D46=1,$D$43,$D$38)*(1+$B$16)^(B46-IF(D46=1,$E$43,$E$38))*C46*$B$24,0)</f>
        <v>0</v>
      </c>
      <c r="M46" s="21">
        <f t="shared" ref="M46:M55" si="13">IF(AND(E46=1,A46=0),$D$39*(1+$B$16)^(B46-$E$39)*$B$24,0)</f>
        <v>0</v>
      </c>
      <c r="N46" s="21">
        <f t="shared" ref="N46:N55" si="14">IF(AND(E46=1,A46=0),$D$40*(1+$B$17)^(B46-$E$40)*$B$24,0)</f>
        <v>0</v>
      </c>
      <c r="O46" s="21">
        <f t="shared" ref="O46:O55" si="15">IF(AND(E46=1,A46=0),$D$41*(1+$B$17)^(B46-$E$41)*$B$24,0)</f>
        <v>0</v>
      </c>
      <c r="P46" s="21">
        <f t="shared" ref="P46:P55" si="16">F46*(1-Coverage)</f>
        <v>0</v>
      </c>
      <c r="Q46" s="21">
        <f t="shared" ref="Q46:Q55" si="17">G46*(1-Coverage)</f>
        <v>0</v>
      </c>
      <c r="R46" s="21">
        <f t="shared" ref="R46:R55" si="18">H46*(1-Coverage)</f>
        <v>0</v>
      </c>
      <c r="S46" s="21">
        <f t="shared" ref="S46:S55" si="19">I46*(1-Coverage)</f>
        <v>0</v>
      </c>
      <c r="T46" s="21">
        <f t="shared" ref="T46:T55" si="20">J46*(1-Coverage)</f>
        <v>0</v>
      </c>
      <c r="U46" s="21">
        <f t="shared" ref="U46:U55" si="21">K46*(1-Coverage)</f>
        <v>0</v>
      </c>
      <c r="V46" s="21">
        <f t="shared" ref="V46:V55" si="22">L46*(1-Coverage)</f>
        <v>0</v>
      </c>
      <c r="W46" s="21">
        <f t="shared" ref="W46:W55" si="23">M46*(1-Coverage)</f>
        <v>0</v>
      </c>
      <c r="X46" s="21">
        <f t="shared" ref="X46:X55" si="24">N46*1</f>
        <v>0</v>
      </c>
      <c r="Y46" s="21">
        <f t="shared" ref="Y46:Y55" si="25">O46*1</f>
        <v>0</v>
      </c>
      <c r="Z46" s="20">
        <f t="shared" ref="Z46:Z55" si="26">SUM(P46:Y46)</f>
        <v>0</v>
      </c>
      <c r="AA46" s="21">
        <f t="shared" ref="AA46:AA55" si="27">SUM(F46:O46)</f>
        <v>0</v>
      </c>
    </row>
    <row r="47" spans="1:27" x14ac:dyDescent="0.3">
      <c r="A47" s="16">
        <v>1</v>
      </c>
      <c r="B47" s="16">
        <f t="shared" si="2"/>
        <v>2027</v>
      </c>
      <c r="C47" s="16">
        <f t="shared" si="3"/>
        <v>0</v>
      </c>
      <c r="D47" s="16">
        <f t="shared" si="4"/>
        <v>0</v>
      </c>
      <c r="E47" s="16">
        <f t="shared" si="5"/>
        <v>0</v>
      </c>
      <c r="F47" s="21">
        <f t="shared" si="6"/>
        <v>0</v>
      </c>
      <c r="G47" s="21">
        <f t="shared" si="7"/>
        <v>0</v>
      </c>
      <c r="H47" s="21">
        <f t="shared" si="8"/>
        <v>0</v>
      </c>
      <c r="I47" s="21">
        <f t="shared" si="9"/>
        <v>0</v>
      </c>
      <c r="J47" s="21">
        <f t="shared" si="10"/>
        <v>0</v>
      </c>
      <c r="K47" s="21">
        <f t="shared" si="11"/>
        <v>0</v>
      </c>
      <c r="L47" s="21">
        <f t="shared" si="12"/>
        <v>0</v>
      </c>
      <c r="M47" s="21">
        <f t="shared" si="13"/>
        <v>0</v>
      </c>
      <c r="N47" s="21">
        <f t="shared" si="14"/>
        <v>0</v>
      </c>
      <c r="O47" s="21">
        <f t="shared" si="15"/>
        <v>0</v>
      </c>
      <c r="P47" s="21">
        <f t="shared" si="16"/>
        <v>0</v>
      </c>
      <c r="Q47" s="21">
        <f t="shared" si="17"/>
        <v>0</v>
      </c>
      <c r="R47" s="21">
        <f t="shared" si="18"/>
        <v>0</v>
      </c>
      <c r="S47" s="21">
        <f t="shared" si="19"/>
        <v>0</v>
      </c>
      <c r="T47" s="21">
        <f t="shared" si="20"/>
        <v>0</v>
      </c>
      <c r="U47" s="21">
        <f t="shared" si="21"/>
        <v>0</v>
      </c>
      <c r="V47" s="21">
        <f t="shared" si="22"/>
        <v>0</v>
      </c>
      <c r="W47" s="21">
        <f t="shared" si="23"/>
        <v>0</v>
      </c>
      <c r="X47" s="21">
        <f t="shared" si="24"/>
        <v>0</v>
      </c>
      <c r="Y47" s="21">
        <f t="shared" si="25"/>
        <v>0</v>
      </c>
      <c r="Z47" s="20">
        <f t="shared" si="26"/>
        <v>0</v>
      </c>
      <c r="AA47" s="21">
        <f t="shared" si="27"/>
        <v>0</v>
      </c>
    </row>
    <row r="48" spans="1:27" x14ac:dyDescent="0.3">
      <c r="A48" s="16">
        <v>2</v>
      </c>
      <c r="B48" s="16">
        <f t="shared" si="2"/>
        <v>2028</v>
      </c>
      <c r="C48" s="16">
        <f t="shared" si="3"/>
        <v>0</v>
      </c>
      <c r="D48" s="16">
        <f t="shared" si="4"/>
        <v>0</v>
      </c>
      <c r="E48" s="16">
        <f t="shared" si="5"/>
        <v>0</v>
      </c>
      <c r="F48" s="21">
        <f t="shared" si="6"/>
        <v>0</v>
      </c>
      <c r="G48" s="21">
        <f t="shared" si="7"/>
        <v>0</v>
      </c>
      <c r="H48" s="21">
        <f t="shared" si="8"/>
        <v>0</v>
      </c>
      <c r="I48" s="21">
        <f t="shared" si="9"/>
        <v>0</v>
      </c>
      <c r="J48" s="21">
        <f t="shared" si="10"/>
        <v>0</v>
      </c>
      <c r="K48" s="21">
        <f t="shared" si="11"/>
        <v>0</v>
      </c>
      <c r="L48" s="21">
        <f t="shared" si="12"/>
        <v>0</v>
      </c>
      <c r="M48" s="21">
        <f t="shared" si="13"/>
        <v>0</v>
      </c>
      <c r="N48" s="21">
        <f t="shared" si="14"/>
        <v>0</v>
      </c>
      <c r="O48" s="21">
        <f t="shared" si="15"/>
        <v>0</v>
      </c>
      <c r="P48" s="21">
        <f t="shared" si="16"/>
        <v>0</v>
      </c>
      <c r="Q48" s="21">
        <f t="shared" si="17"/>
        <v>0</v>
      </c>
      <c r="R48" s="21">
        <f t="shared" si="18"/>
        <v>0</v>
      </c>
      <c r="S48" s="21">
        <f t="shared" si="19"/>
        <v>0</v>
      </c>
      <c r="T48" s="21">
        <f t="shared" si="20"/>
        <v>0</v>
      </c>
      <c r="U48" s="21">
        <f t="shared" si="21"/>
        <v>0</v>
      </c>
      <c r="V48" s="21">
        <f t="shared" si="22"/>
        <v>0</v>
      </c>
      <c r="W48" s="21">
        <f t="shared" si="23"/>
        <v>0</v>
      </c>
      <c r="X48" s="21">
        <f t="shared" si="24"/>
        <v>0</v>
      </c>
      <c r="Y48" s="21">
        <f t="shared" si="25"/>
        <v>0</v>
      </c>
      <c r="Z48" s="20">
        <f t="shared" si="26"/>
        <v>0</v>
      </c>
      <c r="AA48" s="21">
        <f t="shared" si="27"/>
        <v>0</v>
      </c>
    </row>
    <row r="49" spans="1:27" x14ac:dyDescent="0.3">
      <c r="A49" s="16">
        <v>3</v>
      </c>
      <c r="B49" s="16">
        <f t="shared" si="2"/>
        <v>2029</v>
      </c>
      <c r="C49" s="16">
        <f t="shared" si="3"/>
        <v>0</v>
      </c>
      <c r="D49" s="16">
        <f t="shared" si="4"/>
        <v>0</v>
      </c>
      <c r="E49" s="16">
        <f t="shared" si="5"/>
        <v>0</v>
      </c>
      <c r="F49" s="21">
        <f t="shared" si="6"/>
        <v>0</v>
      </c>
      <c r="G49" s="21">
        <f t="shared" si="7"/>
        <v>0</v>
      </c>
      <c r="H49" s="21">
        <f t="shared" si="8"/>
        <v>0</v>
      </c>
      <c r="I49" s="21">
        <f t="shared" si="9"/>
        <v>0</v>
      </c>
      <c r="J49" s="21">
        <f t="shared" si="10"/>
        <v>0</v>
      </c>
      <c r="K49" s="21">
        <f t="shared" si="11"/>
        <v>0</v>
      </c>
      <c r="L49" s="21">
        <f t="shared" si="12"/>
        <v>0</v>
      </c>
      <c r="M49" s="21">
        <f t="shared" si="13"/>
        <v>0</v>
      </c>
      <c r="N49" s="21">
        <f t="shared" si="14"/>
        <v>0</v>
      </c>
      <c r="O49" s="21">
        <f t="shared" si="15"/>
        <v>0</v>
      </c>
      <c r="P49" s="21">
        <f t="shared" si="16"/>
        <v>0</v>
      </c>
      <c r="Q49" s="21">
        <f t="shared" si="17"/>
        <v>0</v>
      </c>
      <c r="R49" s="21">
        <f t="shared" si="18"/>
        <v>0</v>
      </c>
      <c r="S49" s="21">
        <f t="shared" si="19"/>
        <v>0</v>
      </c>
      <c r="T49" s="21">
        <f t="shared" si="20"/>
        <v>0</v>
      </c>
      <c r="U49" s="21">
        <f t="shared" si="21"/>
        <v>0</v>
      </c>
      <c r="V49" s="21">
        <f t="shared" si="22"/>
        <v>0</v>
      </c>
      <c r="W49" s="21">
        <f t="shared" si="23"/>
        <v>0</v>
      </c>
      <c r="X49" s="21">
        <f t="shared" si="24"/>
        <v>0</v>
      </c>
      <c r="Y49" s="21">
        <f t="shared" si="25"/>
        <v>0</v>
      </c>
      <c r="Z49" s="20">
        <f t="shared" si="26"/>
        <v>0</v>
      </c>
      <c r="AA49" s="21">
        <f t="shared" si="27"/>
        <v>0</v>
      </c>
    </row>
    <row r="50" spans="1:27" x14ac:dyDescent="0.3">
      <c r="A50" s="16">
        <v>4</v>
      </c>
      <c r="B50" s="16">
        <f t="shared" si="2"/>
        <v>2030</v>
      </c>
      <c r="C50" s="16">
        <f t="shared" si="3"/>
        <v>0</v>
      </c>
      <c r="D50" s="16">
        <f t="shared" si="4"/>
        <v>0</v>
      </c>
      <c r="E50" s="16">
        <f t="shared" si="5"/>
        <v>0</v>
      </c>
      <c r="F50" s="21">
        <f t="shared" si="6"/>
        <v>0</v>
      </c>
      <c r="G50" s="21">
        <f t="shared" si="7"/>
        <v>0</v>
      </c>
      <c r="H50" s="21">
        <f t="shared" si="8"/>
        <v>0</v>
      </c>
      <c r="I50" s="21">
        <f t="shared" si="9"/>
        <v>0</v>
      </c>
      <c r="J50" s="21">
        <f t="shared" si="10"/>
        <v>0</v>
      </c>
      <c r="K50" s="21">
        <f t="shared" si="11"/>
        <v>0</v>
      </c>
      <c r="L50" s="21">
        <f t="shared" si="12"/>
        <v>0</v>
      </c>
      <c r="M50" s="21">
        <f t="shared" si="13"/>
        <v>0</v>
      </c>
      <c r="N50" s="21">
        <f t="shared" si="14"/>
        <v>0</v>
      </c>
      <c r="O50" s="21">
        <f t="shared" si="15"/>
        <v>0</v>
      </c>
      <c r="P50" s="21">
        <f t="shared" si="16"/>
        <v>0</v>
      </c>
      <c r="Q50" s="21">
        <f t="shared" si="17"/>
        <v>0</v>
      </c>
      <c r="R50" s="21">
        <f t="shared" si="18"/>
        <v>0</v>
      </c>
      <c r="S50" s="21">
        <f t="shared" si="19"/>
        <v>0</v>
      </c>
      <c r="T50" s="21">
        <f t="shared" si="20"/>
        <v>0</v>
      </c>
      <c r="U50" s="21">
        <f t="shared" si="21"/>
        <v>0</v>
      </c>
      <c r="V50" s="21">
        <f t="shared" si="22"/>
        <v>0</v>
      </c>
      <c r="W50" s="21">
        <f t="shared" si="23"/>
        <v>0</v>
      </c>
      <c r="X50" s="21">
        <f t="shared" si="24"/>
        <v>0</v>
      </c>
      <c r="Y50" s="21">
        <f t="shared" si="25"/>
        <v>0</v>
      </c>
      <c r="Z50" s="20">
        <f t="shared" si="26"/>
        <v>0</v>
      </c>
      <c r="AA50" s="21">
        <f t="shared" si="27"/>
        <v>0</v>
      </c>
    </row>
    <row r="51" spans="1:27" x14ac:dyDescent="0.3">
      <c r="A51" s="16">
        <v>5</v>
      </c>
      <c r="B51" s="16">
        <f t="shared" si="2"/>
        <v>2031</v>
      </c>
      <c r="C51" s="16">
        <f t="shared" si="3"/>
        <v>0</v>
      </c>
      <c r="D51" s="16">
        <f t="shared" si="4"/>
        <v>0</v>
      </c>
      <c r="E51" s="16">
        <f t="shared" si="5"/>
        <v>0</v>
      </c>
      <c r="F51" s="21">
        <f t="shared" si="6"/>
        <v>0</v>
      </c>
      <c r="G51" s="21">
        <f t="shared" si="7"/>
        <v>0</v>
      </c>
      <c r="H51" s="21">
        <f t="shared" si="8"/>
        <v>0</v>
      </c>
      <c r="I51" s="21">
        <f t="shared" si="9"/>
        <v>0</v>
      </c>
      <c r="J51" s="21">
        <f t="shared" si="10"/>
        <v>0</v>
      </c>
      <c r="K51" s="21">
        <f t="shared" si="11"/>
        <v>0</v>
      </c>
      <c r="L51" s="21">
        <f t="shared" si="12"/>
        <v>0</v>
      </c>
      <c r="M51" s="21">
        <f t="shared" si="13"/>
        <v>0</v>
      </c>
      <c r="N51" s="21">
        <f t="shared" si="14"/>
        <v>0</v>
      </c>
      <c r="O51" s="21">
        <f t="shared" si="15"/>
        <v>0</v>
      </c>
      <c r="P51" s="21">
        <f t="shared" si="16"/>
        <v>0</v>
      </c>
      <c r="Q51" s="21">
        <f t="shared" si="17"/>
        <v>0</v>
      </c>
      <c r="R51" s="21">
        <f t="shared" si="18"/>
        <v>0</v>
      </c>
      <c r="S51" s="21">
        <f t="shared" si="19"/>
        <v>0</v>
      </c>
      <c r="T51" s="21">
        <f t="shared" si="20"/>
        <v>0</v>
      </c>
      <c r="U51" s="21">
        <f t="shared" si="21"/>
        <v>0</v>
      </c>
      <c r="V51" s="21">
        <f t="shared" si="22"/>
        <v>0</v>
      </c>
      <c r="W51" s="21">
        <f t="shared" si="23"/>
        <v>0</v>
      </c>
      <c r="X51" s="21">
        <f t="shared" si="24"/>
        <v>0</v>
      </c>
      <c r="Y51" s="21">
        <f t="shared" si="25"/>
        <v>0</v>
      </c>
      <c r="Z51" s="20">
        <f t="shared" si="26"/>
        <v>0</v>
      </c>
      <c r="AA51" s="21">
        <f t="shared" si="27"/>
        <v>0</v>
      </c>
    </row>
    <row r="52" spans="1:27" x14ac:dyDescent="0.3">
      <c r="A52" s="16">
        <v>6</v>
      </c>
      <c r="B52" s="16">
        <f t="shared" si="2"/>
        <v>2032</v>
      </c>
      <c r="C52" s="16">
        <f t="shared" si="3"/>
        <v>0</v>
      </c>
      <c r="D52" s="16">
        <f t="shared" si="4"/>
        <v>0</v>
      </c>
      <c r="E52" s="16">
        <f t="shared" si="5"/>
        <v>0</v>
      </c>
      <c r="F52" s="21">
        <f t="shared" si="6"/>
        <v>0</v>
      </c>
      <c r="G52" s="21">
        <f t="shared" si="7"/>
        <v>0</v>
      </c>
      <c r="H52" s="21">
        <f t="shared" si="8"/>
        <v>0</v>
      </c>
      <c r="I52" s="21">
        <f t="shared" si="9"/>
        <v>0</v>
      </c>
      <c r="J52" s="21">
        <f t="shared" si="10"/>
        <v>0</v>
      </c>
      <c r="K52" s="21">
        <f t="shared" si="11"/>
        <v>0</v>
      </c>
      <c r="L52" s="21">
        <f t="shared" si="12"/>
        <v>0</v>
      </c>
      <c r="M52" s="21">
        <f t="shared" si="13"/>
        <v>0</v>
      </c>
      <c r="N52" s="21">
        <f t="shared" si="14"/>
        <v>0</v>
      </c>
      <c r="O52" s="21">
        <f t="shared" si="15"/>
        <v>0</v>
      </c>
      <c r="P52" s="21">
        <f t="shared" si="16"/>
        <v>0</v>
      </c>
      <c r="Q52" s="21">
        <f t="shared" si="17"/>
        <v>0</v>
      </c>
      <c r="R52" s="21">
        <f t="shared" si="18"/>
        <v>0</v>
      </c>
      <c r="S52" s="21">
        <f t="shared" si="19"/>
        <v>0</v>
      </c>
      <c r="T52" s="21">
        <f t="shared" si="20"/>
        <v>0</v>
      </c>
      <c r="U52" s="21">
        <f t="shared" si="21"/>
        <v>0</v>
      </c>
      <c r="V52" s="21">
        <f t="shared" si="22"/>
        <v>0</v>
      </c>
      <c r="W52" s="21">
        <f t="shared" si="23"/>
        <v>0</v>
      </c>
      <c r="X52" s="21">
        <f t="shared" si="24"/>
        <v>0</v>
      </c>
      <c r="Y52" s="21">
        <f t="shared" si="25"/>
        <v>0</v>
      </c>
      <c r="Z52" s="20">
        <f t="shared" si="26"/>
        <v>0</v>
      </c>
      <c r="AA52" s="21">
        <f t="shared" si="27"/>
        <v>0</v>
      </c>
    </row>
    <row r="53" spans="1:27" x14ac:dyDescent="0.3">
      <c r="A53" s="16">
        <v>7</v>
      </c>
      <c r="B53" s="16">
        <f t="shared" si="2"/>
        <v>2033</v>
      </c>
      <c r="C53" s="16">
        <f t="shared" si="3"/>
        <v>0</v>
      </c>
      <c r="D53" s="16">
        <f t="shared" si="4"/>
        <v>0</v>
      </c>
      <c r="E53" s="16">
        <f t="shared" si="5"/>
        <v>0</v>
      </c>
      <c r="F53" s="21">
        <f t="shared" si="6"/>
        <v>0</v>
      </c>
      <c r="G53" s="21">
        <f t="shared" si="7"/>
        <v>0</v>
      </c>
      <c r="H53" s="21">
        <f t="shared" si="8"/>
        <v>0</v>
      </c>
      <c r="I53" s="21">
        <f t="shared" si="9"/>
        <v>0</v>
      </c>
      <c r="J53" s="21">
        <f t="shared" si="10"/>
        <v>0</v>
      </c>
      <c r="K53" s="21">
        <f t="shared" si="11"/>
        <v>0</v>
      </c>
      <c r="L53" s="21">
        <f t="shared" si="12"/>
        <v>0</v>
      </c>
      <c r="M53" s="21">
        <f t="shared" si="13"/>
        <v>0</v>
      </c>
      <c r="N53" s="21">
        <f t="shared" si="14"/>
        <v>0</v>
      </c>
      <c r="O53" s="21">
        <f t="shared" si="15"/>
        <v>0</v>
      </c>
      <c r="P53" s="21">
        <f t="shared" si="16"/>
        <v>0</v>
      </c>
      <c r="Q53" s="21">
        <f t="shared" si="17"/>
        <v>0</v>
      </c>
      <c r="R53" s="21">
        <f t="shared" si="18"/>
        <v>0</v>
      </c>
      <c r="S53" s="21">
        <f t="shared" si="19"/>
        <v>0</v>
      </c>
      <c r="T53" s="21">
        <f t="shared" si="20"/>
        <v>0</v>
      </c>
      <c r="U53" s="21">
        <f t="shared" si="21"/>
        <v>0</v>
      </c>
      <c r="V53" s="21">
        <f t="shared" si="22"/>
        <v>0</v>
      </c>
      <c r="W53" s="21">
        <f t="shared" si="23"/>
        <v>0</v>
      </c>
      <c r="X53" s="21">
        <f t="shared" si="24"/>
        <v>0</v>
      </c>
      <c r="Y53" s="21">
        <f t="shared" si="25"/>
        <v>0</v>
      </c>
      <c r="Z53" s="20">
        <f t="shared" si="26"/>
        <v>0</v>
      </c>
      <c r="AA53" s="21">
        <f t="shared" si="27"/>
        <v>0</v>
      </c>
    </row>
    <row r="54" spans="1:27" x14ac:dyDescent="0.3">
      <c r="A54" s="16">
        <v>8</v>
      </c>
      <c r="B54" s="16">
        <f t="shared" si="2"/>
        <v>2034</v>
      </c>
      <c r="C54" s="16">
        <f t="shared" si="3"/>
        <v>0</v>
      </c>
      <c r="D54" s="16">
        <f t="shared" si="4"/>
        <v>0</v>
      </c>
      <c r="E54" s="16">
        <f t="shared" si="5"/>
        <v>0</v>
      </c>
      <c r="F54" s="21">
        <f t="shared" si="6"/>
        <v>0</v>
      </c>
      <c r="G54" s="21">
        <f t="shared" si="7"/>
        <v>0</v>
      </c>
      <c r="H54" s="21">
        <f t="shared" si="8"/>
        <v>0</v>
      </c>
      <c r="I54" s="21">
        <f t="shared" si="9"/>
        <v>0</v>
      </c>
      <c r="J54" s="21">
        <f t="shared" si="10"/>
        <v>0</v>
      </c>
      <c r="K54" s="21">
        <f t="shared" si="11"/>
        <v>0</v>
      </c>
      <c r="L54" s="21">
        <f t="shared" si="12"/>
        <v>0</v>
      </c>
      <c r="M54" s="21">
        <f t="shared" si="13"/>
        <v>0</v>
      </c>
      <c r="N54" s="21">
        <f t="shared" si="14"/>
        <v>0</v>
      </c>
      <c r="O54" s="21">
        <f t="shared" si="15"/>
        <v>0</v>
      </c>
      <c r="P54" s="21">
        <f t="shared" si="16"/>
        <v>0</v>
      </c>
      <c r="Q54" s="21">
        <f t="shared" si="17"/>
        <v>0</v>
      </c>
      <c r="R54" s="21">
        <f t="shared" si="18"/>
        <v>0</v>
      </c>
      <c r="S54" s="21">
        <f t="shared" si="19"/>
        <v>0</v>
      </c>
      <c r="T54" s="21">
        <f t="shared" si="20"/>
        <v>0</v>
      </c>
      <c r="U54" s="21">
        <f t="shared" si="21"/>
        <v>0</v>
      </c>
      <c r="V54" s="21">
        <f t="shared" si="22"/>
        <v>0</v>
      </c>
      <c r="W54" s="21">
        <f t="shared" si="23"/>
        <v>0</v>
      </c>
      <c r="X54" s="21">
        <f t="shared" si="24"/>
        <v>0</v>
      </c>
      <c r="Y54" s="21">
        <f t="shared" si="25"/>
        <v>0</v>
      </c>
      <c r="Z54" s="20">
        <f t="shared" si="26"/>
        <v>0</v>
      </c>
      <c r="AA54" s="21">
        <f t="shared" si="27"/>
        <v>0</v>
      </c>
    </row>
    <row r="55" spans="1:27" x14ac:dyDescent="0.3">
      <c r="A55" s="16">
        <v>9</v>
      </c>
      <c r="B55" s="16">
        <f t="shared" si="2"/>
        <v>2035</v>
      </c>
      <c r="C55" s="16">
        <f t="shared" si="3"/>
        <v>0</v>
      </c>
      <c r="D55" s="16">
        <f t="shared" si="4"/>
        <v>0</v>
      </c>
      <c r="E55" s="16">
        <f t="shared" si="5"/>
        <v>0</v>
      </c>
      <c r="F55" s="21">
        <f t="shared" si="6"/>
        <v>0</v>
      </c>
      <c r="G55" s="21">
        <f t="shared" si="7"/>
        <v>0</v>
      </c>
      <c r="H55" s="21">
        <f t="shared" si="8"/>
        <v>0</v>
      </c>
      <c r="I55" s="21">
        <f t="shared" si="9"/>
        <v>0</v>
      </c>
      <c r="J55" s="21">
        <f t="shared" si="10"/>
        <v>0</v>
      </c>
      <c r="K55" s="21">
        <f t="shared" si="11"/>
        <v>0</v>
      </c>
      <c r="L55" s="21">
        <f t="shared" si="12"/>
        <v>0</v>
      </c>
      <c r="M55" s="21">
        <f t="shared" si="13"/>
        <v>0</v>
      </c>
      <c r="N55" s="21">
        <f t="shared" si="14"/>
        <v>0</v>
      </c>
      <c r="O55" s="21">
        <f t="shared" si="15"/>
        <v>0</v>
      </c>
      <c r="P55" s="21">
        <f t="shared" si="16"/>
        <v>0</v>
      </c>
      <c r="Q55" s="21">
        <f t="shared" si="17"/>
        <v>0</v>
      </c>
      <c r="R55" s="21">
        <f t="shared" si="18"/>
        <v>0</v>
      </c>
      <c r="S55" s="21">
        <f t="shared" si="19"/>
        <v>0</v>
      </c>
      <c r="T55" s="21">
        <f t="shared" si="20"/>
        <v>0</v>
      </c>
      <c r="U55" s="21">
        <f t="shared" si="21"/>
        <v>0</v>
      </c>
      <c r="V55" s="21">
        <f t="shared" si="22"/>
        <v>0</v>
      </c>
      <c r="W55" s="21">
        <f t="shared" si="23"/>
        <v>0</v>
      </c>
      <c r="X55" s="21">
        <f t="shared" si="24"/>
        <v>0</v>
      </c>
      <c r="Y55" s="21">
        <f t="shared" si="25"/>
        <v>0</v>
      </c>
      <c r="Z55" s="20">
        <f t="shared" si="26"/>
        <v>0</v>
      </c>
      <c r="AA55" s="21">
        <f t="shared" si="27"/>
        <v>0</v>
      </c>
    </row>
    <row r="56" spans="1:27" x14ac:dyDescent="0.3">
      <c r="A56" s="8" t="s">
        <v>76</v>
      </c>
      <c r="F56" s="20">
        <f t="shared" ref="F56:AA56" si="28">SUM(F46:F55)</f>
        <v>0</v>
      </c>
      <c r="G56" s="20">
        <f t="shared" si="28"/>
        <v>0</v>
      </c>
      <c r="H56" s="20">
        <f t="shared" si="28"/>
        <v>0</v>
      </c>
      <c r="I56" s="20">
        <f t="shared" si="28"/>
        <v>0</v>
      </c>
      <c r="J56" s="20">
        <f t="shared" si="28"/>
        <v>0</v>
      </c>
      <c r="K56" s="20">
        <f t="shared" si="28"/>
        <v>0</v>
      </c>
      <c r="L56" s="20">
        <f t="shared" si="28"/>
        <v>0</v>
      </c>
      <c r="M56" s="20">
        <f t="shared" si="28"/>
        <v>0</v>
      </c>
      <c r="N56" s="20">
        <f t="shared" si="28"/>
        <v>0</v>
      </c>
      <c r="O56" s="20">
        <f t="shared" si="28"/>
        <v>0</v>
      </c>
      <c r="P56" s="20">
        <f t="shared" si="28"/>
        <v>0</v>
      </c>
      <c r="Q56" s="20">
        <f t="shared" si="28"/>
        <v>0</v>
      </c>
      <c r="R56" s="20">
        <f t="shared" si="28"/>
        <v>0</v>
      </c>
      <c r="S56" s="20">
        <f t="shared" si="28"/>
        <v>0</v>
      </c>
      <c r="T56" s="20">
        <f t="shared" si="28"/>
        <v>0</v>
      </c>
      <c r="U56" s="20">
        <f t="shared" si="28"/>
        <v>0</v>
      </c>
      <c r="V56" s="20">
        <f t="shared" si="28"/>
        <v>0</v>
      </c>
      <c r="W56" s="20">
        <f t="shared" si="28"/>
        <v>0</v>
      </c>
      <c r="X56" s="20">
        <f t="shared" si="28"/>
        <v>0</v>
      </c>
      <c r="Y56" s="20">
        <f t="shared" si="28"/>
        <v>0</v>
      </c>
      <c r="Z56" s="20">
        <f t="shared" si="28"/>
        <v>0</v>
      </c>
      <c r="AA56" s="20">
        <f t="shared" si="28"/>
        <v>0</v>
      </c>
    </row>
    <row r="58" spans="1:27" x14ac:dyDescent="0.3">
      <c r="A58" s="8" t="s">
        <v>161</v>
      </c>
      <c r="B58" s="26">
        <f>$Z$56</f>
        <v>0</v>
      </c>
    </row>
    <row r="59" spans="1:27" x14ac:dyDescent="0.3">
      <c r="A59" s="16" t="s">
        <v>14</v>
      </c>
      <c r="B59" s="21">
        <f>$AA$56-$Z$56</f>
        <v>0</v>
      </c>
    </row>
    <row r="60" spans="1:27" x14ac:dyDescent="0.3">
      <c r="A60" s="16" t="s">
        <v>162</v>
      </c>
      <c r="B60" s="16" t="str">
        <f>IF(OR($F$32="missing",AND($B$15&gt;0,$F$42="missing")),"missing",IF(OR($F$32="estimated",AND($B$15&gt;0,$F$42="estimated")),"estimated",IF($B$15&gt;0,$F$42,$F$32)))</f>
        <v>missing</v>
      </c>
    </row>
    <row r="61" spans="1:27" x14ac:dyDescent="0.3">
      <c r="A61" s="16" t="s">
        <v>163</v>
      </c>
      <c r="B61" s="16">
        <f>IF(OR($F$32="missing",AND($B$15&gt;0,$F$42="missing"),$F$33="missing"),1,0)</f>
        <v>1</v>
      </c>
    </row>
    <row r="63" spans="1:27" ht="15.6" x14ac:dyDescent="0.3">
      <c r="A63" s="7" t="s">
        <v>164</v>
      </c>
    </row>
    <row r="64" spans="1:27" ht="39.6" x14ac:dyDescent="0.3">
      <c r="A64" s="22" t="s">
        <v>165</v>
      </c>
      <c r="B64" s="22" t="s">
        <v>146</v>
      </c>
      <c r="C64" s="22" t="s">
        <v>166</v>
      </c>
      <c r="D64" s="22" t="s">
        <v>83</v>
      </c>
      <c r="E64" s="22" t="s">
        <v>167</v>
      </c>
      <c r="F64" s="22" t="s">
        <v>168</v>
      </c>
      <c r="G64" s="22" t="s">
        <v>169</v>
      </c>
      <c r="H64" s="22" t="s">
        <v>170</v>
      </c>
      <c r="I64" s="22" t="s">
        <v>171</v>
      </c>
      <c r="J64" s="22" t="s">
        <v>172</v>
      </c>
      <c r="K64" s="22" t="s">
        <v>173</v>
      </c>
      <c r="L64" s="22" t="s">
        <v>174</v>
      </c>
      <c r="M64" s="22" t="s">
        <v>80</v>
      </c>
      <c r="N64" s="22" t="s">
        <v>81</v>
      </c>
      <c r="O64" s="22" t="s">
        <v>82</v>
      </c>
      <c r="P64" s="22" t="s">
        <v>84</v>
      </c>
      <c r="Q64" s="22" t="s">
        <v>175</v>
      </c>
    </row>
    <row r="65" spans="1:17" x14ac:dyDescent="0.3">
      <c r="A65" s="16">
        <v>1</v>
      </c>
      <c r="B65" s="16">
        <f t="shared" ref="B65:B96" si="29">PlanYear+A65-1</f>
        <v>2026</v>
      </c>
      <c r="C65" s="16">
        <f t="shared" ref="C65:C96" si="30">A65-1-$B$18</f>
        <v>0</v>
      </c>
      <c r="D65" s="21">
        <f t="shared" ref="D65:D96" si="31">IF(AND($B$22=1,C65&gt;=0,C65&lt;$B$19),INDEX($Z$46:$Z$55,C65+1),0)</f>
        <v>0</v>
      </c>
      <c r="E65" s="27">
        <f t="shared" ref="E65:E96" si="32">IF(AND($B$22=1,A65&lt;=$B$21),(1+SavInc)^(A65-1),0)</f>
        <v>0</v>
      </c>
      <c r="F65" s="27">
        <f t="shared" ref="F65:F96" si="33">(1+ReturnRate)^(A65-1)</f>
        <v>1</v>
      </c>
      <c r="G65" s="21">
        <f>-D65</f>
        <v>0</v>
      </c>
      <c r="H65" s="27">
        <f>0</f>
        <v>0</v>
      </c>
      <c r="I65" s="21">
        <f t="shared" ref="I65:I96" si="34">G65*(1+ReturnRate)</f>
        <v>0</v>
      </c>
      <c r="J65" s="27">
        <f t="shared" ref="J65:J96" si="35">H65*(1+ReturnRate)+E65</f>
        <v>0</v>
      </c>
      <c r="K65" s="21">
        <f t="shared" ref="K65:K96" si="36">IF(AND(D65&gt;0,H65&lt;=0.000000000001,G65&lt;0),-G65/F65,0)</f>
        <v>0</v>
      </c>
      <c r="L65" s="21">
        <f t="shared" ref="L65:L96" si="37">IF(AND(D65&gt;0,H65&gt;0.000000000001),-(G65+$B$126*F65)/H65,0)</f>
        <v>0</v>
      </c>
      <c r="M65" s="21">
        <f>$B$126</f>
        <v>0</v>
      </c>
      <c r="N65" s="21">
        <f t="shared" ref="N65:N96" si="38">E65*$B$127</f>
        <v>0</v>
      </c>
      <c r="O65" s="21">
        <f t="shared" ref="O65:O96" si="39">IF(AND($B$22=1,A65&lt;=$B$20),(M65-D65)*ReturnRate,0)</f>
        <v>0</v>
      </c>
      <c r="P65" s="21">
        <f t="shared" ref="P65:P96" si="40">M65-D65+O65+N65</f>
        <v>0</v>
      </c>
      <c r="Q65" s="16">
        <f t="shared" ref="Q65:Q96" si="41">IF(AND($B$22=1,C65&gt;=0,C65&lt;$B$19),1,0)</f>
        <v>0</v>
      </c>
    </row>
    <row r="66" spans="1:17" x14ac:dyDescent="0.3">
      <c r="A66" s="16">
        <v>2</v>
      </c>
      <c r="B66" s="16">
        <f t="shared" si="29"/>
        <v>2027</v>
      </c>
      <c r="C66" s="16">
        <f t="shared" si="30"/>
        <v>1</v>
      </c>
      <c r="D66" s="21">
        <f t="shared" si="31"/>
        <v>0</v>
      </c>
      <c r="E66" s="27">
        <f t="shared" si="32"/>
        <v>0</v>
      </c>
      <c r="F66" s="27">
        <f t="shared" si="33"/>
        <v>1.06</v>
      </c>
      <c r="G66" s="21">
        <f t="shared" ref="G66:G97" si="42">I65-D66</f>
        <v>0</v>
      </c>
      <c r="H66" s="27">
        <f t="shared" ref="H66:H97" si="43">J65</f>
        <v>0</v>
      </c>
      <c r="I66" s="21">
        <f t="shared" si="34"/>
        <v>0</v>
      </c>
      <c r="J66" s="27">
        <f t="shared" si="35"/>
        <v>0</v>
      </c>
      <c r="K66" s="21">
        <f t="shared" si="36"/>
        <v>0</v>
      </c>
      <c r="L66" s="21">
        <f t="shared" si="37"/>
        <v>0</v>
      </c>
      <c r="M66" s="21">
        <f t="shared" ref="M66:M97" si="44">P65</f>
        <v>0</v>
      </c>
      <c r="N66" s="21">
        <f t="shared" si="38"/>
        <v>0</v>
      </c>
      <c r="O66" s="21">
        <f t="shared" si="39"/>
        <v>0</v>
      </c>
      <c r="P66" s="21">
        <f t="shared" si="40"/>
        <v>0</v>
      </c>
      <c r="Q66" s="16">
        <f t="shared" si="41"/>
        <v>0</v>
      </c>
    </row>
    <row r="67" spans="1:17" x14ac:dyDescent="0.3">
      <c r="A67" s="16">
        <v>3</v>
      </c>
      <c r="B67" s="16">
        <f t="shared" si="29"/>
        <v>2028</v>
      </c>
      <c r="C67" s="16">
        <f t="shared" si="30"/>
        <v>2</v>
      </c>
      <c r="D67" s="21">
        <f t="shared" si="31"/>
        <v>0</v>
      </c>
      <c r="E67" s="27">
        <f t="shared" si="32"/>
        <v>0</v>
      </c>
      <c r="F67" s="27">
        <f t="shared" si="33"/>
        <v>1.1236000000000002</v>
      </c>
      <c r="G67" s="21">
        <f t="shared" si="42"/>
        <v>0</v>
      </c>
      <c r="H67" s="27">
        <f t="shared" si="43"/>
        <v>0</v>
      </c>
      <c r="I67" s="21">
        <f t="shared" si="34"/>
        <v>0</v>
      </c>
      <c r="J67" s="27">
        <f t="shared" si="35"/>
        <v>0</v>
      </c>
      <c r="K67" s="21">
        <f t="shared" si="36"/>
        <v>0</v>
      </c>
      <c r="L67" s="21">
        <f t="shared" si="37"/>
        <v>0</v>
      </c>
      <c r="M67" s="21">
        <f t="shared" si="44"/>
        <v>0</v>
      </c>
      <c r="N67" s="21">
        <f t="shared" si="38"/>
        <v>0</v>
      </c>
      <c r="O67" s="21">
        <f t="shared" si="39"/>
        <v>0</v>
      </c>
      <c r="P67" s="21">
        <f t="shared" si="40"/>
        <v>0</v>
      </c>
      <c r="Q67" s="16">
        <f t="shared" si="41"/>
        <v>0</v>
      </c>
    </row>
    <row r="68" spans="1:17" x14ac:dyDescent="0.3">
      <c r="A68" s="16">
        <v>4</v>
      </c>
      <c r="B68" s="16">
        <f t="shared" si="29"/>
        <v>2029</v>
      </c>
      <c r="C68" s="16">
        <f t="shared" si="30"/>
        <v>3</v>
      </c>
      <c r="D68" s="21">
        <f t="shared" si="31"/>
        <v>0</v>
      </c>
      <c r="E68" s="27">
        <f t="shared" si="32"/>
        <v>0</v>
      </c>
      <c r="F68" s="27">
        <f t="shared" si="33"/>
        <v>1.1910160000000003</v>
      </c>
      <c r="G68" s="21">
        <f t="shared" si="42"/>
        <v>0</v>
      </c>
      <c r="H68" s="27">
        <f t="shared" si="43"/>
        <v>0</v>
      </c>
      <c r="I68" s="21">
        <f t="shared" si="34"/>
        <v>0</v>
      </c>
      <c r="J68" s="27">
        <f t="shared" si="35"/>
        <v>0</v>
      </c>
      <c r="K68" s="21">
        <f t="shared" si="36"/>
        <v>0</v>
      </c>
      <c r="L68" s="21">
        <f t="shared" si="37"/>
        <v>0</v>
      </c>
      <c r="M68" s="21">
        <f t="shared" si="44"/>
        <v>0</v>
      </c>
      <c r="N68" s="21">
        <f t="shared" si="38"/>
        <v>0</v>
      </c>
      <c r="O68" s="21">
        <f t="shared" si="39"/>
        <v>0</v>
      </c>
      <c r="P68" s="21">
        <f t="shared" si="40"/>
        <v>0</v>
      </c>
      <c r="Q68" s="16">
        <f t="shared" si="41"/>
        <v>0</v>
      </c>
    </row>
    <row r="69" spans="1:17" x14ac:dyDescent="0.3">
      <c r="A69" s="16">
        <v>5</v>
      </c>
      <c r="B69" s="16">
        <f t="shared" si="29"/>
        <v>2030</v>
      </c>
      <c r="C69" s="16">
        <f t="shared" si="30"/>
        <v>4</v>
      </c>
      <c r="D69" s="21">
        <f t="shared" si="31"/>
        <v>0</v>
      </c>
      <c r="E69" s="27">
        <f t="shared" si="32"/>
        <v>0</v>
      </c>
      <c r="F69" s="27">
        <f t="shared" si="33"/>
        <v>1.2624769600000003</v>
      </c>
      <c r="G69" s="21">
        <f t="shared" si="42"/>
        <v>0</v>
      </c>
      <c r="H69" s="27">
        <f t="shared" si="43"/>
        <v>0</v>
      </c>
      <c r="I69" s="21">
        <f t="shared" si="34"/>
        <v>0</v>
      </c>
      <c r="J69" s="27">
        <f t="shared" si="35"/>
        <v>0</v>
      </c>
      <c r="K69" s="21">
        <f t="shared" si="36"/>
        <v>0</v>
      </c>
      <c r="L69" s="21">
        <f t="shared" si="37"/>
        <v>0</v>
      </c>
      <c r="M69" s="21">
        <f t="shared" si="44"/>
        <v>0</v>
      </c>
      <c r="N69" s="21">
        <f t="shared" si="38"/>
        <v>0</v>
      </c>
      <c r="O69" s="21">
        <f t="shared" si="39"/>
        <v>0</v>
      </c>
      <c r="P69" s="21">
        <f t="shared" si="40"/>
        <v>0</v>
      </c>
      <c r="Q69" s="16">
        <f t="shared" si="41"/>
        <v>0</v>
      </c>
    </row>
    <row r="70" spans="1:17" x14ac:dyDescent="0.3">
      <c r="A70" s="16">
        <v>6</v>
      </c>
      <c r="B70" s="16">
        <f t="shared" si="29"/>
        <v>2031</v>
      </c>
      <c r="C70" s="16">
        <f t="shared" si="30"/>
        <v>5</v>
      </c>
      <c r="D70" s="21">
        <f t="shared" si="31"/>
        <v>0</v>
      </c>
      <c r="E70" s="27">
        <f t="shared" si="32"/>
        <v>0</v>
      </c>
      <c r="F70" s="27">
        <f t="shared" si="33"/>
        <v>1.3382255776000005</v>
      </c>
      <c r="G70" s="21">
        <f t="shared" si="42"/>
        <v>0</v>
      </c>
      <c r="H70" s="27">
        <f t="shared" si="43"/>
        <v>0</v>
      </c>
      <c r="I70" s="21">
        <f t="shared" si="34"/>
        <v>0</v>
      </c>
      <c r="J70" s="27">
        <f t="shared" si="35"/>
        <v>0</v>
      </c>
      <c r="K70" s="21">
        <f t="shared" si="36"/>
        <v>0</v>
      </c>
      <c r="L70" s="21">
        <f t="shared" si="37"/>
        <v>0</v>
      </c>
      <c r="M70" s="21">
        <f t="shared" si="44"/>
        <v>0</v>
      </c>
      <c r="N70" s="21">
        <f t="shared" si="38"/>
        <v>0</v>
      </c>
      <c r="O70" s="21">
        <f t="shared" si="39"/>
        <v>0</v>
      </c>
      <c r="P70" s="21">
        <f t="shared" si="40"/>
        <v>0</v>
      </c>
      <c r="Q70" s="16">
        <f t="shared" si="41"/>
        <v>0</v>
      </c>
    </row>
    <row r="71" spans="1:17" x14ac:dyDescent="0.3">
      <c r="A71" s="16">
        <v>7</v>
      </c>
      <c r="B71" s="16">
        <f t="shared" si="29"/>
        <v>2032</v>
      </c>
      <c r="C71" s="16">
        <f t="shared" si="30"/>
        <v>6</v>
      </c>
      <c r="D71" s="21">
        <f t="shared" si="31"/>
        <v>0</v>
      </c>
      <c r="E71" s="27">
        <f t="shared" si="32"/>
        <v>0</v>
      </c>
      <c r="F71" s="27">
        <f t="shared" si="33"/>
        <v>1.4185191122560006</v>
      </c>
      <c r="G71" s="21">
        <f t="shared" si="42"/>
        <v>0</v>
      </c>
      <c r="H71" s="27">
        <f t="shared" si="43"/>
        <v>0</v>
      </c>
      <c r="I71" s="21">
        <f t="shared" si="34"/>
        <v>0</v>
      </c>
      <c r="J71" s="27">
        <f t="shared" si="35"/>
        <v>0</v>
      </c>
      <c r="K71" s="21">
        <f t="shared" si="36"/>
        <v>0</v>
      </c>
      <c r="L71" s="21">
        <f t="shared" si="37"/>
        <v>0</v>
      </c>
      <c r="M71" s="21">
        <f t="shared" si="44"/>
        <v>0</v>
      </c>
      <c r="N71" s="21">
        <f t="shared" si="38"/>
        <v>0</v>
      </c>
      <c r="O71" s="21">
        <f t="shared" si="39"/>
        <v>0</v>
      </c>
      <c r="P71" s="21">
        <f t="shared" si="40"/>
        <v>0</v>
      </c>
      <c r="Q71" s="16">
        <f t="shared" si="41"/>
        <v>0</v>
      </c>
    </row>
    <row r="72" spans="1:17" x14ac:dyDescent="0.3">
      <c r="A72" s="16">
        <v>8</v>
      </c>
      <c r="B72" s="16">
        <f t="shared" si="29"/>
        <v>2033</v>
      </c>
      <c r="C72" s="16">
        <f t="shared" si="30"/>
        <v>7</v>
      </c>
      <c r="D72" s="21">
        <f t="shared" si="31"/>
        <v>0</v>
      </c>
      <c r="E72" s="27">
        <f t="shared" si="32"/>
        <v>0</v>
      </c>
      <c r="F72" s="27">
        <f t="shared" si="33"/>
        <v>1.5036302589913608</v>
      </c>
      <c r="G72" s="21">
        <f t="shared" si="42"/>
        <v>0</v>
      </c>
      <c r="H72" s="27">
        <f t="shared" si="43"/>
        <v>0</v>
      </c>
      <c r="I72" s="21">
        <f t="shared" si="34"/>
        <v>0</v>
      </c>
      <c r="J72" s="27">
        <f t="shared" si="35"/>
        <v>0</v>
      </c>
      <c r="K72" s="21">
        <f t="shared" si="36"/>
        <v>0</v>
      </c>
      <c r="L72" s="21">
        <f t="shared" si="37"/>
        <v>0</v>
      </c>
      <c r="M72" s="21">
        <f t="shared" si="44"/>
        <v>0</v>
      </c>
      <c r="N72" s="21">
        <f t="shared" si="38"/>
        <v>0</v>
      </c>
      <c r="O72" s="21">
        <f t="shared" si="39"/>
        <v>0</v>
      </c>
      <c r="P72" s="21">
        <f t="shared" si="40"/>
        <v>0</v>
      </c>
      <c r="Q72" s="16">
        <f t="shared" si="41"/>
        <v>0</v>
      </c>
    </row>
    <row r="73" spans="1:17" x14ac:dyDescent="0.3">
      <c r="A73" s="16">
        <v>9</v>
      </c>
      <c r="B73" s="16">
        <f t="shared" si="29"/>
        <v>2034</v>
      </c>
      <c r="C73" s="16">
        <f t="shared" si="30"/>
        <v>8</v>
      </c>
      <c r="D73" s="21">
        <f t="shared" si="31"/>
        <v>0</v>
      </c>
      <c r="E73" s="27">
        <f t="shared" si="32"/>
        <v>0</v>
      </c>
      <c r="F73" s="27">
        <f t="shared" si="33"/>
        <v>1.5938480745308423</v>
      </c>
      <c r="G73" s="21">
        <f t="shared" si="42"/>
        <v>0</v>
      </c>
      <c r="H73" s="27">
        <f t="shared" si="43"/>
        <v>0</v>
      </c>
      <c r="I73" s="21">
        <f t="shared" si="34"/>
        <v>0</v>
      </c>
      <c r="J73" s="27">
        <f t="shared" si="35"/>
        <v>0</v>
      </c>
      <c r="K73" s="21">
        <f t="shared" si="36"/>
        <v>0</v>
      </c>
      <c r="L73" s="21">
        <f t="shared" si="37"/>
        <v>0</v>
      </c>
      <c r="M73" s="21">
        <f t="shared" si="44"/>
        <v>0</v>
      </c>
      <c r="N73" s="21">
        <f t="shared" si="38"/>
        <v>0</v>
      </c>
      <c r="O73" s="21">
        <f t="shared" si="39"/>
        <v>0</v>
      </c>
      <c r="P73" s="21">
        <f t="shared" si="40"/>
        <v>0</v>
      </c>
      <c r="Q73" s="16">
        <f t="shared" si="41"/>
        <v>0</v>
      </c>
    </row>
    <row r="74" spans="1:17" x14ac:dyDescent="0.3">
      <c r="A74" s="16">
        <v>10</v>
      </c>
      <c r="B74" s="16">
        <f t="shared" si="29"/>
        <v>2035</v>
      </c>
      <c r="C74" s="16">
        <f t="shared" si="30"/>
        <v>9</v>
      </c>
      <c r="D74" s="21">
        <f t="shared" si="31"/>
        <v>0</v>
      </c>
      <c r="E74" s="27">
        <f t="shared" si="32"/>
        <v>0</v>
      </c>
      <c r="F74" s="27">
        <f t="shared" si="33"/>
        <v>1.6894789590026928</v>
      </c>
      <c r="G74" s="21">
        <f t="shared" si="42"/>
        <v>0</v>
      </c>
      <c r="H74" s="27">
        <f t="shared" si="43"/>
        <v>0</v>
      </c>
      <c r="I74" s="21">
        <f t="shared" si="34"/>
        <v>0</v>
      </c>
      <c r="J74" s="27">
        <f t="shared" si="35"/>
        <v>0</v>
      </c>
      <c r="K74" s="21">
        <f t="shared" si="36"/>
        <v>0</v>
      </c>
      <c r="L74" s="21">
        <f t="shared" si="37"/>
        <v>0</v>
      </c>
      <c r="M74" s="21">
        <f t="shared" si="44"/>
        <v>0</v>
      </c>
      <c r="N74" s="21">
        <f t="shared" si="38"/>
        <v>0</v>
      </c>
      <c r="O74" s="21">
        <f t="shared" si="39"/>
        <v>0</v>
      </c>
      <c r="P74" s="21">
        <f t="shared" si="40"/>
        <v>0</v>
      </c>
      <c r="Q74" s="16">
        <f t="shared" si="41"/>
        <v>0</v>
      </c>
    </row>
    <row r="75" spans="1:17" x14ac:dyDescent="0.3">
      <c r="A75" s="16">
        <v>11</v>
      </c>
      <c r="B75" s="16">
        <f t="shared" si="29"/>
        <v>2036</v>
      </c>
      <c r="C75" s="16">
        <f t="shared" si="30"/>
        <v>10</v>
      </c>
      <c r="D75" s="21">
        <f t="shared" si="31"/>
        <v>0</v>
      </c>
      <c r="E75" s="27">
        <f t="shared" si="32"/>
        <v>0</v>
      </c>
      <c r="F75" s="27">
        <f t="shared" si="33"/>
        <v>1.7908476965428546</v>
      </c>
      <c r="G75" s="21">
        <f t="shared" si="42"/>
        <v>0</v>
      </c>
      <c r="H75" s="27">
        <f t="shared" si="43"/>
        <v>0</v>
      </c>
      <c r="I75" s="21">
        <f t="shared" si="34"/>
        <v>0</v>
      </c>
      <c r="J75" s="27">
        <f t="shared" si="35"/>
        <v>0</v>
      </c>
      <c r="K75" s="21">
        <f t="shared" si="36"/>
        <v>0</v>
      </c>
      <c r="L75" s="21">
        <f t="shared" si="37"/>
        <v>0</v>
      </c>
      <c r="M75" s="21">
        <f t="shared" si="44"/>
        <v>0</v>
      </c>
      <c r="N75" s="21">
        <f t="shared" si="38"/>
        <v>0</v>
      </c>
      <c r="O75" s="21">
        <f t="shared" si="39"/>
        <v>0</v>
      </c>
      <c r="P75" s="21">
        <f t="shared" si="40"/>
        <v>0</v>
      </c>
      <c r="Q75" s="16">
        <f t="shared" si="41"/>
        <v>0</v>
      </c>
    </row>
    <row r="76" spans="1:17" x14ac:dyDescent="0.3">
      <c r="A76" s="16">
        <v>12</v>
      </c>
      <c r="B76" s="16">
        <f t="shared" si="29"/>
        <v>2037</v>
      </c>
      <c r="C76" s="16">
        <f t="shared" si="30"/>
        <v>11</v>
      </c>
      <c r="D76" s="21">
        <f t="shared" si="31"/>
        <v>0</v>
      </c>
      <c r="E76" s="27">
        <f t="shared" si="32"/>
        <v>0</v>
      </c>
      <c r="F76" s="27">
        <f t="shared" si="33"/>
        <v>1.8982985583354262</v>
      </c>
      <c r="G76" s="21">
        <f t="shared" si="42"/>
        <v>0</v>
      </c>
      <c r="H76" s="27">
        <f t="shared" si="43"/>
        <v>0</v>
      </c>
      <c r="I76" s="21">
        <f t="shared" si="34"/>
        <v>0</v>
      </c>
      <c r="J76" s="27">
        <f t="shared" si="35"/>
        <v>0</v>
      </c>
      <c r="K76" s="21">
        <f t="shared" si="36"/>
        <v>0</v>
      </c>
      <c r="L76" s="21">
        <f t="shared" si="37"/>
        <v>0</v>
      </c>
      <c r="M76" s="21">
        <f t="shared" si="44"/>
        <v>0</v>
      </c>
      <c r="N76" s="21">
        <f t="shared" si="38"/>
        <v>0</v>
      </c>
      <c r="O76" s="21">
        <f t="shared" si="39"/>
        <v>0</v>
      </c>
      <c r="P76" s="21">
        <f t="shared" si="40"/>
        <v>0</v>
      </c>
      <c r="Q76" s="16">
        <f t="shared" si="41"/>
        <v>0</v>
      </c>
    </row>
    <row r="77" spans="1:17" x14ac:dyDescent="0.3">
      <c r="A77" s="16">
        <v>13</v>
      </c>
      <c r="B77" s="16">
        <f t="shared" si="29"/>
        <v>2038</v>
      </c>
      <c r="C77" s="16">
        <f t="shared" si="30"/>
        <v>12</v>
      </c>
      <c r="D77" s="21">
        <f t="shared" si="31"/>
        <v>0</v>
      </c>
      <c r="E77" s="27">
        <f t="shared" si="32"/>
        <v>0</v>
      </c>
      <c r="F77" s="27">
        <f t="shared" si="33"/>
        <v>2.0121964718355518</v>
      </c>
      <c r="G77" s="21">
        <f t="shared" si="42"/>
        <v>0</v>
      </c>
      <c r="H77" s="27">
        <f t="shared" si="43"/>
        <v>0</v>
      </c>
      <c r="I77" s="21">
        <f t="shared" si="34"/>
        <v>0</v>
      </c>
      <c r="J77" s="27">
        <f t="shared" si="35"/>
        <v>0</v>
      </c>
      <c r="K77" s="21">
        <f t="shared" si="36"/>
        <v>0</v>
      </c>
      <c r="L77" s="21">
        <f t="shared" si="37"/>
        <v>0</v>
      </c>
      <c r="M77" s="21">
        <f t="shared" si="44"/>
        <v>0</v>
      </c>
      <c r="N77" s="21">
        <f t="shared" si="38"/>
        <v>0</v>
      </c>
      <c r="O77" s="21">
        <f t="shared" si="39"/>
        <v>0</v>
      </c>
      <c r="P77" s="21">
        <f t="shared" si="40"/>
        <v>0</v>
      </c>
      <c r="Q77" s="16">
        <f t="shared" si="41"/>
        <v>0</v>
      </c>
    </row>
    <row r="78" spans="1:17" x14ac:dyDescent="0.3">
      <c r="A78" s="16">
        <v>14</v>
      </c>
      <c r="B78" s="16">
        <f t="shared" si="29"/>
        <v>2039</v>
      </c>
      <c r="C78" s="16">
        <f t="shared" si="30"/>
        <v>13</v>
      </c>
      <c r="D78" s="21">
        <f t="shared" si="31"/>
        <v>0</v>
      </c>
      <c r="E78" s="27">
        <f t="shared" si="32"/>
        <v>0</v>
      </c>
      <c r="F78" s="27">
        <f t="shared" si="33"/>
        <v>2.1329282601456852</v>
      </c>
      <c r="G78" s="21">
        <f t="shared" si="42"/>
        <v>0</v>
      </c>
      <c r="H78" s="27">
        <f t="shared" si="43"/>
        <v>0</v>
      </c>
      <c r="I78" s="21">
        <f t="shared" si="34"/>
        <v>0</v>
      </c>
      <c r="J78" s="27">
        <f t="shared" si="35"/>
        <v>0</v>
      </c>
      <c r="K78" s="21">
        <f t="shared" si="36"/>
        <v>0</v>
      </c>
      <c r="L78" s="21">
        <f t="shared" si="37"/>
        <v>0</v>
      </c>
      <c r="M78" s="21">
        <f t="shared" si="44"/>
        <v>0</v>
      </c>
      <c r="N78" s="21">
        <f t="shared" si="38"/>
        <v>0</v>
      </c>
      <c r="O78" s="21">
        <f t="shared" si="39"/>
        <v>0</v>
      </c>
      <c r="P78" s="21">
        <f t="shared" si="40"/>
        <v>0</v>
      </c>
      <c r="Q78" s="16">
        <f t="shared" si="41"/>
        <v>0</v>
      </c>
    </row>
    <row r="79" spans="1:17" x14ac:dyDescent="0.3">
      <c r="A79" s="16">
        <v>15</v>
      </c>
      <c r="B79" s="16">
        <f t="shared" si="29"/>
        <v>2040</v>
      </c>
      <c r="C79" s="16">
        <f t="shared" si="30"/>
        <v>14</v>
      </c>
      <c r="D79" s="21">
        <f t="shared" si="31"/>
        <v>0</v>
      </c>
      <c r="E79" s="27">
        <f t="shared" si="32"/>
        <v>0</v>
      </c>
      <c r="F79" s="27">
        <f t="shared" si="33"/>
        <v>2.2609039557544262</v>
      </c>
      <c r="G79" s="21">
        <f t="shared" si="42"/>
        <v>0</v>
      </c>
      <c r="H79" s="27">
        <f t="shared" si="43"/>
        <v>0</v>
      </c>
      <c r="I79" s="21">
        <f t="shared" si="34"/>
        <v>0</v>
      </c>
      <c r="J79" s="27">
        <f t="shared" si="35"/>
        <v>0</v>
      </c>
      <c r="K79" s="21">
        <f t="shared" si="36"/>
        <v>0</v>
      </c>
      <c r="L79" s="21">
        <f t="shared" si="37"/>
        <v>0</v>
      </c>
      <c r="M79" s="21">
        <f t="shared" si="44"/>
        <v>0</v>
      </c>
      <c r="N79" s="21">
        <f t="shared" si="38"/>
        <v>0</v>
      </c>
      <c r="O79" s="21">
        <f t="shared" si="39"/>
        <v>0</v>
      </c>
      <c r="P79" s="21">
        <f t="shared" si="40"/>
        <v>0</v>
      </c>
      <c r="Q79" s="16">
        <f t="shared" si="41"/>
        <v>0</v>
      </c>
    </row>
    <row r="80" spans="1:17" x14ac:dyDescent="0.3">
      <c r="A80" s="16">
        <v>16</v>
      </c>
      <c r="B80" s="16">
        <f t="shared" si="29"/>
        <v>2041</v>
      </c>
      <c r="C80" s="16">
        <f t="shared" si="30"/>
        <v>15</v>
      </c>
      <c r="D80" s="21">
        <f t="shared" si="31"/>
        <v>0</v>
      </c>
      <c r="E80" s="27">
        <f t="shared" si="32"/>
        <v>0</v>
      </c>
      <c r="F80" s="27">
        <f t="shared" si="33"/>
        <v>2.3965581930996924</v>
      </c>
      <c r="G80" s="21">
        <f t="shared" si="42"/>
        <v>0</v>
      </c>
      <c r="H80" s="27">
        <f t="shared" si="43"/>
        <v>0</v>
      </c>
      <c r="I80" s="21">
        <f t="shared" si="34"/>
        <v>0</v>
      </c>
      <c r="J80" s="27">
        <f t="shared" si="35"/>
        <v>0</v>
      </c>
      <c r="K80" s="21">
        <f t="shared" si="36"/>
        <v>0</v>
      </c>
      <c r="L80" s="21">
        <f t="shared" si="37"/>
        <v>0</v>
      </c>
      <c r="M80" s="21">
        <f t="shared" si="44"/>
        <v>0</v>
      </c>
      <c r="N80" s="21">
        <f t="shared" si="38"/>
        <v>0</v>
      </c>
      <c r="O80" s="21">
        <f t="shared" si="39"/>
        <v>0</v>
      </c>
      <c r="P80" s="21">
        <f t="shared" si="40"/>
        <v>0</v>
      </c>
      <c r="Q80" s="16">
        <f t="shared" si="41"/>
        <v>0</v>
      </c>
    </row>
    <row r="81" spans="1:17" x14ac:dyDescent="0.3">
      <c r="A81" s="16">
        <v>17</v>
      </c>
      <c r="B81" s="16">
        <f t="shared" si="29"/>
        <v>2042</v>
      </c>
      <c r="C81" s="16">
        <f t="shared" si="30"/>
        <v>16</v>
      </c>
      <c r="D81" s="21">
        <f t="shared" si="31"/>
        <v>0</v>
      </c>
      <c r="E81" s="27">
        <f t="shared" si="32"/>
        <v>0</v>
      </c>
      <c r="F81" s="27">
        <f t="shared" si="33"/>
        <v>2.5403516846856733</v>
      </c>
      <c r="G81" s="21">
        <f t="shared" si="42"/>
        <v>0</v>
      </c>
      <c r="H81" s="27">
        <f t="shared" si="43"/>
        <v>0</v>
      </c>
      <c r="I81" s="21">
        <f t="shared" si="34"/>
        <v>0</v>
      </c>
      <c r="J81" s="27">
        <f t="shared" si="35"/>
        <v>0</v>
      </c>
      <c r="K81" s="21">
        <f t="shared" si="36"/>
        <v>0</v>
      </c>
      <c r="L81" s="21">
        <f t="shared" si="37"/>
        <v>0</v>
      </c>
      <c r="M81" s="21">
        <f t="shared" si="44"/>
        <v>0</v>
      </c>
      <c r="N81" s="21">
        <f t="shared" si="38"/>
        <v>0</v>
      </c>
      <c r="O81" s="21">
        <f t="shared" si="39"/>
        <v>0</v>
      </c>
      <c r="P81" s="21">
        <f t="shared" si="40"/>
        <v>0</v>
      </c>
      <c r="Q81" s="16">
        <f t="shared" si="41"/>
        <v>0</v>
      </c>
    </row>
    <row r="82" spans="1:17" x14ac:dyDescent="0.3">
      <c r="A82" s="16">
        <v>18</v>
      </c>
      <c r="B82" s="16">
        <f t="shared" si="29"/>
        <v>2043</v>
      </c>
      <c r="C82" s="16">
        <f t="shared" si="30"/>
        <v>17</v>
      </c>
      <c r="D82" s="21">
        <f t="shared" si="31"/>
        <v>0</v>
      </c>
      <c r="E82" s="27">
        <f t="shared" si="32"/>
        <v>0</v>
      </c>
      <c r="F82" s="27">
        <f t="shared" si="33"/>
        <v>2.692772785766814</v>
      </c>
      <c r="G82" s="21">
        <f t="shared" si="42"/>
        <v>0</v>
      </c>
      <c r="H82" s="27">
        <f t="shared" si="43"/>
        <v>0</v>
      </c>
      <c r="I82" s="21">
        <f t="shared" si="34"/>
        <v>0</v>
      </c>
      <c r="J82" s="27">
        <f t="shared" si="35"/>
        <v>0</v>
      </c>
      <c r="K82" s="21">
        <f t="shared" si="36"/>
        <v>0</v>
      </c>
      <c r="L82" s="21">
        <f t="shared" si="37"/>
        <v>0</v>
      </c>
      <c r="M82" s="21">
        <f t="shared" si="44"/>
        <v>0</v>
      </c>
      <c r="N82" s="21">
        <f t="shared" si="38"/>
        <v>0</v>
      </c>
      <c r="O82" s="21">
        <f t="shared" si="39"/>
        <v>0</v>
      </c>
      <c r="P82" s="21">
        <f t="shared" si="40"/>
        <v>0</v>
      </c>
      <c r="Q82" s="16">
        <f t="shared" si="41"/>
        <v>0</v>
      </c>
    </row>
    <row r="83" spans="1:17" x14ac:dyDescent="0.3">
      <c r="A83" s="16">
        <v>19</v>
      </c>
      <c r="B83" s="16">
        <f t="shared" si="29"/>
        <v>2044</v>
      </c>
      <c r="C83" s="16">
        <f t="shared" si="30"/>
        <v>18</v>
      </c>
      <c r="D83" s="21">
        <f t="shared" si="31"/>
        <v>0</v>
      </c>
      <c r="E83" s="27">
        <f t="shared" si="32"/>
        <v>0</v>
      </c>
      <c r="F83" s="27">
        <f t="shared" si="33"/>
        <v>2.8543391529128228</v>
      </c>
      <c r="G83" s="21">
        <f t="shared" si="42"/>
        <v>0</v>
      </c>
      <c r="H83" s="27">
        <f t="shared" si="43"/>
        <v>0</v>
      </c>
      <c r="I83" s="21">
        <f t="shared" si="34"/>
        <v>0</v>
      </c>
      <c r="J83" s="27">
        <f t="shared" si="35"/>
        <v>0</v>
      </c>
      <c r="K83" s="21">
        <f t="shared" si="36"/>
        <v>0</v>
      </c>
      <c r="L83" s="21">
        <f t="shared" si="37"/>
        <v>0</v>
      </c>
      <c r="M83" s="21">
        <f t="shared" si="44"/>
        <v>0</v>
      </c>
      <c r="N83" s="21">
        <f t="shared" si="38"/>
        <v>0</v>
      </c>
      <c r="O83" s="21">
        <f t="shared" si="39"/>
        <v>0</v>
      </c>
      <c r="P83" s="21">
        <f t="shared" si="40"/>
        <v>0</v>
      </c>
      <c r="Q83" s="16">
        <f t="shared" si="41"/>
        <v>0</v>
      </c>
    </row>
    <row r="84" spans="1:17" x14ac:dyDescent="0.3">
      <c r="A84" s="16">
        <v>20</v>
      </c>
      <c r="B84" s="16">
        <f t="shared" si="29"/>
        <v>2045</v>
      </c>
      <c r="C84" s="16">
        <f t="shared" si="30"/>
        <v>19</v>
      </c>
      <c r="D84" s="21">
        <f t="shared" si="31"/>
        <v>0</v>
      </c>
      <c r="E84" s="27">
        <f t="shared" si="32"/>
        <v>0</v>
      </c>
      <c r="F84" s="27">
        <f t="shared" si="33"/>
        <v>3.0255995020875925</v>
      </c>
      <c r="G84" s="21">
        <f t="shared" si="42"/>
        <v>0</v>
      </c>
      <c r="H84" s="27">
        <f t="shared" si="43"/>
        <v>0</v>
      </c>
      <c r="I84" s="21">
        <f t="shared" si="34"/>
        <v>0</v>
      </c>
      <c r="J84" s="27">
        <f t="shared" si="35"/>
        <v>0</v>
      </c>
      <c r="K84" s="21">
        <f t="shared" si="36"/>
        <v>0</v>
      </c>
      <c r="L84" s="21">
        <f t="shared" si="37"/>
        <v>0</v>
      </c>
      <c r="M84" s="21">
        <f t="shared" si="44"/>
        <v>0</v>
      </c>
      <c r="N84" s="21">
        <f t="shared" si="38"/>
        <v>0</v>
      </c>
      <c r="O84" s="21">
        <f t="shared" si="39"/>
        <v>0</v>
      </c>
      <c r="P84" s="21">
        <f t="shared" si="40"/>
        <v>0</v>
      </c>
      <c r="Q84" s="16">
        <f t="shared" si="41"/>
        <v>0</v>
      </c>
    </row>
    <row r="85" spans="1:17" x14ac:dyDescent="0.3">
      <c r="A85" s="16">
        <v>21</v>
      </c>
      <c r="B85" s="16">
        <f t="shared" si="29"/>
        <v>2046</v>
      </c>
      <c r="C85" s="16">
        <f t="shared" si="30"/>
        <v>20</v>
      </c>
      <c r="D85" s="21">
        <f t="shared" si="31"/>
        <v>0</v>
      </c>
      <c r="E85" s="27">
        <f t="shared" si="32"/>
        <v>0</v>
      </c>
      <c r="F85" s="27">
        <f t="shared" si="33"/>
        <v>3.207135472212848</v>
      </c>
      <c r="G85" s="21">
        <f t="shared" si="42"/>
        <v>0</v>
      </c>
      <c r="H85" s="27">
        <f t="shared" si="43"/>
        <v>0</v>
      </c>
      <c r="I85" s="21">
        <f t="shared" si="34"/>
        <v>0</v>
      </c>
      <c r="J85" s="27">
        <f t="shared" si="35"/>
        <v>0</v>
      </c>
      <c r="K85" s="21">
        <f t="shared" si="36"/>
        <v>0</v>
      </c>
      <c r="L85" s="21">
        <f t="shared" si="37"/>
        <v>0</v>
      </c>
      <c r="M85" s="21">
        <f t="shared" si="44"/>
        <v>0</v>
      </c>
      <c r="N85" s="21">
        <f t="shared" si="38"/>
        <v>0</v>
      </c>
      <c r="O85" s="21">
        <f t="shared" si="39"/>
        <v>0</v>
      </c>
      <c r="P85" s="21">
        <f t="shared" si="40"/>
        <v>0</v>
      </c>
      <c r="Q85" s="16">
        <f t="shared" si="41"/>
        <v>0</v>
      </c>
    </row>
    <row r="86" spans="1:17" x14ac:dyDescent="0.3">
      <c r="A86" s="16">
        <v>22</v>
      </c>
      <c r="B86" s="16">
        <f t="shared" si="29"/>
        <v>2047</v>
      </c>
      <c r="C86" s="16">
        <f t="shared" si="30"/>
        <v>21</v>
      </c>
      <c r="D86" s="21">
        <f t="shared" si="31"/>
        <v>0</v>
      </c>
      <c r="E86" s="27">
        <f t="shared" si="32"/>
        <v>0</v>
      </c>
      <c r="F86" s="27">
        <f t="shared" si="33"/>
        <v>3.3995636005456196</v>
      </c>
      <c r="G86" s="21">
        <f t="shared" si="42"/>
        <v>0</v>
      </c>
      <c r="H86" s="27">
        <f t="shared" si="43"/>
        <v>0</v>
      </c>
      <c r="I86" s="21">
        <f t="shared" si="34"/>
        <v>0</v>
      </c>
      <c r="J86" s="27">
        <f t="shared" si="35"/>
        <v>0</v>
      </c>
      <c r="K86" s="21">
        <f t="shared" si="36"/>
        <v>0</v>
      </c>
      <c r="L86" s="21">
        <f t="shared" si="37"/>
        <v>0</v>
      </c>
      <c r="M86" s="21">
        <f t="shared" si="44"/>
        <v>0</v>
      </c>
      <c r="N86" s="21">
        <f t="shared" si="38"/>
        <v>0</v>
      </c>
      <c r="O86" s="21">
        <f t="shared" si="39"/>
        <v>0</v>
      </c>
      <c r="P86" s="21">
        <f t="shared" si="40"/>
        <v>0</v>
      </c>
      <c r="Q86" s="16">
        <f t="shared" si="41"/>
        <v>0</v>
      </c>
    </row>
    <row r="87" spans="1:17" x14ac:dyDescent="0.3">
      <c r="A87" s="16">
        <v>23</v>
      </c>
      <c r="B87" s="16">
        <f t="shared" si="29"/>
        <v>2048</v>
      </c>
      <c r="C87" s="16">
        <f t="shared" si="30"/>
        <v>22</v>
      </c>
      <c r="D87" s="21">
        <f t="shared" si="31"/>
        <v>0</v>
      </c>
      <c r="E87" s="27">
        <f t="shared" si="32"/>
        <v>0</v>
      </c>
      <c r="F87" s="27">
        <f t="shared" si="33"/>
        <v>3.6035374165783569</v>
      </c>
      <c r="G87" s="21">
        <f t="shared" si="42"/>
        <v>0</v>
      </c>
      <c r="H87" s="27">
        <f t="shared" si="43"/>
        <v>0</v>
      </c>
      <c r="I87" s="21">
        <f t="shared" si="34"/>
        <v>0</v>
      </c>
      <c r="J87" s="27">
        <f t="shared" si="35"/>
        <v>0</v>
      </c>
      <c r="K87" s="21">
        <f t="shared" si="36"/>
        <v>0</v>
      </c>
      <c r="L87" s="21">
        <f t="shared" si="37"/>
        <v>0</v>
      </c>
      <c r="M87" s="21">
        <f t="shared" si="44"/>
        <v>0</v>
      </c>
      <c r="N87" s="21">
        <f t="shared" si="38"/>
        <v>0</v>
      </c>
      <c r="O87" s="21">
        <f t="shared" si="39"/>
        <v>0</v>
      </c>
      <c r="P87" s="21">
        <f t="shared" si="40"/>
        <v>0</v>
      </c>
      <c r="Q87" s="16">
        <f t="shared" si="41"/>
        <v>0</v>
      </c>
    </row>
    <row r="88" spans="1:17" x14ac:dyDescent="0.3">
      <c r="A88" s="16">
        <v>24</v>
      </c>
      <c r="B88" s="16">
        <f t="shared" si="29"/>
        <v>2049</v>
      </c>
      <c r="C88" s="16">
        <f t="shared" si="30"/>
        <v>23</v>
      </c>
      <c r="D88" s="21">
        <f t="shared" si="31"/>
        <v>0</v>
      </c>
      <c r="E88" s="27">
        <f t="shared" si="32"/>
        <v>0</v>
      </c>
      <c r="F88" s="27">
        <f t="shared" si="33"/>
        <v>3.8197496615730588</v>
      </c>
      <c r="G88" s="21">
        <f t="shared" si="42"/>
        <v>0</v>
      </c>
      <c r="H88" s="27">
        <f t="shared" si="43"/>
        <v>0</v>
      </c>
      <c r="I88" s="21">
        <f t="shared" si="34"/>
        <v>0</v>
      </c>
      <c r="J88" s="27">
        <f t="shared" si="35"/>
        <v>0</v>
      </c>
      <c r="K88" s="21">
        <f t="shared" si="36"/>
        <v>0</v>
      </c>
      <c r="L88" s="21">
        <f t="shared" si="37"/>
        <v>0</v>
      </c>
      <c r="M88" s="21">
        <f t="shared" si="44"/>
        <v>0</v>
      </c>
      <c r="N88" s="21">
        <f t="shared" si="38"/>
        <v>0</v>
      </c>
      <c r="O88" s="21">
        <f t="shared" si="39"/>
        <v>0</v>
      </c>
      <c r="P88" s="21">
        <f t="shared" si="40"/>
        <v>0</v>
      </c>
      <c r="Q88" s="16">
        <f t="shared" si="41"/>
        <v>0</v>
      </c>
    </row>
    <row r="89" spans="1:17" x14ac:dyDescent="0.3">
      <c r="A89" s="16">
        <v>25</v>
      </c>
      <c r="B89" s="16">
        <f t="shared" si="29"/>
        <v>2050</v>
      </c>
      <c r="C89" s="16">
        <f t="shared" si="30"/>
        <v>24</v>
      </c>
      <c r="D89" s="21">
        <f t="shared" si="31"/>
        <v>0</v>
      </c>
      <c r="E89" s="27">
        <f t="shared" si="32"/>
        <v>0</v>
      </c>
      <c r="F89" s="27">
        <f t="shared" si="33"/>
        <v>4.0489346412674418</v>
      </c>
      <c r="G89" s="21">
        <f t="shared" si="42"/>
        <v>0</v>
      </c>
      <c r="H89" s="27">
        <f t="shared" si="43"/>
        <v>0</v>
      </c>
      <c r="I89" s="21">
        <f t="shared" si="34"/>
        <v>0</v>
      </c>
      <c r="J89" s="27">
        <f t="shared" si="35"/>
        <v>0</v>
      </c>
      <c r="K89" s="21">
        <f t="shared" si="36"/>
        <v>0</v>
      </c>
      <c r="L89" s="21">
        <f t="shared" si="37"/>
        <v>0</v>
      </c>
      <c r="M89" s="21">
        <f t="shared" si="44"/>
        <v>0</v>
      </c>
      <c r="N89" s="21">
        <f t="shared" si="38"/>
        <v>0</v>
      </c>
      <c r="O89" s="21">
        <f t="shared" si="39"/>
        <v>0</v>
      </c>
      <c r="P89" s="21">
        <f t="shared" si="40"/>
        <v>0</v>
      </c>
      <c r="Q89" s="16">
        <f t="shared" si="41"/>
        <v>0</v>
      </c>
    </row>
    <row r="90" spans="1:17" x14ac:dyDescent="0.3">
      <c r="A90" s="16">
        <v>26</v>
      </c>
      <c r="B90" s="16">
        <f t="shared" si="29"/>
        <v>2051</v>
      </c>
      <c r="C90" s="16">
        <f t="shared" si="30"/>
        <v>25</v>
      </c>
      <c r="D90" s="21">
        <f t="shared" si="31"/>
        <v>0</v>
      </c>
      <c r="E90" s="27">
        <f t="shared" si="32"/>
        <v>0</v>
      </c>
      <c r="F90" s="27">
        <f t="shared" si="33"/>
        <v>4.2918707197434882</v>
      </c>
      <c r="G90" s="21">
        <f t="shared" si="42"/>
        <v>0</v>
      </c>
      <c r="H90" s="27">
        <f t="shared" si="43"/>
        <v>0</v>
      </c>
      <c r="I90" s="21">
        <f t="shared" si="34"/>
        <v>0</v>
      </c>
      <c r="J90" s="27">
        <f t="shared" si="35"/>
        <v>0</v>
      </c>
      <c r="K90" s="21">
        <f t="shared" si="36"/>
        <v>0</v>
      </c>
      <c r="L90" s="21">
        <f t="shared" si="37"/>
        <v>0</v>
      </c>
      <c r="M90" s="21">
        <f t="shared" si="44"/>
        <v>0</v>
      </c>
      <c r="N90" s="21">
        <f t="shared" si="38"/>
        <v>0</v>
      </c>
      <c r="O90" s="21">
        <f t="shared" si="39"/>
        <v>0</v>
      </c>
      <c r="P90" s="21">
        <f t="shared" si="40"/>
        <v>0</v>
      </c>
      <c r="Q90" s="16">
        <f t="shared" si="41"/>
        <v>0</v>
      </c>
    </row>
    <row r="91" spans="1:17" x14ac:dyDescent="0.3">
      <c r="A91" s="16">
        <v>27</v>
      </c>
      <c r="B91" s="16">
        <f t="shared" si="29"/>
        <v>2052</v>
      </c>
      <c r="C91" s="16">
        <f t="shared" si="30"/>
        <v>26</v>
      </c>
      <c r="D91" s="21">
        <f t="shared" si="31"/>
        <v>0</v>
      </c>
      <c r="E91" s="27">
        <f t="shared" si="32"/>
        <v>0</v>
      </c>
      <c r="F91" s="27">
        <f t="shared" si="33"/>
        <v>4.5493829629280977</v>
      </c>
      <c r="G91" s="21">
        <f t="shared" si="42"/>
        <v>0</v>
      </c>
      <c r="H91" s="27">
        <f t="shared" si="43"/>
        <v>0</v>
      </c>
      <c r="I91" s="21">
        <f t="shared" si="34"/>
        <v>0</v>
      </c>
      <c r="J91" s="27">
        <f t="shared" si="35"/>
        <v>0</v>
      </c>
      <c r="K91" s="21">
        <f t="shared" si="36"/>
        <v>0</v>
      </c>
      <c r="L91" s="21">
        <f t="shared" si="37"/>
        <v>0</v>
      </c>
      <c r="M91" s="21">
        <f t="shared" si="44"/>
        <v>0</v>
      </c>
      <c r="N91" s="21">
        <f t="shared" si="38"/>
        <v>0</v>
      </c>
      <c r="O91" s="21">
        <f t="shared" si="39"/>
        <v>0</v>
      </c>
      <c r="P91" s="21">
        <f t="shared" si="40"/>
        <v>0</v>
      </c>
      <c r="Q91" s="16">
        <f t="shared" si="41"/>
        <v>0</v>
      </c>
    </row>
    <row r="92" spans="1:17" x14ac:dyDescent="0.3">
      <c r="A92" s="16">
        <v>28</v>
      </c>
      <c r="B92" s="16">
        <f t="shared" si="29"/>
        <v>2053</v>
      </c>
      <c r="C92" s="16">
        <f t="shared" si="30"/>
        <v>27</v>
      </c>
      <c r="D92" s="21">
        <f t="shared" si="31"/>
        <v>0</v>
      </c>
      <c r="E92" s="27">
        <f t="shared" si="32"/>
        <v>0</v>
      </c>
      <c r="F92" s="27">
        <f t="shared" si="33"/>
        <v>4.8223459407037845</v>
      </c>
      <c r="G92" s="21">
        <f t="shared" si="42"/>
        <v>0</v>
      </c>
      <c r="H92" s="27">
        <f t="shared" si="43"/>
        <v>0</v>
      </c>
      <c r="I92" s="21">
        <f t="shared" si="34"/>
        <v>0</v>
      </c>
      <c r="J92" s="27">
        <f t="shared" si="35"/>
        <v>0</v>
      </c>
      <c r="K92" s="21">
        <f t="shared" si="36"/>
        <v>0</v>
      </c>
      <c r="L92" s="21">
        <f t="shared" si="37"/>
        <v>0</v>
      </c>
      <c r="M92" s="21">
        <f t="shared" si="44"/>
        <v>0</v>
      </c>
      <c r="N92" s="21">
        <f t="shared" si="38"/>
        <v>0</v>
      </c>
      <c r="O92" s="21">
        <f t="shared" si="39"/>
        <v>0</v>
      </c>
      <c r="P92" s="21">
        <f t="shared" si="40"/>
        <v>0</v>
      </c>
      <c r="Q92" s="16">
        <f t="shared" si="41"/>
        <v>0</v>
      </c>
    </row>
    <row r="93" spans="1:17" x14ac:dyDescent="0.3">
      <c r="A93" s="16">
        <v>29</v>
      </c>
      <c r="B93" s="16">
        <f t="shared" si="29"/>
        <v>2054</v>
      </c>
      <c r="C93" s="16">
        <f t="shared" si="30"/>
        <v>28</v>
      </c>
      <c r="D93" s="21">
        <f t="shared" si="31"/>
        <v>0</v>
      </c>
      <c r="E93" s="27">
        <f t="shared" si="32"/>
        <v>0</v>
      </c>
      <c r="F93" s="27">
        <f t="shared" si="33"/>
        <v>5.1116866971460118</v>
      </c>
      <c r="G93" s="21">
        <f t="shared" si="42"/>
        <v>0</v>
      </c>
      <c r="H93" s="27">
        <f t="shared" si="43"/>
        <v>0</v>
      </c>
      <c r="I93" s="21">
        <f t="shared" si="34"/>
        <v>0</v>
      </c>
      <c r="J93" s="27">
        <f t="shared" si="35"/>
        <v>0</v>
      </c>
      <c r="K93" s="21">
        <f t="shared" si="36"/>
        <v>0</v>
      </c>
      <c r="L93" s="21">
        <f t="shared" si="37"/>
        <v>0</v>
      </c>
      <c r="M93" s="21">
        <f t="shared" si="44"/>
        <v>0</v>
      </c>
      <c r="N93" s="21">
        <f t="shared" si="38"/>
        <v>0</v>
      </c>
      <c r="O93" s="21">
        <f t="shared" si="39"/>
        <v>0</v>
      </c>
      <c r="P93" s="21">
        <f t="shared" si="40"/>
        <v>0</v>
      </c>
      <c r="Q93" s="16">
        <f t="shared" si="41"/>
        <v>0</v>
      </c>
    </row>
    <row r="94" spans="1:17" x14ac:dyDescent="0.3">
      <c r="A94" s="16">
        <v>30</v>
      </c>
      <c r="B94" s="16">
        <f t="shared" si="29"/>
        <v>2055</v>
      </c>
      <c r="C94" s="16">
        <f t="shared" si="30"/>
        <v>29</v>
      </c>
      <c r="D94" s="21">
        <f t="shared" si="31"/>
        <v>0</v>
      </c>
      <c r="E94" s="27">
        <f t="shared" si="32"/>
        <v>0</v>
      </c>
      <c r="F94" s="27">
        <f t="shared" si="33"/>
        <v>5.4183878989747729</v>
      </c>
      <c r="G94" s="21">
        <f t="shared" si="42"/>
        <v>0</v>
      </c>
      <c r="H94" s="27">
        <f t="shared" si="43"/>
        <v>0</v>
      </c>
      <c r="I94" s="21">
        <f t="shared" si="34"/>
        <v>0</v>
      </c>
      <c r="J94" s="27">
        <f t="shared" si="35"/>
        <v>0</v>
      </c>
      <c r="K94" s="21">
        <f t="shared" si="36"/>
        <v>0</v>
      </c>
      <c r="L94" s="21">
        <f t="shared" si="37"/>
        <v>0</v>
      </c>
      <c r="M94" s="21">
        <f t="shared" si="44"/>
        <v>0</v>
      </c>
      <c r="N94" s="21">
        <f t="shared" si="38"/>
        <v>0</v>
      </c>
      <c r="O94" s="21">
        <f t="shared" si="39"/>
        <v>0</v>
      </c>
      <c r="P94" s="21">
        <f t="shared" si="40"/>
        <v>0</v>
      </c>
      <c r="Q94" s="16">
        <f t="shared" si="41"/>
        <v>0</v>
      </c>
    </row>
    <row r="95" spans="1:17" x14ac:dyDescent="0.3">
      <c r="A95" s="16">
        <v>31</v>
      </c>
      <c r="B95" s="16">
        <f t="shared" si="29"/>
        <v>2056</v>
      </c>
      <c r="C95" s="16">
        <f t="shared" si="30"/>
        <v>30</v>
      </c>
      <c r="D95" s="21">
        <f t="shared" si="31"/>
        <v>0</v>
      </c>
      <c r="E95" s="27">
        <f t="shared" si="32"/>
        <v>0</v>
      </c>
      <c r="F95" s="27">
        <f t="shared" si="33"/>
        <v>5.7434911729132594</v>
      </c>
      <c r="G95" s="21">
        <f t="shared" si="42"/>
        <v>0</v>
      </c>
      <c r="H95" s="27">
        <f t="shared" si="43"/>
        <v>0</v>
      </c>
      <c r="I95" s="21">
        <f t="shared" si="34"/>
        <v>0</v>
      </c>
      <c r="J95" s="27">
        <f t="shared" si="35"/>
        <v>0</v>
      </c>
      <c r="K95" s="21">
        <f t="shared" si="36"/>
        <v>0</v>
      </c>
      <c r="L95" s="21">
        <f t="shared" si="37"/>
        <v>0</v>
      </c>
      <c r="M95" s="21">
        <f t="shared" si="44"/>
        <v>0</v>
      </c>
      <c r="N95" s="21">
        <f t="shared" si="38"/>
        <v>0</v>
      </c>
      <c r="O95" s="21">
        <f t="shared" si="39"/>
        <v>0</v>
      </c>
      <c r="P95" s="21">
        <f t="shared" si="40"/>
        <v>0</v>
      </c>
      <c r="Q95" s="16">
        <f t="shared" si="41"/>
        <v>0</v>
      </c>
    </row>
    <row r="96" spans="1:17" x14ac:dyDescent="0.3">
      <c r="A96" s="16">
        <v>32</v>
      </c>
      <c r="B96" s="16">
        <f t="shared" si="29"/>
        <v>2057</v>
      </c>
      <c r="C96" s="16">
        <f t="shared" si="30"/>
        <v>31</v>
      </c>
      <c r="D96" s="21">
        <f t="shared" si="31"/>
        <v>0</v>
      </c>
      <c r="E96" s="27">
        <f t="shared" si="32"/>
        <v>0</v>
      </c>
      <c r="F96" s="27">
        <f t="shared" si="33"/>
        <v>6.0881006432880564</v>
      </c>
      <c r="G96" s="21">
        <f t="shared" si="42"/>
        <v>0</v>
      </c>
      <c r="H96" s="27">
        <f t="shared" si="43"/>
        <v>0</v>
      </c>
      <c r="I96" s="21">
        <f t="shared" si="34"/>
        <v>0</v>
      </c>
      <c r="J96" s="27">
        <f t="shared" si="35"/>
        <v>0</v>
      </c>
      <c r="K96" s="21">
        <f t="shared" si="36"/>
        <v>0</v>
      </c>
      <c r="L96" s="21">
        <f t="shared" si="37"/>
        <v>0</v>
      </c>
      <c r="M96" s="21">
        <f t="shared" si="44"/>
        <v>0</v>
      </c>
      <c r="N96" s="21">
        <f t="shared" si="38"/>
        <v>0</v>
      </c>
      <c r="O96" s="21">
        <f t="shared" si="39"/>
        <v>0</v>
      </c>
      <c r="P96" s="21">
        <f t="shared" si="40"/>
        <v>0</v>
      </c>
      <c r="Q96" s="16">
        <f t="shared" si="41"/>
        <v>0</v>
      </c>
    </row>
    <row r="97" spans="1:17" x14ac:dyDescent="0.3">
      <c r="A97" s="16">
        <v>33</v>
      </c>
      <c r="B97" s="16">
        <f t="shared" ref="B97:B128" si="45">PlanYear+A97-1</f>
        <v>2058</v>
      </c>
      <c r="C97" s="16">
        <f t="shared" ref="C97:C124" si="46">A97-1-$B$18</f>
        <v>32</v>
      </c>
      <c r="D97" s="21">
        <f t="shared" ref="D97:D128" si="47">IF(AND($B$22=1,C97&gt;=0,C97&lt;$B$19),INDEX($Z$46:$Z$55,C97+1),0)</f>
        <v>0</v>
      </c>
      <c r="E97" s="27">
        <f t="shared" ref="E97:E124" si="48">IF(AND($B$22=1,A97&lt;=$B$21),(1+SavInc)^(A97-1),0)</f>
        <v>0</v>
      </c>
      <c r="F97" s="27">
        <f t="shared" ref="F97:F124" si="49">(1+ReturnRate)^(A97-1)</f>
        <v>6.4533866818853385</v>
      </c>
      <c r="G97" s="21">
        <f t="shared" si="42"/>
        <v>0</v>
      </c>
      <c r="H97" s="27">
        <f t="shared" si="43"/>
        <v>0</v>
      </c>
      <c r="I97" s="21">
        <f t="shared" ref="I97:I124" si="50">G97*(1+ReturnRate)</f>
        <v>0</v>
      </c>
      <c r="J97" s="27">
        <f t="shared" ref="J97:J124" si="51">H97*(1+ReturnRate)+E97</f>
        <v>0</v>
      </c>
      <c r="K97" s="21">
        <f t="shared" ref="K97:K124" si="52">IF(AND(D97&gt;0,H97&lt;=0.000000000001,G97&lt;0),-G97/F97,0)</f>
        <v>0</v>
      </c>
      <c r="L97" s="21">
        <f t="shared" ref="L97:L124" si="53">IF(AND(D97&gt;0,H97&gt;0.000000000001),-(G97+$B$126*F97)/H97,0)</f>
        <v>0</v>
      </c>
      <c r="M97" s="21">
        <f t="shared" si="44"/>
        <v>0</v>
      </c>
      <c r="N97" s="21">
        <f t="shared" ref="N97:N124" si="54">E97*$B$127</f>
        <v>0</v>
      </c>
      <c r="O97" s="21">
        <f t="shared" ref="O97:O124" si="55">IF(AND($B$22=1,A97&lt;=$B$20),(M97-D97)*ReturnRate,0)</f>
        <v>0</v>
      </c>
      <c r="P97" s="21">
        <f t="shared" ref="P97:P128" si="56">M97-D97+O97+N97</f>
        <v>0</v>
      </c>
      <c r="Q97" s="16">
        <f t="shared" ref="Q97:Q124" si="57">IF(AND($B$22=1,C97&gt;=0,C97&lt;$B$19),1,0)</f>
        <v>0</v>
      </c>
    </row>
    <row r="98" spans="1:17" x14ac:dyDescent="0.3">
      <c r="A98" s="16">
        <v>34</v>
      </c>
      <c r="B98" s="16">
        <f t="shared" si="45"/>
        <v>2059</v>
      </c>
      <c r="C98" s="16">
        <f t="shared" si="46"/>
        <v>33</v>
      </c>
      <c r="D98" s="21">
        <f t="shared" si="47"/>
        <v>0</v>
      </c>
      <c r="E98" s="27">
        <f t="shared" si="48"/>
        <v>0</v>
      </c>
      <c r="F98" s="27">
        <f t="shared" si="49"/>
        <v>6.8405898827984588</v>
      </c>
      <c r="G98" s="21">
        <f t="shared" ref="G98:G124" si="58">I97-D98</f>
        <v>0</v>
      </c>
      <c r="H98" s="27">
        <f t="shared" ref="H98:H124" si="59">J97</f>
        <v>0</v>
      </c>
      <c r="I98" s="21">
        <f t="shared" si="50"/>
        <v>0</v>
      </c>
      <c r="J98" s="27">
        <f t="shared" si="51"/>
        <v>0</v>
      </c>
      <c r="K98" s="21">
        <f t="shared" si="52"/>
        <v>0</v>
      </c>
      <c r="L98" s="21">
        <f t="shared" si="53"/>
        <v>0</v>
      </c>
      <c r="M98" s="21">
        <f t="shared" ref="M98:M124" si="60">P97</f>
        <v>0</v>
      </c>
      <c r="N98" s="21">
        <f t="shared" si="54"/>
        <v>0</v>
      </c>
      <c r="O98" s="21">
        <f t="shared" si="55"/>
        <v>0</v>
      </c>
      <c r="P98" s="21">
        <f t="shared" si="56"/>
        <v>0</v>
      </c>
      <c r="Q98" s="16">
        <f t="shared" si="57"/>
        <v>0</v>
      </c>
    </row>
    <row r="99" spans="1:17" x14ac:dyDescent="0.3">
      <c r="A99" s="16">
        <v>35</v>
      </c>
      <c r="B99" s="16">
        <f t="shared" si="45"/>
        <v>2060</v>
      </c>
      <c r="C99" s="16">
        <f t="shared" si="46"/>
        <v>34</v>
      </c>
      <c r="D99" s="21">
        <f t="shared" si="47"/>
        <v>0</v>
      </c>
      <c r="E99" s="27">
        <f t="shared" si="48"/>
        <v>0</v>
      </c>
      <c r="F99" s="27">
        <f t="shared" si="49"/>
        <v>7.2510252757663674</v>
      </c>
      <c r="G99" s="21">
        <f t="shared" si="58"/>
        <v>0</v>
      </c>
      <c r="H99" s="27">
        <f t="shared" si="59"/>
        <v>0</v>
      </c>
      <c r="I99" s="21">
        <f t="shared" si="50"/>
        <v>0</v>
      </c>
      <c r="J99" s="27">
        <f t="shared" si="51"/>
        <v>0</v>
      </c>
      <c r="K99" s="21">
        <f t="shared" si="52"/>
        <v>0</v>
      </c>
      <c r="L99" s="21">
        <f t="shared" si="53"/>
        <v>0</v>
      </c>
      <c r="M99" s="21">
        <f t="shared" si="60"/>
        <v>0</v>
      </c>
      <c r="N99" s="21">
        <f t="shared" si="54"/>
        <v>0</v>
      </c>
      <c r="O99" s="21">
        <f t="shared" si="55"/>
        <v>0</v>
      </c>
      <c r="P99" s="21">
        <f t="shared" si="56"/>
        <v>0</v>
      </c>
      <c r="Q99" s="16">
        <f t="shared" si="57"/>
        <v>0</v>
      </c>
    </row>
    <row r="100" spans="1:17" x14ac:dyDescent="0.3">
      <c r="A100" s="16">
        <v>36</v>
      </c>
      <c r="B100" s="16">
        <f t="shared" si="45"/>
        <v>2061</v>
      </c>
      <c r="C100" s="16">
        <f t="shared" si="46"/>
        <v>35</v>
      </c>
      <c r="D100" s="21">
        <f t="shared" si="47"/>
        <v>0</v>
      </c>
      <c r="E100" s="27">
        <f t="shared" si="48"/>
        <v>0</v>
      </c>
      <c r="F100" s="27">
        <f t="shared" si="49"/>
        <v>7.6860867923123504</v>
      </c>
      <c r="G100" s="21">
        <f t="shared" si="58"/>
        <v>0</v>
      </c>
      <c r="H100" s="27">
        <f t="shared" si="59"/>
        <v>0</v>
      </c>
      <c r="I100" s="21">
        <f t="shared" si="50"/>
        <v>0</v>
      </c>
      <c r="J100" s="27">
        <f t="shared" si="51"/>
        <v>0</v>
      </c>
      <c r="K100" s="21">
        <f t="shared" si="52"/>
        <v>0</v>
      </c>
      <c r="L100" s="21">
        <f t="shared" si="53"/>
        <v>0</v>
      </c>
      <c r="M100" s="21">
        <f t="shared" si="60"/>
        <v>0</v>
      </c>
      <c r="N100" s="21">
        <f t="shared" si="54"/>
        <v>0</v>
      </c>
      <c r="O100" s="21">
        <f t="shared" si="55"/>
        <v>0</v>
      </c>
      <c r="P100" s="21">
        <f t="shared" si="56"/>
        <v>0</v>
      </c>
      <c r="Q100" s="16">
        <f t="shared" si="57"/>
        <v>0</v>
      </c>
    </row>
    <row r="101" spans="1:17" x14ac:dyDescent="0.3">
      <c r="A101" s="16">
        <v>37</v>
      </c>
      <c r="B101" s="16">
        <f t="shared" si="45"/>
        <v>2062</v>
      </c>
      <c r="C101" s="16">
        <f t="shared" si="46"/>
        <v>36</v>
      </c>
      <c r="D101" s="21">
        <f t="shared" si="47"/>
        <v>0</v>
      </c>
      <c r="E101" s="27">
        <f t="shared" si="48"/>
        <v>0</v>
      </c>
      <c r="F101" s="27">
        <f t="shared" si="49"/>
        <v>8.1472519998510915</v>
      </c>
      <c r="G101" s="21">
        <f t="shared" si="58"/>
        <v>0</v>
      </c>
      <c r="H101" s="27">
        <f t="shared" si="59"/>
        <v>0</v>
      </c>
      <c r="I101" s="21">
        <f t="shared" si="50"/>
        <v>0</v>
      </c>
      <c r="J101" s="27">
        <f t="shared" si="51"/>
        <v>0</v>
      </c>
      <c r="K101" s="21">
        <f t="shared" si="52"/>
        <v>0</v>
      </c>
      <c r="L101" s="21">
        <f t="shared" si="53"/>
        <v>0</v>
      </c>
      <c r="M101" s="21">
        <f t="shared" si="60"/>
        <v>0</v>
      </c>
      <c r="N101" s="21">
        <f t="shared" si="54"/>
        <v>0</v>
      </c>
      <c r="O101" s="21">
        <f t="shared" si="55"/>
        <v>0</v>
      </c>
      <c r="P101" s="21">
        <f t="shared" si="56"/>
        <v>0</v>
      </c>
      <c r="Q101" s="16">
        <f t="shared" si="57"/>
        <v>0</v>
      </c>
    </row>
    <row r="102" spans="1:17" x14ac:dyDescent="0.3">
      <c r="A102" s="16">
        <v>38</v>
      </c>
      <c r="B102" s="16">
        <f t="shared" si="45"/>
        <v>2063</v>
      </c>
      <c r="C102" s="16">
        <f t="shared" si="46"/>
        <v>37</v>
      </c>
      <c r="D102" s="21">
        <f t="shared" si="47"/>
        <v>0</v>
      </c>
      <c r="E102" s="27">
        <f t="shared" si="48"/>
        <v>0</v>
      </c>
      <c r="F102" s="27">
        <f t="shared" si="49"/>
        <v>8.6360871198421574</v>
      </c>
      <c r="G102" s="21">
        <f t="shared" si="58"/>
        <v>0</v>
      </c>
      <c r="H102" s="27">
        <f t="shared" si="59"/>
        <v>0</v>
      </c>
      <c r="I102" s="21">
        <f t="shared" si="50"/>
        <v>0</v>
      </c>
      <c r="J102" s="27">
        <f t="shared" si="51"/>
        <v>0</v>
      </c>
      <c r="K102" s="21">
        <f t="shared" si="52"/>
        <v>0</v>
      </c>
      <c r="L102" s="21">
        <f t="shared" si="53"/>
        <v>0</v>
      </c>
      <c r="M102" s="21">
        <f t="shared" si="60"/>
        <v>0</v>
      </c>
      <c r="N102" s="21">
        <f t="shared" si="54"/>
        <v>0</v>
      </c>
      <c r="O102" s="21">
        <f t="shared" si="55"/>
        <v>0</v>
      </c>
      <c r="P102" s="21">
        <f t="shared" si="56"/>
        <v>0</v>
      </c>
      <c r="Q102" s="16">
        <f t="shared" si="57"/>
        <v>0</v>
      </c>
    </row>
    <row r="103" spans="1:17" x14ac:dyDescent="0.3">
      <c r="A103" s="16">
        <v>39</v>
      </c>
      <c r="B103" s="16">
        <f t="shared" si="45"/>
        <v>2064</v>
      </c>
      <c r="C103" s="16">
        <f t="shared" si="46"/>
        <v>38</v>
      </c>
      <c r="D103" s="21">
        <f t="shared" si="47"/>
        <v>0</v>
      </c>
      <c r="E103" s="27">
        <f t="shared" si="48"/>
        <v>0</v>
      </c>
      <c r="F103" s="27">
        <f t="shared" si="49"/>
        <v>9.1542523470326884</v>
      </c>
      <c r="G103" s="21">
        <f t="shared" si="58"/>
        <v>0</v>
      </c>
      <c r="H103" s="27">
        <f t="shared" si="59"/>
        <v>0</v>
      </c>
      <c r="I103" s="21">
        <f t="shared" si="50"/>
        <v>0</v>
      </c>
      <c r="J103" s="27">
        <f t="shared" si="51"/>
        <v>0</v>
      </c>
      <c r="K103" s="21">
        <f t="shared" si="52"/>
        <v>0</v>
      </c>
      <c r="L103" s="21">
        <f t="shared" si="53"/>
        <v>0</v>
      </c>
      <c r="M103" s="21">
        <f t="shared" si="60"/>
        <v>0</v>
      </c>
      <c r="N103" s="21">
        <f t="shared" si="54"/>
        <v>0</v>
      </c>
      <c r="O103" s="21">
        <f t="shared" si="55"/>
        <v>0</v>
      </c>
      <c r="P103" s="21">
        <f t="shared" si="56"/>
        <v>0</v>
      </c>
      <c r="Q103" s="16">
        <f t="shared" si="57"/>
        <v>0</v>
      </c>
    </row>
    <row r="104" spans="1:17" x14ac:dyDescent="0.3">
      <c r="A104" s="16">
        <v>40</v>
      </c>
      <c r="B104" s="16">
        <f t="shared" si="45"/>
        <v>2065</v>
      </c>
      <c r="C104" s="16">
        <f t="shared" si="46"/>
        <v>39</v>
      </c>
      <c r="D104" s="21">
        <f t="shared" si="47"/>
        <v>0</v>
      </c>
      <c r="E104" s="27">
        <f t="shared" si="48"/>
        <v>0</v>
      </c>
      <c r="F104" s="27">
        <f t="shared" si="49"/>
        <v>9.703507487854651</v>
      </c>
      <c r="G104" s="21">
        <f t="shared" si="58"/>
        <v>0</v>
      </c>
      <c r="H104" s="27">
        <f t="shared" si="59"/>
        <v>0</v>
      </c>
      <c r="I104" s="21">
        <f t="shared" si="50"/>
        <v>0</v>
      </c>
      <c r="J104" s="27">
        <f t="shared" si="51"/>
        <v>0</v>
      </c>
      <c r="K104" s="21">
        <f t="shared" si="52"/>
        <v>0</v>
      </c>
      <c r="L104" s="21">
        <f t="shared" si="53"/>
        <v>0</v>
      </c>
      <c r="M104" s="21">
        <f t="shared" si="60"/>
        <v>0</v>
      </c>
      <c r="N104" s="21">
        <f t="shared" si="54"/>
        <v>0</v>
      </c>
      <c r="O104" s="21">
        <f t="shared" si="55"/>
        <v>0</v>
      </c>
      <c r="P104" s="21">
        <f t="shared" si="56"/>
        <v>0</v>
      </c>
      <c r="Q104" s="16">
        <f t="shared" si="57"/>
        <v>0</v>
      </c>
    </row>
    <row r="105" spans="1:17" x14ac:dyDescent="0.3">
      <c r="A105" s="16">
        <v>41</v>
      </c>
      <c r="B105" s="16">
        <f t="shared" si="45"/>
        <v>2066</v>
      </c>
      <c r="C105" s="16">
        <f t="shared" si="46"/>
        <v>40</v>
      </c>
      <c r="D105" s="21">
        <f t="shared" si="47"/>
        <v>0</v>
      </c>
      <c r="E105" s="27">
        <f t="shared" si="48"/>
        <v>0</v>
      </c>
      <c r="F105" s="27">
        <f t="shared" si="49"/>
        <v>10.285717937125929</v>
      </c>
      <c r="G105" s="21">
        <f t="shared" si="58"/>
        <v>0</v>
      </c>
      <c r="H105" s="27">
        <f t="shared" si="59"/>
        <v>0</v>
      </c>
      <c r="I105" s="21">
        <f t="shared" si="50"/>
        <v>0</v>
      </c>
      <c r="J105" s="27">
        <f t="shared" si="51"/>
        <v>0</v>
      </c>
      <c r="K105" s="21">
        <f t="shared" si="52"/>
        <v>0</v>
      </c>
      <c r="L105" s="21">
        <f t="shared" si="53"/>
        <v>0</v>
      </c>
      <c r="M105" s="21">
        <f t="shared" si="60"/>
        <v>0</v>
      </c>
      <c r="N105" s="21">
        <f t="shared" si="54"/>
        <v>0</v>
      </c>
      <c r="O105" s="21">
        <f t="shared" si="55"/>
        <v>0</v>
      </c>
      <c r="P105" s="21">
        <f t="shared" si="56"/>
        <v>0</v>
      </c>
      <c r="Q105" s="16">
        <f t="shared" si="57"/>
        <v>0</v>
      </c>
    </row>
    <row r="106" spans="1:17" x14ac:dyDescent="0.3">
      <c r="A106" s="16">
        <v>42</v>
      </c>
      <c r="B106" s="16">
        <f t="shared" si="45"/>
        <v>2067</v>
      </c>
      <c r="C106" s="16">
        <f t="shared" si="46"/>
        <v>41</v>
      </c>
      <c r="D106" s="21">
        <f t="shared" si="47"/>
        <v>0</v>
      </c>
      <c r="E106" s="27">
        <f t="shared" si="48"/>
        <v>0</v>
      </c>
      <c r="F106" s="27">
        <f t="shared" si="49"/>
        <v>10.902861013353483</v>
      </c>
      <c r="G106" s="21">
        <f t="shared" si="58"/>
        <v>0</v>
      </c>
      <c r="H106" s="27">
        <f t="shared" si="59"/>
        <v>0</v>
      </c>
      <c r="I106" s="21">
        <f t="shared" si="50"/>
        <v>0</v>
      </c>
      <c r="J106" s="27">
        <f t="shared" si="51"/>
        <v>0</v>
      </c>
      <c r="K106" s="21">
        <f t="shared" si="52"/>
        <v>0</v>
      </c>
      <c r="L106" s="21">
        <f t="shared" si="53"/>
        <v>0</v>
      </c>
      <c r="M106" s="21">
        <f t="shared" si="60"/>
        <v>0</v>
      </c>
      <c r="N106" s="21">
        <f t="shared" si="54"/>
        <v>0</v>
      </c>
      <c r="O106" s="21">
        <f t="shared" si="55"/>
        <v>0</v>
      </c>
      <c r="P106" s="21">
        <f t="shared" si="56"/>
        <v>0</v>
      </c>
      <c r="Q106" s="16">
        <f t="shared" si="57"/>
        <v>0</v>
      </c>
    </row>
    <row r="107" spans="1:17" x14ac:dyDescent="0.3">
      <c r="A107" s="16">
        <v>43</v>
      </c>
      <c r="B107" s="16">
        <f t="shared" si="45"/>
        <v>2068</v>
      </c>
      <c r="C107" s="16">
        <f t="shared" si="46"/>
        <v>42</v>
      </c>
      <c r="D107" s="21">
        <f t="shared" si="47"/>
        <v>0</v>
      </c>
      <c r="E107" s="27">
        <f t="shared" si="48"/>
        <v>0</v>
      </c>
      <c r="F107" s="27">
        <f t="shared" si="49"/>
        <v>11.557032674154694</v>
      </c>
      <c r="G107" s="21">
        <f t="shared" si="58"/>
        <v>0</v>
      </c>
      <c r="H107" s="27">
        <f t="shared" si="59"/>
        <v>0</v>
      </c>
      <c r="I107" s="21">
        <f t="shared" si="50"/>
        <v>0</v>
      </c>
      <c r="J107" s="27">
        <f t="shared" si="51"/>
        <v>0</v>
      </c>
      <c r="K107" s="21">
        <f t="shared" si="52"/>
        <v>0</v>
      </c>
      <c r="L107" s="21">
        <f t="shared" si="53"/>
        <v>0</v>
      </c>
      <c r="M107" s="21">
        <f t="shared" si="60"/>
        <v>0</v>
      </c>
      <c r="N107" s="21">
        <f t="shared" si="54"/>
        <v>0</v>
      </c>
      <c r="O107" s="21">
        <f t="shared" si="55"/>
        <v>0</v>
      </c>
      <c r="P107" s="21">
        <f t="shared" si="56"/>
        <v>0</v>
      </c>
      <c r="Q107" s="16">
        <f t="shared" si="57"/>
        <v>0</v>
      </c>
    </row>
    <row r="108" spans="1:17" x14ac:dyDescent="0.3">
      <c r="A108" s="16">
        <v>44</v>
      </c>
      <c r="B108" s="16">
        <f t="shared" si="45"/>
        <v>2069</v>
      </c>
      <c r="C108" s="16">
        <f t="shared" si="46"/>
        <v>43</v>
      </c>
      <c r="D108" s="21">
        <f t="shared" si="47"/>
        <v>0</v>
      </c>
      <c r="E108" s="27">
        <f t="shared" si="48"/>
        <v>0</v>
      </c>
      <c r="F108" s="27">
        <f t="shared" si="49"/>
        <v>12.250454634603978</v>
      </c>
      <c r="G108" s="21">
        <f t="shared" si="58"/>
        <v>0</v>
      </c>
      <c r="H108" s="27">
        <f t="shared" si="59"/>
        <v>0</v>
      </c>
      <c r="I108" s="21">
        <f t="shared" si="50"/>
        <v>0</v>
      </c>
      <c r="J108" s="27">
        <f t="shared" si="51"/>
        <v>0</v>
      </c>
      <c r="K108" s="21">
        <f t="shared" si="52"/>
        <v>0</v>
      </c>
      <c r="L108" s="21">
        <f t="shared" si="53"/>
        <v>0</v>
      </c>
      <c r="M108" s="21">
        <f t="shared" si="60"/>
        <v>0</v>
      </c>
      <c r="N108" s="21">
        <f t="shared" si="54"/>
        <v>0</v>
      </c>
      <c r="O108" s="21">
        <f t="shared" si="55"/>
        <v>0</v>
      </c>
      <c r="P108" s="21">
        <f t="shared" si="56"/>
        <v>0</v>
      </c>
      <c r="Q108" s="16">
        <f t="shared" si="57"/>
        <v>0</v>
      </c>
    </row>
    <row r="109" spans="1:17" x14ac:dyDescent="0.3">
      <c r="A109" s="16">
        <v>45</v>
      </c>
      <c r="B109" s="16">
        <f t="shared" si="45"/>
        <v>2070</v>
      </c>
      <c r="C109" s="16">
        <f t="shared" si="46"/>
        <v>44</v>
      </c>
      <c r="D109" s="21">
        <f t="shared" si="47"/>
        <v>0</v>
      </c>
      <c r="E109" s="27">
        <f t="shared" si="48"/>
        <v>0</v>
      </c>
      <c r="F109" s="27">
        <f t="shared" si="49"/>
        <v>12.985481912680218</v>
      </c>
      <c r="G109" s="21">
        <f t="shared" si="58"/>
        <v>0</v>
      </c>
      <c r="H109" s="27">
        <f t="shared" si="59"/>
        <v>0</v>
      </c>
      <c r="I109" s="21">
        <f t="shared" si="50"/>
        <v>0</v>
      </c>
      <c r="J109" s="27">
        <f t="shared" si="51"/>
        <v>0</v>
      </c>
      <c r="K109" s="21">
        <f t="shared" si="52"/>
        <v>0</v>
      </c>
      <c r="L109" s="21">
        <f t="shared" si="53"/>
        <v>0</v>
      </c>
      <c r="M109" s="21">
        <f t="shared" si="60"/>
        <v>0</v>
      </c>
      <c r="N109" s="21">
        <f t="shared" si="54"/>
        <v>0</v>
      </c>
      <c r="O109" s="21">
        <f t="shared" si="55"/>
        <v>0</v>
      </c>
      <c r="P109" s="21">
        <f t="shared" si="56"/>
        <v>0</v>
      </c>
      <c r="Q109" s="16">
        <f t="shared" si="57"/>
        <v>0</v>
      </c>
    </row>
    <row r="110" spans="1:17" x14ac:dyDescent="0.3">
      <c r="A110" s="16">
        <v>46</v>
      </c>
      <c r="B110" s="16">
        <f t="shared" si="45"/>
        <v>2071</v>
      </c>
      <c r="C110" s="16">
        <f t="shared" si="46"/>
        <v>45</v>
      </c>
      <c r="D110" s="21">
        <f t="shared" si="47"/>
        <v>0</v>
      </c>
      <c r="E110" s="27">
        <f t="shared" si="48"/>
        <v>0</v>
      </c>
      <c r="F110" s="27">
        <f t="shared" si="49"/>
        <v>13.764610827441031</v>
      </c>
      <c r="G110" s="21">
        <f t="shared" si="58"/>
        <v>0</v>
      </c>
      <c r="H110" s="27">
        <f t="shared" si="59"/>
        <v>0</v>
      </c>
      <c r="I110" s="21">
        <f t="shared" si="50"/>
        <v>0</v>
      </c>
      <c r="J110" s="27">
        <f t="shared" si="51"/>
        <v>0</v>
      </c>
      <c r="K110" s="21">
        <f t="shared" si="52"/>
        <v>0</v>
      </c>
      <c r="L110" s="21">
        <f t="shared" si="53"/>
        <v>0</v>
      </c>
      <c r="M110" s="21">
        <f t="shared" si="60"/>
        <v>0</v>
      </c>
      <c r="N110" s="21">
        <f t="shared" si="54"/>
        <v>0</v>
      </c>
      <c r="O110" s="21">
        <f t="shared" si="55"/>
        <v>0</v>
      </c>
      <c r="P110" s="21">
        <f t="shared" si="56"/>
        <v>0</v>
      </c>
      <c r="Q110" s="16">
        <f t="shared" si="57"/>
        <v>0</v>
      </c>
    </row>
    <row r="111" spans="1:17" x14ac:dyDescent="0.3">
      <c r="A111" s="16">
        <v>47</v>
      </c>
      <c r="B111" s="16">
        <f t="shared" si="45"/>
        <v>2072</v>
      </c>
      <c r="C111" s="16">
        <f t="shared" si="46"/>
        <v>46</v>
      </c>
      <c r="D111" s="21">
        <f t="shared" si="47"/>
        <v>0</v>
      </c>
      <c r="E111" s="27">
        <f t="shared" si="48"/>
        <v>0</v>
      </c>
      <c r="F111" s="27">
        <f t="shared" si="49"/>
        <v>14.590487477087493</v>
      </c>
      <c r="G111" s="21">
        <f t="shared" si="58"/>
        <v>0</v>
      </c>
      <c r="H111" s="27">
        <f t="shared" si="59"/>
        <v>0</v>
      </c>
      <c r="I111" s="21">
        <f t="shared" si="50"/>
        <v>0</v>
      </c>
      <c r="J111" s="27">
        <f t="shared" si="51"/>
        <v>0</v>
      </c>
      <c r="K111" s="21">
        <f t="shared" si="52"/>
        <v>0</v>
      </c>
      <c r="L111" s="21">
        <f t="shared" si="53"/>
        <v>0</v>
      </c>
      <c r="M111" s="21">
        <f t="shared" si="60"/>
        <v>0</v>
      </c>
      <c r="N111" s="21">
        <f t="shared" si="54"/>
        <v>0</v>
      </c>
      <c r="O111" s="21">
        <f t="shared" si="55"/>
        <v>0</v>
      </c>
      <c r="P111" s="21">
        <f t="shared" si="56"/>
        <v>0</v>
      </c>
      <c r="Q111" s="16">
        <f t="shared" si="57"/>
        <v>0</v>
      </c>
    </row>
    <row r="112" spans="1:17" x14ac:dyDescent="0.3">
      <c r="A112" s="16">
        <v>48</v>
      </c>
      <c r="B112" s="16">
        <f t="shared" si="45"/>
        <v>2073</v>
      </c>
      <c r="C112" s="16">
        <f t="shared" si="46"/>
        <v>47</v>
      </c>
      <c r="D112" s="21">
        <f t="shared" si="47"/>
        <v>0</v>
      </c>
      <c r="E112" s="27">
        <f t="shared" si="48"/>
        <v>0</v>
      </c>
      <c r="F112" s="27">
        <f t="shared" si="49"/>
        <v>15.465916725712747</v>
      </c>
      <c r="G112" s="21">
        <f t="shared" si="58"/>
        <v>0</v>
      </c>
      <c r="H112" s="27">
        <f t="shared" si="59"/>
        <v>0</v>
      </c>
      <c r="I112" s="21">
        <f t="shared" si="50"/>
        <v>0</v>
      </c>
      <c r="J112" s="27">
        <f t="shared" si="51"/>
        <v>0</v>
      </c>
      <c r="K112" s="21">
        <f t="shared" si="52"/>
        <v>0</v>
      </c>
      <c r="L112" s="21">
        <f t="shared" si="53"/>
        <v>0</v>
      </c>
      <c r="M112" s="21">
        <f t="shared" si="60"/>
        <v>0</v>
      </c>
      <c r="N112" s="21">
        <f t="shared" si="54"/>
        <v>0</v>
      </c>
      <c r="O112" s="21">
        <f t="shared" si="55"/>
        <v>0</v>
      </c>
      <c r="P112" s="21">
        <f t="shared" si="56"/>
        <v>0</v>
      </c>
      <c r="Q112" s="16">
        <f t="shared" si="57"/>
        <v>0</v>
      </c>
    </row>
    <row r="113" spans="1:17" x14ac:dyDescent="0.3">
      <c r="A113" s="16">
        <v>49</v>
      </c>
      <c r="B113" s="16">
        <f t="shared" si="45"/>
        <v>2074</v>
      </c>
      <c r="C113" s="16">
        <f t="shared" si="46"/>
        <v>48</v>
      </c>
      <c r="D113" s="21">
        <f t="shared" si="47"/>
        <v>0</v>
      </c>
      <c r="E113" s="27">
        <f t="shared" si="48"/>
        <v>0</v>
      </c>
      <c r="F113" s="27">
        <f t="shared" si="49"/>
        <v>16.393871729255508</v>
      </c>
      <c r="G113" s="21">
        <f t="shared" si="58"/>
        <v>0</v>
      </c>
      <c r="H113" s="27">
        <f t="shared" si="59"/>
        <v>0</v>
      </c>
      <c r="I113" s="21">
        <f t="shared" si="50"/>
        <v>0</v>
      </c>
      <c r="J113" s="27">
        <f t="shared" si="51"/>
        <v>0</v>
      </c>
      <c r="K113" s="21">
        <f t="shared" si="52"/>
        <v>0</v>
      </c>
      <c r="L113" s="21">
        <f t="shared" si="53"/>
        <v>0</v>
      </c>
      <c r="M113" s="21">
        <f t="shared" si="60"/>
        <v>0</v>
      </c>
      <c r="N113" s="21">
        <f t="shared" si="54"/>
        <v>0</v>
      </c>
      <c r="O113" s="21">
        <f t="shared" si="55"/>
        <v>0</v>
      </c>
      <c r="P113" s="21">
        <f t="shared" si="56"/>
        <v>0</v>
      </c>
      <c r="Q113" s="16">
        <f t="shared" si="57"/>
        <v>0</v>
      </c>
    </row>
    <row r="114" spans="1:17" x14ac:dyDescent="0.3">
      <c r="A114" s="16">
        <v>50</v>
      </c>
      <c r="B114" s="16">
        <f t="shared" si="45"/>
        <v>2075</v>
      </c>
      <c r="C114" s="16">
        <f t="shared" si="46"/>
        <v>49</v>
      </c>
      <c r="D114" s="21">
        <f t="shared" si="47"/>
        <v>0</v>
      </c>
      <c r="E114" s="27">
        <f t="shared" si="48"/>
        <v>0</v>
      </c>
      <c r="F114" s="27">
        <f t="shared" si="49"/>
        <v>17.37750403301084</v>
      </c>
      <c r="G114" s="21">
        <f t="shared" si="58"/>
        <v>0</v>
      </c>
      <c r="H114" s="27">
        <f t="shared" si="59"/>
        <v>0</v>
      </c>
      <c r="I114" s="21">
        <f t="shared" si="50"/>
        <v>0</v>
      </c>
      <c r="J114" s="27">
        <f t="shared" si="51"/>
        <v>0</v>
      </c>
      <c r="K114" s="21">
        <f t="shared" si="52"/>
        <v>0</v>
      </c>
      <c r="L114" s="21">
        <f t="shared" si="53"/>
        <v>0</v>
      </c>
      <c r="M114" s="21">
        <f t="shared" si="60"/>
        <v>0</v>
      </c>
      <c r="N114" s="21">
        <f t="shared" si="54"/>
        <v>0</v>
      </c>
      <c r="O114" s="21">
        <f t="shared" si="55"/>
        <v>0</v>
      </c>
      <c r="P114" s="21">
        <f t="shared" si="56"/>
        <v>0</v>
      </c>
      <c r="Q114" s="16">
        <f t="shared" si="57"/>
        <v>0</v>
      </c>
    </row>
    <row r="115" spans="1:17" x14ac:dyDescent="0.3">
      <c r="A115" s="16">
        <v>51</v>
      </c>
      <c r="B115" s="16">
        <f t="shared" si="45"/>
        <v>2076</v>
      </c>
      <c r="C115" s="16">
        <f t="shared" si="46"/>
        <v>50</v>
      </c>
      <c r="D115" s="21">
        <f t="shared" si="47"/>
        <v>0</v>
      </c>
      <c r="E115" s="27">
        <f t="shared" si="48"/>
        <v>0</v>
      </c>
      <c r="F115" s="27">
        <f t="shared" si="49"/>
        <v>18.420154274991489</v>
      </c>
      <c r="G115" s="21">
        <f t="shared" si="58"/>
        <v>0</v>
      </c>
      <c r="H115" s="27">
        <f t="shared" si="59"/>
        <v>0</v>
      </c>
      <c r="I115" s="21">
        <f t="shared" si="50"/>
        <v>0</v>
      </c>
      <c r="J115" s="27">
        <f t="shared" si="51"/>
        <v>0</v>
      </c>
      <c r="K115" s="21">
        <f t="shared" si="52"/>
        <v>0</v>
      </c>
      <c r="L115" s="21">
        <f t="shared" si="53"/>
        <v>0</v>
      </c>
      <c r="M115" s="21">
        <f t="shared" si="60"/>
        <v>0</v>
      </c>
      <c r="N115" s="21">
        <f t="shared" si="54"/>
        <v>0</v>
      </c>
      <c r="O115" s="21">
        <f t="shared" si="55"/>
        <v>0</v>
      </c>
      <c r="P115" s="21">
        <f t="shared" si="56"/>
        <v>0</v>
      </c>
      <c r="Q115" s="16">
        <f t="shared" si="57"/>
        <v>0</v>
      </c>
    </row>
    <row r="116" spans="1:17" x14ac:dyDescent="0.3">
      <c r="A116" s="16">
        <v>52</v>
      </c>
      <c r="B116" s="16">
        <f t="shared" si="45"/>
        <v>2077</v>
      </c>
      <c r="C116" s="16">
        <f t="shared" si="46"/>
        <v>51</v>
      </c>
      <c r="D116" s="21">
        <f t="shared" si="47"/>
        <v>0</v>
      </c>
      <c r="E116" s="27">
        <f t="shared" si="48"/>
        <v>0</v>
      </c>
      <c r="F116" s="27">
        <f t="shared" si="49"/>
        <v>19.525363531490981</v>
      </c>
      <c r="G116" s="21">
        <f t="shared" si="58"/>
        <v>0</v>
      </c>
      <c r="H116" s="27">
        <f t="shared" si="59"/>
        <v>0</v>
      </c>
      <c r="I116" s="21">
        <f t="shared" si="50"/>
        <v>0</v>
      </c>
      <c r="J116" s="27">
        <f t="shared" si="51"/>
        <v>0</v>
      </c>
      <c r="K116" s="21">
        <f t="shared" si="52"/>
        <v>0</v>
      </c>
      <c r="L116" s="21">
        <f t="shared" si="53"/>
        <v>0</v>
      </c>
      <c r="M116" s="21">
        <f t="shared" si="60"/>
        <v>0</v>
      </c>
      <c r="N116" s="21">
        <f t="shared" si="54"/>
        <v>0</v>
      </c>
      <c r="O116" s="21">
        <f t="shared" si="55"/>
        <v>0</v>
      </c>
      <c r="P116" s="21">
        <f t="shared" si="56"/>
        <v>0</v>
      </c>
      <c r="Q116" s="16">
        <f t="shared" si="57"/>
        <v>0</v>
      </c>
    </row>
    <row r="117" spans="1:17" x14ac:dyDescent="0.3">
      <c r="A117" s="16">
        <v>53</v>
      </c>
      <c r="B117" s="16">
        <f t="shared" si="45"/>
        <v>2078</v>
      </c>
      <c r="C117" s="16">
        <f t="shared" si="46"/>
        <v>52</v>
      </c>
      <c r="D117" s="21">
        <f t="shared" si="47"/>
        <v>0</v>
      </c>
      <c r="E117" s="27">
        <f t="shared" si="48"/>
        <v>0</v>
      </c>
      <c r="F117" s="27">
        <f t="shared" si="49"/>
        <v>20.696885343380441</v>
      </c>
      <c r="G117" s="21">
        <f t="shared" si="58"/>
        <v>0</v>
      </c>
      <c r="H117" s="27">
        <f t="shared" si="59"/>
        <v>0</v>
      </c>
      <c r="I117" s="21">
        <f t="shared" si="50"/>
        <v>0</v>
      </c>
      <c r="J117" s="27">
        <f t="shared" si="51"/>
        <v>0</v>
      </c>
      <c r="K117" s="21">
        <f t="shared" si="52"/>
        <v>0</v>
      </c>
      <c r="L117" s="21">
        <f t="shared" si="53"/>
        <v>0</v>
      </c>
      <c r="M117" s="21">
        <f t="shared" si="60"/>
        <v>0</v>
      </c>
      <c r="N117" s="21">
        <f t="shared" si="54"/>
        <v>0</v>
      </c>
      <c r="O117" s="21">
        <f t="shared" si="55"/>
        <v>0</v>
      </c>
      <c r="P117" s="21">
        <f t="shared" si="56"/>
        <v>0</v>
      </c>
      <c r="Q117" s="16">
        <f t="shared" si="57"/>
        <v>0</v>
      </c>
    </row>
    <row r="118" spans="1:17" x14ac:dyDescent="0.3">
      <c r="A118" s="16">
        <v>54</v>
      </c>
      <c r="B118" s="16">
        <f t="shared" si="45"/>
        <v>2079</v>
      </c>
      <c r="C118" s="16">
        <f t="shared" si="46"/>
        <v>53</v>
      </c>
      <c r="D118" s="21">
        <f t="shared" si="47"/>
        <v>0</v>
      </c>
      <c r="E118" s="27">
        <f t="shared" si="48"/>
        <v>0</v>
      </c>
      <c r="F118" s="27">
        <f t="shared" si="49"/>
        <v>21.938698463983272</v>
      </c>
      <c r="G118" s="21">
        <f t="shared" si="58"/>
        <v>0</v>
      </c>
      <c r="H118" s="27">
        <f t="shared" si="59"/>
        <v>0</v>
      </c>
      <c r="I118" s="21">
        <f t="shared" si="50"/>
        <v>0</v>
      </c>
      <c r="J118" s="27">
        <f t="shared" si="51"/>
        <v>0</v>
      </c>
      <c r="K118" s="21">
        <f t="shared" si="52"/>
        <v>0</v>
      </c>
      <c r="L118" s="21">
        <f t="shared" si="53"/>
        <v>0</v>
      </c>
      <c r="M118" s="21">
        <f t="shared" si="60"/>
        <v>0</v>
      </c>
      <c r="N118" s="21">
        <f t="shared" si="54"/>
        <v>0</v>
      </c>
      <c r="O118" s="21">
        <f t="shared" si="55"/>
        <v>0</v>
      </c>
      <c r="P118" s="21">
        <f t="shared" si="56"/>
        <v>0</v>
      </c>
      <c r="Q118" s="16">
        <f t="shared" si="57"/>
        <v>0</v>
      </c>
    </row>
    <row r="119" spans="1:17" x14ac:dyDescent="0.3">
      <c r="A119" s="16">
        <v>55</v>
      </c>
      <c r="B119" s="16">
        <f t="shared" si="45"/>
        <v>2080</v>
      </c>
      <c r="C119" s="16">
        <f t="shared" si="46"/>
        <v>54</v>
      </c>
      <c r="D119" s="21">
        <f t="shared" si="47"/>
        <v>0</v>
      </c>
      <c r="E119" s="27">
        <f t="shared" si="48"/>
        <v>0</v>
      </c>
      <c r="F119" s="27">
        <f t="shared" si="49"/>
        <v>23.255020371822269</v>
      </c>
      <c r="G119" s="21">
        <f t="shared" si="58"/>
        <v>0</v>
      </c>
      <c r="H119" s="27">
        <f t="shared" si="59"/>
        <v>0</v>
      </c>
      <c r="I119" s="21">
        <f t="shared" si="50"/>
        <v>0</v>
      </c>
      <c r="J119" s="27">
        <f t="shared" si="51"/>
        <v>0</v>
      </c>
      <c r="K119" s="21">
        <f t="shared" si="52"/>
        <v>0</v>
      </c>
      <c r="L119" s="21">
        <f t="shared" si="53"/>
        <v>0</v>
      </c>
      <c r="M119" s="21">
        <f t="shared" si="60"/>
        <v>0</v>
      </c>
      <c r="N119" s="21">
        <f t="shared" si="54"/>
        <v>0</v>
      </c>
      <c r="O119" s="21">
        <f t="shared" si="55"/>
        <v>0</v>
      </c>
      <c r="P119" s="21">
        <f t="shared" si="56"/>
        <v>0</v>
      </c>
      <c r="Q119" s="16">
        <f t="shared" si="57"/>
        <v>0</v>
      </c>
    </row>
    <row r="120" spans="1:17" x14ac:dyDescent="0.3">
      <c r="A120" s="16">
        <v>56</v>
      </c>
      <c r="B120" s="16">
        <f t="shared" si="45"/>
        <v>2081</v>
      </c>
      <c r="C120" s="16">
        <f t="shared" si="46"/>
        <v>55</v>
      </c>
      <c r="D120" s="21">
        <f t="shared" si="47"/>
        <v>0</v>
      </c>
      <c r="E120" s="27">
        <f t="shared" si="48"/>
        <v>0</v>
      </c>
      <c r="F120" s="27">
        <f t="shared" si="49"/>
        <v>24.650321594131608</v>
      </c>
      <c r="G120" s="21">
        <f t="shared" si="58"/>
        <v>0</v>
      </c>
      <c r="H120" s="27">
        <f t="shared" si="59"/>
        <v>0</v>
      </c>
      <c r="I120" s="21">
        <f t="shared" si="50"/>
        <v>0</v>
      </c>
      <c r="J120" s="27">
        <f t="shared" si="51"/>
        <v>0</v>
      </c>
      <c r="K120" s="21">
        <f t="shared" si="52"/>
        <v>0</v>
      </c>
      <c r="L120" s="21">
        <f t="shared" si="53"/>
        <v>0</v>
      </c>
      <c r="M120" s="21">
        <f t="shared" si="60"/>
        <v>0</v>
      </c>
      <c r="N120" s="21">
        <f t="shared" si="54"/>
        <v>0</v>
      </c>
      <c r="O120" s="21">
        <f t="shared" si="55"/>
        <v>0</v>
      </c>
      <c r="P120" s="21">
        <f t="shared" si="56"/>
        <v>0</v>
      </c>
      <c r="Q120" s="16">
        <f t="shared" si="57"/>
        <v>0</v>
      </c>
    </row>
    <row r="121" spans="1:17" x14ac:dyDescent="0.3">
      <c r="A121" s="16">
        <v>57</v>
      </c>
      <c r="B121" s="16">
        <f t="shared" si="45"/>
        <v>2082</v>
      </c>
      <c r="C121" s="16">
        <f t="shared" si="46"/>
        <v>56</v>
      </c>
      <c r="D121" s="21">
        <f t="shared" si="47"/>
        <v>0</v>
      </c>
      <c r="E121" s="27">
        <f t="shared" si="48"/>
        <v>0</v>
      </c>
      <c r="F121" s="27">
        <f t="shared" si="49"/>
        <v>26.129340889779499</v>
      </c>
      <c r="G121" s="21">
        <f t="shared" si="58"/>
        <v>0</v>
      </c>
      <c r="H121" s="27">
        <f t="shared" si="59"/>
        <v>0</v>
      </c>
      <c r="I121" s="21">
        <f t="shared" si="50"/>
        <v>0</v>
      </c>
      <c r="J121" s="27">
        <f t="shared" si="51"/>
        <v>0</v>
      </c>
      <c r="K121" s="21">
        <f t="shared" si="52"/>
        <v>0</v>
      </c>
      <c r="L121" s="21">
        <f t="shared" si="53"/>
        <v>0</v>
      </c>
      <c r="M121" s="21">
        <f t="shared" si="60"/>
        <v>0</v>
      </c>
      <c r="N121" s="21">
        <f t="shared" si="54"/>
        <v>0</v>
      </c>
      <c r="O121" s="21">
        <f t="shared" si="55"/>
        <v>0</v>
      </c>
      <c r="P121" s="21">
        <f t="shared" si="56"/>
        <v>0</v>
      </c>
      <c r="Q121" s="16">
        <f t="shared" si="57"/>
        <v>0</v>
      </c>
    </row>
    <row r="122" spans="1:17" x14ac:dyDescent="0.3">
      <c r="A122" s="16">
        <v>58</v>
      </c>
      <c r="B122" s="16">
        <f t="shared" si="45"/>
        <v>2083</v>
      </c>
      <c r="C122" s="16">
        <f t="shared" si="46"/>
        <v>57</v>
      </c>
      <c r="D122" s="21">
        <f t="shared" si="47"/>
        <v>0</v>
      </c>
      <c r="E122" s="27">
        <f t="shared" si="48"/>
        <v>0</v>
      </c>
      <c r="F122" s="27">
        <f t="shared" si="49"/>
        <v>27.69710134316627</v>
      </c>
      <c r="G122" s="21">
        <f t="shared" si="58"/>
        <v>0</v>
      </c>
      <c r="H122" s="27">
        <f t="shared" si="59"/>
        <v>0</v>
      </c>
      <c r="I122" s="21">
        <f t="shared" si="50"/>
        <v>0</v>
      </c>
      <c r="J122" s="27">
        <f t="shared" si="51"/>
        <v>0</v>
      </c>
      <c r="K122" s="21">
        <f t="shared" si="52"/>
        <v>0</v>
      </c>
      <c r="L122" s="21">
        <f t="shared" si="53"/>
        <v>0</v>
      </c>
      <c r="M122" s="21">
        <f t="shared" si="60"/>
        <v>0</v>
      </c>
      <c r="N122" s="21">
        <f t="shared" si="54"/>
        <v>0</v>
      </c>
      <c r="O122" s="21">
        <f t="shared" si="55"/>
        <v>0</v>
      </c>
      <c r="P122" s="21">
        <f t="shared" si="56"/>
        <v>0</v>
      </c>
      <c r="Q122" s="16">
        <f t="shared" si="57"/>
        <v>0</v>
      </c>
    </row>
    <row r="123" spans="1:17" x14ac:dyDescent="0.3">
      <c r="A123" s="16">
        <v>59</v>
      </c>
      <c r="B123" s="16">
        <f t="shared" si="45"/>
        <v>2084</v>
      </c>
      <c r="C123" s="16">
        <f t="shared" si="46"/>
        <v>58</v>
      </c>
      <c r="D123" s="21">
        <f t="shared" si="47"/>
        <v>0</v>
      </c>
      <c r="E123" s="27">
        <f t="shared" si="48"/>
        <v>0</v>
      </c>
      <c r="F123" s="27">
        <f t="shared" si="49"/>
        <v>29.358927423756246</v>
      </c>
      <c r="G123" s="21">
        <f t="shared" si="58"/>
        <v>0</v>
      </c>
      <c r="H123" s="27">
        <f t="shared" si="59"/>
        <v>0</v>
      </c>
      <c r="I123" s="21">
        <f t="shared" si="50"/>
        <v>0</v>
      </c>
      <c r="J123" s="27">
        <f t="shared" si="51"/>
        <v>0</v>
      </c>
      <c r="K123" s="21">
        <f t="shared" si="52"/>
        <v>0</v>
      </c>
      <c r="L123" s="21">
        <f t="shared" si="53"/>
        <v>0</v>
      </c>
      <c r="M123" s="21">
        <f t="shared" si="60"/>
        <v>0</v>
      </c>
      <c r="N123" s="21">
        <f t="shared" si="54"/>
        <v>0</v>
      </c>
      <c r="O123" s="21">
        <f t="shared" si="55"/>
        <v>0</v>
      </c>
      <c r="P123" s="21">
        <f t="shared" si="56"/>
        <v>0</v>
      </c>
      <c r="Q123" s="16">
        <f t="shared" si="57"/>
        <v>0</v>
      </c>
    </row>
    <row r="124" spans="1:17" x14ac:dyDescent="0.3">
      <c r="A124" s="16">
        <v>60</v>
      </c>
      <c r="B124" s="16">
        <f t="shared" si="45"/>
        <v>2085</v>
      </c>
      <c r="C124" s="16">
        <f t="shared" si="46"/>
        <v>59</v>
      </c>
      <c r="D124" s="21">
        <f t="shared" si="47"/>
        <v>0</v>
      </c>
      <c r="E124" s="27">
        <f t="shared" si="48"/>
        <v>0</v>
      </c>
      <c r="F124" s="27">
        <f t="shared" si="49"/>
        <v>31.120463069181628</v>
      </c>
      <c r="G124" s="21">
        <f t="shared" si="58"/>
        <v>0</v>
      </c>
      <c r="H124" s="27">
        <f t="shared" si="59"/>
        <v>0</v>
      </c>
      <c r="I124" s="21">
        <f t="shared" si="50"/>
        <v>0</v>
      </c>
      <c r="J124" s="27">
        <f t="shared" si="51"/>
        <v>0</v>
      </c>
      <c r="K124" s="21">
        <f t="shared" si="52"/>
        <v>0</v>
      </c>
      <c r="L124" s="21">
        <f t="shared" si="53"/>
        <v>0</v>
      </c>
      <c r="M124" s="21">
        <f t="shared" si="60"/>
        <v>0</v>
      </c>
      <c r="N124" s="21">
        <f t="shared" si="54"/>
        <v>0</v>
      </c>
      <c r="O124" s="21">
        <f t="shared" si="55"/>
        <v>0</v>
      </c>
      <c r="P124" s="21">
        <f t="shared" si="56"/>
        <v>0</v>
      </c>
      <c r="Q124" s="16">
        <f t="shared" si="57"/>
        <v>0</v>
      </c>
    </row>
    <row r="126" spans="1:17" x14ac:dyDescent="0.3">
      <c r="A126" s="8" t="s">
        <v>64</v>
      </c>
      <c r="B126" s="26">
        <f>IF($B$22=1,MAX(K65:K124),0)</f>
        <v>0</v>
      </c>
    </row>
    <row r="127" spans="1:17" x14ac:dyDescent="0.3">
      <c r="A127" s="8" t="s">
        <v>176</v>
      </c>
      <c r="B127" s="26">
        <f>IF($B$22=1,IF(MAX(0,MAX(L65:L124))&lt;0.000000001,0,MAX(0,MAX(L65:L124))),0)</f>
        <v>0</v>
      </c>
    </row>
  </sheetData>
  <sheetProtection sheet="1" objects="1" formatCells="0" formatColumns="0" formatRows="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27"/>
  <sheetViews>
    <sheetView workbookViewId="0">
      <pane xSplit="1" ySplit="3" topLeftCell="B4" activePane="bottomRight" state="frozen"/>
      <selection pane="topRight"/>
      <selection pane="bottomLeft"/>
      <selection pane="bottomRight"/>
    </sheetView>
  </sheetViews>
  <sheetFormatPr defaultRowHeight="14.4" x14ac:dyDescent="0.3"/>
  <cols>
    <col min="1" max="1" width="44" customWidth="1"/>
    <col min="2" max="2" width="18" customWidth="1"/>
    <col min="3" max="6" width="13" customWidth="1"/>
    <col min="7" max="7" width="30" customWidth="1"/>
    <col min="8" max="29" width="13" customWidth="1"/>
  </cols>
  <sheetData>
    <row r="1" spans="1:2" ht="21" x14ac:dyDescent="0.4">
      <c r="A1" s="5" t="s">
        <v>179</v>
      </c>
    </row>
    <row r="2" spans="1:2" x14ac:dyDescent="0.3">
      <c r="A2" s="6" t="s">
        <v>103</v>
      </c>
    </row>
    <row r="4" spans="1:2" x14ac:dyDescent="0.3">
      <c r="A4" s="16" t="s">
        <v>104</v>
      </c>
      <c r="B4" s="12">
        <f>IF(4&lt;=NumChildren,1,0)</f>
        <v>0</v>
      </c>
    </row>
    <row r="5" spans="1:2" x14ac:dyDescent="0.3">
      <c r="A5" s="16" t="s">
        <v>30</v>
      </c>
      <c r="B5" s="12" t="str">
        <f>IF(Inputs!$F$17="","",Inputs!$F$17)</f>
        <v/>
      </c>
    </row>
    <row r="6" spans="1:2" x14ac:dyDescent="0.3">
      <c r="A6" s="16" t="s">
        <v>31</v>
      </c>
      <c r="B6" s="12" t="str">
        <f>IF(Inputs!$F$18="","",Inputs!$F$18)</f>
        <v/>
      </c>
    </row>
    <row r="7" spans="1:2" x14ac:dyDescent="0.3">
      <c r="A7" s="16" t="s">
        <v>105</v>
      </c>
      <c r="B7" s="12" t="str">
        <f>IF(Inputs!$F$15="","",Inputs!$F$15)</f>
        <v/>
      </c>
    </row>
    <row r="8" spans="1:2" x14ac:dyDescent="0.3">
      <c r="A8" s="16" t="s">
        <v>106</v>
      </c>
      <c r="B8" s="12">
        <f>IF(Inputs!$F$19="","",Inputs!$F$19)</f>
        <v>18</v>
      </c>
    </row>
    <row r="9" spans="1:2" x14ac:dyDescent="0.3">
      <c r="A9" s="16" t="s">
        <v>107</v>
      </c>
      <c r="B9" s="12" t="str">
        <f>IF($B$5="","",IF(COUNTIF(DomKey,$B$5&amp;"|"&amp;Nationality)&gt;0,"domestic","international"))</f>
        <v/>
      </c>
    </row>
    <row r="10" spans="1:2" x14ac:dyDescent="0.3">
      <c r="A10" s="16" t="s">
        <v>108</v>
      </c>
      <c r="B10" s="12" t="str">
        <f>$B$5&amp;"|"&amp;$B$6&amp;"|"&amp;$B$9</f>
        <v>||</v>
      </c>
    </row>
    <row r="11" spans="1:2" x14ac:dyDescent="0.3">
      <c r="A11" s="16" t="s">
        <v>109</v>
      </c>
      <c r="B11" s="12">
        <f>IFERROR(MATCH($B$10,DB_Key,0),0)</f>
        <v>0</v>
      </c>
    </row>
    <row r="12" spans="1:2" x14ac:dyDescent="0.3">
      <c r="A12" s="16" t="s">
        <v>110</v>
      </c>
      <c r="B12" s="12" t="str">
        <f>IFERROR(INDEX(Ctry_Ccy,MATCH($B$5,Ctry_Name,0)),"USD")</f>
        <v>USD</v>
      </c>
    </row>
    <row r="13" spans="1:2" x14ac:dyDescent="0.3">
      <c r="A13" s="16" t="s">
        <v>68</v>
      </c>
      <c r="B13" s="12">
        <f>IF($B$11&gt;0,INDEX(DB_Dur,$B$11),0)</f>
        <v>0</v>
      </c>
    </row>
    <row r="14" spans="1:2" x14ac:dyDescent="0.3">
      <c r="A14" s="16" t="s">
        <v>111</v>
      </c>
      <c r="B14" s="12">
        <f>IF($B$11&gt;0,INDEX(DB_Avail,$B$11),0)</f>
        <v>0</v>
      </c>
    </row>
    <row r="15" spans="1:2" x14ac:dyDescent="0.3">
      <c r="A15" s="16" t="s">
        <v>112</v>
      </c>
      <c r="B15" s="12">
        <f>IF($B$11&gt;0,INDEX(DB_PreYears,$B$11),0)</f>
        <v>0</v>
      </c>
    </row>
    <row r="16" spans="1:2" x14ac:dyDescent="0.3">
      <c r="A16" s="16" t="s">
        <v>113</v>
      </c>
      <c r="B16" s="14">
        <f>IF(ISNUMBER(Inputs!$F$20),Inputs!$F$20,IF($B$11&gt;0,INDEX(DB_TInf,$B$11),0))</f>
        <v>0</v>
      </c>
    </row>
    <row r="17" spans="1:10" x14ac:dyDescent="0.3">
      <c r="A17" s="16" t="s">
        <v>114</v>
      </c>
      <c r="B17" s="14">
        <f>IF(ISNUMBER(Inputs!$F$21),Inputs!$F$21,IFERROR(INDEX(Ctry_LInf,MATCH($B$5,Ctry_Name,0)),0))</f>
        <v>0</v>
      </c>
    </row>
    <row r="18" spans="1:10" x14ac:dyDescent="0.3">
      <c r="A18" s="16" t="s">
        <v>115</v>
      </c>
      <c r="B18" s="12">
        <f>IF($B$22=1,MAX(0,$B$8-$B$7),0)</f>
        <v>0</v>
      </c>
    </row>
    <row r="19" spans="1:10" x14ac:dyDescent="0.3">
      <c r="A19" s="16" t="s">
        <v>116</v>
      </c>
      <c r="B19" s="12">
        <f>ROUNDUP($B$13,0)</f>
        <v>0</v>
      </c>
    </row>
    <row r="20" spans="1:10" x14ac:dyDescent="0.3">
      <c r="A20" s="16" t="s">
        <v>117</v>
      </c>
      <c r="B20" s="12">
        <f>IF($B$22=1,$B$18+$B$19,0)</f>
        <v>0</v>
      </c>
    </row>
    <row r="21" spans="1:10" x14ac:dyDescent="0.3">
      <c r="A21" s="16" t="s">
        <v>118</v>
      </c>
      <c r="B21" s="12">
        <f>MAX(0,$B$20-1)</f>
        <v>0</v>
      </c>
    </row>
    <row r="22" spans="1:10" x14ac:dyDescent="0.3">
      <c r="A22" s="16" t="s">
        <v>119</v>
      </c>
      <c r="B22" s="12">
        <f>IF(IFERROR(AND($B$4=1,$B$5&lt;&gt;"",$B$6&lt;&gt;"",$B$14=1,IFERROR(AND(ISNUMBER($B$7),$B$7&gt;=0,$B$7&lt;=18,INT($B$7)=$B$7),FALSE),IFERROR(AND(ISNUMBER($B$8),$B$8&gt;=14,$B$8&lt;=45,INT($B$8)=$B$8),FALSE)),FALSE),1,0)</f>
        <v>0</v>
      </c>
    </row>
    <row r="23" spans="1:10" x14ac:dyDescent="0.3">
      <c r="A23" s="16" t="s">
        <v>70</v>
      </c>
      <c r="B23" s="12" t="str">
        <f>IF($B$4&lt;&gt;1,"",IF(AND($B$7="",$B$5="",$B$6=""),"Enter this child's details on the Inputs sheet.",IF(NOT(IFERROR(AND(ISNUMBER($B$7),$B$7&gt;=0,$B$7&lt;=18,INT($B$7)=$B$7),FALSE)),"Choose the child's current age (0 to 18).",IF(NOT(IFERROR(AND(ISNUMBER($B$8),$B$8&gt;=14,$B$8&lt;=45,INT($B$8)=$B$8),FALSE)),"College-entry age must be a whole number from 14 to 45.",IF($B$5="","Choose the education country.",IF($B$6="","Choose the qualification.",IF($B$14&lt;&gt;1,"This qualification is not offered (or has no typical duration) in the selected country.","")))))))</f>
        <v/>
      </c>
    </row>
    <row r="24" spans="1:10" x14ac:dyDescent="0.3">
      <c r="A24" s="16" t="s">
        <v>120</v>
      </c>
      <c r="B24" s="12">
        <f>INDEX(FxUsed,MATCH(RepCcy,FxCodes,0))/INDEX(FxUsed,MATCH($B$12,FxCodes,0))</f>
        <v>1</v>
      </c>
    </row>
    <row r="25" spans="1:10" x14ac:dyDescent="0.3">
      <c r="A25" s="16" t="s">
        <v>121</v>
      </c>
      <c r="B25" s="12">
        <f>IF($B$11=0,0,COUNTIF(RecKey,$B$10))</f>
        <v>0</v>
      </c>
    </row>
    <row r="26" spans="1:10" x14ac:dyDescent="0.3">
      <c r="A26" s="16" t="s">
        <v>122</v>
      </c>
      <c r="B26" s="12" t="str">
        <f>IF($B$25&gt;0,INDEX(DB_RecCcy,$B$11),IF($B$11&gt;0,INDEX(DB_EstCcy,$B$11),$B$12))</f>
        <v>USD</v>
      </c>
    </row>
    <row r="27" spans="1:10" x14ac:dyDescent="0.3">
      <c r="A27" s="16" t="s">
        <v>123</v>
      </c>
      <c r="B27" s="12">
        <f>IFERROR(MATCH($B$5&amp;"|"&amp;$B$9,LivKey,0),0)</f>
        <v>0</v>
      </c>
    </row>
    <row r="28" spans="1:10" x14ac:dyDescent="0.3">
      <c r="A28" s="16" t="s">
        <v>124</v>
      </c>
      <c r="B28" s="12">
        <f>IFERROR(MATCH($B$5&amp;"|"&amp;Nationality,VisaKey,0),0)</f>
        <v>0</v>
      </c>
    </row>
    <row r="29" spans="1:10" x14ac:dyDescent="0.3">
      <c r="A29" s="16" t="s">
        <v>125</v>
      </c>
      <c r="B29" s="12">
        <f>IFERROR(MATCH($B$5&amp;"|"&amp;Residence,TravKey,0),0)</f>
        <v>0</v>
      </c>
    </row>
    <row r="31" spans="1:10" ht="39.6" x14ac:dyDescent="0.3">
      <c r="A31" s="22" t="s">
        <v>126</v>
      </c>
      <c r="B31" s="22" t="s">
        <v>127</v>
      </c>
      <c r="C31" s="22" t="s">
        <v>128</v>
      </c>
      <c r="D31" s="22" t="s">
        <v>129</v>
      </c>
      <c r="E31" s="22" t="s">
        <v>130</v>
      </c>
      <c r="F31" s="22" t="s">
        <v>131</v>
      </c>
      <c r="G31" s="22" t="s">
        <v>132</v>
      </c>
      <c r="H31" s="22" t="s">
        <v>133</v>
      </c>
      <c r="I31" s="22" t="s">
        <v>134</v>
      </c>
      <c r="J31" s="22" t="s">
        <v>135</v>
      </c>
    </row>
    <row r="32" spans="1:10" x14ac:dyDescent="0.3">
      <c r="A32" s="16" t="s">
        <v>36</v>
      </c>
      <c r="B32" s="25">
        <f>IF($B$11=0,0,(IF($B$25&gt;0,SUMPRODUCT((RecKey=$B$10)*RecTuition*(1+$B$16)^(PlanYear-RecYear))/$B$25,INDEX(DB_EstTuition,$B$11)))/INDEX(FxUsed,MATCH($B$26,FxCodes,0))*INDEX(FxUsed,MATCH($B$12,FxCodes,0)))</f>
        <v>0</v>
      </c>
      <c r="C32" s="21" t="str">
        <f>IF(ISNUMBER(Inputs!$F$23),Inputs!$F$23,"")</f>
        <v/>
      </c>
      <c r="D32" s="25">
        <f t="shared" ref="D32:D43" si="0">IF(ISNUMBER(C32),IF(C32&gt;=0,C32,B32),B32)</f>
        <v>0</v>
      </c>
      <c r="E32" s="12">
        <f>IF(ISNUMBER(C32),PlanYear,IF($B$25&gt;0,PlanYear,IF($B$11&gt;0,INDEX(DB_EstBase,$B$11),PlanYear)))</f>
        <v>2026</v>
      </c>
      <c r="F32" s="12" t="str">
        <f>IF(ISNUMBER(C32),"override",IF($B$11=0,"missing",IF($B$25&gt;0,"verified",INDEX(DB_EstStatus,$B$11))))</f>
        <v>missing</v>
      </c>
      <c r="G32" s="16" t="str">
        <f t="shared" ref="G32:G43" si="1">IF(F32="verified","Published figure",IF(F32="estimated","Estimated — please review",IF(F32="notNeeded","Not needed",IF(F32="override","Your figure",IF(F32="missing","No figure yet — enter your own","")))))</f>
        <v>No figure yet — enter your own</v>
      </c>
      <c r="H32" s="16" t="s">
        <v>136</v>
      </c>
      <c r="I32" s="16" t="s">
        <v>137</v>
      </c>
      <c r="J32" s="16" t="s">
        <v>138</v>
      </c>
    </row>
    <row r="33" spans="1:27" x14ac:dyDescent="0.3">
      <c r="A33" s="16" t="s">
        <v>37</v>
      </c>
      <c r="B33" s="25">
        <f>IF($B$27=0,0,(INDEX(Liv_accommodation_Amt,$B$27))/INDEX(FxUsed,MATCH(INDEX(Liv_accommodation_Ccy,$B$27),FxCodes,0))*INDEX(FxUsed,MATCH($B$12,FxCodes,0)))</f>
        <v>0</v>
      </c>
      <c r="C33" s="21" t="str">
        <f>IF(ISNUMBER(Inputs!$F$24),Inputs!$F$24,"")</f>
        <v/>
      </c>
      <c r="D33" s="25">
        <f t="shared" si="0"/>
        <v>0</v>
      </c>
      <c r="E33" s="12">
        <f>IF(ISNUMBER(C33),PlanYear,IF($B$27=0,PlanYear,INDEX(Liv_accommodation_Base,$B$27)))</f>
        <v>2026</v>
      </c>
      <c r="F33" s="12" t="str">
        <f>IF(ISNUMBER(C33),"override",IF($B$27=0,"missing",INDEX(Liv_accommodation_Status,$B$27)))</f>
        <v>missing</v>
      </c>
      <c r="G33" s="16" t="str">
        <f t="shared" si="1"/>
        <v>No figure yet — enter your own</v>
      </c>
      <c r="H33" s="16" t="s">
        <v>139</v>
      </c>
      <c r="I33" s="16" t="s">
        <v>137</v>
      </c>
      <c r="J33" s="16" t="s">
        <v>138</v>
      </c>
    </row>
    <row r="34" spans="1:27" x14ac:dyDescent="0.3">
      <c r="A34" s="16" t="s">
        <v>38</v>
      </c>
      <c r="B34" s="25">
        <f>IF($B$27=0,0,(INDEX(Liv_food_Amt,$B$27))/INDEX(FxUsed,MATCH(INDEX(Liv_food_Ccy,$B$27),FxCodes,0))*INDEX(FxUsed,MATCH($B$12,FxCodes,0)))</f>
        <v>0</v>
      </c>
      <c r="C34" s="21" t="str">
        <f>IF(ISNUMBER(Inputs!$F$25),Inputs!$F$25,"")</f>
        <v/>
      </c>
      <c r="D34" s="25">
        <f t="shared" si="0"/>
        <v>0</v>
      </c>
      <c r="E34" s="12">
        <f>IF(ISNUMBER(C34),PlanYear,IF($B$27=0,PlanYear,INDEX(Liv_food_Base,$B$27)))</f>
        <v>2026</v>
      </c>
      <c r="F34" s="12" t="str">
        <f>IF(ISNUMBER(C34),"override",IF($B$27=0,"missing",INDEX(Liv_food_Status,$B$27)))</f>
        <v>missing</v>
      </c>
      <c r="G34" s="16" t="str">
        <f t="shared" si="1"/>
        <v>No figure yet — enter your own</v>
      </c>
      <c r="H34" s="16" t="s">
        <v>139</v>
      </c>
      <c r="I34" s="16" t="s">
        <v>137</v>
      </c>
      <c r="J34" s="16" t="s">
        <v>138</v>
      </c>
    </row>
    <row r="35" spans="1:27" x14ac:dyDescent="0.3">
      <c r="A35" s="16" t="s">
        <v>39</v>
      </c>
      <c r="B35" s="25">
        <f>IF($B$27=0,0,(INDEX(Liv_transport_Amt,$B$27))/INDEX(FxUsed,MATCH(INDEX(Liv_transport_Ccy,$B$27),FxCodes,0))*INDEX(FxUsed,MATCH($B$12,FxCodes,0)))</f>
        <v>0</v>
      </c>
      <c r="C35" s="21" t="str">
        <f>IF(ISNUMBER(Inputs!$F$26),Inputs!$F$26,"")</f>
        <v/>
      </c>
      <c r="D35" s="25">
        <f t="shared" si="0"/>
        <v>0</v>
      </c>
      <c r="E35" s="12">
        <f>IF(ISNUMBER(C35),PlanYear,IF($B$27=0,PlanYear,INDEX(Liv_transport_Base,$B$27)))</f>
        <v>2026</v>
      </c>
      <c r="F35" s="12" t="str">
        <f>IF(ISNUMBER(C35),"override",IF($B$27=0,"missing",INDEX(Liv_transport_Status,$B$27)))</f>
        <v>missing</v>
      </c>
      <c r="G35" s="16" t="str">
        <f t="shared" si="1"/>
        <v>No figure yet — enter your own</v>
      </c>
      <c r="H35" s="16" t="s">
        <v>139</v>
      </c>
      <c r="I35" s="16" t="s">
        <v>137</v>
      </c>
      <c r="J35" s="16" t="s">
        <v>138</v>
      </c>
    </row>
    <row r="36" spans="1:27" x14ac:dyDescent="0.3">
      <c r="A36" s="16" t="s">
        <v>40</v>
      </c>
      <c r="B36" s="25">
        <f>IF($B$27=0,0,(INDEX(Liv_healthInsurance_Amt,$B$27))/INDEX(FxUsed,MATCH(INDEX(Liv_healthInsurance_Ccy,$B$27),FxCodes,0))*INDEX(FxUsed,MATCH($B$12,FxCodes,0)))</f>
        <v>0</v>
      </c>
      <c r="C36" s="21" t="str">
        <f>IF(ISNUMBER(Inputs!$F$27),Inputs!$F$27,"")</f>
        <v/>
      </c>
      <c r="D36" s="25">
        <f t="shared" si="0"/>
        <v>0</v>
      </c>
      <c r="E36" s="12">
        <f>IF(ISNUMBER(C36),PlanYear,IF($B$27=0,PlanYear,INDEX(Liv_healthInsurance_Base,$B$27)))</f>
        <v>2026</v>
      </c>
      <c r="F36" s="12" t="str">
        <f>IF(ISNUMBER(C36),"override",IF($B$27=0,"missing",INDEX(Liv_healthInsurance_Status,$B$27)))</f>
        <v>missing</v>
      </c>
      <c r="G36" s="16" t="str">
        <f t="shared" si="1"/>
        <v>No figure yet — enter your own</v>
      </c>
      <c r="H36" s="16" t="s">
        <v>139</v>
      </c>
      <c r="I36" s="16" t="s">
        <v>137</v>
      </c>
      <c r="J36" s="16" t="s">
        <v>138</v>
      </c>
    </row>
    <row r="37" spans="1:27" x14ac:dyDescent="0.3">
      <c r="A37" s="16" t="s">
        <v>41</v>
      </c>
      <c r="B37" s="25">
        <f>IF($B$27=0,0,(INDEX(Liv_books_Amt,$B$27))/INDEX(FxUsed,MATCH(INDEX(Liv_books_Ccy,$B$27),FxCodes,0))*INDEX(FxUsed,MATCH($B$12,FxCodes,0)))</f>
        <v>0</v>
      </c>
      <c r="C37" s="21" t="str">
        <f>IF(ISNUMBER(Inputs!$F$28),Inputs!$F$28,"")</f>
        <v/>
      </c>
      <c r="D37" s="25">
        <f t="shared" si="0"/>
        <v>0</v>
      </c>
      <c r="E37" s="12">
        <f>IF(ISNUMBER(C37),PlanYear,IF($B$27=0,PlanYear,INDEX(Liv_books_Base,$B$27)))</f>
        <v>2026</v>
      </c>
      <c r="F37" s="12" t="str">
        <f>IF(ISNUMBER(C37),"override",IF($B$27=0,"missing",INDEX(Liv_books_Status,$B$27)))</f>
        <v>missing</v>
      </c>
      <c r="G37" s="16" t="str">
        <f t="shared" si="1"/>
        <v>No figure yet — enter your own</v>
      </c>
      <c r="H37" s="16" t="s">
        <v>139</v>
      </c>
      <c r="I37" s="16" t="s">
        <v>137</v>
      </c>
      <c r="J37" s="16" t="s">
        <v>138</v>
      </c>
    </row>
    <row r="38" spans="1:27" x14ac:dyDescent="0.3">
      <c r="A38" s="16" t="s">
        <v>42</v>
      </c>
      <c r="B38" s="25">
        <f>IF($B$11=0,0,(IF($B$25&gt;0,SUMPRODUCT((RecKey=$B$10)*RecOther*(1+$B$16)^(PlanYear-RecYear))/$B$25,INDEX(DB_EstOther,$B$11)))/INDEX(FxUsed,MATCH($B$26,FxCodes,0))*INDEX(FxUsed,MATCH($B$12,FxCodes,0)))</f>
        <v>0</v>
      </c>
      <c r="C38" s="21" t="str">
        <f>IF(ISNUMBER(Inputs!$F$29),Inputs!$F$29,"")</f>
        <v/>
      </c>
      <c r="D38" s="25">
        <f t="shared" si="0"/>
        <v>0</v>
      </c>
      <c r="E38" s="12">
        <f>IF(ISNUMBER(C38),PlanYear,IF($B$25&gt;0,PlanYear,IF($B$11&gt;0,INDEX(DB_EstBase,$B$11),PlanYear)))</f>
        <v>2026</v>
      </c>
      <c r="F38" s="12" t="str">
        <f>IF(ISNUMBER(C38),"override",IF($B$11=0,"missing",IF($B$25&gt;0,"verified",INDEX(DB_EstStatus,$B$11))))</f>
        <v>missing</v>
      </c>
      <c r="G38" s="16" t="str">
        <f t="shared" si="1"/>
        <v>No figure yet — enter your own</v>
      </c>
      <c r="H38" s="16" t="s">
        <v>136</v>
      </c>
      <c r="I38" s="16" t="s">
        <v>137</v>
      </c>
      <c r="J38" s="16" t="s">
        <v>138</v>
      </c>
    </row>
    <row r="39" spans="1:27" x14ac:dyDescent="0.3">
      <c r="A39" s="16" t="s">
        <v>140</v>
      </c>
      <c r="B39" s="25">
        <f>IF($B$15&gt;0,IF($B$15&gt;0,(INDEX(DB_PreAdm,$B$11))/INDEX(FxUsed,MATCH(INDEX(DB_PreCcy,$B$11),FxCodes,0))*INDEX(FxUsed,MATCH($B$12,FxCodes,0)),0),IF($B$11=0,0,(IF($B$25&gt;0,SUMPRODUCT((RecKey=$B$10)*RecAdm*(1+$B$16)^(PlanYear-RecYear))/$B$25,INDEX(DB_EstAdm,$B$11)))/INDEX(FxUsed,MATCH($B$26,FxCodes,0))*INDEX(FxUsed,MATCH($B$12,FxCodes,0))))</f>
        <v>0</v>
      </c>
      <c r="C39" s="21" t="str">
        <f>IF(ISNUMBER(Inputs!$F$30),Inputs!$F$30,"")</f>
        <v/>
      </c>
      <c r="D39" s="25">
        <f t="shared" si="0"/>
        <v>0</v>
      </c>
      <c r="E39" s="12">
        <f>IF(ISNUMBER(C39),PlanYear,IF($B$15&gt;0,INDEX(DB_PreBase,$B$11),IF($B$25&gt;0,PlanYear,IF($B$11&gt;0,INDEX(DB_EstBase,$B$11),PlanYear))))</f>
        <v>2026</v>
      </c>
      <c r="F39" s="12" t="str">
        <f>IF(ISNUMBER(C39),"override",IF($B$15&gt;0,INDEX(DB_PreStatus,$B$11),IF($B$11=0,"missing",IF($B$25&gt;0,"verified",INDEX(DB_EstStatus,$B$11)))))</f>
        <v>missing</v>
      </c>
      <c r="G39" s="16" t="str">
        <f t="shared" si="1"/>
        <v>No figure yet — enter your own</v>
      </c>
      <c r="H39" s="16" t="s">
        <v>136</v>
      </c>
      <c r="I39" s="16" t="s">
        <v>141</v>
      </c>
      <c r="J39" s="16" t="s">
        <v>138</v>
      </c>
    </row>
    <row r="40" spans="1:27" x14ac:dyDescent="0.3">
      <c r="A40" s="16" t="s">
        <v>142</v>
      </c>
      <c r="B40" s="25">
        <f>IF(OR($B$28=0,AND($B$9&lt;&gt;"domestic",Residence=$B$5,COUNTIF(ResNoVisa,$B$5)&gt;0)),0,(INDEX(VisaAmt,$B$28))/INDEX(FxUsed,MATCH(INDEX(VisaCcy,$B$28),FxCodes,0))*INDEX(FxUsed,MATCH($B$12,FxCodes,0)))</f>
        <v>0</v>
      </c>
      <c r="C40" s="21" t="str">
        <f>IF(ISNUMBER(Inputs!$F$31),Inputs!$F$31,"")</f>
        <v/>
      </c>
      <c r="D40" s="25">
        <f t="shared" si="0"/>
        <v>0</v>
      </c>
      <c r="E40" s="12">
        <f>IF(ISNUMBER(C40),PlanYear,IF(OR($B$28=0,AND($B$9&lt;&gt;"domestic",Residence=$B$5,COUNTIF(ResNoVisa,$B$5)&gt;0)),PlanYear,INDEX(VisaBase,$B$28)))</f>
        <v>2026</v>
      </c>
      <c r="F40" s="12" t="str">
        <f>IF(ISNUMBER(C40),"override",IF(AND($B$9&lt;&gt;"domestic",Residence=$B$5,COUNTIF(ResNoVisa,$B$5)&gt;0),"notNeeded",IF($B$28=0,"missing",INDEX(VisaStatus,$B$28))))</f>
        <v>missing</v>
      </c>
      <c r="G40" s="16" t="str">
        <f t="shared" si="1"/>
        <v>No figure yet — enter your own</v>
      </c>
      <c r="H40" s="16" t="s">
        <v>139</v>
      </c>
      <c r="I40" s="16" t="s">
        <v>141</v>
      </c>
      <c r="J40" s="16" t="s">
        <v>143</v>
      </c>
    </row>
    <row r="41" spans="1:27" x14ac:dyDescent="0.3">
      <c r="A41" s="16" t="s">
        <v>144</v>
      </c>
      <c r="B41" s="25">
        <f>IF($B$29=0,0,(INDEX(TravAmt,$B$29))/INDEX(FxUsed,MATCH(INDEX(TravCcy,$B$29),FxCodes,0))*INDEX(FxUsed,MATCH($B$12,FxCodes,0)))</f>
        <v>0</v>
      </c>
      <c r="C41" s="21" t="str">
        <f>IF(ISNUMBER(Inputs!$F$32),Inputs!$F$32,"")</f>
        <v/>
      </c>
      <c r="D41" s="25">
        <f t="shared" si="0"/>
        <v>0</v>
      </c>
      <c r="E41" s="12">
        <f>IF(ISNUMBER(C41),PlanYear,IF($B$29=0,PlanYear,INDEX(TravBase,$B$29)))</f>
        <v>2026</v>
      </c>
      <c r="F41" s="12" t="str">
        <f>IF(ISNUMBER(C41),"override",IF($B$29=0,"missing",INDEX(TravStatus,$B$29)))</f>
        <v>missing</v>
      </c>
      <c r="G41" s="16" t="str">
        <f t="shared" si="1"/>
        <v>No figure yet — enter your own</v>
      </c>
      <c r="H41" s="16" t="s">
        <v>139</v>
      </c>
      <c r="I41" s="16" t="s">
        <v>141</v>
      </c>
      <c r="J41" s="16" t="s">
        <v>143</v>
      </c>
    </row>
    <row r="42" spans="1:27" x14ac:dyDescent="0.3">
      <c r="A42" s="16" t="s">
        <v>46</v>
      </c>
      <c r="B42" s="25">
        <f>IF($B$15&gt;0,(INDEX(DB_PreTuition,$B$11))/INDEX(FxUsed,MATCH(INDEX(DB_PreCcy,$B$11),FxCodes,0))*INDEX(FxUsed,MATCH($B$12,FxCodes,0)),0)</f>
        <v>0</v>
      </c>
      <c r="C42" s="21" t="str">
        <f>IF(ISNUMBER(Inputs!$F$33),Inputs!$F$33,"")</f>
        <v/>
      </c>
      <c r="D42" s="25">
        <f t="shared" si="0"/>
        <v>0</v>
      </c>
      <c r="E42" s="12">
        <f>IF(ISNUMBER(C42),PlanYear,IF($B$15&gt;0,INDEX(DB_PreBase,$B$11),PlanYear))</f>
        <v>2026</v>
      </c>
      <c r="F42" s="12" t="str">
        <f>IF(ISNUMBER(C42),"override",IF($B$15&gt;0,INDEX(DB_PreStatus,$B$11),""))</f>
        <v/>
      </c>
      <c r="G42" s="16" t="str">
        <f t="shared" si="1"/>
        <v/>
      </c>
      <c r="H42" s="16" t="s">
        <v>136</v>
      </c>
      <c r="I42" s="16" t="s">
        <v>137</v>
      </c>
      <c r="J42" s="16" t="s">
        <v>138</v>
      </c>
    </row>
    <row r="43" spans="1:27" x14ac:dyDescent="0.3">
      <c r="A43" s="16" t="s">
        <v>47</v>
      </c>
      <c r="B43" s="25">
        <f>IF($B$15&gt;0,(INDEX(DB_PreOther,$B$11))/INDEX(FxUsed,MATCH(INDEX(DB_PreCcy,$B$11),FxCodes,0))*INDEX(FxUsed,MATCH($B$12,FxCodes,0)),0)</f>
        <v>0</v>
      </c>
      <c r="C43" s="21" t="str">
        <f>IF(ISNUMBER(Inputs!$F$34),Inputs!$F$34,"")</f>
        <v/>
      </c>
      <c r="D43" s="25">
        <f t="shared" si="0"/>
        <v>0</v>
      </c>
      <c r="E43" s="12">
        <f>IF(ISNUMBER(C43),PlanYear,IF($B$15&gt;0,INDEX(DB_PreBase,$B$11),PlanYear))</f>
        <v>2026</v>
      </c>
      <c r="F43" s="12" t="str">
        <f>IF(ISNUMBER(C43),"override",IF($B$15&gt;0,INDEX(DB_PreStatus,$B$11),""))</f>
        <v/>
      </c>
      <c r="G43" s="16" t="str">
        <f t="shared" si="1"/>
        <v/>
      </c>
      <c r="H43" s="16" t="s">
        <v>136</v>
      </c>
      <c r="I43" s="16" t="s">
        <v>137</v>
      </c>
      <c r="J43" s="16" t="s">
        <v>138</v>
      </c>
    </row>
    <row r="45" spans="1:27" ht="52.8" x14ac:dyDescent="0.3">
      <c r="A45" s="22" t="s">
        <v>145</v>
      </c>
      <c r="B45" s="22" t="s">
        <v>146</v>
      </c>
      <c r="C45" s="22" t="s">
        <v>147</v>
      </c>
      <c r="D45" s="22" t="s">
        <v>148</v>
      </c>
      <c r="E45" s="22" t="s">
        <v>149</v>
      </c>
      <c r="F45" s="22" t="s">
        <v>150</v>
      </c>
      <c r="G45" s="22" t="s">
        <v>151</v>
      </c>
      <c r="H45" s="22" t="s">
        <v>152</v>
      </c>
      <c r="I45" s="22" t="s">
        <v>153</v>
      </c>
      <c r="J45" s="22" t="s">
        <v>154</v>
      </c>
      <c r="K45" s="22" t="s">
        <v>155</v>
      </c>
      <c r="L45" s="22" t="s">
        <v>156</v>
      </c>
      <c r="M45" s="22" t="s">
        <v>157</v>
      </c>
      <c r="N45" s="22" t="s">
        <v>158</v>
      </c>
      <c r="O45" s="22" t="s">
        <v>159</v>
      </c>
      <c r="P45" s="22" t="s">
        <v>36</v>
      </c>
      <c r="Q45" s="22" t="s">
        <v>37</v>
      </c>
      <c r="R45" s="22" t="s">
        <v>38</v>
      </c>
      <c r="S45" s="22" t="s">
        <v>39</v>
      </c>
      <c r="T45" s="22" t="s">
        <v>40</v>
      </c>
      <c r="U45" s="22" t="s">
        <v>41</v>
      </c>
      <c r="V45" s="22" t="s">
        <v>42</v>
      </c>
      <c r="W45" s="22" t="s">
        <v>140</v>
      </c>
      <c r="X45" s="22" t="s">
        <v>142</v>
      </c>
      <c r="Y45" s="22" t="s">
        <v>144</v>
      </c>
      <c r="Z45" s="22" t="s">
        <v>83</v>
      </c>
      <c r="AA45" s="22" t="s">
        <v>160</v>
      </c>
    </row>
    <row r="46" spans="1:27" x14ac:dyDescent="0.3">
      <c r="A46" s="16">
        <v>0</v>
      </c>
      <c r="B46" s="16">
        <f t="shared" ref="B46:B55" si="2">PlanYear+$B$18+A46</f>
        <v>2026</v>
      </c>
      <c r="C46" s="16">
        <f t="shared" ref="C46:C55" si="3">MAX(0,MIN(1,$B$13-A46))</f>
        <v>0</v>
      </c>
      <c r="D46" s="16">
        <f t="shared" ref="D46:D55" si="4">IF(A46&lt;$B$15,1,0)</f>
        <v>0</v>
      </c>
      <c r="E46" s="16">
        <f t="shared" ref="E46:E55" si="5">IF(AND($B$22=1,A46&lt;$B$19),1,0)</f>
        <v>0</v>
      </c>
      <c r="F46" s="21">
        <f t="shared" ref="F46:F55" si="6">IF(AND(E46=1),IF(D46=1,$D$42,$D$32)*(1+$B$16)^(B46-IF(D46=1,$E$42,$E$32))*C46*$B$24,0)</f>
        <v>0</v>
      </c>
      <c r="G46" s="21">
        <f t="shared" ref="G46:G55" si="7">IF(AND(E46=1),$D$33*(1+$B$17)^(B46-$E$33)*C46*$B$24,0)</f>
        <v>0</v>
      </c>
      <c r="H46" s="21">
        <f t="shared" ref="H46:H55" si="8">IF(AND(E46=1),$D$34*(1+$B$17)^(B46-$E$34)*C46*$B$24,0)</f>
        <v>0</v>
      </c>
      <c r="I46" s="21">
        <f t="shared" ref="I46:I55" si="9">IF(AND(E46=1),$D$35*(1+$B$17)^(B46-$E$35)*C46*$B$24,0)</f>
        <v>0</v>
      </c>
      <c r="J46" s="21">
        <f t="shared" ref="J46:J55" si="10">IF(AND(E46=1),$D$36*(1+$B$17)^(B46-$E$36)*C46*$B$24,0)</f>
        <v>0</v>
      </c>
      <c r="K46" s="21">
        <f t="shared" ref="K46:K55" si="11">IF(AND(E46=1),$D$37*(1+$B$17)^(B46-$E$37)*C46*$B$24,0)</f>
        <v>0</v>
      </c>
      <c r="L46" s="21">
        <f t="shared" ref="L46:L55" si="12">IF(AND(E46=1),IF(D46=1,$D$43,$D$38)*(1+$B$16)^(B46-IF(D46=1,$E$43,$E$38))*C46*$B$24,0)</f>
        <v>0</v>
      </c>
      <c r="M46" s="21">
        <f t="shared" ref="M46:M55" si="13">IF(AND(E46=1,A46=0),$D$39*(1+$B$16)^(B46-$E$39)*$B$24,0)</f>
        <v>0</v>
      </c>
      <c r="N46" s="21">
        <f t="shared" ref="N46:N55" si="14">IF(AND(E46=1,A46=0),$D$40*(1+$B$17)^(B46-$E$40)*$B$24,0)</f>
        <v>0</v>
      </c>
      <c r="O46" s="21">
        <f t="shared" ref="O46:O55" si="15">IF(AND(E46=1,A46=0),$D$41*(1+$B$17)^(B46-$E$41)*$B$24,0)</f>
        <v>0</v>
      </c>
      <c r="P46" s="21">
        <f t="shared" ref="P46:P55" si="16">F46*(1-Coverage)</f>
        <v>0</v>
      </c>
      <c r="Q46" s="21">
        <f t="shared" ref="Q46:Q55" si="17">G46*(1-Coverage)</f>
        <v>0</v>
      </c>
      <c r="R46" s="21">
        <f t="shared" ref="R46:R55" si="18">H46*(1-Coverage)</f>
        <v>0</v>
      </c>
      <c r="S46" s="21">
        <f t="shared" ref="S46:S55" si="19">I46*(1-Coverage)</f>
        <v>0</v>
      </c>
      <c r="T46" s="21">
        <f t="shared" ref="T46:T55" si="20">J46*(1-Coverage)</f>
        <v>0</v>
      </c>
      <c r="U46" s="21">
        <f t="shared" ref="U46:U55" si="21">K46*(1-Coverage)</f>
        <v>0</v>
      </c>
      <c r="V46" s="21">
        <f t="shared" ref="V46:V55" si="22">L46*(1-Coverage)</f>
        <v>0</v>
      </c>
      <c r="W46" s="21">
        <f t="shared" ref="W46:W55" si="23">M46*(1-Coverage)</f>
        <v>0</v>
      </c>
      <c r="X46" s="21">
        <f t="shared" ref="X46:X55" si="24">N46*1</f>
        <v>0</v>
      </c>
      <c r="Y46" s="21">
        <f t="shared" ref="Y46:Y55" si="25">O46*1</f>
        <v>0</v>
      </c>
      <c r="Z46" s="20">
        <f t="shared" ref="Z46:Z55" si="26">SUM(P46:Y46)</f>
        <v>0</v>
      </c>
      <c r="AA46" s="21">
        <f t="shared" ref="AA46:AA55" si="27">SUM(F46:O46)</f>
        <v>0</v>
      </c>
    </row>
    <row r="47" spans="1:27" x14ac:dyDescent="0.3">
      <c r="A47" s="16">
        <v>1</v>
      </c>
      <c r="B47" s="16">
        <f t="shared" si="2"/>
        <v>2027</v>
      </c>
      <c r="C47" s="16">
        <f t="shared" si="3"/>
        <v>0</v>
      </c>
      <c r="D47" s="16">
        <f t="shared" si="4"/>
        <v>0</v>
      </c>
      <c r="E47" s="16">
        <f t="shared" si="5"/>
        <v>0</v>
      </c>
      <c r="F47" s="21">
        <f t="shared" si="6"/>
        <v>0</v>
      </c>
      <c r="G47" s="21">
        <f t="shared" si="7"/>
        <v>0</v>
      </c>
      <c r="H47" s="21">
        <f t="shared" si="8"/>
        <v>0</v>
      </c>
      <c r="I47" s="21">
        <f t="shared" si="9"/>
        <v>0</v>
      </c>
      <c r="J47" s="21">
        <f t="shared" si="10"/>
        <v>0</v>
      </c>
      <c r="K47" s="21">
        <f t="shared" si="11"/>
        <v>0</v>
      </c>
      <c r="L47" s="21">
        <f t="shared" si="12"/>
        <v>0</v>
      </c>
      <c r="M47" s="21">
        <f t="shared" si="13"/>
        <v>0</v>
      </c>
      <c r="N47" s="21">
        <f t="shared" si="14"/>
        <v>0</v>
      </c>
      <c r="O47" s="21">
        <f t="shared" si="15"/>
        <v>0</v>
      </c>
      <c r="P47" s="21">
        <f t="shared" si="16"/>
        <v>0</v>
      </c>
      <c r="Q47" s="21">
        <f t="shared" si="17"/>
        <v>0</v>
      </c>
      <c r="R47" s="21">
        <f t="shared" si="18"/>
        <v>0</v>
      </c>
      <c r="S47" s="21">
        <f t="shared" si="19"/>
        <v>0</v>
      </c>
      <c r="T47" s="21">
        <f t="shared" si="20"/>
        <v>0</v>
      </c>
      <c r="U47" s="21">
        <f t="shared" si="21"/>
        <v>0</v>
      </c>
      <c r="V47" s="21">
        <f t="shared" si="22"/>
        <v>0</v>
      </c>
      <c r="W47" s="21">
        <f t="shared" si="23"/>
        <v>0</v>
      </c>
      <c r="X47" s="21">
        <f t="shared" si="24"/>
        <v>0</v>
      </c>
      <c r="Y47" s="21">
        <f t="shared" si="25"/>
        <v>0</v>
      </c>
      <c r="Z47" s="20">
        <f t="shared" si="26"/>
        <v>0</v>
      </c>
      <c r="AA47" s="21">
        <f t="shared" si="27"/>
        <v>0</v>
      </c>
    </row>
    <row r="48" spans="1:27" x14ac:dyDescent="0.3">
      <c r="A48" s="16">
        <v>2</v>
      </c>
      <c r="B48" s="16">
        <f t="shared" si="2"/>
        <v>2028</v>
      </c>
      <c r="C48" s="16">
        <f t="shared" si="3"/>
        <v>0</v>
      </c>
      <c r="D48" s="16">
        <f t="shared" si="4"/>
        <v>0</v>
      </c>
      <c r="E48" s="16">
        <f t="shared" si="5"/>
        <v>0</v>
      </c>
      <c r="F48" s="21">
        <f t="shared" si="6"/>
        <v>0</v>
      </c>
      <c r="G48" s="21">
        <f t="shared" si="7"/>
        <v>0</v>
      </c>
      <c r="H48" s="21">
        <f t="shared" si="8"/>
        <v>0</v>
      </c>
      <c r="I48" s="21">
        <f t="shared" si="9"/>
        <v>0</v>
      </c>
      <c r="J48" s="21">
        <f t="shared" si="10"/>
        <v>0</v>
      </c>
      <c r="K48" s="21">
        <f t="shared" si="11"/>
        <v>0</v>
      </c>
      <c r="L48" s="21">
        <f t="shared" si="12"/>
        <v>0</v>
      </c>
      <c r="M48" s="21">
        <f t="shared" si="13"/>
        <v>0</v>
      </c>
      <c r="N48" s="21">
        <f t="shared" si="14"/>
        <v>0</v>
      </c>
      <c r="O48" s="21">
        <f t="shared" si="15"/>
        <v>0</v>
      </c>
      <c r="P48" s="21">
        <f t="shared" si="16"/>
        <v>0</v>
      </c>
      <c r="Q48" s="21">
        <f t="shared" si="17"/>
        <v>0</v>
      </c>
      <c r="R48" s="21">
        <f t="shared" si="18"/>
        <v>0</v>
      </c>
      <c r="S48" s="21">
        <f t="shared" si="19"/>
        <v>0</v>
      </c>
      <c r="T48" s="21">
        <f t="shared" si="20"/>
        <v>0</v>
      </c>
      <c r="U48" s="21">
        <f t="shared" si="21"/>
        <v>0</v>
      </c>
      <c r="V48" s="21">
        <f t="shared" si="22"/>
        <v>0</v>
      </c>
      <c r="W48" s="21">
        <f t="shared" si="23"/>
        <v>0</v>
      </c>
      <c r="X48" s="21">
        <f t="shared" si="24"/>
        <v>0</v>
      </c>
      <c r="Y48" s="21">
        <f t="shared" si="25"/>
        <v>0</v>
      </c>
      <c r="Z48" s="20">
        <f t="shared" si="26"/>
        <v>0</v>
      </c>
      <c r="AA48" s="21">
        <f t="shared" si="27"/>
        <v>0</v>
      </c>
    </row>
    <row r="49" spans="1:27" x14ac:dyDescent="0.3">
      <c r="A49" s="16">
        <v>3</v>
      </c>
      <c r="B49" s="16">
        <f t="shared" si="2"/>
        <v>2029</v>
      </c>
      <c r="C49" s="16">
        <f t="shared" si="3"/>
        <v>0</v>
      </c>
      <c r="D49" s="16">
        <f t="shared" si="4"/>
        <v>0</v>
      </c>
      <c r="E49" s="16">
        <f t="shared" si="5"/>
        <v>0</v>
      </c>
      <c r="F49" s="21">
        <f t="shared" si="6"/>
        <v>0</v>
      </c>
      <c r="G49" s="21">
        <f t="shared" si="7"/>
        <v>0</v>
      </c>
      <c r="H49" s="21">
        <f t="shared" si="8"/>
        <v>0</v>
      </c>
      <c r="I49" s="21">
        <f t="shared" si="9"/>
        <v>0</v>
      </c>
      <c r="J49" s="21">
        <f t="shared" si="10"/>
        <v>0</v>
      </c>
      <c r="K49" s="21">
        <f t="shared" si="11"/>
        <v>0</v>
      </c>
      <c r="L49" s="21">
        <f t="shared" si="12"/>
        <v>0</v>
      </c>
      <c r="M49" s="21">
        <f t="shared" si="13"/>
        <v>0</v>
      </c>
      <c r="N49" s="21">
        <f t="shared" si="14"/>
        <v>0</v>
      </c>
      <c r="O49" s="21">
        <f t="shared" si="15"/>
        <v>0</v>
      </c>
      <c r="P49" s="21">
        <f t="shared" si="16"/>
        <v>0</v>
      </c>
      <c r="Q49" s="21">
        <f t="shared" si="17"/>
        <v>0</v>
      </c>
      <c r="R49" s="21">
        <f t="shared" si="18"/>
        <v>0</v>
      </c>
      <c r="S49" s="21">
        <f t="shared" si="19"/>
        <v>0</v>
      </c>
      <c r="T49" s="21">
        <f t="shared" si="20"/>
        <v>0</v>
      </c>
      <c r="U49" s="21">
        <f t="shared" si="21"/>
        <v>0</v>
      </c>
      <c r="V49" s="21">
        <f t="shared" si="22"/>
        <v>0</v>
      </c>
      <c r="W49" s="21">
        <f t="shared" si="23"/>
        <v>0</v>
      </c>
      <c r="X49" s="21">
        <f t="shared" si="24"/>
        <v>0</v>
      </c>
      <c r="Y49" s="21">
        <f t="shared" si="25"/>
        <v>0</v>
      </c>
      <c r="Z49" s="20">
        <f t="shared" si="26"/>
        <v>0</v>
      </c>
      <c r="AA49" s="21">
        <f t="shared" si="27"/>
        <v>0</v>
      </c>
    </row>
    <row r="50" spans="1:27" x14ac:dyDescent="0.3">
      <c r="A50" s="16">
        <v>4</v>
      </c>
      <c r="B50" s="16">
        <f t="shared" si="2"/>
        <v>2030</v>
      </c>
      <c r="C50" s="16">
        <f t="shared" si="3"/>
        <v>0</v>
      </c>
      <c r="D50" s="16">
        <f t="shared" si="4"/>
        <v>0</v>
      </c>
      <c r="E50" s="16">
        <f t="shared" si="5"/>
        <v>0</v>
      </c>
      <c r="F50" s="21">
        <f t="shared" si="6"/>
        <v>0</v>
      </c>
      <c r="G50" s="21">
        <f t="shared" si="7"/>
        <v>0</v>
      </c>
      <c r="H50" s="21">
        <f t="shared" si="8"/>
        <v>0</v>
      </c>
      <c r="I50" s="21">
        <f t="shared" si="9"/>
        <v>0</v>
      </c>
      <c r="J50" s="21">
        <f t="shared" si="10"/>
        <v>0</v>
      </c>
      <c r="K50" s="21">
        <f t="shared" si="11"/>
        <v>0</v>
      </c>
      <c r="L50" s="21">
        <f t="shared" si="12"/>
        <v>0</v>
      </c>
      <c r="M50" s="21">
        <f t="shared" si="13"/>
        <v>0</v>
      </c>
      <c r="N50" s="21">
        <f t="shared" si="14"/>
        <v>0</v>
      </c>
      <c r="O50" s="21">
        <f t="shared" si="15"/>
        <v>0</v>
      </c>
      <c r="P50" s="21">
        <f t="shared" si="16"/>
        <v>0</v>
      </c>
      <c r="Q50" s="21">
        <f t="shared" si="17"/>
        <v>0</v>
      </c>
      <c r="R50" s="21">
        <f t="shared" si="18"/>
        <v>0</v>
      </c>
      <c r="S50" s="21">
        <f t="shared" si="19"/>
        <v>0</v>
      </c>
      <c r="T50" s="21">
        <f t="shared" si="20"/>
        <v>0</v>
      </c>
      <c r="U50" s="21">
        <f t="shared" si="21"/>
        <v>0</v>
      </c>
      <c r="V50" s="21">
        <f t="shared" si="22"/>
        <v>0</v>
      </c>
      <c r="W50" s="21">
        <f t="shared" si="23"/>
        <v>0</v>
      </c>
      <c r="X50" s="21">
        <f t="shared" si="24"/>
        <v>0</v>
      </c>
      <c r="Y50" s="21">
        <f t="shared" si="25"/>
        <v>0</v>
      </c>
      <c r="Z50" s="20">
        <f t="shared" si="26"/>
        <v>0</v>
      </c>
      <c r="AA50" s="21">
        <f t="shared" si="27"/>
        <v>0</v>
      </c>
    </row>
    <row r="51" spans="1:27" x14ac:dyDescent="0.3">
      <c r="A51" s="16">
        <v>5</v>
      </c>
      <c r="B51" s="16">
        <f t="shared" si="2"/>
        <v>2031</v>
      </c>
      <c r="C51" s="16">
        <f t="shared" si="3"/>
        <v>0</v>
      </c>
      <c r="D51" s="16">
        <f t="shared" si="4"/>
        <v>0</v>
      </c>
      <c r="E51" s="16">
        <f t="shared" si="5"/>
        <v>0</v>
      </c>
      <c r="F51" s="21">
        <f t="shared" si="6"/>
        <v>0</v>
      </c>
      <c r="G51" s="21">
        <f t="shared" si="7"/>
        <v>0</v>
      </c>
      <c r="H51" s="21">
        <f t="shared" si="8"/>
        <v>0</v>
      </c>
      <c r="I51" s="21">
        <f t="shared" si="9"/>
        <v>0</v>
      </c>
      <c r="J51" s="21">
        <f t="shared" si="10"/>
        <v>0</v>
      </c>
      <c r="K51" s="21">
        <f t="shared" si="11"/>
        <v>0</v>
      </c>
      <c r="L51" s="21">
        <f t="shared" si="12"/>
        <v>0</v>
      </c>
      <c r="M51" s="21">
        <f t="shared" si="13"/>
        <v>0</v>
      </c>
      <c r="N51" s="21">
        <f t="shared" si="14"/>
        <v>0</v>
      </c>
      <c r="O51" s="21">
        <f t="shared" si="15"/>
        <v>0</v>
      </c>
      <c r="P51" s="21">
        <f t="shared" si="16"/>
        <v>0</v>
      </c>
      <c r="Q51" s="21">
        <f t="shared" si="17"/>
        <v>0</v>
      </c>
      <c r="R51" s="21">
        <f t="shared" si="18"/>
        <v>0</v>
      </c>
      <c r="S51" s="21">
        <f t="shared" si="19"/>
        <v>0</v>
      </c>
      <c r="T51" s="21">
        <f t="shared" si="20"/>
        <v>0</v>
      </c>
      <c r="U51" s="21">
        <f t="shared" si="21"/>
        <v>0</v>
      </c>
      <c r="V51" s="21">
        <f t="shared" si="22"/>
        <v>0</v>
      </c>
      <c r="W51" s="21">
        <f t="shared" si="23"/>
        <v>0</v>
      </c>
      <c r="X51" s="21">
        <f t="shared" si="24"/>
        <v>0</v>
      </c>
      <c r="Y51" s="21">
        <f t="shared" si="25"/>
        <v>0</v>
      </c>
      <c r="Z51" s="20">
        <f t="shared" si="26"/>
        <v>0</v>
      </c>
      <c r="AA51" s="21">
        <f t="shared" si="27"/>
        <v>0</v>
      </c>
    </row>
    <row r="52" spans="1:27" x14ac:dyDescent="0.3">
      <c r="A52" s="16">
        <v>6</v>
      </c>
      <c r="B52" s="16">
        <f t="shared" si="2"/>
        <v>2032</v>
      </c>
      <c r="C52" s="16">
        <f t="shared" si="3"/>
        <v>0</v>
      </c>
      <c r="D52" s="16">
        <f t="shared" si="4"/>
        <v>0</v>
      </c>
      <c r="E52" s="16">
        <f t="shared" si="5"/>
        <v>0</v>
      </c>
      <c r="F52" s="21">
        <f t="shared" si="6"/>
        <v>0</v>
      </c>
      <c r="G52" s="21">
        <f t="shared" si="7"/>
        <v>0</v>
      </c>
      <c r="H52" s="21">
        <f t="shared" si="8"/>
        <v>0</v>
      </c>
      <c r="I52" s="21">
        <f t="shared" si="9"/>
        <v>0</v>
      </c>
      <c r="J52" s="21">
        <f t="shared" si="10"/>
        <v>0</v>
      </c>
      <c r="K52" s="21">
        <f t="shared" si="11"/>
        <v>0</v>
      </c>
      <c r="L52" s="21">
        <f t="shared" si="12"/>
        <v>0</v>
      </c>
      <c r="M52" s="21">
        <f t="shared" si="13"/>
        <v>0</v>
      </c>
      <c r="N52" s="21">
        <f t="shared" si="14"/>
        <v>0</v>
      </c>
      <c r="O52" s="21">
        <f t="shared" si="15"/>
        <v>0</v>
      </c>
      <c r="P52" s="21">
        <f t="shared" si="16"/>
        <v>0</v>
      </c>
      <c r="Q52" s="21">
        <f t="shared" si="17"/>
        <v>0</v>
      </c>
      <c r="R52" s="21">
        <f t="shared" si="18"/>
        <v>0</v>
      </c>
      <c r="S52" s="21">
        <f t="shared" si="19"/>
        <v>0</v>
      </c>
      <c r="T52" s="21">
        <f t="shared" si="20"/>
        <v>0</v>
      </c>
      <c r="U52" s="21">
        <f t="shared" si="21"/>
        <v>0</v>
      </c>
      <c r="V52" s="21">
        <f t="shared" si="22"/>
        <v>0</v>
      </c>
      <c r="W52" s="21">
        <f t="shared" si="23"/>
        <v>0</v>
      </c>
      <c r="X52" s="21">
        <f t="shared" si="24"/>
        <v>0</v>
      </c>
      <c r="Y52" s="21">
        <f t="shared" si="25"/>
        <v>0</v>
      </c>
      <c r="Z52" s="20">
        <f t="shared" si="26"/>
        <v>0</v>
      </c>
      <c r="AA52" s="21">
        <f t="shared" si="27"/>
        <v>0</v>
      </c>
    </row>
    <row r="53" spans="1:27" x14ac:dyDescent="0.3">
      <c r="A53" s="16">
        <v>7</v>
      </c>
      <c r="B53" s="16">
        <f t="shared" si="2"/>
        <v>2033</v>
      </c>
      <c r="C53" s="16">
        <f t="shared" si="3"/>
        <v>0</v>
      </c>
      <c r="D53" s="16">
        <f t="shared" si="4"/>
        <v>0</v>
      </c>
      <c r="E53" s="16">
        <f t="shared" si="5"/>
        <v>0</v>
      </c>
      <c r="F53" s="21">
        <f t="shared" si="6"/>
        <v>0</v>
      </c>
      <c r="G53" s="21">
        <f t="shared" si="7"/>
        <v>0</v>
      </c>
      <c r="H53" s="21">
        <f t="shared" si="8"/>
        <v>0</v>
      </c>
      <c r="I53" s="21">
        <f t="shared" si="9"/>
        <v>0</v>
      </c>
      <c r="J53" s="21">
        <f t="shared" si="10"/>
        <v>0</v>
      </c>
      <c r="K53" s="21">
        <f t="shared" si="11"/>
        <v>0</v>
      </c>
      <c r="L53" s="21">
        <f t="shared" si="12"/>
        <v>0</v>
      </c>
      <c r="M53" s="21">
        <f t="shared" si="13"/>
        <v>0</v>
      </c>
      <c r="N53" s="21">
        <f t="shared" si="14"/>
        <v>0</v>
      </c>
      <c r="O53" s="21">
        <f t="shared" si="15"/>
        <v>0</v>
      </c>
      <c r="P53" s="21">
        <f t="shared" si="16"/>
        <v>0</v>
      </c>
      <c r="Q53" s="21">
        <f t="shared" si="17"/>
        <v>0</v>
      </c>
      <c r="R53" s="21">
        <f t="shared" si="18"/>
        <v>0</v>
      </c>
      <c r="S53" s="21">
        <f t="shared" si="19"/>
        <v>0</v>
      </c>
      <c r="T53" s="21">
        <f t="shared" si="20"/>
        <v>0</v>
      </c>
      <c r="U53" s="21">
        <f t="shared" si="21"/>
        <v>0</v>
      </c>
      <c r="V53" s="21">
        <f t="shared" si="22"/>
        <v>0</v>
      </c>
      <c r="W53" s="21">
        <f t="shared" si="23"/>
        <v>0</v>
      </c>
      <c r="X53" s="21">
        <f t="shared" si="24"/>
        <v>0</v>
      </c>
      <c r="Y53" s="21">
        <f t="shared" si="25"/>
        <v>0</v>
      </c>
      <c r="Z53" s="20">
        <f t="shared" si="26"/>
        <v>0</v>
      </c>
      <c r="AA53" s="21">
        <f t="shared" si="27"/>
        <v>0</v>
      </c>
    </row>
    <row r="54" spans="1:27" x14ac:dyDescent="0.3">
      <c r="A54" s="16">
        <v>8</v>
      </c>
      <c r="B54" s="16">
        <f t="shared" si="2"/>
        <v>2034</v>
      </c>
      <c r="C54" s="16">
        <f t="shared" si="3"/>
        <v>0</v>
      </c>
      <c r="D54" s="16">
        <f t="shared" si="4"/>
        <v>0</v>
      </c>
      <c r="E54" s="16">
        <f t="shared" si="5"/>
        <v>0</v>
      </c>
      <c r="F54" s="21">
        <f t="shared" si="6"/>
        <v>0</v>
      </c>
      <c r="G54" s="21">
        <f t="shared" si="7"/>
        <v>0</v>
      </c>
      <c r="H54" s="21">
        <f t="shared" si="8"/>
        <v>0</v>
      </c>
      <c r="I54" s="21">
        <f t="shared" si="9"/>
        <v>0</v>
      </c>
      <c r="J54" s="21">
        <f t="shared" si="10"/>
        <v>0</v>
      </c>
      <c r="K54" s="21">
        <f t="shared" si="11"/>
        <v>0</v>
      </c>
      <c r="L54" s="21">
        <f t="shared" si="12"/>
        <v>0</v>
      </c>
      <c r="M54" s="21">
        <f t="shared" si="13"/>
        <v>0</v>
      </c>
      <c r="N54" s="21">
        <f t="shared" si="14"/>
        <v>0</v>
      </c>
      <c r="O54" s="21">
        <f t="shared" si="15"/>
        <v>0</v>
      </c>
      <c r="P54" s="21">
        <f t="shared" si="16"/>
        <v>0</v>
      </c>
      <c r="Q54" s="21">
        <f t="shared" si="17"/>
        <v>0</v>
      </c>
      <c r="R54" s="21">
        <f t="shared" si="18"/>
        <v>0</v>
      </c>
      <c r="S54" s="21">
        <f t="shared" si="19"/>
        <v>0</v>
      </c>
      <c r="T54" s="21">
        <f t="shared" si="20"/>
        <v>0</v>
      </c>
      <c r="U54" s="21">
        <f t="shared" si="21"/>
        <v>0</v>
      </c>
      <c r="V54" s="21">
        <f t="shared" si="22"/>
        <v>0</v>
      </c>
      <c r="W54" s="21">
        <f t="shared" si="23"/>
        <v>0</v>
      </c>
      <c r="X54" s="21">
        <f t="shared" si="24"/>
        <v>0</v>
      </c>
      <c r="Y54" s="21">
        <f t="shared" si="25"/>
        <v>0</v>
      </c>
      <c r="Z54" s="20">
        <f t="shared" si="26"/>
        <v>0</v>
      </c>
      <c r="AA54" s="21">
        <f t="shared" si="27"/>
        <v>0</v>
      </c>
    </row>
    <row r="55" spans="1:27" x14ac:dyDescent="0.3">
      <c r="A55" s="16">
        <v>9</v>
      </c>
      <c r="B55" s="16">
        <f t="shared" si="2"/>
        <v>2035</v>
      </c>
      <c r="C55" s="16">
        <f t="shared" si="3"/>
        <v>0</v>
      </c>
      <c r="D55" s="16">
        <f t="shared" si="4"/>
        <v>0</v>
      </c>
      <c r="E55" s="16">
        <f t="shared" si="5"/>
        <v>0</v>
      </c>
      <c r="F55" s="21">
        <f t="shared" si="6"/>
        <v>0</v>
      </c>
      <c r="G55" s="21">
        <f t="shared" si="7"/>
        <v>0</v>
      </c>
      <c r="H55" s="21">
        <f t="shared" si="8"/>
        <v>0</v>
      </c>
      <c r="I55" s="21">
        <f t="shared" si="9"/>
        <v>0</v>
      </c>
      <c r="J55" s="21">
        <f t="shared" si="10"/>
        <v>0</v>
      </c>
      <c r="K55" s="21">
        <f t="shared" si="11"/>
        <v>0</v>
      </c>
      <c r="L55" s="21">
        <f t="shared" si="12"/>
        <v>0</v>
      </c>
      <c r="M55" s="21">
        <f t="shared" si="13"/>
        <v>0</v>
      </c>
      <c r="N55" s="21">
        <f t="shared" si="14"/>
        <v>0</v>
      </c>
      <c r="O55" s="21">
        <f t="shared" si="15"/>
        <v>0</v>
      </c>
      <c r="P55" s="21">
        <f t="shared" si="16"/>
        <v>0</v>
      </c>
      <c r="Q55" s="21">
        <f t="shared" si="17"/>
        <v>0</v>
      </c>
      <c r="R55" s="21">
        <f t="shared" si="18"/>
        <v>0</v>
      </c>
      <c r="S55" s="21">
        <f t="shared" si="19"/>
        <v>0</v>
      </c>
      <c r="T55" s="21">
        <f t="shared" si="20"/>
        <v>0</v>
      </c>
      <c r="U55" s="21">
        <f t="shared" si="21"/>
        <v>0</v>
      </c>
      <c r="V55" s="21">
        <f t="shared" si="22"/>
        <v>0</v>
      </c>
      <c r="W55" s="21">
        <f t="shared" si="23"/>
        <v>0</v>
      </c>
      <c r="X55" s="21">
        <f t="shared" si="24"/>
        <v>0</v>
      </c>
      <c r="Y55" s="21">
        <f t="shared" si="25"/>
        <v>0</v>
      </c>
      <c r="Z55" s="20">
        <f t="shared" si="26"/>
        <v>0</v>
      </c>
      <c r="AA55" s="21">
        <f t="shared" si="27"/>
        <v>0</v>
      </c>
    </row>
    <row r="56" spans="1:27" x14ac:dyDescent="0.3">
      <c r="A56" s="8" t="s">
        <v>76</v>
      </c>
      <c r="F56" s="20">
        <f t="shared" ref="F56:AA56" si="28">SUM(F46:F55)</f>
        <v>0</v>
      </c>
      <c r="G56" s="20">
        <f t="shared" si="28"/>
        <v>0</v>
      </c>
      <c r="H56" s="20">
        <f t="shared" si="28"/>
        <v>0</v>
      </c>
      <c r="I56" s="20">
        <f t="shared" si="28"/>
        <v>0</v>
      </c>
      <c r="J56" s="20">
        <f t="shared" si="28"/>
        <v>0</v>
      </c>
      <c r="K56" s="20">
        <f t="shared" si="28"/>
        <v>0</v>
      </c>
      <c r="L56" s="20">
        <f t="shared" si="28"/>
        <v>0</v>
      </c>
      <c r="M56" s="20">
        <f t="shared" si="28"/>
        <v>0</v>
      </c>
      <c r="N56" s="20">
        <f t="shared" si="28"/>
        <v>0</v>
      </c>
      <c r="O56" s="20">
        <f t="shared" si="28"/>
        <v>0</v>
      </c>
      <c r="P56" s="20">
        <f t="shared" si="28"/>
        <v>0</v>
      </c>
      <c r="Q56" s="20">
        <f t="shared" si="28"/>
        <v>0</v>
      </c>
      <c r="R56" s="20">
        <f t="shared" si="28"/>
        <v>0</v>
      </c>
      <c r="S56" s="20">
        <f t="shared" si="28"/>
        <v>0</v>
      </c>
      <c r="T56" s="20">
        <f t="shared" si="28"/>
        <v>0</v>
      </c>
      <c r="U56" s="20">
        <f t="shared" si="28"/>
        <v>0</v>
      </c>
      <c r="V56" s="20">
        <f t="shared" si="28"/>
        <v>0</v>
      </c>
      <c r="W56" s="20">
        <f t="shared" si="28"/>
        <v>0</v>
      </c>
      <c r="X56" s="20">
        <f t="shared" si="28"/>
        <v>0</v>
      </c>
      <c r="Y56" s="20">
        <f t="shared" si="28"/>
        <v>0</v>
      </c>
      <c r="Z56" s="20">
        <f t="shared" si="28"/>
        <v>0</v>
      </c>
      <c r="AA56" s="20">
        <f t="shared" si="28"/>
        <v>0</v>
      </c>
    </row>
    <row r="58" spans="1:27" x14ac:dyDescent="0.3">
      <c r="A58" s="8" t="s">
        <v>161</v>
      </c>
      <c r="B58" s="26">
        <f>$Z$56</f>
        <v>0</v>
      </c>
    </row>
    <row r="59" spans="1:27" x14ac:dyDescent="0.3">
      <c r="A59" s="16" t="s">
        <v>14</v>
      </c>
      <c r="B59" s="21">
        <f>$AA$56-$Z$56</f>
        <v>0</v>
      </c>
    </row>
    <row r="60" spans="1:27" x14ac:dyDescent="0.3">
      <c r="A60" s="16" t="s">
        <v>162</v>
      </c>
      <c r="B60" s="16" t="str">
        <f>IF(OR($F$32="missing",AND($B$15&gt;0,$F$42="missing")),"missing",IF(OR($F$32="estimated",AND($B$15&gt;0,$F$42="estimated")),"estimated",IF($B$15&gt;0,$F$42,$F$32)))</f>
        <v>missing</v>
      </c>
    </row>
    <row r="61" spans="1:27" x14ac:dyDescent="0.3">
      <c r="A61" s="16" t="s">
        <v>163</v>
      </c>
      <c r="B61" s="16">
        <f>IF(OR($F$32="missing",AND($B$15&gt;0,$F$42="missing"),$F$33="missing"),1,0)</f>
        <v>1</v>
      </c>
    </row>
    <row r="63" spans="1:27" ht="15.6" x14ac:dyDescent="0.3">
      <c r="A63" s="7" t="s">
        <v>164</v>
      </c>
    </row>
    <row r="64" spans="1:27" ht="39.6" x14ac:dyDescent="0.3">
      <c r="A64" s="22" t="s">
        <v>165</v>
      </c>
      <c r="B64" s="22" t="s">
        <v>146</v>
      </c>
      <c r="C64" s="22" t="s">
        <v>166</v>
      </c>
      <c r="D64" s="22" t="s">
        <v>83</v>
      </c>
      <c r="E64" s="22" t="s">
        <v>167</v>
      </c>
      <c r="F64" s="22" t="s">
        <v>168</v>
      </c>
      <c r="G64" s="22" t="s">
        <v>169</v>
      </c>
      <c r="H64" s="22" t="s">
        <v>170</v>
      </c>
      <c r="I64" s="22" t="s">
        <v>171</v>
      </c>
      <c r="J64" s="22" t="s">
        <v>172</v>
      </c>
      <c r="K64" s="22" t="s">
        <v>173</v>
      </c>
      <c r="L64" s="22" t="s">
        <v>174</v>
      </c>
      <c r="M64" s="22" t="s">
        <v>80</v>
      </c>
      <c r="N64" s="22" t="s">
        <v>81</v>
      </c>
      <c r="O64" s="22" t="s">
        <v>82</v>
      </c>
      <c r="P64" s="22" t="s">
        <v>84</v>
      </c>
      <c r="Q64" s="22" t="s">
        <v>175</v>
      </c>
    </row>
    <row r="65" spans="1:17" x14ac:dyDescent="0.3">
      <c r="A65" s="16">
        <v>1</v>
      </c>
      <c r="B65" s="16">
        <f t="shared" ref="B65:B96" si="29">PlanYear+A65-1</f>
        <v>2026</v>
      </c>
      <c r="C65" s="16">
        <f t="shared" ref="C65:C96" si="30">A65-1-$B$18</f>
        <v>0</v>
      </c>
      <c r="D65" s="21">
        <f t="shared" ref="D65:D96" si="31">IF(AND($B$22=1,C65&gt;=0,C65&lt;$B$19),INDEX($Z$46:$Z$55,C65+1),0)</f>
        <v>0</v>
      </c>
      <c r="E65" s="27">
        <f t="shared" ref="E65:E96" si="32">IF(AND($B$22=1,A65&lt;=$B$21),(1+SavInc)^(A65-1),0)</f>
        <v>0</v>
      </c>
      <c r="F65" s="27">
        <f t="shared" ref="F65:F96" si="33">(1+ReturnRate)^(A65-1)</f>
        <v>1</v>
      </c>
      <c r="G65" s="21">
        <f>-D65</f>
        <v>0</v>
      </c>
      <c r="H65" s="27">
        <f>0</f>
        <v>0</v>
      </c>
      <c r="I65" s="21">
        <f t="shared" ref="I65:I96" si="34">G65*(1+ReturnRate)</f>
        <v>0</v>
      </c>
      <c r="J65" s="27">
        <f t="shared" ref="J65:J96" si="35">H65*(1+ReturnRate)+E65</f>
        <v>0</v>
      </c>
      <c r="K65" s="21">
        <f t="shared" ref="K65:K96" si="36">IF(AND(D65&gt;0,H65&lt;=0.000000000001,G65&lt;0),-G65/F65,0)</f>
        <v>0</v>
      </c>
      <c r="L65" s="21">
        <f t="shared" ref="L65:L96" si="37">IF(AND(D65&gt;0,H65&gt;0.000000000001),-(G65+$B$126*F65)/H65,0)</f>
        <v>0</v>
      </c>
      <c r="M65" s="21">
        <f>$B$126</f>
        <v>0</v>
      </c>
      <c r="N65" s="21">
        <f t="shared" ref="N65:N96" si="38">E65*$B$127</f>
        <v>0</v>
      </c>
      <c r="O65" s="21">
        <f t="shared" ref="O65:O96" si="39">IF(AND($B$22=1,A65&lt;=$B$20),(M65-D65)*ReturnRate,0)</f>
        <v>0</v>
      </c>
      <c r="P65" s="21">
        <f t="shared" ref="P65:P96" si="40">M65-D65+O65+N65</f>
        <v>0</v>
      </c>
      <c r="Q65" s="16">
        <f t="shared" ref="Q65:Q96" si="41">IF(AND($B$22=1,C65&gt;=0,C65&lt;$B$19),1,0)</f>
        <v>0</v>
      </c>
    </row>
    <row r="66" spans="1:17" x14ac:dyDescent="0.3">
      <c r="A66" s="16">
        <v>2</v>
      </c>
      <c r="B66" s="16">
        <f t="shared" si="29"/>
        <v>2027</v>
      </c>
      <c r="C66" s="16">
        <f t="shared" si="30"/>
        <v>1</v>
      </c>
      <c r="D66" s="21">
        <f t="shared" si="31"/>
        <v>0</v>
      </c>
      <c r="E66" s="27">
        <f t="shared" si="32"/>
        <v>0</v>
      </c>
      <c r="F66" s="27">
        <f t="shared" si="33"/>
        <v>1.06</v>
      </c>
      <c r="G66" s="21">
        <f t="shared" ref="G66:G97" si="42">I65-D66</f>
        <v>0</v>
      </c>
      <c r="H66" s="27">
        <f t="shared" ref="H66:H97" si="43">J65</f>
        <v>0</v>
      </c>
      <c r="I66" s="21">
        <f t="shared" si="34"/>
        <v>0</v>
      </c>
      <c r="J66" s="27">
        <f t="shared" si="35"/>
        <v>0</v>
      </c>
      <c r="K66" s="21">
        <f t="shared" si="36"/>
        <v>0</v>
      </c>
      <c r="L66" s="21">
        <f t="shared" si="37"/>
        <v>0</v>
      </c>
      <c r="M66" s="21">
        <f t="shared" ref="M66:M97" si="44">P65</f>
        <v>0</v>
      </c>
      <c r="N66" s="21">
        <f t="shared" si="38"/>
        <v>0</v>
      </c>
      <c r="O66" s="21">
        <f t="shared" si="39"/>
        <v>0</v>
      </c>
      <c r="P66" s="21">
        <f t="shared" si="40"/>
        <v>0</v>
      </c>
      <c r="Q66" s="16">
        <f t="shared" si="41"/>
        <v>0</v>
      </c>
    </row>
    <row r="67" spans="1:17" x14ac:dyDescent="0.3">
      <c r="A67" s="16">
        <v>3</v>
      </c>
      <c r="B67" s="16">
        <f t="shared" si="29"/>
        <v>2028</v>
      </c>
      <c r="C67" s="16">
        <f t="shared" si="30"/>
        <v>2</v>
      </c>
      <c r="D67" s="21">
        <f t="shared" si="31"/>
        <v>0</v>
      </c>
      <c r="E67" s="27">
        <f t="shared" si="32"/>
        <v>0</v>
      </c>
      <c r="F67" s="27">
        <f t="shared" si="33"/>
        <v>1.1236000000000002</v>
      </c>
      <c r="G67" s="21">
        <f t="shared" si="42"/>
        <v>0</v>
      </c>
      <c r="H67" s="27">
        <f t="shared" si="43"/>
        <v>0</v>
      </c>
      <c r="I67" s="21">
        <f t="shared" si="34"/>
        <v>0</v>
      </c>
      <c r="J67" s="27">
        <f t="shared" si="35"/>
        <v>0</v>
      </c>
      <c r="K67" s="21">
        <f t="shared" si="36"/>
        <v>0</v>
      </c>
      <c r="L67" s="21">
        <f t="shared" si="37"/>
        <v>0</v>
      </c>
      <c r="M67" s="21">
        <f t="shared" si="44"/>
        <v>0</v>
      </c>
      <c r="N67" s="21">
        <f t="shared" si="38"/>
        <v>0</v>
      </c>
      <c r="O67" s="21">
        <f t="shared" si="39"/>
        <v>0</v>
      </c>
      <c r="P67" s="21">
        <f t="shared" si="40"/>
        <v>0</v>
      </c>
      <c r="Q67" s="16">
        <f t="shared" si="41"/>
        <v>0</v>
      </c>
    </row>
    <row r="68" spans="1:17" x14ac:dyDescent="0.3">
      <c r="A68" s="16">
        <v>4</v>
      </c>
      <c r="B68" s="16">
        <f t="shared" si="29"/>
        <v>2029</v>
      </c>
      <c r="C68" s="16">
        <f t="shared" si="30"/>
        <v>3</v>
      </c>
      <c r="D68" s="21">
        <f t="shared" si="31"/>
        <v>0</v>
      </c>
      <c r="E68" s="27">
        <f t="shared" si="32"/>
        <v>0</v>
      </c>
      <c r="F68" s="27">
        <f t="shared" si="33"/>
        <v>1.1910160000000003</v>
      </c>
      <c r="G68" s="21">
        <f t="shared" si="42"/>
        <v>0</v>
      </c>
      <c r="H68" s="27">
        <f t="shared" si="43"/>
        <v>0</v>
      </c>
      <c r="I68" s="21">
        <f t="shared" si="34"/>
        <v>0</v>
      </c>
      <c r="J68" s="27">
        <f t="shared" si="35"/>
        <v>0</v>
      </c>
      <c r="K68" s="21">
        <f t="shared" si="36"/>
        <v>0</v>
      </c>
      <c r="L68" s="21">
        <f t="shared" si="37"/>
        <v>0</v>
      </c>
      <c r="M68" s="21">
        <f t="shared" si="44"/>
        <v>0</v>
      </c>
      <c r="N68" s="21">
        <f t="shared" si="38"/>
        <v>0</v>
      </c>
      <c r="O68" s="21">
        <f t="shared" si="39"/>
        <v>0</v>
      </c>
      <c r="P68" s="21">
        <f t="shared" si="40"/>
        <v>0</v>
      </c>
      <c r="Q68" s="16">
        <f t="shared" si="41"/>
        <v>0</v>
      </c>
    </row>
    <row r="69" spans="1:17" x14ac:dyDescent="0.3">
      <c r="A69" s="16">
        <v>5</v>
      </c>
      <c r="B69" s="16">
        <f t="shared" si="29"/>
        <v>2030</v>
      </c>
      <c r="C69" s="16">
        <f t="shared" si="30"/>
        <v>4</v>
      </c>
      <c r="D69" s="21">
        <f t="shared" si="31"/>
        <v>0</v>
      </c>
      <c r="E69" s="27">
        <f t="shared" si="32"/>
        <v>0</v>
      </c>
      <c r="F69" s="27">
        <f t="shared" si="33"/>
        <v>1.2624769600000003</v>
      </c>
      <c r="G69" s="21">
        <f t="shared" si="42"/>
        <v>0</v>
      </c>
      <c r="H69" s="27">
        <f t="shared" si="43"/>
        <v>0</v>
      </c>
      <c r="I69" s="21">
        <f t="shared" si="34"/>
        <v>0</v>
      </c>
      <c r="J69" s="27">
        <f t="shared" si="35"/>
        <v>0</v>
      </c>
      <c r="K69" s="21">
        <f t="shared" si="36"/>
        <v>0</v>
      </c>
      <c r="L69" s="21">
        <f t="shared" si="37"/>
        <v>0</v>
      </c>
      <c r="M69" s="21">
        <f t="shared" si="44"/>
        <v>0</v>
      </c>
      <c r="N69" s="21">
        <f t="shared" si="38"/>
        <v>0</v>
      </c>
      <c r="O69" s="21">
        <f t="shared" si="39"/>
        <v>0</v>
      </c>
      <c r="P69" s="21">
        <f t="shared" si="40"/>
        <v>0</v>
      </c>
      <c r="Q69" s="16">
        <f t="shared" si="41"/>
        <v>0</v>
      </c>
    </row>
    <row r="70" spans="1:17" x14ac:dyDescent="0.3">
      <c r="A70" s="16">
        <v>6</v>
      </c>
      <c r="B70" s="16">
        <f t="shared" si="29"/>
        <v>2031</v>
      </c>
      <c r="C70" s="16">
        <f t="shared" si="30"/>
        <v>5</v>
      </c>
      <c r="D70" s="21">
        <f t="shared" si="31"/>
        <v>0</v>
      </c>
      <c r="E70" s="27">
        <f t="shared" si="32"/>
        <v>0</v>
      </c>
      <c r="F70" s="27">
        <f t="shared" si="33"/>
        <v>1.3382255776000005</v>
      </c>
      <c r="G70" s="21">
        <f t="shared" si="42"/>
        <v>0</v>
      </c>
      <c r="H70" s="27">
        <f t="shared" si="43"/>
        <v>0</v>
      </c>
      <c r="I70" s="21">
        <f t="shared" si="34"/>
        <v>0</v>
      </c>
      <c r="J70" s="27">
        <f t="shared" si="35"/>
        <v>0</v>
      </c>
      <c r="K70" s="21">
        <f t="shared" si="36"/>
        <v>0</v>
      </c>
      <c r="L70" s="21">
        <f t="shared" si="37"/>
        <v>0</v>
      </c>
      <c r="M70" s="21">
        <f t="shared" si="44"/>
        <v>0</v>
      </c>
      <c r="N70" s="21">
        <f t="shared" si="38"/>
        <v>0</v>
      </c>
      <c r="O70" s="21">
        <f t="shared" si="39"/>
        <v>0</v>
      </c>
      <c r="P70" s="21">
        <f t="shared" si="40"/>
        <v>0</v>
      </c>
      <c r="Q70" s="16">
        <f t="shared" si="41"/>
        <v>0</v>
      </c>
    </row>
    <row r="71" spans="1:17" x14ac:dyDescent="0.3">
      <c r="A71" s="16">
        <v>7</v>
      </c>
      <c r="B71" s="16">
        <f t="shared" si="29"/>
        <v>2032</v>
      </c>
      <c r="C71" s="16">
        <f t="shared" si="30"/>
        <v>6</v>
      </c>
      <c r="D71" s="21">
        <f t="shared" si="31"/>
        <v>0</v>
      </c>
      <c r="E71" s="27">
        <f t="shared" si="32"/>
        <v>0</v>
      </c>
      <c r="F71" s="27">
        <f t="shared" si="33"/>
        <v>1.4185191122560006</v>
      </c>
      <c r="G71" s="21">
        <f t="shared" si="42"/>
        <v>0</v>
      </c>
      <c r="H71" s="27">
        <f t="shared" si="43"/>
        <v>0</v>
      </c>
      <c r="I71" s="21">
        <f t="shared" si="34"/>
        <v>0</v>
      </c>
      <c r="J71" s="27">
        <f t="shared" si="35"/>
        <v>0</v>
      </c>
      <c r="K71" s="21">
        <f t="shared" si="36"/>
        <v>0</v>
      </c>
      <c r="L71" s="21">
        <f t="shared" si="37"/>
        <v>0</v>
      </c>
      <c r="M71" s="21">
        <f t="shared" si="44"/>
        <v>0</v>
      </c>
      <c r="N71" s="21">
        <f t="shared" si="38"/>
        <v>0</v>
      </c>
      <c r="O71" s="21">
        <f t="shared" si="39"/>
        <v>0</v>
      </c>
      <c r="P71" s="21">
        <f t="shared" si="40"/>
        <v>0</v>
      </c>
      <c r="Q71" s="16">
        <f t="shared" si="41"/>
        <v>0</v>
      </c>
    </row>
    <row r="72" spans="1:17" x14ac:dyDescent="0.3">
      <c r="A72" s="16">
        <v>8</v>
      </c>
      <c r="B72" s="16">
        <f t="shared" si="29"/>
        <v>2033</v>
      </c>
      <c r="C72" s="16">
        <f t="shared" si="30"/>
        <v>7</v>
      </c>
      <c r="D72" s="21">
        <f t="shared" si="31"/>
        <v>0</v>
      </c>
      <c r="E72" s="27">
        <f t="shared" si="32"/>
        <v>0</v>
      </c>
      <c r="F72" s="27">
        <f t="shared" si="33"/>
        <v>1.5036302589913608</v>
      </c>
      <c r="G72" s="21">
        <f t="shared" si="42"/>
        <v>0</v>
      </c>
      <c r="H72" s="27">
        <f t="shared" si="43"/>
        <v>0</v>
      </c>
      <c r="I72" s="21">
        <f t="shared" si="34"/>
        <v>0</v>
      </c>
      <c r="J72" s="27">
        <f t="shared" si="35"/>
        <v>0</v>
      </c>
      <c r="K72" s="21">
        <f t="shared" si="36"/>
        <v>0</v>
      </c>
      <c r="L72" s="21">
        <f t="shared" si="37"/>
        <v>0</v>
      </c>
      <c r="M72" s="21">
        <f t="shared" si="44"/>
        <v>0</v>
      </c>
      <c r="N72" s="21">
        <f t="shared" si="38"/>
        <v>0</v>
      </c>
      <c r="O72" s="21">
        <f t="shared" si="39"/>
        <v>0</v>
      </c>
      <c r="P72" s="21">
        <f t="shared" si="40"/>
        <v>0</v>
      </c>
      <c r="Q72" s="16">
        <f t="shared" si="41"/>
        <v>0</v>
      </c>
    </row>
    <row r="73" spans="1:17" x14ac:dyDescent="0.3">
      <c r="A73" s="16">
        <v>9</v>
      </c>
      <c r="B73" s="16">
        <f t="shared" si="29"/>
        <v>2034</v>
      </c>
      <c r="C73" s="16">
        <f t="shared" si="30"/>
        <v>8</v>
      </c>
      <c r="D73" s="21">
        <f t="shared" si="31"/>
        <v>0</v>
      </c>
      <c r="E73" s="27">
        <f t="shared" si="32"/>
        <v>0</v>
      </c>
      <c r="F73" s="27">
        <f t="shared" si="33"/>
        <v>1.5938480745308423</v>
      </c>
      <c r="G73" s="21">
        <f t="shared" si="42"/>
        <v>0</v>
      </c>
      <c r="H73" s="27">
        <f t="shared" si="43"/>
        <v>0</v>
      </c>
      <c r="I73" s="21">
        <f t="shared" si="34"/>
        <v>0</v>
      </c>
      <c r="J73" s="27">
        <f t="shared" si="35"/>
        <v>0</v>
      </c>
      <c r="K73" s="21">
        <f t="shared" si="36"/>
        <v>0</v>
      </c>
      <c r="L73" s="21">
        <f t="shared" si="37"/>
        <v>0</v>
      </c>
      <c r="M73" s="21">
        <f t="shared" si="44"/>
        <v>0</v>
      </c>
      <c r="N73" s="21">
        <f t="shared" si="38"/>
        <v>0</v>
      </c>
      <c r="O73" s="21">
        <f t="shared" si="39"/>
        <v>0</v>
      </c>
      <c r="P73" s="21">
        <f t="shared" si="40"/>
        <v>0</v>
      </c>
      <c r="Q73" s="16">
        <f t="shared" si="41"/>
        <v>0</v>
      </c>
    </row>
    <row r="74" spans="1:17" x14ac:dyDescent="0.3">
      <c r="A74" s="16">
        <v>10</v>
      </c>
      <c r="B74" s="16">
        <f t="shared" si="29"/>
        <v>2035</v>
      </c>
      <c r="C74" s="16">
        <f t="shared" si="30"/>
        <v>9</v>
      </c>
      <c r="D74" s="21">
        <f t="shared" si="31"/>
        <v>0</v>
      </c>
      <c r="E74" s="27">
        <f t="shared" si="32"/>
        <v>0</v>
      </c>
      <c r="F74" s="27">
        <f t="shared" si="33"/>
        <v>1.6894789590026928</v>
      </c>
      <c r="G74" s="21">
        <f t="shared" si="42"/>
        <v>0</v>
      </c>
      <c r="H74" s="27">
        <f t="shared" si="43"/>
        <v>0</v>
      </c>
      <c r="I74" s="21">
        <f t="shared" si="34"/>
        <v>0</v>
      </c>
      <c r="J74" s="27">
        <f t="shared" si="35"/>
        <v>0</v>
      </c>
      <c r="K74" s="21">
        <f t="shared" si="36"/>
        <v>0</v>
      </c>
      <c r="L74" s="21">
        <f t="shared" si="37"/>
        <v>0</v>
      </c>
      <c r="M74" s="21">
        <f t="shared" si="44"/>
        <v>0</v>
      </c>
      <c r="N74" s="21">
        <f t="shared" si="38"/>
        <v>0</v>
      </c>
      <c r="O74" s="21">
        <f t="shared" si="39"/>
        <v>0</v>
      </c>
      <c r="P74" s="21">
        <f t="shared" si="40"/>
        <v>0</v>
      </c>
      <c r="Q74" s="16">
        <f t="shared" si="41"/>
        <v>0</v>
      </c>
    </row>
    <row r="75" spans="1:17" x14ac:dyDescent="0.3">
      <c r="A75" s="16">
        <v>11</v>
      </c>
      <c r="B75" s="16">
        <f t="shared" si="29"/>
        <v>2036</v>
      </c>
      <c r="C75" s="16">
        <f t="shared" si="30"/>
        <v>10</v>
      </c>
      <c r="D75" s="21">
        <f t="shared" si="31"/>
        <v>0</v>
      </c>
      <c r="E75" s="27">
        <f t="shared" si="32"/>
        <v>0</v>
      </c>
      <c r="F75" s="27">
        <f t="shared" si="33"/>
        <v>1.7908476965428546</v>
      </c>
      <c r="G75" s="21">
        <f t="shared" si="42"/>
        <v>0</v>
      </c>
      <c r="H75" s="27">
        <f t="shared" si="43"/>
        <v>0</v>
      </c>
      <c r="I75" s="21">
        <f t="shared" si="34"/>
        <v>0</v>
      </c>
      <c r="J75" s="27">
        <f t="shared" si="35"/>
        <v>0</v>
      </c>
      <c r="K75" s="21">
        <f t="shared" si="36"/>
        <v>0</v>
      </c>
      <c r="L75" s="21">
        <f t="shared" si="37"/>
        <v>0</v>
      </c>
      <c r="M75" s="21">
        <f t="shared" si="44"/>
        <v>0</v>
      </c>
      <c r="N75" s="21">
        <f t="shared" si="38"/>
        <v>0</v>
      </c>
      <c r="O75" s="21">
        <f t="shared" si="39"/>
        <v>0</v>
      </c>
      <c r="P75" s="21">
        <f t="shared" si="40"/>
        <v>0</v>
      </c>
      <c r="Q75" s="16">
        <f t="shared" si="41"/>
        <v>0</v>
      </c>
    </row>
    <row r="76" spans="1:17" x14ac:dyDescent="0.3">
      <c r="A76" s="16">
        <v>12</v>
      </c>
      <c r="B76" s="16">
        <f t="shared" si="29"/>
        <v>2037</v>
      </c>
      <c r="C76" s="16">
        <f t="shared" si="30"/>
        <v>11</v>
      </c>
      <c r="D76" s="21">
        <f t="shared" si="31"/>
        <v>0</v>
      </c>
      <c r="E76" s="27">
        <f t="shared" si="32"/>
        <v>0</v>
      </c>
      <c r="F76" s="27">
        <f t="shared" si="33"/>
        <v>1.8982985583354262</v>
      </c>
      <c r="G76" s="21">
        <f t="shared" si="42"/>
        <v>0</v>
      </c>
      <c r="H76" s="27">
        <f t="shared" si="43"/>
        <v>0</v>
      </c>
      <c r="I76" s="21">
        <f t="shared" si="34"/>
        <v>0</v>
      </c>
      <c r="J76" s="27">
        <f t="shared" si="35"/>
        <v>0</v>
      </c>
      <c r="K76" s="21">
        <f t="shared" si="36"/>
        <v>0</v>
      </c>
      <c r="L76" s="21">
        <f t="shared" si="37"/>
        <v>0</v>
      </c>
      <c r="M76" s="21">
        <f t="shared" si="44"/>
        <v>0</v>
      </c>
      <c r="N76" s="21">
        <f t="shared" si="38"/>
        <v>0</v>
      </c>
      <c r="O76" s="21">
        <f t="shared" si="39"/>
        <v>0</v>
      </c>
      <c r="P76" s="21">
        <f t="shared" si="40"/>
        <v>0</v>
      </c>
      <c r="Q76" s="16">
        <f t="shared" si="41"/>
        <v>0</v>
      </c>
    </row>
    <row r="77" spans="1:17" x14ac:dyDescent="0.3">
      <c r="A77" s="16">
        <v>13</v>
      </c>
      <c r="B77" s="16">
        <f t="shared" si="29"/>
        <v>2038</v>
      </c>
      <c r="C77" s="16">
        <f t="shared" si="30"/>
        <v>12</v>
      </c>
      <c r="D77" s="21">
        <f t="shared" si="31"/>
        <v>0</v>
      </c>
      <c r="E77" s="27">
        <f t="shared" si="32"/>
        <v>0</v>
      </c>
      <c r="F77" s="27">
        <f t="shared" si="33"/>
        <v>2.0121964718355518</v>
      </c>
      <c r="G77" s="21">
        <f t="shared" si="42"/>
        <v>0</v>
      </c>
      <c r="H77" s="27">
        <f t="shared" si="43"/>
        <v>0</v>
      </c>
      <c r="I77" s="21">
        <f t="shared" si="34"/>
        <v>0</v>
      </c>
      <c r="J77" s="27">
        <f t="shared" si="35"/>
        <v>0</v>
      </c>
      <c r="K77" s="21">
        <f t="shared" si="36"/>
        <v>0</v>
      </c>
      <c r="L77" s="21">
        <f t="shared" si="37"/>
        <v>0</v>
      </c>
      <c r="M77" s="21">
        <f t="shared" si="44"/>
        <v>0</v>
      </c>
      <c r="N77" s="21">
        <f t="shared" si="38"/>
        <v>0</v>
      </c>
      <c r="O77" s="21">
        <f t="shared" si="39"/>
        <v>0</v>
      </c>
      <c r="P77" s="21">
        <f t="shared" si="40"/>
        <v>0</v>
      </c>
      <c r="Q77" s="16">
        <f t="shared" si="41"/>
        <v>0</v>
      </c>
    </row>
    <row r="78" spans="1:17" x14ac:dyDescent="0.3">
      <c r="A78" s="16">
        <v>14</v>
      </c>
      <c r="B78" s="16">
        <f t="shared" si="29"/>
        <v>2039</v>
      </c>
      <c r="C78" s="16">
        <f t="shared" si="30"/>
        <v>13</v>
      </c>
      <c r="D78" s="21">
        <f t="shared" si="31"/>
        <v>0</v>
      </c>
      <c r="E78" s="27">
        <f t="shared" si="32"/>
        <v>0</v>
      </c>
      <c r="F78" s="27">
        <f t="shared" si="33"/>
        <v>2.1329282601456852</v>
      </c>
      <c r="G78" s="21">
        <f t="shared" si="42"/>
        <v>0</v>
      </c>
      <c r="H78" s="27">
        <f t="shared" si="43"/>
        <v>0</v>
      </c>
      <c r="I78" s="21">
        <f t="shared" si="34"/>
        <v>0</v>
      </c>
      <c r="J78" s="27">
        <f t="shared" si="35"/>
        <v>0</v>
      </c>
      <c r="K78" s="21">
        <f t="shared" si="36"/>
        <v>0</v>
      </c>
      <c r="L78" s="21">
        <f t="shared" si="37"/>
        <v>0</v>
      </c>
      <c r="M78" s="21">
        <f t="shared" si="44"/>
        <v>0</v>
      </c>
      <c r="N78" s="21">
        <f t="shared" si="38"/>
        <v>0</v>
      </c>
      <c r="O78" s="21">
        <f t="shared" si="39"/>
        <v>0</v>
      </c>
      <c r="P78" s="21">
        <f t="shared" si="40"/>
        <v>0</v>
      </c>
      <c r="Q78" s="16">
        <f t="shared" si="41"/>
        <v>0</v>
      </c>
    </row>
    <row r="79" spans="1:17" x14ac:dyDescent="0.3">
      <c r="A79" s="16">
        <v>15</v>
      </c>
      <c r="B79" s="16">
        <f t="shared" si="29"/>
        <v>2040</v>
      </c>
      <c r="C79" s="16">
        <f t="shared" si="30"/>
        <v>14</v>
      </c>
      <c r="D79" s="21">
        <f t="shared" si="31"/>
        <v>0</v>
      </c>
      <c r="E79" s="27">
        <f t="shared" si="32"/>
        <v>0</v>
      </c>
      <c r="F79" s="27">
        <f t="shared" si="33"/>
        <v>2.2609039557544262</v>
      </c>
      <c r="G79" s="21">
        <f t="shared" si="42"/>
        <v>0</v>
      </c>
      <c r="H79" s="27">
        <f t="shared" si="43"/>
        <v>0</v>
      </c>
      <c r="I79" s="21">
        <f t="shared" si="34"/>
        <v>0</v>
      </c>
      <c r="J79" s="27">
        <f t="shared" si="35"/>
        <v>0</v>
      </c>
      <c r="K79" s="21">
        <f t="shared" si="36"/>
        <v>0</v>
      </c>
      <c r="L79" s="21">
        <f t="shared" si="37"/>
        <v>0</v>
      </c>
      <c r="M79" s="21">
        <f t="shared" si="44"/>
        <v>0</v>
      </c>
      <c r="N79" s="21">
        <f t="shared" si="38"/>
        <v>0</v>
      </c>
      <c r="O79" s="21">
        <f t="shared" si="39"/>
        <v>0</v>
      </c>
      <c r="P79" s="21">
        <f t="shared" si="40"/>
        <v>0</v>
      </c>
      <c r="Q79" s="16">
        <f t="shared" si="41"/>
        <v>0</v>
      </c>
    </row>
    <row r="80" spans="1:17" x14ac:dyDescent="0.3">
      <c r="A80" s="16">
        <v>16</v>
      </c>
      <c r="B80" s="16">
        <f t="shared" si="29"/>
        <v>2041</v>
      </c>
      <c r="C80" s="16">
        <f t="shared" si="30"/>
        <v>15</v>
      </c>
      <c r="D80" s="21">
        <f t="shared" si="31"/>
        <v>0</v>
      </c>
      <c r="E80" s="27">
        <f t="shared" si="32"/>
        <v>0</v>
      </c>
      <c r="F80" s="27">
        <f t="shared" si="33"/>
        <v>2.3965581930996924</v>
      </c>
      <c r="G80" s="21">
        <f t="shared" si="42"/>
        <v>0</v>
      </c>
      <c r="H80" s="27">
        <f t="shared" si="43"/>
        <v>0</v>
      </c>
      <c r="I80" s="21">
        <f t="shared" si="34"/>
        <v>0</v>
      </c>
      <c r="J80" s="27">
        <f t="shared" si="35"/>
        <v>0</v>
      </c>
      <c r="K80" s="21">
        <f t="shared" si="36"/>
        <v>0</v>
      </c>
      <c r="L80" s="21">
        <f t="shared" si="37"/>
        <v>0</v>
      </c>
      <c r="M80" s="21">
        <f t="shared" si="44"/>
        <v>0</v>
      </c>
      <c r="N80" s="21">
        <f t="shared" si="38"/>
        <v>0</v>
      </c>
      <c r="O80" s="21">
        <f t="shared" si="39"/>
        <v>0</v>
      </c>
      <c r="P80" s="21">
        <f t="shared" si="40"/>
        <v>0</v>
      </c>
      <c r="Q80" s="16">
        <f t="shared" si="41"/>
        <v>0</v>
      </c>
    </row>
    <row r="81" spans="1:17" x14ac:dyDescent="0.3">
      <c r="A81" s="16">
        <v>17</v>
      </c>
      <c r="B81" s="16">
        <f t="shared" si="29"/>
        <v>2042</v>
      </c>
      <c r="C81" s="16">
        <f t="shared" si="30"/>
        <v>16</v>
      </c>
      <c r="D81" s="21">
        <f t="shared" si="31"/>
        <v>0</v>
      </c>
      <c r="E81" s="27">
        <f t="shared" si="32"/>
        <v>0</v>
      </c>
      <c r="F81" s="27">
        <f t="shared" si="33"/>
        <v>2.5403516846856733</v>
      </c>
      <c r="G81" s="21">
        <f t="shared" si="42"/>
        <v>0</v>
      </c>
      <c r="H81" s="27">
        <f t="shared" si="43"/>
        <v>0</v>
      </c>
      <c r="I81" s="21">
        <f t="shared" si="34"/>
        <v>0</v>
      </c>
      <c r="J81" s="27">
        <f t="shared" si="35"/>
        <v>0</v>
      </c>
      <c r="K81" s="21">
        <f t="shared" si="36"/>
        <v>0</v>
      </c>
      <c r="L81" s="21">
        <f t="shared" si="37"/>
        <v>0</v>
      </c>
      <c r="M81" s="21">
        <f t="shared" si="44"/>
        <v>0</v>
      </c>
      <c r="N81" s="21">
        <f t="shared" si="38"/>
        <v>0</v>
      </c>
      <c r="O81" s="21">
        <f t="shared" si="39"/>
        <v>0</v>
      </c>
      <c r="P81" s="21">
        <f t="shared" si="40"/>
        <v>0</v>
      </c>
      <c r="Q81" s="16">
        <f t="shared" si="41"/>
        <v>0</v>
      </c>
    </row>
    <row r="82" spans="1:17" x14ac:dyDescent="0.3">
      <c r="A82" s="16">
        <v>18</v>
      </c>
      <c r="B82" s="16">
        <f t="shared" si="29"/>
        <v>2043</v>
      </c>
      <c r="C82" s="16">
        <f t="shared" si="30"/>
        <v>17</v>
      </c>
      <c r="D82" s="21">
        <f t="shared" si="31"/>
        <v>0</v>
      </c>
      <c r="E82" s="27">
        <f t="shared" si="32"/>
        <v>0</v>
      </c>
      <c r="F82" s="27">
        <f t="shared" si="33"/>
        <v>2.692772785766814</v>
      </c>
      <c r="G82" s="21">
        <f t="shared" si="42"/>
        <v>0</v>
      </c>
      <c r="H82" s="27">
        <f t="shared" si="43"/>
        <v>0</v>
      </c>
      <c r="I82" s="21">
        <f t="shared" si="34"/>
        <v>0</v>
      </c>
      <c r="J82" s="27">
        <f t="shared" si="35"/>
        <v>0</v>
      </c>
      <c r="K82" s="21">
        <f t="shared" si="36"/>
        <v>0</v>
      </c>
      <c r="L82" s="21">
        <f t="shared" si="37"/>
        <v>0</v>
      </c>
      <c r="M82" s="21">
        <f t="shared" si="44"/>
        <v>0</v>
      </c>
      <c r="N82" s="21">
        <f t="shared" si="38"/>
        <v>0</v>
      </c>
      <c r="O82" s="21">
        <f t="shared" si="39"/>
        <v>0</v>
      </c>
      <c r="P82" s="21">
        <f t="shared" si="40"/>
        <v>0</v>
      </c>
      <c r="Q82" s="16">
        <f t="shared" si="41"/>
        <v>0</v>
      </c>
    </row>
    <row r="83" spans="1:17" x14ac:dyDescent="0.3">
      <c r="A83" s="16">
        <v>19</v>
      </c>
      <c r="B83" s="16">
        <f t="shared" si="29"/>
        <v>2044</v>
      </c>
      <c r="C83" s="16">
        <f t="shared" si="30"/>
        <v>18</v>
      </c>
      <c r="D83" s="21">
        <f t="shared" si="31"/>
        <v>0</v>
      </c>
      <c r="E83" s="27">
        <f t="shared" si="32"/>
        <v>0</v>
      </c>
      <c r="F83" s="27">
        <f t="shared" si="33"/>
        <v>2.8543391529128228</v>
      </c>
      <c r="G83" s="21">
        <f t="shared" si="42"/>
        <v>0</v>
      </c>
      <c r="H83" s="27">
        <f t="shared" si="43"/>
        <v>0</v>
      </c>
      <c r="I83" s="21">
        <f t="shared" si="34"/>
        <v>0</v>
      </c>
      <c r="J83" s="27">
        <f t="shared" si="35"/>
        <v>0</v>
      </c>
      <c r="K83" s="21">
        <f t="shared" si="36"/>
        <v>0</v>
      </c>
      <c r="L83" s="21">
        <f t="shared" si="37"/>
        <v>0</v>
      </c>
      <c r="M83" s="21">
        <f t="shared" si="44"/>
        <v>0</v>
      </c>
      <c r="N83" s="21">
        <f t="shared" si="38"/>
        <v>0</v>
      </c>
      <c r="O83" s="21">
        <f t="shared" si="39"/>
        <v>0</v>
      </c>
      <c r="P83" s="21">
        <f t="shared" si="40"/>
        <v>0</v>
      </c>
      <c r="Q83" s="16">
        <f t="shared" si="41"/>
        <v>0</v>
      </c>
    </row>
    <row r="84" spans="1:17" x14ac:dyDescent="0.3">
      <c r="A84" s="16">
        <v>20</v>
      </c>
      <c r="B84" s="16">
        <f t="shared" si="29"/>
        <v>2045</v>
      </c>
      <c r="C84" s="16">
        <f t="shared" si="30"/>
        <v>19</v>
      </c>
      <c r="D84" s="21">
        <f t="shared" si="31"/>
        <v>0</v>
      </c>
      <c r="E84" s="27">
        <f t="shared" si="32"/>
        <v>0</v>
      </c>
      <c r="F84" s="27">
        <f t="shared" si="33"/>
        <v>3.0255995020875925</v>
      </c>
      <c r="G84" s="21">
        <f t="shared" si="42"/>
        <v>0</v>
      </c>
      <c r="H84" s="27">
        <f t="shared" si="43"/>
        <v>0</v>
      </c>
      <c r="I84" s="21">
        <f t="shared" si="34"/>
        <v>0</v>
      </c>
      <c r="J84" s="27">
        <f t="shared" si="35"/>
        <v>0</v>
      </c>
      <c r="K84" s="21">
        <f t="shared" si="36"/>
        <v>0</v>
      </c>
      <c r="L84" s="21">
        <f t="shared" si="37"/>
        <v>0</v>
      </c>
      <c r="M84" s="21">
        <f t="shared" si="44"/>
        <v>0</v>
      </c>
      <c r="N84" s="21">
        <f t="shared" si="38"/>
        <v>0</v>
      </c>
      <c r="O84" s="21">
        <f t="shared" si="39"/>
        <v>0</v>
      </c>
      <c r="P84" s="21">
        <f t="shared" si="40"/>
        <v>0</v>
      </c>
      <c r="Q84" s="16">
        <f t="shared" si="41"/>
        <v>0</v>
      </c>
    </row>
    <row r="85" spans="1:17" x14ac:dyDescent="0.3">
      <c r="A85" s="16">
        <v>21</v>
      </c>
      <c r="B85" s="16">
        <f t="shared" si="29"/>
        <v>2046</v>
      </c>
      <c r="C85" s="16">
        <f t="shared" si="30"/>
        <v>20</v>
      </c>
      <c r="D85" s="21">
        <f t="shared" si="31"/>
        <v>0</v>
      </c>
      <c r="E85" s="27">
        <f t="shared" si="32"/>
        <v>0</v>
      </c>
      <c r="F85" s="27">
        <f t="shared" si="33"/>
        <v>3.207135472212848</v>
      </c>
      <c r="G85" s="21">
        <f t="shared" si="42"/>
        <v>0</v>
      </c>
      <c r="H85" s="27">
        <f t="shared" si="43"/>
        <v>0</v>
      </c>
      <c r="I85" s="21">
        <f t="shared" si="34"/>
        <v>0</v>
      </c>
      <c r="J85" s="27">
        <f t="shared" si="35"/>
        <v>0</v>
      </c>
      <c r="K85" s="21">
        <f t="shared" si="36"/>
        <v>0</v>
      </c>
      <c r="L85" s="21">
        <f t="shared" si="37"/>
        <v>0</v>
      </c>
      <c r="M85" s="21">
        <f t="shared" si="44"/>
        <v>0</v>
      </c>
      <c r="N85" s="21">
        <f t="shared" si="38"/>
        <v>0</v>
      </c>
      <c r="O85" s="21">
        <f t="shared" si="39"/>
        <v>0</v>
      </c>
      <c r="P85" s="21">
        <f t="shared" si="40"/>
        <v>0</v>
      </c>
      <c r="Q85" s="16">
        <f t="shared" si="41"/>
        <v>0</v>
      </c>
    </row>
    <row r="86" spans="1:17" x14ac:dyDescent="0.3">
      <c r="A86" s="16">
        <v>22</v>
      </c>
      <c r="B86" s="16">
        <f t="shared" si="29"/>
        <v>2047</v>
      </c>
      <c r="C86" s="16">
        <f t="shared" si="30"/>
        <v>21</v>
      </c>
      <c r="D86" s="21">
        <f t="shared" si="31"/>
        <v>0</v>
      </c>
      <c r="E86" s="27">
        <f t="shared" si="32"/>
        <v>0</v>
      </c>
      <c r="F86" s="27">
        <f t="shared" si="33"/>
        <v>3.3995636005456196</v>
      </c>
      <c r="G86" s="21">
        <f t="shared" si="42"/>
        <v>0</v>
      </c>
      <c r="H86" s="27">
        <f t="shared" si="43"/>
        <v>0</v>
      </c>
      <c r="I86" s="21">
        <f t="shared" si="34"/>
        <v>0</v>
      </c>
      <c r="J86" s="27">
        <f t="shared" si="35"/>
        <v>0</v>
      </c>
      <c r="K86" s="21">
        <f t="shared" si="36"/>
        <v>0</v>
      </c>
      <c r="L86" s="21">
        <f t="shared" si="37"/>
        <v>0</v>
      </c>
      <c r="M86" s="21">
        <f t="shared" si="44"/>
        <v>0</v>
      </c>
      <c r="N86" s="21">
        <f t="shared" si="38"/>
        <v>0</v>
      </c>
      <c r="O86" s="21">
        <f t="shared" si="39"/>
        <v>0</v>
      </c>
      <c r="P86" s="21">
        <f t="shared" si="40"/>
        <v>0</v>
      </c>
      <c r="Q86" s="16">
        <f t="shared" si="41"/>
        <v>0</v>
      </c>
    </row>
    <row r="87" spans="1:17" x14ac:dyDescent="0.3">
      <c r="A87" s="16">
        <v>23</v>
      </c>
      <c r="B87" s="16">
        <f t="shared" si="29"/>
        <v>2048</v>
      </c>
      <c r="C87" s="16">
        <f t="shared" si="30"/>
        <v>22</v>
      </c>
      <c r="D87" s="21">
        <f t="shared" si="31"/>
        <v>0</v>
      </c>
      <c r="E87" s="27">
        <f t="shared" si="32"/>
        <v>0</v>
      </c>
      <c r="F87" s="27">
        <f t="shared" si="33"/>
        <v>3.6035374165783569</v>
      </c>
      <c r="G87" s="21">
        <f t="shared" si="42"/>
        <v>0</v>
      </c>
      <c r="H87" s="27">
        <f t="shared" si="43"/>
        <v>0</v>
      </c>
      <c r="I87" s="21">
        <f t="shared" si="34"/>
        <v>0</v>
      </c>
      <c r="J87" s="27">
        <f t="shared" si="35"/>
        <v>0</v>
      </c>
      <c r="K87" s="21">
        <f t="shared" si="36"/>
        <v>0</v>
      </c>
      <c r="L87" s="21">
        <f t="shared" si="37"/>
        <v>0</v>
      </c>
      <c r="M87" s="21">
        <f t="shared" si="44"/>
        <v>0</v>
      </c>
      <c r="N87" s="21">
        <f t="shared" si="38"/>
        <v>0</v>
      </c>
      <c r="O87" s="21">
        <f t="shared" si="39"/>
        <v>0</v>
      </c>
      <c r="P87" s="21">
        <f t="shared" si="40"/>
        <v>0</v>
      </c>
      <c r="Q87" s="16">
        <f t="shared" si="41"/>
        <v>0</v>
      </c>
    </row>
    <row r="88" spans="1:17" x14ac:dyDescent="0.3">
      <c r="A88" s="16">
        <v>24</v>
      </c>
      <c r="B88" s="16">
        <f t="shared" si="29"/>
        <v>2049</v>
      </c>
      <c r="C88" s="16">
        <f t="shared" si="30"/>
        <v>23</v>
      </c>
      <c r="D88" s="21">
        <f t="shared" si="31"/>
        <v>0</v>
      </c>
      <c r="E88" s="27">
        <f t="shared" si="32"/>
        <v>0</v>
      </c>
      <c r="F88" s="27">
        <f t="shared" si="33"/>
        <v>3.8197496615730588</v>
      </c>
      <c r="G88" s="21">
        <f t="shared" si="42"/>
        <v>0</v>
      </c>
      <c r="H88" s="27">
        <f t="shared" si="43"/>
        <v>0</v>
      </c>
      <c r="I88" s="21">
        <f t="shared" si="34"/>
        <v>0</v>
      </c>
      <c r="J88" s="27">
        <f t="shared" si="35"/>
        <v>0</v>
      </c>
      <c r="K88" s="21">
        <f t="shared" si="36"/>
        <v>0</v>
      </c>
      <c r="L88" s="21">
        <f t="shared" si="37"/>
        <v>0</v>
      </c>
      <c r="M88" s="21">
        <f t="shared" si="44"/>
        <v>0</v>
      </c>
      <c r="N88" s="21">
        <f t="shared" si="38"/>
        <v>0</v>
      </c>
      <c r="O88" s="21">
        <f t="shared" si="39"/>
        <v>0</v>
      </c>
      <c r="P88" s="21">
        <f t="shared" si="40"/>
        <v>0</v>
      </c>
      <c r="Q88" s="16">
        <f t="shared" si="41"/>
        <v>0</v>
      </c>
    </row>
    <row r="89" spans="1:17" x14ac:dyDescent="0.3">
      <c r="A89" s="16">
        <v>25</v>
      </c>
      <c r="B89" s="16">
        <f t="shared" si="29"/>
        <v>2050</v>
      </c>
      <c r="C89" s="16">
        <f t="shared" si="30"/>
        <v>24</v>
      </c>
      <c r="D89" s="21">
        <f t="shared" si="31"/>
        <v>0</v>
      </c>
      <c r="E89" s="27">
        <f t="shared" si="32"/>
        <v>0</v>
      </c>
      <c r="F89" s="27">
        <f t="shared" si="33"/>
        <v>4.0489346412674418</v>
      </c>
      <c r="G89" s="21">
        <f t="shared" si="42"/>
        <v>0</v>
      </c>
      <c r="H89" s="27">
        <f t="shared" si="43"/>
        <v>0</v>
      </c>
      <c r="I89" s="21">
        <f t="shared" si="34"/>
        <v>0</v>
      </c>
      <c r="J89" s="27">
        <f t="shared" si="35"/>
        <v>0</v>
      </c>
      <c r="K89" s="21">
        <f t="shared" si="36"/>
        <v>0</v>
      </c>
      <c r="L89" s="21">
        <f t="shared" si="37"/>
        <v>0</v>
      </c>
      <c r="M89" s="21">
        <f t="shared" si="44"/>
        <v>0</v>
      </c>
      <c r="N89" s="21">
        <f t="shared" si="38"/>
        <v>0</v>
      </c>
      <c r="O89" s="21">
        <f t="shared" si="39"/>
        <v>0</v>
      </c>
      <c r="P89" s="21">
        <f t="shared" si="40"/>
        <v>0</v>
      </c>
      <c r="Q89" s="16">
        <f t="shared" si="41"/>
        <v>0</v>
      </c>
    </row>
    <row r="90" spans="1:17" x14ac:dyDescent="0.3">
      <c r="A90" s="16">
        <v>26</v>
      </c>
      <c r="B90" s="16">
        <f t="shared" si="29"/>
        <v>2051</v>
      </c>
      <c r="C90" s="16">
        <f t="shared" si="30"/>
        <v>25</v>
      </c>
      <c r="D90" s="21">
        <f t="shared" si="31"/>
        <v>0</v>
      </c>
      <c r="E90" s="27">
        <f t="shared" si="32"/>
        <v>0</v>
      </c>
      <c r="F90" s="27">
        <f t="shared" si="33"/>
        <v>4.2918707197434882</v>
      </c>
      <c r="G90" s="21">
        <f t="shared" si="42"/>
        <v>0</v>
      </c>
      <c r="H90" s="27">
        <f t="shared" si="43"/>
        <v>0</v>
      </c>
      <c r="I90" s="21">
        <f t="shared" si="34"/>
        <v>0</v>
      </c>
      <c r="J90" s="27">
        <f t="shared" si="35"/>
        <v>0</v>
      </c>
      <c r="K90" s="21">
        <f t="shared" si="36"/>
        <v>0</v>
      </c>
      <c r="L90" s="21">
        <f t="shared" si="37"/>
        <v>0</v>
      </c>
      <c r="M90" s="21">
        <f t="shared" si="44"/>
        <v>0</v>
      </c>
      <c r="N90" s="21">
        <f t="shared" si="38"/>
        <v>0</v>
      </c>
      <c r="O90" s="21">
        <f t="shared" si="39"/>
        <v>0</v>
      </c>
      <c r="P90" s="21">
        <f t="shared" si="40"/>
        <v>0</v>
      </c>
      <c r="Q90" s="16">
        <f t="shared" si="41"/>
        <v>0</v>
      </c>
    </row>
    <row r="91" spans="1:17" x14ac:dyDescent="0.3">
      <c r="A91" s="16">
        <v>27</v>
      </c>
      <c r="B91" s="16">
        <f t="shared" si="29"/>
        <v>2052</v>
      </c>
      <c r="C91" s="16">
        <f t="shared" si="30"/>
        <v>26</v>
      </c>
      <c r="D91" s="21">
        <f t="shared" si="31"/>
        <v>0</v>
      </c>
      <c r="E91" s="27">
        <f t="shared" si="32"/>
        <v>0</v>
      </c>
      <c r="F91" s="27">
        <f t="shared" si="33"/>
        <v>4.5493829629280977</v>
      </c>
      <c r="G91" s="21">
        <f t="shared" si="42"/>
        <v>0</v>
      </c>
      <c r="H91" s="27">
        <f t="shared" si="43"/>
        <v>0</v>
      </c>
      <c r="I91" s="21">
        <f t="shared" si="34"/>
        <v>0</v>
      </c>
      <c r="J91" s="27">
        <f t="shared" si="35"/>
        <v>0</v>
      </c>
      <c r="K91" s="21">
        <f t="shared" si="36"/>
        <v>0</v>
      </c>
      <c r="L91" s="21">
        <f t="shared" si="37"/>
        <v>0</v>
      </c>
      <c r="M91" s="21">
        <f t="shared" si="44"/>
        <v>0</v>
      </c>
      <c r="N91" s="21">
        <f t="shared" si="38"/>
        <v>0</v>
      </c>
      <c r="O91" s="21">
        <f t="shared" si="39"/>
        <v>0</v>
      </c>
      <c r="P91" s="21">
        <f t="shared" si="40"/>
        <v>0</v>
      </c>
      <c r="Q91" s="16">
        <f t="shared" si="41"/>
        <v>0</v>
      </c>
    </row>
    <row r="92" spans="1:17" x14ac:dyDescent="0.3">
      <c r="A92" s="16">
        <v>28</v>
      </c>
      <c r="B92" s="16">
        <f t="shared" si="29"/>
        <v>2053</v>
      </c>
      <c r="C92" s="16">
        <f t="shared" si="30"/>
        <v>27</v>
      </c>
      <c r="D92" s="21">
        <f t="shared" si="31"/>
        <v>0</v>
      </c>
      <c r="E92" s="27">
        <f t="shared" si="32"/>
        <v>0</v>
      </c>
      <c r="F92" s="27">
        <f t="shared" si="33"/>
        <v>4.8223459407037845</v>
      </c>
      <c r="G92" s="21">
        <f t="shared" si="42"/>
        <v>0</v>
      </c>
      <c r="H92" s="27">
        <f t="shared" si="43"/>
        <v>0</v>
      </c>
      <c r="I92" s="21">
        <f t="shared" si="34"/>
        <v>0</v>
      </c>
      <c r="J92" s="27">
        <f t="shared" si="35"/>
        <v>0</v>
      </c>
      <c r="K92" s="21">
        <f t="shared" si="36"/>
        <v>0</v>
      </c>
      <c r="L92" s="21">
        <f t="shared" si="37"/>
        <v>0</v>
      </c>
      <c r="M92" s="21">
        <f t="shared" si="44"/>
        <v>0</v>
      </c>
      <c r="N92" s="21">
        <f t="shared" si="38"/>
        <v>0</v>
      </c>
      <c r="O92" s="21">
        <f t="shared" si="39"/>
        <v>0</v>
      </c>
      <c r="P92" s="21">
        <f t="shared" si="40"/>
        <v>0</v>
      </c>
      <c r="Q92" s="16">
        <f t="shared" si="41"/>
        <v>0</v>
      </c>
    </row>
    <row r="93" spans="1:17" x14ac:dyDescent="0.3">
      <c r="A93" s="16">
        <v>29</v>
      </c>
      <c r="B93" s="16">
        <f t="shared" si="29"/>
        <v>2054</v>
      </c>
      <c r="C93" s="16">
        <f t="shared" si="30"/>
        <v>28</v>
      </c>
      <c r="D93" s="21">
        <f t="shared" si="31"/>
        <v>0</v>
      </c>
      <c r="E93" s="27">
        <f t="shared" si="32"/>
        <v>0</v>
      </c>
      <c r="F93" s="27">
        <f t="shared" si="33"/>
        <v>5.1116866971460118</v>
      </c>
      <c r="G93" s="21">
        <f t="shared" si="42"/>
        <v>0</v>
      </c>
      <c r="H93" s="27">
        <f t="shared" si="43"/>
        <v>0</v>
      </c>
      <c r="I93" s="21">
        <f t="shared" si="34"/>
        <v>0</v>
      </c>
      <c r="J93" s="27">
        <f t="shared" si="35"/>
        <v>0</v>
      </c>
      <c r="K93" s="21">
        <f t="shared" si="36"/>
        <v>0</v>
      </c>
      <c r="L93" s="21">
        <f t="shared" si="37"/>
        <v>0</v>
      </c>
      <c r="M93" s="21">
        <f t="shared" si="44"/>
        <v>0</v>
      </c>
      <c r="N93" s="21">
        <f t="shared" si="38"/>
        <v>0</v>
      </c>
      <c r="O93" s="21">
        <f t="shared" si="39"/>
        <v>0</v>
      </c>
      <c r="P93" s="21">
        <f t="shared" si="40"/>
        <v>0</v>
      </c>
      <c r="Q93" s="16">
        <f t="shared" si="41"/>
        <v>0</v>
      </c>
    </row>
    <row r="94" spans="1:17" x14ac:dyDescent="0.3">
      <c r="A94" s="16">
        <v>30</v>
      </c>
      <c r="B94" s="16">
        <f t="shared" si="29"/>
        <v>2055</v>
      </c>
      <c r="C94" s="16">
        <f t="shared" si="30"/>
        <v>29</v>
      </c>
      <c r="D94" s="21">
        <f t="shared" si="31"/>
        <v>0</v>
      </c>
      <c r="E94" s="27">
        <f t="shared" si="32"/>
        <v>0</v>
      </c>
      <c r="F94" s="27">
        <f t="shared" si="33"/>
        <v>5.4183878989747729</v>
      </c>
      <c r="G94" s="21">
        <f t="shared" si="42"/>
        <v>0</v>
      </c>
      <c r="H94" s="27">
        <f t="shared" si="43"/>
        <v>0</v>
      </c>
      <c r="I94" s="21">
        <f t="shared" si="34"/>
        <v>0</v>
      </c>
      <c r="J94" s="27">
        <f t="shared" si="35"/>
        <v>0</v>
      </c>
      <c r="K94" s="21">
        <f t="shared" si="36"/>
        <v>0</v>
      </c>
      <c r="L94" s="21">
        <f t="shared" si="37"/>
        <v>0</v>
      </c>
      <c r="M94" s="21">
        <f t="shared" si="44"/>
        <v>0</v>
      </c>
      <c r="N94" s="21">
        <f t="shared" si="38"/>
        <v>0</v>
      </c>
      <c r="O94" s="21">
        <f t="shared" si="39"/>
        <v>0</v>
      </c>
      <c r="P94" s="21">
        <f t="shared" si="40"/>
        <v>0</v>
      </c>
      <c r="Q94" s="16">
        <f t="shared" si="41"/>
        <v>0</v>
      </c>
    </row>
    <row r="95" spans="1:17" x14ac:dyDescent="0.3">
      <c r="A95" s="16">
        <v>31</v>
      </c>
      <c r="B95" s="16">
        <f t="shared" si="29"/>
        <v>2056</v>
      </c>
      <c r="C95" s="16">
        <f t="shared" si="30"/>
        <v>30</v>
      </c>
      <c r="D95" s="21">
        <f t="shared" si="31"/>
        <v>0</v>
      </c>
      <c r="E95" s="27">
        <f t="shared" si="32"/>
        <v>0</v>
      </c>
      <c r="F95" s="27">
        <f t="shared" si="33"/>
        <v>5.7434911729132594</v>
      </c>
      <c r="G95" s="21">
        <f t="shared" si="42"/>
        <v>0</v>
      </c>
      <c r="H95" s="27">
        <f t="shared" si="43"/>
        <v>0</v>
      </c>
      <c r="I95" s="21">
        <f t="shared" si="34"/>
        <v>0</v>
      </c>
      <c r="J95" s="27">
        <f t="shared" si="35"/>
        <v>0</v>
      </c>
      <c r="K95" s="21">
        <f t="shared" si="36"/>
        <v>0</v>
      </c>
      <c r="L95" s="21">
        <f t="shared" si="37"/>
        <v>0</v>
      </c>
      <c r="M95" s="21">
        <f t="shared" si="44"/>
        <v>0</v>
      </c>
      <c r="N95" s="21">
        <f t="shared" si="38"/>
        <v>0</v>
      </c>
      <c r="O95" s="21">
        <f t="shared" si="39"/>
        <v>0</v>
      </c>
      <c r="P95" s="21">
        <f t="shared" si="40"/>
        <v>0</v>
      </c>
      <c r="Q95" s="16">
        <f t="shared" si="41"/>
        <v>0</v>
      </c>
    </row>
    <row r="96" spans="1:17" x14ac:dyDescent="0.3">
      <c r="A96" s="16">
        <v>32</v>
      </c>
      <c r="B96" s="16">
        <f t="shared" si="29"/>
        <v>2057</v>
      </c>
      <c r="C96" s="16">
        <f t="shared" si="30"/>
        <v>31</v>
      </c>
      <c r="D96" s="21">
        <f t="shared" si="31"/>
        <v>0</v>
      </c>
      <c r="E96" s="27">
        <f t="shared" si="32"/>
        <v>0</v>
      </c>
      <c r="F96" s="27">
        <f t="shared" si="33"/>
        <v>6.0881006432880564</v>
      </c>
      <c r="G96" s="21">
        <f t="shared" si="42"/>
        <v>0</v>
      </c>
      <c r="H96" s="27">
        <f t="shared" si="43"/>
        <v>0</v>
      </c>
      <c r="I96" s="21">
        <f t="shared" si="34"/>
        <v>0</v>
      </c>
      <c r="J96" s="27">
        <f t="shared" si="35"/>
        <v>0</v>
      </c>
      <c r="K96" s="21">
        <f t="shared" si="36"/>
        <v>0</v>
      </c>
      <c r="L96" s="21">
        <f t="shared" si="37"/>
        <v>0</v>
      </c>
      <c r="M96" s="21">
        <f t="shared" si="44"/>
        <v>0</v>
      </c>
      <c r="N96" s="21">
        <f t="shared" si="38"/>
        <v>0</v>
      </c>
      <c r="O96" s="21">
        <f t="shared" si="39"/>
        <v>0</v>
      </c>
      <c r="P96" s="21">
        <f t="shared" si="40"/>
        <v>0</v>
      </c>
      <c r="Q96" s="16">
        <f t="shared" si="41"/>
        <v>0</v>
      </c>
    </row>
    <row r="97" spans="1:17" x14ac:dyDescent="0.3">
      <c r="A97" s="16">
        <v>33</v>
      </c>
      <c r="B97" s="16">
        <f t="shared" ref="B97:B128" si="45">PlanYear+A97-1</f>
        <v>2058</v>
      </c>
      <c r="C97" s="16">
        <f t="shared" ref="C97:C124" si="46">A97-1-$B$18</f>
        <v>32</v>
      </c>
      <c r="D97" s="21">
        <f t="shared" ref="D97:D128" si="47">IF(AND($B$22=1,C97&gt;=0,C97&lt;$B$19),INDEX($Z$46:$Z$55,C97+1),0)</f>
        <v>0</v>
      </c>
      <c r="E97" s="27">
        <f t="shared" ref="E97:E124" si="48">IF(AND($B$22=1,A97&lt;=$B$21),(1+SavInc)^(A97-1),0)</f>
        <v>0</v>
      </c>
      <c r="F97" s="27">
        <f t="shared" ref="F97:F124" si="49">(1+ReturnRate)^(A97-1)</f>
        <v>6.4533866818853385</v>
      </c>
      <c r="G97" s="21">
        <f t="shared" si="42"/>
        <v>0</v>
      </c>
      <c r="H97" s="27">
        <f t="shared" si="43"/>
        <v>0</v>
      </c>
      <c r="I97" s="21">
        <f t="shared" ref="I97:I124" si="50">G97*(1+ReturnRate)</f>
        <v>0</v>
      </c>
      <c r="J97" s="27">
        <f t="shared" ref="J97:J124" si="51">H97*(1+ReturnRate)+E97</f>
        <v>0</v>
      </c>
      <c r="K97" s="21">
        <f t="shared" ref="K97:K124" si="52">IF(AND(D97&gt;0,H97&lt;=0.000000000001,G97&lt;0),-G97/F97,0)</f>
        <v>0</v>
      </c>
      <c r="L97" s="21">
        <f t="shared" ref="L97:L124" si="53">IF(AND(D97&gt;0,H97&gt;0.000000000001),-(G97+$B$126*F97)/H97,0)</f>
        <v>0</v>
      </c>
      <c r="M97" s="21">
        <f t="shared" si="44"/>
        <v>0</v>
      </c>
      <c r="N97" s="21">
        <f t="shared" ref="N97:N124" si="54">E97*$B$127</f>
        <v>0</v>
      </c>
      <c r="O97" s="21">
        <f t="shared" ref="O97:O124" si="55">IF(AND($B$22=1,A97&lt;=$B$20),(M97-D97)*ReturnRate,0)</f>
        <v>0</v>
      </c>
      <c r="P97" s="21">
        <f t="shared" ref="P97:P128" si="56">M97-D97+O97+N97</f>
        <v>0</v>
      </c>
      <c r="Q97" s="16">
        <f t="shared" ref="Q97:Q124" si="57">IF(AND($B$22=1,C97&gt;=0,C97&lt;$B$19),1,0)</f>
        <v>0</v>
      </c>
    </row>
    <row r="98" spans="1:17" x14ac:dyDescent="0.3">
      <c r="A98" s="16">
        <v>34</v>
      </c>
      <c r="B98" s="16">
        <f t="shared" si="45"/>
        <v>2059</v>
      </c>
      <c r="C98" s="16">
        <f t="shared" si="46"/>
        <v>33</v>
      </c>
      <c r="D98" s="21">
        <f t="shared" si="47"/>
        <v>0</v>
      </c>
      <c r="E98" s="27">
        <f t="shared" si="48"/>
        <v>0</v>
      </c>
      <c r="F98" s="27">
        <f t="shared" si="49"/>
        <v>6.8405898827984588</v>
      </c>
      <c r="G98" s="21">
        <f t="shared" ref="G98:G124" si="58">I97-D98</f>
        <v>0</v>
      </c>
      <c r="H98" s="27">
        <f t="shared" ref="H98:H124" si="59">J97</f>
        <v>0</v>
      </c>
      <c r="I98" s="21">
        <f t="shared" si="50"/>
        <v>0</v>
      </c>
      <c r="J98" s="27">
        <f t="shared" si="51"/>
        <v>0</v>
      </c>
      <c r="K98" s="21">
        <f t="shared" si="52"/>
        <v>0</v>
      </c>
      <c r="L98" s="21">
        <f t="shared" si="53"/>
        <v>0</v>
      </c>
      <c r="M98" s="21">
        <f t="shared" ref="M98:M124" si="60">P97</f>
        <v>0</v>
      </c>
      <c r="N98" s="21">
        <f t="shared" si="54"/>
        <v>0</v>
      </c>
      <c r="O98" s="21">
        <f t="shared" si="55"/>
        <v>0</v>
      </c>
      <c r="P98" s="21">
        <f t="shared" si="56"/>
        <v>0</v>
      </c>
      <c r="Q98" s="16">
        <f t="shared" si="57"/>
        <v>0</v>
      </c>
    </row>
    <row r="99" spans="1:17" x14ac:dyDescent="0.3">
      <c r="A99" s="16">
        <v>35</v>
      </c>
      <c r="B99" s="16">
        <f t="shared" si="45"/>
        <v>2060</v>
      </c>
      <c r="C99" s="16">
        <f t="shared" si="46"/>
        <v>34</v>
      </c>
      <c r="D99" s="21">
        <f t="shared" si="47"/>
        <v>0</v>
      </c>
      <c r="E99" s="27">
        <f t="shared" si="48"/>
        <v>0</v>
      </c>
      <c r="F99" s="27">
        <f t="shared" si="49"/>
        <v>7.2510252757663674</v>
      </c>
      <c r="G99" s="21">
        <f t="shared" si="58"/>
        <v>0</v>
      </c>
      <c r="H99" s="27">
        <f t="shared" si="59"/>
        <v>0</v>
      </c>
      <c r="I99" s="21">
        <f t="shared" si="50"/>
        <v>0</v>
      </c>
      <c r="J99" s="27">
        <f t="shared" si="51"/>
        <v>0</v>
      </c>
      <c r="K99" s="21">
        <f t="shared" si="52"/>
        <v>0</v>
      </c>
      <c r="L99" s="21">
        <f t="shared" si="53"/>
        <v>0</v>
      </c>
      <c r="M99" s="21">
        <f t="shared" si="60"/>
        <v>0</v>
      </c>
      <c r="N99" s="21">
        <f t="shared" si="54"/>
        <v>0</v>
      </c>
      <c r="O99" s="21">
        <f t="shared" si="55"/>
        <v>0</v>
      </c>
      <c r="P99" s="21">
        <f t="shared" si="56"/>
        <v>0</v>
      </c>
      <c r="Q99" s="16">
        <f t="shared" si="57"/>
        <v>0</v>
      </c>
    </row>
    <row r="100" spans="1:17" x14ac:dyDescent="0.3">
      <c r="A100" s="16">
        <v>36</v>
      </c>
      <c r="B100" s="16">
        <f t="shared" si="45"/>
        <v>2061</v>
      </c>
      <c r="C100" s="16">
        <f t="shared" si="46"/>
        <v>35</v>
      </c>
      <c r="D100" s="21">
        <f t="shared" si="47"/>
        <v>0</v>
      </c>
      <c r="E100" s="27">
        <f t="shared" si="48"/>
        <v>0</v>
      </c>
      <c r="F100" s="27">
        <f t="shared" si="49"/>
        <v>7.6860867923123504</v>
      </c>
      <c r="G100" s="21">
        <f t="shared" si="58"/>
        <v>0</v>
      </c>
      <c r="H100" s="27">
        <f t="shared" si="59"/>
        <v>0</v>
      </c>
      <c r="I100" s="21">
        <f t="shared" si="50"/>
        <v>0</v>
      </c>
      <c r="J100" s="27">
        <f t="shared" si="51"/>
        <v>0</v>
      </c>
      <c r="K100" s="21">
        <f t="shared" si="52"/>
        <v>0</v>
      </c>
      <c r="L100" s="21">
        <f t="shared" si="53"/>
        <v>0</v>
      </c>
      <c r="M100" s="21">
        <f t="shared" si="60"/>
        <v>0</v>
      </c>
      <c r="N100" s="21">
        <f t="shared" si="54"/>
        <v>0</v>
      </c>
      <c r="O100" s="21">
        <f t="shared" si="55"/>
        <v>0</v>
      </c>
      <c r="P100" s="21">
        <f t="shared" si="56"/>
        <v>0</v>
      </c>
      <c r="Q100" s="16">
        <f t="shared" si="57"/>
        <v>0</v>
      </c>
    </row>
    <row r="101" spans="1:17" x14ac:dyDescent="0.3">
      <c r="A101" s="16">
        <v>37</v>
      </c>
      <c r="B101" s="16">
        <f t="shared" si="45"/>
        <v>2062</v>
      </c>
      <c r="C101" s="16">
        <f t="shared" si="46"/>
        <v>36</v>
      </c>
      <c r="D101" s="21">
        <f t="shared" si="47"/>
        <v>0</v>
      </c>
      <c r="E101" s="27">
        <f t="shared" si="48"/>
        <v>0</v>
      </c>
      <c r="F101" s="27">
        <f t="shared" si="49"/>
        <v>8.1472519998510915</v>
      </c>
      <c r="G101" s="21">
        <f t="shared" si="58"/>
        <v>0</v>
      </c>
      <c r="H101" s="27">
        <f t="shared" si="59"/>
        <v>0</v>
      </c>
      <c r="I101" s="21">
        <f t="shared" si="50"/>
        <v>0</v>
      </c>
      <c r="J101" s="27">
        <f t="shared" si="51"/>
        <v>0</v>
      </c>
      <c r="K101" s="21">
        <f t="shared" si="52"/>
        <v>0</v>
      </c>
      <c r="L101" s="21">
        <f t="shared" si="53"/>
        <v>0</v>
      </c>
      <c r="M101" s="21">
        <f t="shared" si="60"/>
        <v>0</v>
      </c>
      <c r="N101" s="21">
        <f t="shared" si="54"/>
        <v>0</v>
      </c>
      <c r="O101" s="21">
        <f t="shared" si="55"/>
        <v>0</v>
      </c>
      <c r="P101" s="21">
        <f t="shared" si="56"/>
        <v>0</v>
      </c>
      <c r="Q101" s="16">
        <f t="shared" si="57"/>
        <v>0</v>
      </c>
    </row>
    <row r="102" spans="1:17" x14ac:dyDescent="0.3">
      <c r="A102" s="16">
        <v>38</v>
      </c>
      <c r="B102" s="16">
        <f t="shared" si="45"/>
        <v>2063</v>
      </c>
      <c r="C102" s="16">
        <f t="shared" si="46"/>
        <v>37</v>
      </c>
      <c r="D102" s="21">
        <f t="shared" si="47"/>
        <v>0</v>
      </c>
      <c r="E102" s="27">
        <f t="shared" si="48"/>
        <v>0</v>
      </c>
      <c r="F102" s="27">
        <f t="shared" si="49"/>
        <v>8.6360871198421574</v>
      </c>
      <c r="G102" s="21">
        <f t="shared" si="58"/>
        <v>0</v>
      </c>
      <c r="H102" s="27">
        <f t="shared" si="59"/>
        <v>0</v>
      </c>
      <c r="I102" s="21">
        <f t="shared" si="50"/>
        <v>0</v>
      </c>
      <c r="J102" s="27">
        <f t="shared" si="51"/>
        <v>0</v>
      </c>
      <c r="K102" s="21">
        <f t="shared" si="52"/>
        <v>0</v>
      </c>
      <c r="L102" s="21">
        <f t="shared" si="53"/>
        <v>0</v>
      </c>
      <c r="M102" s="21">
        <f t="shared" si="60"/>
        <v>0</v>
      </c>
      <c r="N102" s="21">
        <f t="shared" si="54"/>
        <v>0</v>
      </c>
      <c r="O102" s="21">
        <f t="shared" si="55"/>
        <v>0</v>
      </c>
      <c r="P102" s="21">
        <f t="shared" si="56"/>
        <v>0</v>
      </c>
      <c r="Q102" s="16">
        <f t="shared" si="57"/>
        <v>0</v>
      </c>
    </row>
    <row r="103" spans="1:17" x14ac:dyDescent="0.3">
      <c r="A103" s="16">
        <v>39</v>
      </c>
      <c r="B103" s="16">
        <f t="shared" si="45"/>
        <v>2064</v>
      </c>
      <c r="C103" s="16">
        <f t="shared" si="46"/>
        <v>38</v>
      </c>
      <c r="D103" s="21">
        <f t="shared" si="47"/>
        <v>0</v>
      </c>
      <c r="E103" s="27">
        <f t="shared" si="48"/>
        <v>0</v>
      </c>
      <c r="F103" s="27">
        <f t="shared" si="49"/>
        <v>9.1542523470326884</v>
      </c>
      <c r="G103" s="21">
        <f t="shared" si="58"/>
        <v>0</v>
      </c>
      <c r="H103" s="27">
        <f t="shared" si="59"/>
        <v>0</v>
      </c>
      <c r="I103" s="21">
        <f t="shared" si="50"/>
        <v>0</v>
      </c>
      <c r="J103" s="27">
        <f t="shared" si="51"/>
        <v>0</v>
      </c>
      <c r="K103" s="21">
        <f t="shared" si="52"/>
        <v>0</v>
      </c>
      <c r="L103" s="21">
        <f t="shared" si="53"/>
        <v>0</v>
      </c>
      <c r="M103" s="21">
        <f t="shared" si="60"/>
        <v>0</v>
      </c>
      <c r="N103" s="21">
        <f t="shared" si="54"/>
        <v>0</v>
      </c>
      <c r="O103" s="21">
        <f t="shared" si="55"/>
        <v>0</v>
      </c>
      <c r="P103" s="21">
        <f t="shared" si="56"/>
        <v>0</v>
      </c>
      <c r="Q103" s="16">
        <f t="shared" si="57"/>
        <v>0</v>
      </c>
    </row>
    <row r="104" spans="1:17" x14ac:dyDescent="0.3">
      <c r="A104" s="16">
        <v>40</v>
      </c>
      <c r="B104" s="16">
        <f t="shared" si="45"/>
        <v>2065</v>
      </c>
      <c r="C104" s="16">
        <f t="shared" si="46"/>
        <v>39</v>
      </c>
      <c r="D104" s="21">
        <f t="shared" si="47"/>
        <v>0</v>
      </c>
      <c r="E104" s="27">
        <f t="shared" si="48"/>
        <v>0</v>
      </c>
      <c r="F104" s="27">
        <f t="shared" si="49"/>
        <v>9.703507487854651</v>
      </c>
      <c r="G104" s="21">
        <f t="shared" si="58"/>
        <v>0</v>
      </c>
      <c r="H104" s="27">
        <f t="shared" si="59"/>
        <v>0</v>
      </c>
      <c r="I104" s="21">
        <f t="shared" si="50"/>
        <v>0</v>
      </c>
      <c r="J104" s="27">
        <f t="shared" si="51"/>
        <v>0</v>
      </c>
      <c r="K104" s="21">
        <f t="shared" si="52"/>
        <v>0</v>
      </c>
      <c r="L104" s="21">
        <f t="shared" si="53"/>
        <v>0</v>
      </c>
      <c r="M104" s="21">
        <f t="shared" si="60"/>
        <v>0</v>
      </c>
      <c r="N104" s="21">
        <f t="shared" si="54"/>
        <v>0</v>
      </c>
      <c r="O104" s="21">
        <f t="shared" si="55"/>
        <v>0</v>
      </c>
      <c r="P104" s="21">
        <f t="shared" si="56"/>
        <v>0</v>
      </c>
      <c r="Q104" s="16">
        <f t="shared" si="57"/>
        <v>0</v>
      </c>
    </row>
    <row r="105" spans="1:17" x14ac:dyDescent="0.3">
      <c r="A105" s="16">
        <v>41</v>
      </c>
      <c r="B105" s="16">
        <f t="shared" si="45"/>
        <v>2066</v>
      </c>
      <c r="C105" s="16">
        <f t="shared" si="46"/>
        <v>40</v>
      </c>
      <c r="D105" s="21">
        <f t="shared" si="47"/>
        <v>0</v>
      </c>
      <c r="E105" s="27">
        <f t="shared" si="48"/>
        <v>0</v>
      </c>
      <c r="F105" s="27">
        <f t="shared" si="49"/>
        <v>10.285717937125929</v>
      </c>
      <c r="G105" s="21">
        <f t="shared" si="58"/>
        <v>0</v>
      </c>
      <c r="H105" s="27">
        <f t="shared" si="59"/>
        <v>0</v>
      </c>
      <c r="I105" s="21">
        <f t="shared" si="50"/>
        <v>0</v>
      </c>
      <c r="J105" s="27">
        <f t="shared" si="51"/>
        <v>0</v>
      </c>
      <c r="K105" s="21">
        <f t="shared" si="52"/>
        <v>0</v>
      </c>
      <c r="L105" s="21">
        <f t="shared" si="53"/>
        <v>0</v>
      </c>
      <c r="M105" s="21">
        <f t="shared" si="60"/>
        <v>0</v>
      </c>
      <c r="N105" s="21">
        <f t="shared" si="54"/>
        <v>0</v>
      </c>
      <c r="O105" s="21">
        <f t="shared" si="55"/>
        <v>0</v>
      </c>
      <c r="P105" s="21">
        <f t="shared" si="56"/>
        <v>0</v>
      </c>
      <c r="Q105" s="16">
        <f t="shared" si="57"/>
        <v>0</v>
      </c>
    </row>
    <row r="106" spans="1:17" x14ac:dyDescent="0.3">
      <c r="A106" s="16">
        <v>42</v>
      </c>
      <c r="B106" s="16">
        <f t="shared" si="45"/>
        <v>2067</v>
      </c>
      <c r="C106" s="16">
        <f t="shared" si="46"/>
        <v>41</v>
      </c>
      <c r="D106" s="21">
        <f t="shared" si="47"/>
        <v>0</v>
      </c>
      <c r="E106" s="27">
        <f t="shared" si="48"/>
        <v>0</v>
      </c>
      <c r="F106" s="27">
        <f t="shared" si="49"/>
        <v>10.902861013353483</v>
      </c>
      <c r="G106" s="21">
        <f t="shared" si="58"/>
        <v>0</v>
      </c>
      <c r="H106" s="27">
        <f t="shared" si="59"/>
        <v>0</v>
      </c>
      <c r="I106" s="21">
        <f t="shared" si="50"/>
        <v>0</v>
      </c>
      <c r="J106" s="27">
        <f t="shared" si="51"/>
        <v>0</v>
      </c>
      <c r="K106" s="21">
        <f t="shared" si="52"/>
        <v>0</v>
      </c>
      <c r="L106" s="21">
        <f t="shared" si="53"/>
        <v>0</v>
      </c>
      <c r="M106" s="21">
        <f t="shared" si="60"/>
        <v>0</v>
      </c>
      <c r="N106" s="21">
        <f t="shared" si="54"/>
        <v>0</v>
      </c>
      <c r="O106" s="21">
        <f t="shared" si="55"/>
        <v>0</v>
      </c>
      <c r="P106" s="21">
        <f t="shared" si="56"/>
        <v>0</v>
      </c>
      <c r="Q106" s="16">
        <f t="shared" si="57"/>
        <v>0</v>
      </c>
    </row>
    <row r="107" spans="1:17" x14ac:dyDescent="0.3">
      <c r="A107" s="16">
        <v>43</v>
      </c>
      <c r="B107" s="16">
        <f t="shared" si="45"/>
        <v>2068</v>
      </c>
      <c r="C107" s="16">
        <f t="shared" si="46"/>
        <v>42</v>
      </c>
      <c r="D107" s="21">
        <f t="shared" si="47"/>
        <v>0</v>
      </c>
      <c r="E107" s="27">
        <f t="shared" si="48"/>
        <v>0</v>
      </c>
      <c r="F107" s="27">
        <f t="shared" si="49"/>
        <v>11.557032674154694</v>
      </c>
      <c r="G107" s="21">
        <f t="shared" si="58"/>
        <v>0</v>
      </c>
      <c r="H107" s="27">
        <f t="shared" si="59"/>
        <v>0</v>
      </c>
      <c r="I107" s="21">
        <f t="shared" si="50"/>
        <v>0</v>
      </c>
      <c r="J107" s="27">
        <f t="shared" si="51"/>
        <v>0</v>
      </c>
      <c r="K107" s="21">
        <f t="shared" si="52"/>
        <v>0</v>
      </c>
      <c r="L107" s="21">
        <f t="shared" si="53"/>
        <v>0</v>
      </c>
      <c r="M107" s="21">
        <f t="shared" si="60"/>
        <v>0</v>
      </c>
      <c r="N107" s="21">
        <f t="shared" si="54"/>
        <v>0</v>
      </c>
      <c r="O107" s="21">
        <f t="shared" si="55"/>
        <v>0</v>
      </c>
      <c r="P107" s="21">
        <f t="shared" si="56"/>
        <v>0</v>
      </c>
      <c r="Q107" s="16">
        <f t="shared" si="57"/>
        <v>0</v>
      </c>
    </row>
    <row r="108" spans="1:17" x14ac:dyDescent="0.3">
      <c r="A108" s="16">
        <v>44</v>
      </c>
      <c r="B108" s="16">
        <f t="shared" si="45"/>
        <v>2069</v>
      </c>
      <c r="C108" s="16">
        <f t="shared" si="46"/>
        <v>43</v>
      </c>
      <c r="D108" s="21">
        <f t="shared" si="47"/>
        <v>0</v>
      </c>
      <c r="E108" s="27">
        <f t="shared" si="48"/>
        <v>0</v>
      </c>
      <c r="F108" s="27">
        <f t="shared" si="49"/>
        <v>12.250454634603978</v>
      </c>
      <c r="G108" s="21">
        <f t="shared" si="58"/>
        <v>0</v>
      </c>
      <c r="H108" s="27">
        <f t="shared" si="59"/>
        <v>0</v>
      </c>
      <c r="I108" s="21">
        <f t="shared" si="50"/>
        <v>0</v>
      </c>
      <c r="J108" s="27">
        <f t="shared" si="51"/>
        <v>0</v>
      </c>
      <c r="K108" s="21">
        <f t="shared" si="52"/>
        <v>0</v>
      </c>
      <c r="L108" s="21">
        <f t="shared" si="53"/>
        <v>0</v>
      </c>
      <c r="M108" s="21">
        <f t="shared" si="60"/>
        <v>0</v>
      </c>
      <c r="N108" s="21">
        <f t="shared" si="54"/>
        <v>0</v>
      </c>
      <c r="O108" s="21">
        <f t="shared" si="55"/>
        <v>0</v>
      </c>
      <c r="P108" s="21">
        <f t="shared" si="56"/>
        <v>0</v>
      </c>
      <c r="Q108" s="16">
        <f t="shared" si="57"/>
        <v>0</v>
      </c>
    </row>
    <row r="109" spans="1:17" x14ac:dyDescent="0.3">
      <c r="A109" s="16">
        <v>45</v>
      </c>
      <c r="B109" s="16">
        <f t="shared" si="45"/>
        <v>2070</v>
      </c>
      <c r="C109" s="16">
        <f t="shared" si="46"/>
        <v>44</v>
      </c>
      <c r="D109" s="21">
        <f t="shared" si="47"/>
        <v>0</v>
      </c>
      <c r="E109" s="27">
        <f t="shared" si="48"/>
        <v>0</v>
      </c>
      <c r="F109" s="27">
        <f t="shared" si="49"/>
        <v>12.985481912680218</v>
      </c>
      <c r="G109" s="21">
        <f t="shared" si="58"/>
        <v>0</v>
      </c>
      <c r="H109" s="27">
        <f t="shared" si="59"/>
        <v>0</v>
      </c>
      <c r="I109" s="21">
        <f t="shared" si="50"/>
        <v>0</v>
      </c>
      <c r="J109" s="27">
        <f t="shared" si="51"/>
        <v>0</v>
      </c>
      <c r="K109" s="21">
        <f t="shared" si="52"/>
        <v>0</v>
      </c>
      <c r="L109" s="21">
        <f t="shared" si="53"/>
        <v>0</v>
      </c>
      <c r="M109" s="21">
        <f t="shared" si="60"/>
        <v>0</v>
      </c>
      <c r="N109" s="21">
        <f t="shared" si="54"/>
        <v>0</v>
      </c>
      <c r="O109" s="21">
        <f t="shared" si="55"/>
        <v>0</v>
      </c>
      <c r="P109" s="21">
        <f t="shared" si="56"/>
        <v>0</v>
      </c>
      <c r="Q109" s="16">
        <f t="shared" si="57"/>
        <v>0</v>
      </c>
    </row>
    <row r="110" spans="1:17" x14ac:dyDescent="0.3">
      <c r="A110" s="16">
        <v>46</v>
      </c>
      <c r="B110" s="16">
        <f t="shared" si="45"/>
        <v>2071</v>
      </c>
      <c r="C110" s="16">
        <f t="shared" si="46"/>
        <v>45</v>
      </c>
      <c r="D110" s="21">
        <f t="shared" si="47"/>
        <v>0</v>
      </c>
      <c r="E110" s="27">
        <f t="shared" si="48"/>
        <v>0</v>
      </c>
      <c r="F110" s="27">
        <f t="shared" si="49"/>
        <v>13.764610827441031</v>
      </c>
      <c r="G110" s="21">
        <f t="shared" si="58"/>
        <v>0</v>
      </c>
      <c r="H110" s="27">
        <f t="shared" si="59"/>
        <v>0</v>
      </c>
      <c r="I110" s="21">
        <f t="shared" si="50"/>
        <v>0</v>
      </c>
      <c r="J110" s="27">
        <f t="shared" si="51"/>
        <v>0</v>
      </c>
      <c r="K110" s="21">
        <f t="shared" si="52"/>
        <v>0</v>
      </c>
      <c r="L110" s="21">
        <f t="shared" si="53"/>
        <v>0</v>
      </c>
      <c r="M110" s="21">
        <f t="shared" si="60"/>
        <v>0</v>
      </c>
      <c r="N110" s="21">
        <f t="shared" si="54"/>
        <v>0</v>
      </c>
      <c r="O110" s="21">
        <f t="shared" si="55"/>
        <v>0</v>
      </c>
      <c r="P110" s="21">
        <f t="shared" si="56"/>
        <v>0</v>
      </c>
      <c r="Q110" s="16">
        <f t="shared" si="57"/>
        <v>0</v>
      </c>
    </row>
    <row r="111" spans="1:17" x14ac:dyDescent="0.3">
      <c r="A111" s="16">
        <v>47</v>
      </c>
      <c r="B111" s="16">
        <f t="shared" si="45"/>
        <v>2072</v>
      </c>
      <c r="C111" s="16">
        <f t="shared" si="46"/>
        <v>46</v>
      </c>
      <c r="D111" s="21">
        <f t="shared" si="47"/>
        <v>0</v>
      </c>
      <c r="E111" s="27">
        <f t="shared" si="48"/>
        <v>0</v>
      </c>
      <c r="F111" s="27">
        <f t="shared" si="49"/>
        <v>14.590487477087493</v>
      </c>
      <c r="G111" s="21">
        <f t="shared" si="58"/>
        <v>0</v>
      </c>
      <c r="H111" s="27">
        <f t="shared" si="59"/>
        <v>0</v>
      </c>
      <c r="I111" s="21">
        <f t="shared" si="50"/>
        <v>0</v>
      </c>
      <c r="J111" s="27">
        <f t="shared" si="51"/>
        <v>0</v>
      </c>
      <c r="K111" s="21">
        <f t="shared" si="52"/>
        <v>0</v>
      </c>
      <c r="L111" s="21">
        <f t="shared" si="53"/>
        <v>0</v>
      </c>
      <c r="M111" s="21">
        <f t="shared" si="60"/>
        <v>0</v>
      </c>
      <c r="N111" s="21">
        <f t="shared" si="54"/>
        <v>0</v>
      </c>
      <c r="O111" s="21">
        <f t="shared" si="55"/>
        <v>0</v>
      </c>
      <c r="P111" s="21">
        <f t="shared" si="56"/>
        <v>0</v>
      </c>
      <c r="Q111" s="16">
        <f t="shared" si="57"/>
        <v>0</v>
      </c>
    </row>
    <row r="112" spans="1:17" x14ac:dyDescent="0.3">
      <c r="A112" s="16">
        <v>48</v>
      </c>
      <c r="B112" s="16">
        <f t="shared" si="45"/>
        <v>2073</v>
      </c>
      <c r="C112" s="16">
        <f t="shared" si="46"/>
        <v>47</v>
      </c>
      <c r="D112" s="21">
        <f t="shared" si="47"/>
        <v>0</v>
      </c>
      <c r="E112" s="27">
        <f t="shared" si="48"/>
        <v>0</v>
      </c>
      <c r="F112" s="27">
        <f t="shared" si="49"/>
        <v>15.465916725712747</v>
      </c>
      <c r="G112" s="21">
        <f t="shared" si="58"/>
        <v>0</v>
      </c>
      <c r="H112" s="27">
        <f t="shared" si="59"/>
        <v>0</v>
      </c>
      <c r="I112" s="21">
        <f t="shared" si="50"/>
        <v>0</v>
      </c>
      <c r="J112" s="27">
        <f t="shared" si="51"/>
        <v>0</v>
      </c>
      <c r="K112" s="21">
        <f t="shared" si="52"/>
        <v>0</v>
      </c>
      <c r="L112" s="21">
        <f t="shared" si="53"/>
        <v>0</v>
      </c>
      <c r="M112" s="21">
        <f t="shared" si="60"/>
        <v>0</v>
      </c>
      <c r="N112" s="21">
        <f t="shared" si="54"/>
        <v>0</v>
      </c>
      <c r="O112" s="21">
        <f t="shared" si="55"/>
        <v>0</v>
      </c>
      <c r="P112" s="21">
        <f t="shared" si="56"/>
        <v>0</v>
      </c>
      <c r="Q112" s="16">
        <f t="shared" si="57"/>
        <v>0</v>
      </c>
    </row>
    <row r="113" spans="1:17" x14ac:dyDescent="0.3">
      <c r="A113" s="16">
        <v>49</v>
      </c>
      <c r="B113" s="16">
        <f t="shared" si="45"/>
        <v>2074</v>
      </c>
      <c r="C113" s="16">
        <f t="shared" si="46"/>
        <v>48</v>
      </c>
      <c r="D113" s="21">
        <f t="shared" si="47"/>
        <v>0</v>
      </c>
      <c r="E113" s="27">
        <f t="shared" si="48"/>
        <v>0</v>
      </c>
      <c r="F113" s="27">
        <f t="shared" si="49"/>
        <v>16.393871729255508</v>
      </c>
      <c r="G113" s="21">
        <f t="shared" si="58"/>
        <v>0</v>
      </c>
      <c r="H113" s="27">
        <f t="shared" si="59"/>
        <v>0</v>
      </c>
      <c r="I113" s="21">
        <f t="shared" si="50"/>
        <v>0</v>
      </c>
      <c r="J113" s="27">
        <f t="shared" si="51"/>
        <v>0</v>
      </c>
      <c r="K113" s="21">
        <f t="shared" si="52"/>
        <v>0</v>
      </c>
      <c r="L113" s="21">
        <f t="shared" si="53"/>
        <v>0</v>
      </c>
      <c r="M113" s="21">
        <f t="shared" si="60"/>
        <v>0</v>
      </c>
      <c r="N113" s="21">
        <f t="shared" si="54"/>
        <v>0</v>
      </c>
      <c r="O113" s="21">
        <f t="shared" si="55"/>
        <v>0</v>
      </c>
      <c r="P113" s="21">
        <f t="shared" si="56"/>
        <v>0</v>
      </c>
      <c r="Q113" s="16">
        <f t="shared" si="57"/>
        <v>0</v>
      </c>
    </row>
    <row r="114" spans="1:17" x14ac:dyDescent="0.3">
      <c r="A114" s="16">
        <v>50</v>
      </c>
      <c r="B114" s="16">
        <f t="shared" si="45"/>
        <v>2075</v>
      </c>
      <c r="C114" s="16">
        <f t="shared" si="46"/>
        <v>49</v>
      </c>
      <c r="D114" s="21">
        <f t="shared" si="47"/>
        <v>0</v>
      </c>
      <c r="E114" s="27">
        <f t="shared" si="48"/>
        <v>0</v>
      </c>
      <c r="F114" s="27">
        <f t="shared" si="49"/>
        <v>17.37750403301084</v>
      </c>
      <c r="G114" s="21">
        <f t="shared" si="58"/>
        <v>0</v>
      </c>
      <c r="H114" s="27">
        <f t="shared" si="59"/>
        <v>0</v>
      </c>
      <c r="I114" s="21">
        <f t="shared" si="50"/>
        <v>0</v>
      </c>
      <c r="J114" s="27">
        <f t="shared" si="51"/>
        <v>0</v>
      </c>
      <c r="K114" s="21">
        <f t="shared" si="52"/>
        <v>0</v>
      </c>
      <c r="L114" s="21">
        <f t="shared" si="53"/>
        <v>0</v>
      </c>
      <c r="M114" s="21">
        <f t="shared" si="60"/>
        <v>0</v>
      </c>
      <c r="N114" s="21">
        <f t="shared" si="54"/>
        <v>0</v>
      </c>
      <c r="O114" s="21">
        <f t="shared" si="55"/>
        <v>0</v>
      </c>
      <c r="P114" s="21">
        <f t="shared" si="56"/>
        <v>0</v>
      </c>
      <c r="Q114" s="16">
        <f t="shared" si="57"/>
        <v>0</v>
      </c>
    </row>
    <row r="115" spans="1:17" x14ac:dyDescent="0.3">
      <c r="A115" s="16">
        <v>51</v>
      </c>
      <c r="B115" s="16">
        <f t="shared" si="45"/>
        <v>2076</v>
      </c>
      <c r="C115" s="16">
        <f t="shared" si="46"/>
        <v>50</v>
      </c>
      <c r="D115" s="21">
        <f t="shared" si="47"/>
        <v>0</v>
      </c>
      <c r="E115" s="27">
        <f t="shared" si="48"/>
        <v>0</v>
      </c>
      <c r="F115" s="27">
        <f t="shared" si="49"/>
        <v>18.420154274991489</v>
      </c>
      <c r="G115" s="21">
        <f t="shared" si="58"/>
        <v>0</v>
      </c>
      <c r="H115" s="27">
        <f t="shared" si="59"/>
        <v>0</v>
      </c>
      <c r="I115" s="21">
        <f t="shared" si="50"/>
        <v>0</v>
      </c>
      <c r="J115" s="27">
        <f t="shared" si="51"/>
        <v>0</v>
      </c>
      <c r="K115" s="21">
        <f t="shared" si="52"/>
        <v>0</v>
      </c>
      <c r="L115" s="21">
        <f t="shared" si="53"/>
        <v>0</v>
      </c>
      <c r="M115" s="21">
        <f t="shared" si="60"/>
        <v>0</v>
      </c>
      <c r="N115" s="21">
        <f t="shared" si="54"/>
        <v>0</v>
      </c>
      <c r="O115" s="21">
        <f t="shared" si="55"/>
        <v>0</v>
      </c>
      <c r="P115" s="21">
        <f t="shared" si="56"/>
        <v>0</v>
      </c>
      <c r="Q115" s="16">
        <f t="shared" si="57"/>
        <v>0</v>
      </c>
    </row>
    <row r="116" spans="1:17" x14ac:dyDescent="0.3">
      <c r="A116" s="16">
        <v>52</v>
      </c>
      <c r="B116" s="16">
        <f t="shared" si="45"/>
        <v>2077</v>
      </c>
      <c r="C116" s="16">
        <f t="shared" si="46"/>
        <v>51</v>
      </c>
      <c r="D116" s="21">
        <f t="shared" si="47"/>
        <v>0</v>
      </c>
      <c r="E116" s="27">
        <f t="shared" si="48"/>
        <v>0</v>
      </c>
      <c r="F116" s="27">
        <f t="shared" si="49"/>
        <v>19.525363531490981</v>
      </c>
      <c r="G116" s="21">
        <f t="shared" si="58"/>
        <v>0</v>
      </c>
      <c r="H116" s="27">
        <f t="shared" si="59"/>
        <v>0</v>
      </c>
      <c r="I116" s="21">
        <f t="shared" si="50"/>
        <v>0</v>
      </c>
      <c r="J116" s="27">
        <f t="shared" si="51"/>
        <v>0</v>
      </c>
      <c r="K116" s="21">
        <f t="shared" si="52"/>
        <v>0</v>
      </c>
      <c r="L116" s="21">
        <f t="shared" si="53"/>
        <v>0</v>
      </c>
      <c r="M116" s="21">
        <f t="shared" si="60"/>
        <v>0</v>
      </c>
      <c r="N116" s="21">
        <f t="shared" si="54"/>
        <v>0</v>
      </c>
      <c r="O116" s="21">
        <f t="shared" si="55"/>
        <v>0</v>
      </c>
      <c r="P116" s="21">
        <f t="shared" si="56"/>
        <v>0</v>
      </c>
      <c r="Q116" s="16">
        <f t="shared" si="57"/>
        <v>0</v>
      </c>
    </row>
    <row r="117" spans="1:17" x14ac:dyDescent="0.3">
      <c r="A117" s="16">
        <v>53</v>
      </c>
      <c r="B117" s="16">
        <f t="shared" si="45"/>
        <v>2078</v>
      </c>
      <c r="C117" s="16">
        <f t="shared" si="46"/>
        <v>52</v>
      </c>
      <c r="D117" s="21">
        <f t="shared" si="47"/>
        <v>0</v>
      </c>
      <c r="E117" s="27">
        <f t="shared" si="48"/>
        <v>0</v>
      </c>
      <c r="F117" s="27">
        <f t="shared" si="49"/>
        <v>20.696885343380441</v>
      </c>
      <c r="G117" s="21">
        <f t="shared" si="58"/>
        <v>0</v>
      </c>
      <c r="H117" s="27">
        <f t="shared" si="59"/>
        <v>0</v>
      </c>
      <c r="I117" s="21">
        <f t="shared" si="50"/>
        <v>0</v>
      </c>
      <c r="J117" s="27">
        <f t="shared" si="51"/>
        <v>0</v>
      </c>
      <c r="K117" s="21">
        <f t="shared" si="52"/>
        <v>0</v>
      </c>
      <c r="L117" s="21">
        <f t="shared" si="53"/>
        <v>0</v>
      </c>
      <c r="M117" s="21">
        <f t="shared" si="60"/>
        <v>0</v>
      </c>
      <c r="N117" s="21">
        <f t="shared" si="54"/>
        <v>0</v>
      </c>
      <c r="O117" s="21">
        <f t="shared" si="55"/>
        <v>0</v>
      </c>
      <c r="P117" s="21">
        <f t="shared" si="56"/>
        <v>0</v>
      </c>
      <c r="Q117" s="16">
        <f t="shared" si="57"/>
        <v>0</v>
      </c>
    </row>
    <row r="118" spans="1:17" x14ac:dyDescent="0.3">
      <c r="A118" s="16">
        <v>54</v>
      </c>
      <c r="B118" s="16">
        <f t="shared" si="45"/>
        <v>2079</v>
      </c>
      <c r="C118" s="16">
        <f t="shared" si="46"/>
        <v>53</v>
      </c>
      <c r="D118" s="21">
        <f t="shared" si="47"/>
        <v>0</v>
      </c>
      <c r="E118" s="27">
        <f t="shared" si="48"/>
        <v>0</v>
      </c>
      <c r="F118" s="27">
        <f t="shared" si="49"/>
        <v>21.938698463983272</v>
      </c>
      <c r="G118" s="21">
        <f t="shared" si="58"/>
        <v>0</v>
      </c>
      <c r="H118" s="27">
        <f t="shared" si="59"/>
        <v>0</v>
      </c>
      <c r="I118" s="21">
        <f t="shared" si="50"/>
        <v>0</v>
      </c>
      <c r="J118" s="27">
        <f t="shared" si="51"/>
        <v>0</v>
      </c>
      <c r="K118" s="21">
        <f t="shared" si="52"/>
        <v>0</v>
      </c>
      <c r="L118" s="21">
        <f t="shared" si="53"/>
        <v>0</v>
      </c>
      <c r="M118" s="21">
        <f t="shared" si="60"/>
        <v>0</v>
      </c>
      <c r="N118" s="21">
        <f t="shared" si="54"/>
        <v>0</v>
      </c>
      <c r="O118" s="21">
        <f t="shared" si="55"/>
        <v>0</v>
      </c>
      <c r="P118" s="21">
        <f t="shared" si="56"/>
        <v>0</v>
      </c>
      <c r="Q118" s="16">
        <f t="shared" si="57"/>
        <v>0</v>
      </c>
    </row>
    <row r="119" spans="1:17" x14ac:dyDescent="0.3">
      <c r="A119" s="16">
        <v>55</v>
      </c>
      <c r="B119" s="16">
        <f t="shared" si="45"/>
        <v>2080</v>
      </c>
      <c r="C119" s="16">
        <f t="shared" si="46"/>
        <v>54</v>
      </c>
      <c r="D119" s="21">
        <f t="shared" si="47"/>
        <v>0</v>
      </c>
      <c r="E119" s="27">
        <f t="shared" si="48"/>
        <v>0</v>
      </c>
      <c r="F119" s="27">
        <f t="shared" si="49"/>
        <v>23.255020371822269</v>
      </c>
      <c r="G119" s="21">
        <f t="shared" si="58"/>
        <v>0</v>
      </c>
      <c r="H119" s="27">
        <f t="shared" si="59"/>
        <v>0</v>
      </c>
      <c r="I119" s="21">
        <f t="shared" si="50"/>
        <v>0</v>
      </c>
      <c r="J119" s="27">
        <f t="shared" si="51"/>
        <v>0</v>
      </c>
      <c r="K119" s="21">
        <f t="shared" si="52"/>
        <v>0</v>
      </c>
      <c r="L119" s="21">
        <f t="shared" si="53"/>
        <v>0</v>
      </c>
      <c r="M119" s="21">
        <f t="shared" si="60"/>
        <v>0</v>
      </c>
      <c r="N119" s="21">
        <f t="shared" si="54"/>
        <v>0</v>
      </c>
      <c r="O119" s="21">
        <f t="shared" si="55"/>
        <v>0</v>
      </c>
      <c r="P119" s="21">
        <f t="shared" si="56"/>
        <v>0</v>
      </c>
      <c r="Q119" s="16">
        <f t="shared" si="57"/>
        <v>0</v>
      </c>
    </row>
    <row r="120" spans="1:17" x14ac:dyDescent="0.3">
      <c r="A120" s="16">
        <v>56</v>
      </c>
      <c r="B120" s="16">
        <f t="shared" si="45"/>
        <v>2081</v>
      </c>
      <c r="C120" s="16">
        <f t="shared" si="46"/>
        <v>55</v>
      </c>
      <c r="D120" s="21">
        <f t="shared" si="47"/>
        <v>0</v>
      </c>
      <c r="E120" s="27">
        <f t="shared" si="48"/>
        <v>0</v>
      </c>
      <c r="F120" s="27">
        <f t="shared" si="49"/>
        <v>24.650321594131608</v>
      </c>
      <c r="G120" s="21">
        <f t="shared" si="58"/>
        <v>0</v>
      </c>
      <c r="H120" s="27">
        <f t="shared" si="59"/>
        <v>0</v>
      </c>
      <c r="I120" s="21">
        <f t="shared" si="50"/>
        <v>0</v>
      </c>
      <c r="J120" s="27">
        <f t="shared" si="51"/>
        <v>0</v>
      </c>
      <c r="K120" s="21">
        <f t="shared" si="52"/>
        <v>0</v>
      </c>
      <c r="L120" s="21">
        <f t="shared" si="53"/>
        <v>0</v>
      </c>
      <c r="M120" s="21">
        <f t="shared" si="60"/>
        <v>0</v>
      </c>
      <c r="N120" s="21">
        <f t="shared" si="54"/>
        <v>0</v>
      </c>
      <c r="O120" s="21">
        <f t="shared" si="55"/>
        <v>0</v>
      </c>
      <c r="P120" s="21">
        <f t="shared" si="56"/>
        <v>0</v>
      </c>
      <c r="Q120" s="16">
        <f t="shared" si="57"/>
        <v>0</v>
      </c>
    </row>
    <row r="121" spans="1:17" x14ac:dyDescent="0.3">
      <c r="A121" s="16">
        <v>57</v>
      </c>
      <c r="B121" s="16">
        <f t="shared" si="45"/>
        <v>2082</v>
      </c>
      <c r="C121" s="16">
        <f t="shared" si="46"/>
        <v>56</v>
      </c>
      <c r="D121" s="21">
        <f t="shared" si="47"/>
        <v>0</v>
      </c>
      <c r="E121" s="27">
        <f t="shared" si="48"/>
        <v>0</v>
      </c>
      <c r="F121" s="27">
        <f t="shared" si="49"/>
        <v>26.129340889779499</v>
      </c>
      <c r="G121" s="21">
        <f t="shared" si="58"/>
        <v>0</v>
      </c>
      <c r="H121" s="27">
        <f t="shared" si="59"/>
        <v>0</v>
      </c>
      <c r="I121" s="21">
        <f t="shared" si="50"/>
        <v>0</v>
      </c>
      <c r="J121" s="27">
        <f t="shared" si="51"/>
        <v>0</v>
      </c>
      <c r="K121" s="21">
        <f t="shared" si="52"/>
        <v>0</v>
      </c>
      <c r="L121" s="21">
        <f t="shared" si="53"/>
        <v>0</v>
      </c>
      <c r="M121" s="21">
        <f t="shared" si="60"/>
        <v>0</v>
      </c>
      <c r="N121" s="21">
        <f t="shared" si="54"/>
        <v>0</v>
      </c>
      <c r="O121" s="21">
        <f t="shared" si="55"/>
        <v>0</v>
      </c>
      <c r="P121" s="21">
        <f t="shared" si="56"/>
        <v>0</v>
      </c>
      <c r="Q121" s="16">
        <f t="shared" si="57"/>
        <v>0</v>
      </c>
    </row>
    <row r="122" spans="1:17" x14ac:dyDescent="0.3">
      <c r="A122" s="16">
        <v>58</v>
      </c>
      <c r="B122" s="16">
        <f t="shared" si="45"/>
        <v>2083</v>
      </c>
      <c r="C122" s="16">
        <f t="shared" si="46"/>
        <v>57</v>
      </c>
      <c r="D122" s="21">
        <f t="shared" si="47"/>
        <v>0</v>
      </c>
      <c r="E122" s="27">
        <f t="shared" si="48"/>
        <v>0</v>
      </c>
      <c r="F122" s="27">
        <f t="shared" si="49"/>
        <v>27.69710134316627</v>
      </c>
      <c r="G122" s="21">
        <f t="shared" si="58"/>
        <v>0</v>
      </c>
      <c r="H122" s="27">
        <f t="shared" si="59"/>
        <v>0</v>
      </c>
      <c r="I122" s="21">
        <f t="shared" si="50"/>
        <v>0</v>
      </c>
      <c r="J122" s="27">
        <f t="shared" si="51"/>
        <v>0</v>
      </c>
      <c r="K122" s="21">
        <f t="shared" si="52"/>
        <v>0</v>
      </c>
      <c r="L122" s="21">
        <f t="shared" si="53"/>
        <v>0</v>
      </c>
      <c r="M122" s="21">
        <f t="shared" si="60"/>
        <v>0</v>
      </c>
      <c r="N122" s="21">
        <f t="shared" si="54"/>
        <v>0</v>
      </c>
      <c r="O122" s="21">
        <f t="shared" si="55"/>
        <v>0</v>
      </c>
      <c r="P122" s="21">
        <f t="shared" si="56"/>
        <v>0</v>
      </c>
      <c r="Q122" s="16">
        <f t="shared" si="57"/>
        <v>0</v>
      </c>
    </row>
    <row r="123" spans="1:17" x14ac:dyDescent="0.3">
      <c r="A123" s="16">
        <v>59</v>
      </c>
      <c r="B123" s="16">
        <f t="shared" si="45"/>
        <v>2084</v>
      </c>
      <c r="C123" s="16">
        <f t="shared" si="46"/>
        <v>58</v>
      </c>
      <c r="D123" s="21">
        <f t="shared" si="47"/>
        <v>0</v>
      </c>
      <c r="E123" s="27">
        <f t="shared" si="48"/>
        <v>0</v>
      </c>
      <c r="F123" s="27">
        <f t="shared" si="49"/>
        <v>29.358927423756246</v>
      </c>
      <c r="G123" s="21">
        <f t="shared" si="58"/>
        <v>0</v>
      </c>
      <c r="H123" s="27">
        <f t="shared" si="59"/>
        <v>0</v>
      </c>
      <c r="I123" s="21">
        <f t="shared" si="50"/>
        <v>0</v>
      </c>
      <c r="J123" s="27">
        <f t="shared" si="51"/>
        <v>0</v>
      </c>
      <c r="K123" s="21">
        <f t="shared" si="52"/>
        <v>0</v>
      </c>
      <c r="L123" s="21">
        <f t="shared" si="53"/>
        <v>0</v>
      </c>
      <c r="M123" s="21">
        <f t="shared" si="60"/>
        <v>0</v>
      </c>
      <c r="N123" s="21">
        <f t="shared" si="54"/>
        <v>0</v>
      </c>
      <c r="O123" s="21">
        <f t="shared" si="55"/>
        <v>0</v>
      </c>
      <c r="P123" s="21">
        <f t="shared" si="56"/>
        <v>0</v>
      </c>
      <c r="Q123" s="16">
        <f t="shared" si="57"/>
        <v>0</v>
      </c>
    </row>
    <row r="124" spans="1:17" x14ac:dyDescent="0.3">
      <c r="A124" s="16">
        <v>60</v>
      </c>
      <c r="B124" s="16">
        <f t="shared" si="45"/>
        <v>2085</v>
      </c>
      <c r="C124" s="16">
        <f t="shared" si="46"/>
        <v>59</v>
      </c>
      <c r="D124" s="21">
        <f t="shared" si="47"/>
        <v>0</v>
      </c>
      <c r="E124" s="27">
        <f t="shared" si="48"/>
        <v>0</v>
      </c>
      <c r="F124" s="27">
        <f t="shared" si="49"/>
        <v>31.120463069181628</v>
      </c>
      <c r="G124" s="21">
        <f t="shared" si="58"/>
        <v>0</v>
      </c>
      <c r="H124" s="27">
        <f t="shared" si="59"/>
        <v>0</v>
      </c>
      <c r="I124" s="21">
        <f t="shared" si="50"/>
        <v>0</v>
      </c>
      <c r="J124" s="27">
        <f t="shared" si="51"/>
        <v>0</v>
      </c>
      <c r="K124" s="21">
        <f t="shared" si="52"/>
        <v>0</v>
      </c>
      <c r="L124" s="21">
        <f t="shared" si="53"/>
        <v>0</v>
      </c>
      <c r="M124" s="21">
        <f t="shared" si="60"/>
        <v>0</v>
      </c>
      <c r="N124" s="21">
        <f t="shared" si="54"/>
        <v>0</v>
      </c>
      <c r="O124" s="21">
        <f t="shared" si="55"/>
        <v>0</v>
      </c>
      <c r="P124" s="21">
        <f t="shared" si="56"/>
        <v>0</v>
      </c>
      <c r="Q124" s="16">
        <f t="shared" si="57"/>
        <v>0</v>
      </c>
    </row>
    <row r="126" spans="1:17" x14ac:dyDescent="0.3">
      <c r="A126" s="8" t="s">
        <v>64</v>
      </c>
      <c r="B126" s="26">
        <f>IF($B$22=1,MAX(K65:K124),0)</f>
        <v>0</v>
      </c>
    </row>
    <row r="127" spans="1:17" x14ac:dyDescent="0.3">
      <c r="A127" s="8" t="s">
        <v>176</v>
      </c>
      <c r="B127" s="26">
        <f>IF($B$22=1,IF(MAX(0,MAX(L65:L124))&lt;0.000000001,0,MAX(0,MAX(L65:L124))),0)</f>
        <v>0</v>
      </c>
    </row>
  </sheetData>
  <sheetProtection sheet="1" objects="1" formatCells="0" formatColumns="0" formatRows="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488"/>
  <sheetViews>
    <sheetView workbookViewId="0">
      <pane xSplit="1" ySplit="4" topLeftCell="B5" activePane="bottomRight" state="frozen"/>
      <selection pane="topRight"/>
      <selection pane="bottomLeft"/>
      <selection pane="bottomRight"/>
    </sheetView>
  </sheetViews>
  <sheetFormatPr defaultRowHeight="14.4" x14ac:dyDescent="0.3"/>
  <cols>
    <col min="1" max="1" width="34" customWidth="1"/>
    <col min="2" max="2" width="11" customWidth="1"/>
    <col min="3" max="3" width="26" customWidth="1"/>
    <col min="4" max="4" width="12" customWidth="1"/>
    <col min="5" max="6" width="10" customWidth="1"/>
    <col min="7" max="8" width="9" customWidth="1"/>
    <col min="9" max="9" width="22" customWidth="1"/>
    <col min="10" max="10" width="10" customWidth="1"/>
    <col min="11" max="12" width="9" customWidth="1"/>
    <col min="13" max="13" width="10" customWidth="1"/>
    <col min="14" max="15" width="9" customWidth="1"/>
    <col min="16" max="18" width="13" customWidth="1"/>
    <col min="19" max="19" width="10" customWidth="1"/>
    <col min="20" max="21" width="9" customWidth="1"/>
    <col min="22" max="24" width="13" customWidth="1"/>
    <col min="25" max="25" width="70" customWidth="1"/>
  </cols>
  <sheetData>
    <row r="1" spans="1:25" ht="21" x14ac:dyDescent="0.4">
      <c r="A1" s="5" t="s">
        <v>180</v>
      </c>
    </row>
    <row r="2" spans="1:25" ht="30" customHeight="1" x14ac:dyDescent="0.3">
      <c r="A2" s="38" t="s">
        <v>181</v>
      </c>
      <c r="B2" s="39"/>
      <c r="C2" s="39"/>
      <c r="D2" s="39"/>
      <c r="E2" s="39"/>
      <c r="F2" s="39"/>
      <c r="G2" s="39"/>
      <c r="H2" s="39"/>
      <c r="I2" s="39"/>
      <c r="J2" s="39"/>
      <c r="K2" s="39"/>
      <c r="L2" s="39"/>
      <c r="M2" s="39"/>
      <c r="N2" s="39"/>
    </row>
    <row r="4" spans="1:25" ht="52.8" x14ac:dyDescent="0.3">
      <c r="A4" s="22" t="s">
        <v>182</v>
      </c>
      <c r="B4" s="22" t="s">
        <v>89</v>
      </c>
      <c r="C4" s="22" t="s">
        <v>31</v>
      </c>
      <c r="D4" s="22" t="s">
        <v>107</v>
      </c>
      <c r="E4" s="22" t="s">
        <v>110</v>
      </c>
      <c r="F4" s="22" t="s">
        <v>68</v>
      </c>
      <c r="G4" s="22" t="s">
        <v>183</v>
      </c>
      <c r="H4" s="22" t="s">
        <v>112</v>
      </c>
      <c r="I4" s="22" t="s">
        <v>184</v>
      </c>
      <c r="J4" s="22" t="s">
        <v>185</v>
      </c>
      <c r="K4" s="22" t="s">
        <v>186</v>
      </c>
      <c r="L4" s="22" t="s">
        <v>187</v>
      </c>
      <c r="M4" s="22" t="s">
        <v>188</v>
      </c>
      <c r="N4" s="22" t="s">
        <v>189</v>
      </c>
      <c r="O4" s="22" t="s">
        <v>190</v>
      </c>
      <c r="P4" s="22" t="s">
        <v>191</v>
      </c>
      <c r="Q4" s="22" t="s">
        <v>192</v>
      </c>
      <c r="R4" s="22" t="s">
        <v>193</v>
      </c>
      <c r="S4" s="22" t="s">
        <v>194</v>
      </c>
      <c r="T4" s="22" t="s">
        <v>195</v>
      </c>
      <c r="U4" s="22" t="s">
        <v>196</v>
      </c>
      <c r="V4" s="22" t="s">
        <v>197</v>
      </c>
      <c r="W4" s="22" t="s">
        <v>47</v>
      </c>
      <c r="X4" s="22" t="s">
        <v>198</v>
      </c>
      <c r="Y4" s="22" t="s">
        <v>199</v>
      </c>
    </row>
    <row r="5" spans="1:25" x14ac:dyDescent="0.3">
      <c r="A5" s="28" t="s">
        <v>200</v>
      </c>
      <c r="B5" s="28" t="s">
        <v>7</v>
      </c>
      <c r="C5" s="28" t="s">
        <v>201</v>
      </c>
      <c r="D5" s="28" t="s">
        <v>202</v>
      </c>
      <c r="E5" s="28" t="s">
        <v>203</v>
      </c>
      <c r="F5" s="29">
        <v>5</v>
      </c>
      <c r="G5" s="28">
        <v>1</v>
      </c>
      <c r="H5" s="28">
        <v>0</v>
      </c>
      <c r="I5" s="28"/>
      <c r="J5" s="30">
        <v>0.1</v>
      </c>
      <c r="K5" s="28">
        <v>2</v>
      </c>
      <c r="L5" s="28" t="s">
        <v>203</v>
      </c>
      <c r="M5" s="28"/>
      <c r="N5" s="28"/>
      <c r="O5" s="28"/>
      <c r="P5" s="31">
        <v>0</v>
      </c>
      <c r="Q5" s="31">
        <v>0</v>
      </c>
      <c r="R5" s="31">
        <v>0</v>
      </c>
      <c r="S5" s="28"/>
      <c r="T5" s="28"/>
      <c r="U5" s="28"/>
      <c r="V5" s="31">
        <v>0</v>
      </c>
      <c r="W5" s="31">
        <v>0</v>
      </c>
      <c r="X5" s="31">
        <v>0</v>
      </c>
      <c r="Y5" s="28" t="s">
        <v>204</v>
      </c>
    </row>
    <row r="6" spans="1:25" x14ac:dyDescent="0.3">
      <c r="A6" s="28" t="s">
        <v>205</v>
      </c>
      <c r="B6" s="28" t="s">
        <v>7</v>
      </c>
      <c r="C6" s="28" t="s">
        <v>201</v>
      </c>
      <c r="D6" s="28" t="s">
        <v>206</v>
      </c>
      <c r="E6" s="28" t="s">
        <v>203</v>
      </c>
      <c r="F6" s="29">
        <v>5</v>
      </c>
      <c r="G6" s="28">
        <v>1</v>
      </c>
      <c r="H6" s="28">
        <v>0</v>
      </c>
      <c r="I6" s="28"/>
      <c r="J6" s="30">
        <v>0.1</v>
      </c>
      <c r="K6" s="28">
        <v>1</v>
      </c>
      <c r="L6" s="28" t="s">
        <v>12</v>
      </c>
      <c r="M6" s="28"/>
      <c r="N6" s="28"/>
      <c r="O6" s="28"/>
      <c r="P6" s="31">
        <v>0</v>
      </c>
      <c r="Q6" s="31">
        <v>0</v>
      </c>
      <c r="R6" s="31">
        <v>0</v>
      </c>
      <c r="S6" s="28"/>
      <c r="T6" s="28"/>
      <c r="U6" s="28"/>
      <c r="V6" s="31">
        <v>0</v>
      </c>
      <c r="W6" s="31">
        <v>0</v>
      </c>
      <c r="X6" s="31">
        <v>0</v>
      </c>
      <c r="Y6" s="28" t="s">
        <v>207</v>
      </c>
    </row>
    <row r="7" spans="1:25" x14ac:dyDescent="0.3">
      <c r="A7" s="28" t="s">
        <v>208</v>
      </c>
      <c r="B7" s="28" t="s">
        <v>7</v>
      </c>
      <c r="C7" s="28" t="s">
        <v>209</v>
      </c>
      <c r="D7" s="28" t="s">
        <v>202</v>
      </c>
      <c r="E7" s="28" t="s">
        <v>203</v>
      </c>
      <c r="F7" s="29">
        <v>4</v>
      </c>
      <c r="G7" s="28">
        <v>1</v>
      </c>
      <c r="H7" s="28">
        <v>0</v>
      </c>
      <c r="I7" s="28"/>
      <c r="J7" s="30">
        <v>0.1</v>
      </c>
      <c r="K7" s="28">
        <v>1</v>
      </c>
      <c r="L7" s="28" t="s">
        <v>203</v>
      </c>
      <c r="M7" s="28"/>
      <c r="N7" s="28"/>
      <c r="O7" s="28"/>
      <c r="P7" s="31">
        <v>0</v>
      </c>
      <c r="Q7" s="31">
        <v>0</v>
      </c>
      <c r="R7" s="31">
        <v>0</v>
      </c>
      <c r="S7" s="28"/>
      <c r="T7" s="28"/>
      <c r="U7" s="28"/>
      <c r="V7" s="31">
        <v>0</v>
      </c>
      <c r="W7" s="31">
        <v>0</v>
      </c>
      <c r="X7" s="31">
        <v>0</v>
      </c>
      <c r="Y7" s="28" t="s">
        <v>210</v>
      </c>
    </row>
    <row r="8" spans="1:25" x14ac:dyDescent="0.3">
      <c r="A8" s="28" t="s">
        <v>211</v>
      </c>
      <c r="B8" s="28" t="s">
        <v>7</v>
      </c>
      <c r="C8" s="28" t="s">
        <v>209</v>
      </c>
      <c r="D8" s="28" t="s">
        <v>206</v>
      </c>
      <c r="E8" s="28" t="s">
        <v>203</v>
      </c>
      <c r="F8" s="29">
        <v>4</v>
      </c>
      <c r="G8" s="28">
        <v>1</v>
      </c>
      <c r="H8" s="28">
        <v>0</v>
      </c>
      <c r="I8" s="28"/>
      <c r="J8" s="30">
        <v>0.1</v>
      </c>
      <c r="K8" s="28">
        <v>1</v>
      </c>
      <c r="L8" s="28" t="s">
        <v>12</v>
      </c>
      <c r="M8" s="28"/>
      <c r="N8" s="28"/>
      <c r="O8" s="28"/>
      <c r="P8" s="31">
        <v>0</v>
      </c>
      <c r="Q8" s="31">
        <v>0</v>
      </c>
      <c r="R8" s="31">
        <v>0</v>
      </c>
      <c r="S8" s="28"/>
      <c r="T8" s="28"/>
      <c r="U8" s="28"/>
      <c r="V8" s="31">
        <v>0</v>
      </c>
      <c r="W8" s="31">
        <v>0</v>
      </c>
      <c r="X8" s="31">
        <v>0</v>
      </c>
      <c r="Y8" s="28" t="s">
        <v>210</v>
      </c>
    </row>
    <row r="9" spans="1:25" x14ac:dyDescent="0.3">
      <c r="A9" s="28" t="s">
        <v>212</v>
      </c>
      <c r="B9" s="28" t="s">
        <v>7</v>
      </c>
      <c r="C9" s="28" t="s">
        <v>213</v>
      </c>
      <c r="D9" s="28" t="s">
        <v>202</v>
      </c>
      <c r="E9" s="28" t="s">
        <v>203</v>
      </c>
      <c r="F9" s="29">
        <v>5</v>
      </c>
      <c r="G9" s="28">
        <v>1</v>
      </c>
      <c r="H9" s="28">
        <v>0</v>
      </c>
      <c r="I9" s="28"/>
      <c r="J9" s="30">
        <v>0.1</v>
      </c>
      <c r="K9" s="28">
        <v>1</v>
      </c>
      <c r="L9" s="28" t="s">
        <v>203</v>
      </c>
      <c r="M9" s="28"/>
      <c r="N9" s="28"/>
      <c r="O9" s="28"/>
      <c r="P9" s="31">
        <v>0</v>
      </c>
      <c r="Q9" s="31">
        <v>0</v>
      </c>
      <c r="R9" s="31">
        <v>0</v>
      </c>
      <c r="S9" s="28"/>
      <c r="T9" s="28"/>
      <c r="U9" s="28"/>
      <c r="V9" s="31">
        <v>0</v>
      </c>
      <c r="W9" s="31">
        <v>0</v>
      </c>
      <c r="X9" s="31">
        <v>0</v>
      </c>
      <c r="Y9" s="28" t="s">
        <v>214</v>
      </c>
    </row>
    <row r="10" spans="1:25" x14ac:dyDescent="0.3">
      <c r="A10" s="28" t="s">
        <v>215</v>
      </c>
      <c r="B10" s="28" t="s">
        <v>7</v>
      </c>
      <c r="C10" s="28" t="s">
        <v>213</v>
      </c>
      <c r="D10" s="28" t="s">
        <v>206</v>
      </c>
      <c r="E10" s="28" t="s">
        <v>203</v>
      </c>
      <c r="F10" s="29">
        <v>5</v>
      </c>
      <c r="G10" s="28">
        <v>1</v>
      </c>
      <c r="H10" s="28">
        <v>0</v>
      </c>
      <c r="I10" s="28"/>
      <c r="J10" s="30">
        <v>0.1</v>
      </c>
      <c r="K10" s="28">
        <v>1</v>
      </c>
      <c r="L10" s="28" t="s">
        <v>12</v>
      </c>
      <c r="M10" s="28"/>
      <c r="N10" s="28"/>
      <c r="O10" s="28"/>
      <c r="P10" s="31">
        <v>0</v>
      </c>
      <c r="Q10" s="31">
        <v>0</v>
      </c>
      <c r="R10" s="31">
        <v>0</v>
      </c>
      <c r="S10" s="28"/>
      <c r="T10" s="28"/>
      <c r="U10" s="28"/>
      <c r="V10" s="31">
        <v>0</v>
      </c>
      <c r="W10" s="31">
        <v>0</v>
      </c>
      <c r="X10" s="31">
        <v>0</v>
      </c>
      <c r="Y10" s="28" t="s">
        <v>214</v>
      </c>
    </row>
    <row r="11" spans="1:25" x14ac:dyDescent="0.3">
      <c r="A11" s="28" t="s">
        <v>216</v>
      </c>
      <c r="B11" s="28" t="s">
        <v>7</v>
      </c>
      <c r="C11" s="28" t="s">
        <v>217</v>
      </c>
      <c r="D11" s="28" t="s">
        <v>202</v>
      </c>
      <c r="E11" s="28" t="s">
        <v>203</v>
      </c>
      <c r="F11" s="29">
        <v>4</v>
      </c>
      <c r="G11" s="28">
        <v>1</v>
      </c>
      <c r="H11" s="28">
        <v>0</v>
      </c>
      <c r="I11" s="28"/>
      <c r="J11" s="30">
        <v>0.1</v>
      </c>
      <c r="K11" s="28">
        <v>1</v>
      </c>
      <c r="L11" s="28" t="s">
        <v>203</v>
      </c>
      <c r="M11" s="28"/>
      <c r="N11" s="28"/>
      <c r="O11" s="28"/>
      <c r="P11" s="31">
        <v>0</v>
      </c>
      <c r="Q11" s="31">
        <v>0</v>
      </c>
      <c r="R11" s="31">
        <v>0</v>
      </c>
      <c r="S11" s="28"/>
      <c r="T11" s="28"/>
      <c r="U11" s="28"/>
      <c r="V11" s="31">
        <v>0</v>
      </c>
      <c r="W11" s="31">
        <v>0</v>
      </c>
      <c r="X11" s="31">
        <v>0</v>
      </c>
      <c r="Y11" s="28" t="s">
        <v>218</v>
      </c>
    </row>
    <row r="12" spans="1:25" x14ac:dyDescent="0.3">
      <c r="A12" s="28" t="s">
        <v>219</v>
      </c>
      <c r="B12" s="28" t="s">
        <v>7</v>
      </c>
      <c r="C12" s="28" t="s">
        <v>217</v>
      </c>
      <c r="D12" s="28" t="s">
        <v>206</v>
      </c>
      <c r="E12" s="28" t="s">
        <v>203</v>
      </c>
      <c r="F12" s="29">
        <v>4</v>
      </c>
      <c r="G12" s="28">
        <v>1</v>
      </c>
      <c r="H12" s="28">
        <v>0</v>
      </c>
      <c r="I12" s="28"/>
      <c r="J12" s="30">
        <v>0.1</v>
      </c>
      <c r="K12" s="28">
        <v>1</v>
      </c>
      <c r="L12" s="28" t="s">
        <v>12</v>
      </c>
      <c r="M12" s="28"/>
      <c r="N12" s="28"/>
      <c r="O12" s="28"/>
      <c r="P12" s="31">
        <v>0</v>
      </c>
      <c r="Q12" s="31">
        <v>0</v>
      </c>
      <c r="R12" s="31">
        <v>0</v>
      </c>
      <c r="S12" s="28"/>
      <c r="T12" s="28"/>
      <c r="U12" s="28"/>
      <c r="V12" s="31">
        <v>0</v>
      </c>
      <c r="W12" s="31">
        <v>0</v>
      </c>
      <c r="X12" s="31">
        <v>0</v>
      </c>
      <c r="Y12" s="28" t="s">
        <v>218</v>
      </c>
    </row>
    <row r="13" spans="1:25" x14ac:dyDescent="0.3">
      <c r="A13" s="28" t="s">
        <v>220</v>
      </c>
      <c r="B13" s="28" t="s">
        <v>7</v>
      </c>
      <c r="C13" s="28" t="s">
        <v>221</v>
      </c>
      <c r="D13" s="28" t="s">
        <v>202</v>
      </c>
      <c r="E13" s="28" t="s">
        <v>203</v>
      </c>
      <c r="F13" s="29">
        <v>5</v>
      </c>
      <c r="G13" s="28">
        <v>1</v>
      </c>
      <c r="H13" s="28">
        <v>0</v>
      </c>
      <c r="I13" s="28"/>
      <c r="J13" s="30">
        <v>0.1</v>
      </c>
      <c r="K13" s="28">
        <v>1</v>
      </c>
      <c r="L13" s="28" t="s">
        <v>203</v>
      </c>
      <c r="M13" s="28"/>
      <c r="N13" s="28"/>
      <c r="O13" s="28"/>
      <c r="P13" s="31">
        <v>0</v>
      </c>
      <c r="Q13" s="31">
        <v>0</v>
      </c>
      <c r="R13" s="31">
        <v>0</v>
      </c>
      <c r="S13" s="28"/>
      <c r="T13" s="28"/>
      <c r="U13" s="28"/>
      <c r="V13" s="31">
        <v>0</v>
      </c>
      <c r="W13" s="31">
        <v>0</v>
      </c>
      <c r="X13" s="31">
        <v>0</v>
      </c>
      <c r="Y13" s="28" t="s">
        <v>222</v>
      </c>
    </row>
    <row r="14" spans="1:25" x14ac:dyDescent="0.3">
      <c r="A14" s="28" t="s">
        <v>223</v>
      </c>
      <c r="B14" s="28" t="s">
        <v>7</v>
      </c>
      <c r="C14" s="28" t="s">
        <v>221</v>
      </c>
      <c r="D14" s="28" t="s">
        <v>206</v>
      </c>
      <c r="E14" s="28" t="s">
        <v>203</v>
      </c>
      <c r="F14" s="29">
        <v>5</v>
      </c>
      <c r="G14" s="28">
        <v>1</v>
      </c>
      <c r="H14" s="28">
        <v>0</v>
      </c>
      <c r="I14" s="28"/>
      <c r="J14" s="30">
        <v>0.1</v>
      </c>
      <c r="K14" s="28">
        <v>1</v>
      </c>
      <c r="L14" s="28" t="s">
        <v>12</v>
      </c>
      <c r="M14" s="28"/>
      <c r="N14" s="28"/>
      <c r="O14" s="28"/>
      <c r="P14" s="31">
        <v>0</v>
      </c>
      <c r="Q14" s="31">
        <v>0</v>
      </c>
      <c r="R14" s="31">
        <v>0</v>
      </c>
      <c r="S14" s="28"/>
      <c r="T14" s="28"/>
      <c r="U14" s="28"/>
      <c r="V14" s="31">
        <v>0</v>
      </c>
      <c r="W14" s="31">
        <v>0</v>
      </c>
      <c r="X14" s="31">
        <v>0</v>
      </c>
      <c r="Y14" s="28" t="s">
        <v>222</v>
      </c>
    </row>
    <row r="15" spans="1:25" x14ac:dyDescent="0.3">
      <c r="A15" s="28" t="s">
        <v>224</v>
      </c>
      <c r="B15" s="28" t="s">
        <v>7</v>
      </c>
      <c r="C15" s="28" t="s">
        <v>225</v>
      </c>
      <c r="D15" s="28" t="s">
        <v>202</v>
      </c>
      <c r="E15" s="28" t="s">
        <v>203</v>
      </c>
      <c r="F15" s="29">
        <v>4</v>
      </c>
      <c r="G15" s="28">
        <v>1</v>
      </c>
      <c r="H15" s="28">
        <v>0</v>
      </c>
      <c r="I15" s="28"/>
      <c r="J15" s="30">
        <v>0.1</v>
      </c>
      <c r="K15" s="28">
        <v>2</v>
      </c>
      <c r="L15" s="28" t="s">
        <v>203</v>
      </c>
      <c r="M15" s="28"/>
      <c r="N15" s="28"/>
      <c r="O15" s="28"/>
      <c r="P15" s="31">
        <v>0</v>
      </c>
      <c r="Q15" s="31">
        <v>0</v>
      </c>
      <c r="R15" s="31">
        <v>0</v>
      </c>
      <c r="S15" s="28"/>
      <c r="T15" s="28"/>
      <c r="U15" s="28"/>
      <c r="V15" s="31">
        <v>0</v>
      </c>
      <c r="W15" s="31">
        <v>0</v>
      </c>
      <c r="X15" s="31">
        <v>0</v>
      </c>
      <c r="Y15" s="28" t="s">
        <v>226</v>
      </c>
    </row>
    <row r="16" spans="1:25" x14ac:dyDescent="0.3">
      <c r="A16" s="28" t="s">
        <v>227</v>
      </c>
      <c r="B16" s="28" t="s">
        <v>7</v>
      </c>
      <c r="C16" s="28" t="s">
        <v>225</v>
      </c>
      <c r="D16" s="28" t="s">
        <v>206</v>
      </c>
      <c r="E16" s="28" t="s">
        <v>203</v>
      </c>
      <c r="F16" s="29">
        <v>4</v>
      </c>
      <c r="G16" s="28">
        <v>1</v>
      </c>
      <c r="H16" s="28">
        <v>0</v>
      </c>
      <c r="I16" s="28"/>
      <c r="J16" s="30">
        <v>0.1</v>
      </c>
      <c r="K16" s="28">
        <v>1</v>
      </c>
      <c r="L16" s="28" t="s">
        <v>12</v>
      </c>
      <c r="M16" s="28"/>
      <c r="N16" s="28"/>
      <c r="O16" s="28"/>
      <c r="P16" s="31">
        <v>0</v>
      </c>
      <c r="Q16" s="31">
        <v>0</v>
      </c>
      <c r="R16" s="31">
        <v>0</v>
      </c>
      <c r="S16" s="28"/>
      <c r="T16" s="28"/>
      <c r="U16" s="28"/>
      <c r="V16" s="31">
        <v>0</v>
      </c>
      <c r="W16" s="31">
        <v>0</v>
      </c>
      <c r="X16" s="31">
        <v>0</v>
      </c>
      <c r="Y16" s="28" t="s">
        <v>228</v>
      </c>
    </row>
    <row r="17" spans="1:25" x14ac:dyDescent="0.3">
      <c r="A17" s="28" t="s">
        <v>229</v>
      </c>
      <c r="B17" s="28" t="s">
        <v>7</v>
      </c>
      <c r="C17" s="28" t="s">
        <v>230</v>
      </c>
      <c r="D17" s="28" t="s">
        <v>202</v>
      </c>
      <c r="E17" s="28" t="s">
        <v>203</v>
      </c>
      <c r="F17" s="29">
        <v>4</v>
      </c>
      <c r="G17" s="28">
        <v>1</v>
      </c>
      <c r="H17" s="28">
        <v>0</v>
      </c>
      <c r="I17" s="28"/>
      <c r="J17" s="30">
        <v>0.1</v>
      </c>
      <c r="K17" s="28">
        <v>4</v>
      </c>
      <c r="L17" s="28" t="s">
        <v>203</v>
      </c>
      <c r="M17" s="28"/>
      <c r="N17" s="28"/>
      <c r="O17" s="28"/>
      <c r="P17" s="31">
        <v>0</v>
      </c>
      <c r="Q17" s="31">
        <v>0</v>
      </c>
      <c r="R17" s="31">
        <v>0</v>
      </c>
      <c r="S17" s="28"/>
      <c r="T17" s="28"/>
      <c r="U17" s="28"/>
      <c r="V17" s="31">
        <v>0</v>
      </c>
      <c r="W17" s="31">
        <v>0</v>
      </c>
      <c r="X17" s="31">
        <v>0</v>
      </c>
      <c r="Y17" s="28" t="s">
        <v>231</v>
      </c>
    </row>
    <row r="18" spans="1:25" x14ac:dyDescent="0.3">
      <c r="A18" s="28" t="s">
        <v>232</v>
      </c>
      <c r="B18" s="28" t="s">
        <v>7</v>
      </c>
      <c r="C18" s="28" t="s">
        <v>230</v>
      </c>
      <c r="D18" s="28" t="s">
        <v>206</v>
      </c>
      <c r="E18" s="28" t="s">
        <v>203</v>
      </c>
      <c r="F18" s="29">
        <v>4</v>
      </c>
      <c r="G18" s="28">
        <v>1</v>
      </c>
      <c r="H18" s="28">
        <v>0</v>
      </c>
      <c r="I18" s="28"/>
      <c r="J18" s="30">
        <v>0.1</v>
      </c>
      <c r="K18" s="28">
        <v>1</v>
      </c>
      <c r="L18" s="28" t="s">
        <v>12</v>
      </c>
      <c r="M18" s="28"/>
      <c r="N18" s="28"/>
      <c r="O18" s="28"/>
      <c r="P18" s="31">
        <v>0</v>
      </c>
      <c r="Q18" s="31">
        <v>0</v>
      </c>
      <c r="R18" s="31">
        <v>0</v>
      </c>
      <c r="S18" s="28"/>
      <c r="T18" s="28"/>
      <c r="U18" s="28"/>
      <c r="V18" s="31">
        <v>0</v>
      </c>
      <c r="W18" s="31">
        <v>0</v>
      </c>
      <c r="X18" s="31">
        <v>0</v>
      </c>
      <c r="Y18" s="28" t="s">
        <v>233</v>
      </c>
    </row>
    <row r="19" spans="1:25" x14ac:dyDescent="0.3">
      <c r="A19" s="28" t="s">
        <v>234</v>
      </c>
      <c r="B19" s="28" t="s">
        <v>7</v>
      </c>
      <c r="C19" s="28" t="s">
        <v>235</v>
      </c>
      <c r="D19" s="28" t="s">
        <v>202</v>
      </c>
      <c r="E19" s="28" t="s">
        <v>203</v>
      </c>
      <c r="F19" s="29">
        <v>4</v>
      </c>
      <c r="G19" s="28">
        <v>1</v>
      </c>
      <c r="H19" s="28">
        <v>0</v>
      </c>
      <c r="I19" s="28"/>
      <c r="J19" s="30">
        <v>0.1</v>
      </c>
      <c r="K19" s="28">
        <v>2</v>
      </c>
      <c r="L19" s="28" t="s">
        <v>203</v>
      </c>
      <c r="M19" s="28"/>
      <c r="N19" s="28"/>
      <c r="O19" s="28"/>
      <c r="P19" s="31">
        <v>0</v>
      </c>
      <c r="Q19" s="31">
        <v>0</v>
      </c>
      <c r="R19" s="31">
        <v>0</v>
      </c>
      <c r="S19" s="28"/>
      <c r="T19" s="28"/>
      <c r="U19" s="28"/>
      <c r="V19" s="31">
        <v>0</v>
      </c>
      <c r="W19" s="31">
        <v>0</v>
      </c>
      <c r="X19" s="31">
        <v>0</v>
      </c>
      <c r="Y19" s="28" t="s">
        <v>236</v>
      </c>
    </row>
    <row r="20" spans="1:25" x14ac:dyDescent="0.3">
      <c r="A20" s="28" t="s">
        <v>237</v>
      </c>
      <c r="B20" s="28" t="s">
        <v>7</v>
      </c>
      <c r="C20" s="28" t="s">
        <v>235</v>
      </c>
      <c r="D20" s="28" t="s">
        <v>206</v>
      </c>
      <c r="E20" s="28" t="s">
        <v>203</v>
      </c>
      <c r="F20" s="29">
        <v>4</v>
      </c>
      <c r="G20" s="28">
        <v>1</v>
      </c>
      <c r="H20" s="28">
        <v>0</v>
      </c>
      <c r="I20" s="28"/>
      <c r="J20" s="30">
        <v>0.1</v>
      </c>
      <c r="K20" s="28">
        <v>1</v>
      </c>
      <c r="L20" s="28" t="s">
        <v>12</v>
      </c>
      <c r="M20" s="28"/>
      <c r="N20" s="28"/>
      <c r="O20" s="28"/>
      <c r="P20" s="31">
        <v>0</v>
      </c>
      <c r="Q20" s="31">
        <v>0</v>
      </c>
      <c r="R20" s="31">
        <v>0</v>
      </c>
      <c r="S20" s="28"/>
      <c r="T20" s="28"/>
      <c r="U20" s="28"/>
      <c r="V20" s="31">
        <v>0</v>
      </c>
      <c r="W20" s="31">
        <v>0</v>
      </c>
      <c r="X20" s="31">
        <v>0</v>
      </c>
      <c r="Y20" s="28" t="s">
        <v>238</v>
      </c>
    </row>
    <row r="21" spans="1:25" x14ac:dyDescent="0.3">
      <c r="A21" s="28" t="s">
        <v>239</v>
      </c>
      <c r="B21" s="28" t="s">
        <v>7</v>
      </c>
      <c r="C21" s="28" t="s">
        <v>240</v>
      </c>
      <c r="D21" s="28" t="s">
        <v>202</v>
      </c>
      <c r="E21" s="28" t="s">
        <v>203</v>
      </c>
      <c r="F21" s="29">
        <v>4</v>
      </c>
      <c r="G21" s="28">
        <v>1</v>
      </c>
      <c r="H21" s="28">
        <v>0</v>
      </c>
      <c r="I21" s="28"/>
      <c r="J21" s="30">
        <v>0.1</v>
      </c>
      <c r="K21" s="28">
        <v>2</v>
      </c>
      <c r="L21" s="28" t="s">
        <v>203</v>
      </c>
      <c r="M21" s="28"/>
      <c r="N21" s="28"/>
      <c r="O21" s="28"/>
      <c r="P21" s="31">
        <v>0</v>
      </c>
      <c r="Q21" s="31">
        <v>0</v>
      </c>
      <c r="R21" s="31">
        <v>0</v>
      </c>
      <c r="S21" s="28"/>
      <c r="T21" s="28"/>
      <c r="U21" s="28"/>
      <c r="V21" s="31">
        <v>0</v>
      </c>
      <c r="W21" s="31">
        <v>0</v>
      </c>
      <c r="X21" s="31">
        <v>0</v>
      </c>
      <c r="Y21" s="28" t="s">
        <v>241</v>
      </c>
    </row>
    <row r="22" spans="1:25" x14ac:dyDescent="0.3">
      <c r="A22" s="28" t="s">
        <v>242</v>
      </c>
      <c r="B22" s="28" t="s">
        <v>7</v>
      </c>
      <c r="C22" s="28" t="s">
        <v>240</v>
      </c>
      <c r="D22" s="28" t="s">
        <v>206</v>
      </c>
      <c r="E22" s="28" t="s">
        <v>203</v>
      </c>
      <c r="F22" s="29">
        <v>4</v>
      </c>
      <c r="G22" s="28">
        <v>1</v>
      </c>
      <c r="H22" s="28">
        <v>0</v>
      </c>
      <c r="I22" s="28"/>
      <c r="J22" s="30">
        <v>0.1</v>
      </c>
      <c r="K22" s="28">
        <v>1</v>
      </c>
      <c r="L22" s="28" t="s">
        <v>12</v>
      </c>
      <c r="M22" s="28"/>
      <c r="N22" s="28"/>
      <c r="O22" s="28"/>
      <c r="P22" s="31">
        <v>0</v>
      </c>
      <c r="Q22" s="31">
        <v>0</v>
      </c>
      <c r="R22" s="31">
        <v>0</v>
      </c>
      <c r="S22" s="28"/>
      <c r="T22" s="28"/>
      <c r="U22" s="28"/>
      <c r="V22" s="31">
        <v>0</v>
      </c>
      <c r="W22" s="31">
        <v>0</v>
      </c>
      <c r="X22" s="31">
        <v>0</v>
      </c>
      <c r="Y22" s="28" t="s">
        <v>243</v>
      </c>
    </row>
    <row r="23" spans="1:25" x14ac:dyDescent="0.3">
      <c r="A23" s="28" t="s">
        <v>244</v>
      </c>
      <c r="B23" s="28" t="s">
        <v>7</v>
      </c>
      <c r="C23" s="28" t="s">
        <v>245</v>
      </c>
      <c r="D23" s="28" t="s">
        <v>202</v>
      </c>
      <c r="E23" s="28" t="s">
        <v>203</v>
      </c>
      <c r="F23" s="29">
        <v>4</v>
      </c>
      <c r="G23" s="28">
        <v>1</v>
      </c>
      <c r="H23" s="28">
        <v>0</v>
      </c>
      <c r="I23" s="28"/>
      <c r="J23" s="30">
        <v>0.1</v>
      </c>
      <c r="K23" s="28">
        <v>2</v>
      </c>
      <c r="L23" s="28" t="s">
        <v>203</v>
      </c>
      <c r="M23" s="28"/>
      <c r="N23" s="28"/>
      <c r="O23" s="28"/>
      <c r="P23" s="31">
        <v>0</v>
      </c>
      <c r="Q23" s="31">
        <v>0</v>
      </c>
      <c r="R23" s="31">
        <v>0</v>
      </c>
      <c r="S23" s="28"/>
      <c r="T23" s="28"/>
      <c r="U23" s="28"/>
      <c r="V23" s="31">
        <v>0</v>
      </c>
      <c r="W23" s="31">
        <v>0</v>
      </c>
      <c r="X23" s="31">
        <v>0</v>
      </c>
      <c r="Y23" s="28" t="s">
        <v>246</v>
      </c>
    </row>
    <row r="24" spans="1:25" x14ac:dyDescent="0.3">
      <c r="A24" s="28" t="s">
        <v>247</v>
      </c>
      <c r="B24" s="28" t="s">
        <v>7</v>
      </c>
      <c r="C24" s="28" t="s">
        <v>245</v>
      </c>
      <c r="D24" s="28" t="s">
        <v>206</v>
      </c>
      <c r="E24" s="28" t="s">
        <v>203</v>
      </c>
      <c r="F24" s="29">
        <v>4</v>
      </c>
      <c r="G24" s="28">
        <v>1</v>
      </c>
      <c r="H24" s="28">
        <v>0</v>
      </c>
      <c r="I24" s="28"/>
      <c r="J24" s="30">
        <v>0.1</v>
      </c>
      <c r="K24" s="28">
        <v>1</v>
      </c>
      <c r="L24" s="28" t="s">
        <v>12</v>
      </c>
      <c r="M24" s="28"/>
      <c r="N24" s="28"/>
      <c r="O24" s="28"/>
      <c r="P24" s="31">
        <v>0</v>
      </c>
      <c r="Q24" s="31">
        <v>0</v>
      </c>
      <c r="R24" s="31">
        <v>0</v>
      </c>
      <c r="S24" s="28"/>
      <c r="T24" s="28"/>
      <c r="U24" s="28"/>
      <c r="V24" s="31">
        <v>0</v>
      </c>
      <c r="W24" s="31">
        <v>0</v>
      </c>
      <c r="X24" s="31">
        <v>0</v>
      </c>
      <c r="Y24" s="28" t="s">
        <v>248</v>
      </c>
    </row>
    <row r="25" spans="1:25" x14ac:dyDescent="0.3">
      <c r="A25" s="28" t="s">
        <v>249</v>
      </c>
      <c r="B25" s="28" t="s">
        <v>7</v>
      </c>
      <c r="C25" s="28" t="s">
        <v>250</v>
      </c>
      <c r="D25" s="28" t="s">
        <v>202</v>
      </c>
      <c r="E25" s="28" t="s">
        <v>203</v>
      </c>
      <c r="F25" s="29">
        <v>4</v>
      </c>
      <c r="G25" s="28">
        <v>1</v>
      </c>
      <c r="H25" s="28">
        <v>0</v>
      </c>
      <c r="I25" s="28"/>
      <c r="J25" s="30">
        <v>0.1</v>
      </c>
      <c r="K25" s="28">
        <v>2</v>
      </c>
      <c r="L25" s="28" t="s">
        <v>203</v>
      </c>
      <c r="M25" s="28"/>
      <c r="N25" s="28"/>
      <c r="O25" s="28"/>
      <c r="P25" s="31">
        <v>0</v>
      </c>
      <c r="Q25" s="31">
        <v>0</v>
      </c>
      <c r="R25" s="31">
        <v>0</v>
      </c>
      <c r="S25" s="28"/>
      <c r="T25" s="28"/>
      <c r="U25" s="28"/>
      <c r="V25" s="31">
        <v>0</v>
      </c>
      <c r="W25" s="31">
        <v>0</v>
      </c>
      <c r="X25" s="31">
        <v>0</v>
      </c>
      <c r="Y25" s="28" t="s">
        <v>251</v>
      </c>
    </row>
    <row r="26" spans="1:25" x14ac:dyDescent="0.3">
      <c r="A26" s="28" t="s">
        <v>252</v>
      </c>
      <c r="B26" s="28" t="s">
        <v>7</v>
      </c>
      <c r="C26" s="28" t="s">
        <v>250</v>
      </c>
      <c r="D26" s="28" t="s">
        <v>206</v>
      </c>
      <c r="E26" s="28" t="s">
        <v>203</v>
      </c>
      <c r="F26" s="29">
        <v>4</v>
      </c>
      <c r="G26" s="28">
        <v>1</v>
      </c>
      <c r="H26" s="28">
        <v>0</v>
      </c>
      <c r="I26" s="28"/>
      <c r="J26" s="30">
        <v>0.1</v>
      </c>
      <c r="K26" s="28">
        <v>1</v>
      </c>
      <c r="L26" s="28" t="s">
        <v>12</v>
      </c>
      <c r="M26" s="28"/>
      <c r="N26" s="28"/>
      <c r="O26" s="28"/>
      <c r="P26" s="31">
        <v>0</v>
      </c>
      <c r="Q26" s="31">
        <v>0</v>
      </c>
      <c r="R26" s="31">
        <v>0</v>
      </c>
      <c r="S26" s="28"/>
      <c r="T26" s="28"/>
      <c r="U26" s="28"/>
      <c r="V26" s="31">
        <v>0</v>
      </c>
      <c r="W26" s="31">
        <v>0</v>
      </c>
      <c r="X26" s="31">
        <v>0</v>
      </c>
      <c r="Y26" s="28" t="s">
        <v>253</v>
      </c>
    </row>
    <row r="27" spans="1:25" x14ac:dyDescent="0.3">
      <c r="A27" s="28" t="s">
        <v>254</v>
      </c>
      <c r="B27" s="28" t="s">
        <v>7</v>
      </c>
      <c r="C27" s="28" t="s">
        <v>255</v>
      </c>
      <c r="D27" s="28" t="s">
        <v>202</v>
      </c>
      <c r="E27" s="28" t="s">
        <v>203</v>
      </c>
      <c r="F27" s="29">
        <v>4</v>
      </c>
      <c r="G27" s="28">
        <v>1</v>
      </c>
      <c r="H27" s="28">
        <v>0</v>
      </c>
      <c r="I27" s="28"/>
      <c r="J27" s="30">
        <v>0.1</v>
      </c>
      <c r="K27" s="28">
        <v>4</v>
      </c>
      <c r="L27" s="28" t="s">
        <v>203</v>
      </c>
      <c r="M27" s="28"/>
      <c r="N27" s="28"/>
      <c r="O27" s="28"/>
      <c r="P27" s="31">
        <v>0</v>
      </c>
      <c r="Q27" s="31">
        <v>0</v>
      </c>
      <c r="R27" s="31">
        <v>0</v>
      </c>
      <c r="S27" s="28"/>
      <c r="T27" s="28"/>
      <c r="U27" s="28"/>
      <c r="V27" s="31">
        <v>0</v>
      </c>
      <c r="W27" s="31">
        <v>0</v>
      </c>
      <c r="X27" s="31">
        <v>0</v>
      </c>
      <c r="Y27" s="28" t="s">
        <v>256</v>
      </c>
    </row>
    <row r="28" spans="1:25" x14ac:dyDescent="0.3">
      <c r="A28" s="28" t="s">
        <v>257</v>
      </c>
      <c r="B28" s="28" t="s">
        <v>7</v>
      </c>
      <c r="C28" s="28" t="s">
        <v>255</v>
      </c>
      <c r="D28" s="28" t="s">
        <v>206</v>
      </c>
      <c r="E28" s="28" t="s">
        <v>203</v>
      </c>
      <c r="F28" s="29">
        <v>4</v>
      </c>
      <c r="G28" s="28">
        <v>1</v>
      </c>
      <c r="H28" s="28">
        <v>0</v>
      </c>
      <c r="I28" s="28"/>
      <c r="J28" s="30">
        <v>0.1</v>
      </c>
      <c r="K28" s="28">
        <v>1</v>
      </c>
      <c r="L28" s="28" t="s">
        <v>12</v>
      </c>
      <c r="M28" s="28"/>
      <c r="N28" s="28"/>
      <c r="O28" s="28"/>
      <c r="P28" s="31">
        <v>0</v>
      </c>
      <c r="Q28" s="31">
        <v>0</v>
      </c>
      <c r="R28" s="31">
        <v>0</v>
      </c>
      <c r="S28" s="28"/>
      <c r="T28" s="28"/>
      <c r="U28" s="28"/>
      <c r="V28" s="31">
        <v>0</v>
      </c>
      <c r="W28" s="31">
        <v>0</v>
      </c>
      <c r="X28" s="31">
        <v>0</v>
      </c>
      <c r="Y28" s="28" t="s">
        <v>258</v>
      </c>
    </row>
    <row r="29" spans="1:25" x14ac:dyDescent="0.3">
      <c r="A29" s="28" t="s">
        <v>259</v>
      </c>
      <c r="B29" s="28" t="s">
        <v>7</v>
      </c>
      <c r="C29" s="28" t="s">
        <v>260</v>
      </c>
      <c r="D29" s="28" t="s">
        <v>202</v>
      </c>
      <c r="E29" s="28" t="s">
        <v>203</v>
      </c>
      <c r="F29" s="29">
        <v>4</v>
      </c>
      <c r="G29" s="28">
        <v>1</v>
      </c>
      <c r="H29" s="28">
        <v>0</v>
      </c>
      <c r="I29" s="28"/>
      <c r="J29" s="30">
        <v>0.1</v>
      </c>
      <c r="K29" s="28">
        <v>0</v>
      </c>
      <c r="L29" s="28"/>
      <c r="M29" s="28" t="s">
        <v>261</v>
      </c>
      <c r="N29" s="28" t="s">
        <v>203</v>
      </c>
      <c r="O29" s="28">
        <v>2026</v>
      </c>
      <c r="P29" s="31">
        <v>888200</v>
      </c>
      <c r="Q29" s="31">
        <v>35550</v>
      </c>
      <c r="R29" s="31">
        <v>99150</v>
      </c>
      <c r="S29" s="28"/>
      <c r="T29" s="28"/>
      <c r="U29" s="28"/>
      <c r="V29" s="31">
        <v>0</v>
      </c>
      <c r="W29" s="31">
        <v>0</v>
      </c>
      <c r="X29" s="31">
        <v>0</v>
      </c>
      <c r="Y29" s="28" t="s">
        <v>262</v>
      </c>
    </row>
    <row r="30" spans="1:25" x14ac:dyDescent="0.3">
      <c r="A30" s="28" t="s">
        <v>263</v>
      </c>
      <c r="B30" s="28" t="s">
        <v>7</v>
      </c>
      <c r="C30" s="28" t="s">
        <v>260</v>
      </c>
      <c r="D30" s="28" t="s">
        <v>206</v>
      </c>
      <c r="E30" s="28" t="s">
        <v>203</v>
      </c>
      <c r="F30" s="29">
        <v>4</v>
      </c>
      <c r="G30" s="28">
        <v>1</v>
      </c>
      <c r="H30" s="28">
        <v>0</v>
      </c>
      <c r="I30" s="28"/>
      <c r="J30" s="30">
        <v>0.1</v>
      </c>
      <c r="K30" s="28">
        <v>0</v>
      </c>
      <c r="L30" s="28"/>
      <c r="M30" s="28" t="s">
        <v>261</v>
      </c>
      <c r="N30" s="28" t="s">
        <v>12</v>
      </c>
      <c r="O30" s="28">
        <v>2026</v>
      </c>
      <c r="P30" s="31">
        <v>5400</v>
      </c>
      <c r="Q30" s="31">
        <v>170</v>
      </c>
      <c r="R30" s="31">
        <v>600</v>
      </c>
      <c r="S30" s="28"/>
      <c r="T30" s="28"/>
      <c r="U30" s="28"/>
      <c r="V30" s="31">
        <v>0</v>
      </c>
      <c r="W30" s="31">
        <v>0</v>
      </c>
      <c r="X30" s="31">
        <v>0</v>
      </c>
      <c r="Y30" s="28" t="s">
        <v>262</v>
      </c>
    </row>
    <row r="31" spans="1:25" x14ac:dyDescent="0.3">
      <c r="A31" s="28" t="s">
        <v>264</v>
      </c>
      <c r="B31" s="28" t="s">
        <v>7</v>
      </c>
      <c r="C31" s="28" t="s">
        <v>265</v>
      </c>
      <c r="D31" s="28" t="s">
        <v>202</v>
      </c>
      <c r="E31" s="28" t="s">
        <v>203</v>
      </c>
      <c r="F31" s="29">
        <v>4</v>
      </c>
      <c r="G31" s="28">
        <v>1</v>
      </c>
      <c r="H31" s="28">
        <v>0</v>
      </c>
      <c r="I31" s="28"/>
      <c r="J31" s="30">
        <v>0.1</v>
      </c>
      <c r="K31" s="28">
        <v>4</v>
      </c>
      <c r="L31" s="28" t="s">
        <v>203</v>
      </c>
      <c r="M31" s="28"/>
      <c r="N31" s="28"/>
      <c r="O31" s="28"/>
      <c r="P31" s="31">
        <v>0</v>
      </c>
      <c r="Q31" s="31">
        <v>0</v>
      </c>
      <c r="R31" s="31">
        <v>0</v>
      </c>
      <c r="S31" s="28"/>
      <c r="T31" s="28"/>
      <c r="U31" s="28"/>
      <c r="V31" s="31">
        <v>0</v>
      </c>
      <c r="W31" s="31">
        <v>0</v>
      </c>
      <c r="X31" s="31">
        <v>0</v>
      </c>
      <c r="Y31" s="28" t="s">
        <v>266</v>
      </c>
    </row>
    <row r="32" spans="1:25" x14ac:dyDescent="0.3">
      <c r="A32" s="28" t="s">
        <v>267</v>
      </c>
      <c r="B32" s="28" t="s">
        <v>7</v>
      </c>
      <c r="C32" s="28" t="s">
        <v>265</v>
      </c>
      <c r="D32" s="28" t="s">
        <v>206</v>
      </c>
      <c r="E32" s="28" t="s">
        <v>203</v>
      </c>
      <c r="F32" s="29">
        <v>4</v>
      </c>
      <c r="G32" s="28">
        <v>1</v>
      </c>
      <c r="H32" s="28">
        <v>0</v>
      </c>
      <c r="I32" s="28"/>
      <c r="J32" s="30">
        <v>0.1</v>
      </c>
      <c r="K32" s="28">
        <v>1</v>
      </c>
      <c r="L32" s="28" t="s">
        <v>12</v>
      </c>
      <c r="M32" s="28"/>
      <c r="N32" s="28"/>
      <c r="O32" s="28"/>
      <c r="P32" s="31">
        <v>0</v>
      </c>
      <c r="Q32" s="31">
        <v>0</v>
      </c>
      <c r="R32" s="31">
        <v>0</v>
      </c>
      <c r="S32" s="28"/>
      <c r="T32" s="28"/>
      <c r="U32" s="28"/>
      <c r="V32" s="31">
        <v>0</v>
      </c>
      <c r="W32" s="31">
        <v>0</v>
      </c>
      <c r="X32" s="31">
        <v>0</v>
      </c>
      <c r="Y32" s="28" t="s">
        <v>268</v>
      </c>
    </row>
    <row r="33" spans="1:25" x14ac:dyDescent="0.3">
      <c r="A33" s="28" t="s">
        <v>269</v>
      </c>
      <c r="B33" s="28" t="s">
        <v>7</v>
      </c>
      <c r="C33" s="28" t="s">
        <v>270</v>
      </c>
      <c r="D33" s="28" t="s">
        <v>202</v>
      </c>
      <c r="E33" s="28" t="s">
        <v>203</v>
      </c>
      <c r="F33" s="29">
        <v>3</v>
      </c>
      <c r="G33" s="28">
        <v>1</v>
      </c>
      <c r="H33" s="28">
        <v>0</v>
      </c>
      <c r="I33" s="28"/>
      <c r="J33" s="30">
        <v>0.1</v>
      </c>
      <c r="K33" s="28">
        <v>0</v>
      </c>
      <c r="L33" s="28"/>
      <c r="M33" s="28" t="s">
        <v>261</v>
      </c>
      <c r="N33" s="28" t="s">
        <v>271</v>
      </c>
      <c r="O33" s="28">
        <v>2026</v>
      </c>
      <c r="P33" s="31">
        <v>774</v>
      </c>
      <c r="Q33" s="31">
        <v>0</v>
      </c>
      <c r="R33" s="31">
        <v>45</v>
      </c>
      <c r="S33" s="28"/>
      <c r="T33" s="28"/>
      <c r="U33" s="28"/>
      <c r="V33" s="31">
        <v>0</v>
      </c>
      <c r="W33" s="31">
        <v>0</v>
      </c>
      <c r="X33" s="31">
        <v>0</v>
      </c>
      <c r="Y33" s="28" t="s">
        <v>272</v>
      </c>
    </row>
    <row r="34" spans="1:25" x14ac:dyDescent="0.3">
      <c r="A34" s="28" t="s">
        <v>273</v>
      </c>
      <c r="B34" s="28" t="s">
        <v>7</v>
      </c>
      <c r="C34" s="28" t="s">
        <v>270</v>
      </c>
      <c r="D34" s="28" t="s">
        <v>206</v>
      </c>
      <c r="E34" s="28" t="s">
        <v>203</v>
      </c>
      <c r="F34" s="29">
        <v>3</v>
      </c>
      <c r="G34" s="28">
        <v>1</v>
      </c>
      <c r="H34" s="28">
        <v>0</v>
      </c>
      <c r="I34" s="28"/>
      <c r="J34" s="30">
        <v>0.1</v>
      </c>
      <c r="K34" s="28">
        <v>0</v>
      </c>
      <c r="L34" s="28"/>
      <c r="M34" s="28" t="s">
        <v>261</v>
      </c>
      <c r="N34" s="28" t="s">
        <v>271</v>
      </c>
      <c r="O34" s="28">
        <v>2026</v>
      </c>
      <c r="P34" s="31">
        <v>774</v>
      </c>
      <c r="Q34" s="31">
        <v>0</v>
      </c>
      <c r="R34" s="31">
        <v>45</v>
      </c>
      <c r="S34" s="28"/>
      <c r="T34" s="28"/>
      <c r="U34" s="28"/>
      <c r="V34" s="31">
        <v>0</v>
      </c>
      <c r="W34" s="31">
        <v>0</v>
      </c>
      <c r="X34" s="31">
        <v>0</v>
      </c>
      <c r="Y34" s="28" t="s">
        <v>272</v>
      </c>
    </row>
    <row r="35" spans="1:25" x14ac:dyDescent="0.3">
      <c r="A35" s="28" t="s">
        <v>274</v>
      </c>
      <c r="B35" s="28" t="s">
        <v>7</v>
      </c>
      <c r="C35" s="28" t="s">
        <v>275</v>
      </c>
      <c r="D35" s="28" t="s">
        <v>202</v>
      </c>
      <c r="E35" s="28" t="s">
        <v>203</v>
      </c>
      <c r="F35" s="29">
        <v>0</v>
      </c>
      <c r="G35" s="28">
        <v>0</v>
      </c>
      <c r="H35" s="28">
        <v>0</v>
      </c>
      <c r="I35" s="28"/>
      <c r="J35" s="30">
        <v>0.1</v>
      </c>
      <c r="K35" s="28">
        <v>0</v>
      </c>
      <c r="L35" s="28"/>
      <c r="M35" s="28" t="s">
        <v>276</v>
      </c>
      <c r="N35" s="28" t="s">
        <v>203</v>
      </c>
      <c r="O35" s="28">
        <v>2026</v>
      </c>
      <c r="P35" s="31">
        <v>0</v>
      </c>
      <c r="Q35" s="31">
        <v>0</v>
      </c>
      <c r="R35" s="31">
        <v>0</v>
      </c>
      <c r="S35" s="28"/>
      <c r="T35" s="28"/>
      <c r="U35" s="28"/>
      <c r="V35" s="31">
        <v>0</v>
      </c>
      <c r="W35" s="31">
        <v>0</v>
      </c>
      <c r="X35" s="31">
        <v>0</v>
      </c>
      <c r="Y35" s="28" t="s">
        <v>277</v>
      </c>
    </row>
    <row r="36" spans="1:25" x14ac:dyDescent="0.3">
      <c r="A36" s="28" t="s">
        <v>278</v>
      </c>
      <c r="B36" s="28" t="s">
        <v>7</v>
      </c>
      <c r="C36" s="28" t="s">
        <v>275</v>
      </c>
      <c r="D36" s="28" t="s">
        <v>206</v>
      </c>
      <c r="E36" s="28" t="s">
        <v>203</v>
      </c>
      <c r="F36" s="29">
        <v>0</v>
      </c>
      <c r="G36" s="28">
        <v>0</v>
      </c>
      <c r="H36" s="28">
        <v>0</v>
      </c>
      <c r="I36" s="28"/>
      <c r="J36" s="30">
        <v>0.1</v>
      </c>
      <c r="K36" s="28">
        <v>0</v>
      </c>
      <c r="L36" s="28"/>
      <c r="M36" s="28" t="s">
        <v>276</v>
      </c>
      <c r="N36" s="28" t="s">
        <v>203</v>
      </c>
      <c r="O36" s="28">
        <v>2026</v>
      </c>
      <c r="P36" s="31">
        <v>0</v>
      </c>
      <c r="Q36" s="31">
        <v>0</v>
      </c>
      <c r="R36" s="31">
        <v>0</v>
      </c>
      <c r="S36" s="28"/>
      <c r="T36" s="28"/>
      <c r="U36" s="28"/>
      <c r="V36" s="31">
        <v>0</v>
      </c>
      <c r="W36" s="31">
        <v>0</v>
      </c>
      <c r="X36" s="31">
        <v>0</v>
      </c>
      <c r="Y36" s="28" t="s">
        <v>277</v>
      </c>
    </row>
    <row r="37" spans="1:25" x14ac:dyDescent="0.3">
      <c r="A37" s="28" t="s">
        <v>279</v>
      </c>
      <c r="B37" s="28" t="s">
        <v>7</v>
      </c>
      <c r="C37" s="28" t="s">
        <v>280</v>
      </c>
      <c r="D37" s="28" t="s">
        <v>202</v>
      </c>
      <c r="E37" s="28" t="s">
        <v>203</v>
      </c>
      <c r="F37" s="29">
        <v>4</v>
      </c>
      <c r="G37" s="28">
        <v>1</v>
      </c>
      <c r="H37" s="28">
        <v>0</v>
      </c>
      <c r="I37" s="28"/>
      <c r="J37" s="30">
        <v>0.1</v>
      </c>
      <c r="K37" s="28">
        <v>0</v>
      </c>
      <c r="L37" s="28"/>
      <c r="M37" s="28" t="s">
        <v>261</v>
      </c>
      <c r="N37" s="28" t="s">
        <v>203</v>
      </c>
      <c r="O37" s="28">
        <v>2026</v>
      </c>
      <c r="P37" s="31">
        <v>49675</v>
      </c>
      <c r="Q37" s="31">
        <v>0</v>
      </c>
      <c r="R37" s="31">
        <v>22000</v>
      </c>
      <c r="S37" s="28"/>
      <c r="T37" s="28"/>
      <c r="U37" s="28"/>
      <c r="V37" s="31">
        <v>0</v>
      </c>
      <c r="W37" s="31">
        <v>0</v>
      </c>
      <c r="X37" s="31">
        <v>0</v>
      </c>
      <c r="Y37" s="28" t="s">
        <v>281</v>
      </c>
    </row>
    <row r="38" spans="1:25" x14ac:dyDescent="0.3">
      <c r="A38" s="28" t="s">
        <v>282</v>
      </c>
      <c r="B38" s="28" t="s">
        <v>7</v>
      </c>
      <c r="C38" s="28" t="s">
        <v>280</v>
      </c>
      <c r="D38" s="28" t="s">
        <v>206</v>
      </c>
      <c r="E38" s="28" t="s">
        <v>203</v>
      </c>
      <c r="F38" s="29">
        <v>4</v>
      </c>
      <c r="G38" s="28">
        <v>1</v>
      </c>
      <c r="H38" s="28">
        <v>0</v>
      </c>
      <c r="I38" s="28"/>
      <c r="J38" s="30">
        <v>0.1</v>
      </c>
      <c r="K38" s="28">
        <v>0</v>
      </c>
      <c r="L38" s="28"/>
      <c r="M38" s="28" t="s">
        <v>261</v>
      </c>
      <c r="N38" s="28" t="s">
        <v>203</v>
      </c>
      <c r="O38" s="28">
        <v>2026</v>
      </c>
      <c r="P38" s="31">
        <v>49675</v>
      </c>
      <c r="Q38" s="31">
        <v>0</v>
      </c>
      <c r="R38" s="31">
        <v>22000</v>
      </c>
      <c r="S38" s="28"/>
      <c r="T38" s="28"/>
      <c r="U38" s="28"/>
      <c r="V38" s="31">
        <v>0</v>
      </c>
      <c r="W38" s="31">
        <v>0</v>
      </c>
      <c r="X38" s="31">
        <v>0</v>
      </c>
      <c r="Y38" s="28" t="s">
        <v>281</v>
      </c>
    </row>
    <row r="39" spans="1:25" x14ac:dyDescent="0.3">
      <c r="A39" s="28" t="s">
        <v>283</v>
      </c>
      <c r="B39" s="28" t="s">
        <v>7</v>
      </c>
      <c r="C39" s="28" t="s">
        <v>284</v>
      </c>
      <c r="D39" s="28" t="s">
        <v>202</v>
      </c>
      <c r="E39" s="28" t="s">
        <v>203</v>
      </c>
      <c r="F39" s="29">
        <v>5</v>
      </c>
      <c r="G39" s="28">
        <v>1</v>
      </c>
      <c r="H39" s="28">
        <v>0</v>
      </c>
      <c r="I39" s="28"/>
      <c r="J39" s="30">
        <v>0.1</v>
      </c>
      <c r="K39" s="28">
        <v>1</v>
      </c>
      <c r="L39" s="28" t="s">
        <v>203</v>
      </c>
      <c r="M39" s="28"/>
      <c r="N39" s="28"/>
      <c r="O39" s="28"/>
      <c r="P39" s="31">
        <v>0</v>
      </c>
      <c r="Q39" s="31">
        <v>0</v>
      </c>
      <c r="R39" s="31">
        <v>0</v>
      </c>
      <c r="S39" s="28"/>
      <c r="T39" s="28"/>
      <c r="U39" s="28"/>
      <c r="V39" s="31">
        <v>0</v>
      </c>
      <c r="W39" s="31">
        <v>0</v>
      </c>
      <c r="X39" s="31">
        <v>0</v>
      </c>
      <c r="Y39" s="28" t="s">
        <v>285</v>
      </c>
    </row>
    <row r="40" spans="1:25" x14ac:dyDescent="0.3">
      <c r="A40" s="28" t="s">
        <v>286</v>
      </c>
      <c r="B40" s="28" t="s">
        <v>7</v>
      </c>
      <c r="C40" s="28" t="s">
        <v>284</v>
      </c>
      <c r="D40" s="28" t="s">
        <v>206</v>
      </c>
      <c r="E40" s="28" t="s">
        <v>203</v>
      </c>
      <c r="F40" s="29">
        <v>5</v>
      </c>
      <c r="G40" s="28">
        <v>1</v>
      </c>
      <c r="H40" s="28">
        <v>0</v>
      </c>
      <c r="I40" s="28"/>
      <c r="J40" s="30">
        <v>0.1</v>
      </c>
      <c r="K40" s="28">
        <v>1</v>
      </c>
      <c r="L40" s="28" t="s">
        <v>12</v>
      </c>
      <c r="M40" s="28"/>
      <c r="N40" s="28"/>
      <c r="O40" s="28"/>
      <c r="P40" s="31">
        <v>0</v>
      </c>
      <c r="Q40" s="31">
        <v>0</v>
      </c>
      <c r="R40" s="31">
        <v>0</v>
      </c>
      <c r="S40" s="28"/>
      <c r="T40" s="28"/>
      <c r="U40" s="28"/>
      <c r="V40" s="31">
        <v>0</v>
      </c>
      <c r="W40" s="31">
        <v>0</v>
      </c>
      <c r="X40" s="31">
        <v>0</v>
      </c>
      <c r="Y40" s="28" t="s">
        <v>285</v>
      </c>
    </row>
    <row r="41" spans="1:25" x14ac:dyDescent="0.3">
      <c r="A41" s="28" t="s">
        <v>287</v>
      </c>
      <c r="B41" s="28" t="s">
        <v>7</v>
      </c>
      <c r="C41" s="28" t="s">
        <v>288</v>
      </c>
      <c r="D41" s="28" t="s">
        <v>202</v>
      </c>
      <c r="E41" s="28" t="s">
        <v>203</v>
      </c>
      <c r="F41" s="29">
        <v>5</v>
      </c>
      <c r="G41" s="28">
        <v>1</v>
      </c>
      <c r="H41" s="28">
        <v>0</v>
      </c>
      <c r="I41" s="28"/>
      <c r="J41" s="30">
        <v>0.1</v>
      </c>
      <c r="K41" s="28">
        <v>1</v>
      </c>
      <c r="L41" s="28" t="s">
        <v>203</v>
      </c>
      <c r="M41" s="28"/>
      <c r="N41" s="28"/>
      <c r="O41" s="28"/>
      <c r="P41" s="31">
        <v>0</v>
      </c>
      <c r="Q41" s="31">
        <v>0</v>
      </c>
      <c r="R41" s="31">
        <v>0</v>
      </c>
      <c r="S41" s="28"/>
      <c r="T41" s="28"/>
      <c r="U41" s="28"/>
      <c r="V41" s="31">
        <v>0</v>
      </c>
      <c r="W41" s="31">
        <v>0</v>
      </c>
      <c r="X41" s="31">
        <v>0</v>
      </c>
      <c r="Y41" s="28" t="s">
        <v>289</v>
      </c>
    </row>
    <row r="42" spans="1:25" x14ac:dyDescent="0.3">
      <c r="A42" s="28" t="s">
        <v>290</v>
      </c>
      <c r="B42" s="28" t="s">
        <v>7</v>
      </c>
      <c r="C42" s="28" t="s">
        <v>288</v>
      </c>
      <c r="D42" s="28" t="s">
        <v>206</v>
      </c>
      <c r="E42" s="28" t="s">
        <v>203</v>
      </c>
      <c r="F42" s="29">
        <v>5</v>
      </c>
      <c r="G42" s="28">
        <v>1</v>
      </c>
      <c r="H42" s="28">
        <v>0</v>
      </c>
      <c r="I42" s="28"/>
      <c r="J42" s="30">
        <v>0.1</v>
      </c>
      <c r="K42" s="28">
        <v>1</v>
      </c>
      <c r="L42" s="28" t="s">
        <v>12</v>
      </c>
      <c r="M42" s="28"/>
      <c r="N42" s="28"/>
      <c r="O42" s="28"/>
      <c r="P42" s="31">
        <v>0</v>
      </c>
      <c r="Q42" s="31">
        <v>0</v>
      </c>
      <c r="R42" s="31">
        <v>0</v>
      </c>
      <c r="S42" s="28"/>
      <c r="T42" s="28"/>
      <c r="U42" s="28"/>
      <c r="V42" s="31">
        <v>0</v>
      </c>
      <c r="W42" s="31">
        <v>0</v>
      </c>
      <c r="X42" s="31">
        <v>0</v>
      </c>
      <c r="Y42" s="28" t="s">
        <v>289</v>
      </c>
    </row>
    <row r="43" spans="1:25" x14ac:dyDescent="0.3">
      <c r="A43" s="28" t="s">
        <v>291</v>
      </c>
      <c r="B43" s="28" t="s">
        <v>7</v>
      </c>
      <c r="C43" s="28" t="s">
        <v>292</v>
      </c>
      <c r="D43" s="28" t="s">
        <v>202</v>
      </c>
      <c r="E43" s="28" t="s">
        <v>203</v>
      </c>
      <c r="F43" s="29">
        <v>4</v>
      </c>
      <c r="G43" s="28">
        <v>1</v>
      </c>
      <c r="H43" s="28">
        <v>0</v>
      </c>
      <c r="I43" s="28"/>
      <c r="J43" s="30">
        <v>0.1</v>
      </c>
      <c r="K43" s="28">
        <v>1</v>
      </c>
      <c r="L43" s="28" t="s">
        <v>203</v>
      </c>
      <c r="M43" s="28"/>
      <c r="N43" s="28"/>
      <c r="O43" s="28"/>
      <c r="P43" s="31">
        <v>0</v>
      </c>
      <c r="Q43" s="31">
        <v>0</v>
      </c>
      <c r="R43" s="31">
        <v>0</v>
      </c>
      <c r="S43" s="28"/>
      <c r="T43" s="28"/>
      <c r="U43" s="28"/>
      <c r="V43" s="31">
        <v>0</v>
      </c>
      <c r="W43" s="31">
        <v>0</v>
      </c>
      <c r="X43" s="31">
        <v>0</v>
      </c>
      <c r="Y43" s="28" t="s">
        <v>293</v>
      </c>
    </row>
    <row r="44" spans="1:25" x14ac:dyDescent="0.3">
      <c r="A44" s="28" t="s">
        <v>294</v>
      </c>
      <c r="B44" s="28" t="s">
        <v>7</v>
      </c>
      <c r="C44" s="28" t="s">
        <v>292</v>
      </c>
      <c r="D44" s="28" t="s">
        <v>206</v>
      </c>
      <c r="E44" s="28" t="s">
        <v>203</v>
      </c>
      <c r="F44" s="29">
        <v>4</v>
      </c>
      <c r="G44" s="28">
        <v>1</v>
      </c>
      <c r="H44" s="28">
        <v>0</v>
      </c>
      <c r="I44" s="28"/>
      <c r="J44" s="30">
        <v>0.1</v>
      </c>
      <c r="K44" s="28">
        <v>1</v>
      </c>
      <c r="L44" s="28" t="s">
        <v>12</v>
      </c>
      <c r="M44" s="28"/>
      <c r="N44" s="28"/>
      <c r="O44" s="28"/>
      <c r="P44" s="31">
        <v>0</v>
      </c>
      <c r="Q44" s="31">
        <v>0</v>
      </c>
      <c r="R44" s="31">
        <v>0</v>
      </c>
      <c r="S44" s="28"/>
      <c r="T44" s="28"/>
      <c r="U44" s="28"/>
      <c r="V44" s="31">
        <v>0</v>
      </c>
      <c r="W44" s="31">
        <v>0</v>
      </c>
      <c r="X44" s="31">
        <v>0</v>
      </c>
      <c r="Y44" s="28" t="s">
        <v>293</v>
      </c>
    </row>
    <row r="45" spans="1:25" x14ac:dyDescent="0.3">
      <c r="A45" s="28" t="s">
        <v>295</v>
      </c>
      <c r="B45" s="28" t="s">
        <v>7</v>
      </c>
      <c r="C45" s="28" t="s">
        <v>296</v>
      </c>
      <c r="D45" s="28" t="s">
        <v>202</v>
      </c>
      <c r="E45" s="28" t="s">
        <v>203</v>
      </c>
      <c r="F45" s="29">
        <v>4</v>
      </c>
      <c r="G45" s="28">
        <v>1</v>
      </c>
      <c r="H45" s="28">
        <v>0</v>
      </c>
      <c r="I45" s="28"/>
      <c r="J45" s="30">
        <v>0.1</v>
      </c>
      <c r="K45" s="28">
        <v>1</v>
      </c>
      <c r="L45" s="28" t="s">
        <v>203</v>
      </c>
      <c r="M45" s="28"/>
      <c r="N45" s="28"/>
      <c r="O45" s="28"/>
      <c r="P45" s="31">
        <v>0</v>
      </c>
      <c r="Q45" s="31">
        <v>0</v>
      </c>
      <c r="R45" s="31">
        <v>0</v>
      </c>
      <c r="S45" s="28"/>
      <c r="T45" s="28"/>
      <c r="U45" s="28"/>
      <c r="V45" s="31">
        <v>0</v>
      </c>
      <c r="W45" s="31">
        <v>0</v>
      </c>
      <c r="X45" s="31">
        <v>0</v>
      </c>
      <c r="Y45" s="28" t="s">
        <v>297</v>
      </c>
    </row>
    <row r="46" spans="1:25" x14ac:dyDescent="0.3">
      <c r="A46" s="28" t="s">
        <v>298</v>
      </c>
      <c r="B46" s="28" t="s">
        <v>7</v>
      </c>
      <c r="C46" s="28" t="s">
        <v>296</v>
      </c>
      <c r="D46" s="28" t="s">
        <v>206</v>
      </c>
      <c r="E46" s="28" t="s">
        <v>203</v>
      </c>
      <c r="F46" s="29">
        <v>4</v>
      </c>
      <c r="G46" s="28">
        <v>1</v>
      </c>
      <c r="H46" s="28">
        <v>0</v>
      </c>
      <c r="I46" s="28"/>
      <c r="J46" s="30">
        <v>0.1</v>
      </c>
      <c r="K46" s="28">
        <v>1</v>
      </c>
      <c r="L46" s="28" t="s">
        <v>12</v>
      </c>
      <c r="M46" s="28"/>
      <c r="N46" s="28"/>
      <c r="O46" s="28"/>
      <c r="P46" s="31">
        <v>0</v>
      </c>
      <c r="Q46" s="31">
        <v>0</v>
      </c>
      <c r="R46" s="31">
        <v>0</v>
      </c>
      <c r="S46" s="28"/>
      <c r="T46" s="28"/>
      <c r="U46" s="28"/>
      <c r="V46" s="31">
        <v>0</v>
      </c>
      <c r="W46" s="31">
        <v>0</v>
      </c>
      <c r="X46" s="31">
        <v>0</v>
      </c>
      <c r="Y46" s="28" t="s">
        <v>297</v>
      </c>
    </row>
    <row r="47" spans="1:25" x14ac:dyDescent="0.3">
      <c r="A47" s="28" t="s">
        <v>299</v>
      </c>
      <c r="B47" s="28" t="s">
        <v>7</v>
      </c>
      <c r="C47" s="28" t="s">
        <v>300</v>
      </c>
      <c r="D47" s="28" t="s">
        <v>202</v>
      </c>
      <c r="E47" s="28" t="s">
        <v>203</v>
      </c>
      <c r="F47" s="29">
        <v>4</v>
      </c>
      <c r="G47" s="28">
        <v>1</v>
      </c>
      <c r="H47" s="28">
        <v>0</v>
      </c>
      <c r="I47" s="28"/>
      <c r="J47" s="30">
        <v>0.1</v>
      </c>
      <c r="K47" s="28">
        <v>0</v>
      </c>
      <c r="L47" s="28"/>
      <c r="M47" s="28" t="s">
        <v>261</v>
      </c>
      <c r="N47" s="28" t="s">
        <v>203</v>
      </c>
      <c r="O47" s="28">
        <v>2026</v>
      </c>
      <c r="P47" s="31">
        <v>635242.4</v>
      </c>
      <c r="Q47" s="31">
        <v>31693.333333333328</v>
      </c>
      <c r="R47" s="31">
        <v>61789.666666666657</v>
      </c>
      <c r="S47" s="28"/>
      <c r="T47" s="28"/>
      <c r="U47" s="28"/>
      <c r="V47" s="31">
        <v>0</v>
      </c>
      <c r="W47" s="31">
        <v>0</v>
      </c>
      <c r="X47" s="31">
        <v>0</v>
      </c>
      <c r="Y47" s="28" t="s">
        <v>301</v>
      </c>
    </row>
    <row r="48" spans="1:25" x14ac:dyDescent="0.3">
      <c r="A48" s="28" t="s">
        <v>302</v>
      </c>
      <c r="B48" s="28" t="s">
        <v>7</v>
      </c>
      <c r="C48" s="28" t="s">
        <v>300</v>
      </c>
      <c r="D48" s="28" t="s">
        <v>206</v>
      </c>
      <c r="E48" s="28" t="s">
        <v>203</v>
      </c>
      <c r="F48" s="29">
        <v>4</v>
      </c>
      <c r="G48" s="28">
        <v>1</v>
      </c>
      <c r="H48" s="28">
        <v>0</v>
      </c>
      <c r="I48" s="28"/>
      <c r="J48" s="30">
        <v>0.1</v>
      </c>
      <c r="K48" s="28">
        <v>0</v>
      </c>
      <c r="L48" s="28"/>
      <c r="M48" s="28" t="s">
        <v>261</v>
      </c>
      <c r="N48" s="28" t="s">
        <v>203</v>
      </c>
      <c r="O48" s="28">
        <v>2026</v>
      </c>
      <c r="P48" s="31">
        <v>1576157.3136</v>
      </c>
      <c r="Q48" s="31">
        <v>32069.96128</v>
      </c>
      <c r="R48" s="31">
        <v>186268.09883999999</v>
      </c>
      <c r="S48" s="28"/>
      <c r="T48" s="28"/>
      <c r="U48" s="28"/>
      <c r="V48" s="31">
        <v>0</v>
      </c>
      <c r="W48" s="31">
        <v>0</v>
      </c>
      <c r="X48" s="31">
        <v>0</v>
      </c>
      <c r="Y48" s="28" t="s">
        <v>301</v>
      </c>
    </row>
    <row r="49" spans="1:25" x14ac:dyDescent="0.3">
      <c r="A49" s="28" t="s">
        <v>303</v>
      </c>
      <c r="B49" s="28" t="s">
        <v>91</v>
      </c>
      <c r="C49" s="28" t="s">
        <v>201</v>
      </c>
      <c r="D49" s="28" t="s">
        <v>202</v>
      </c>
      <c r="E49" s="28" t="s">
        <v>304</v>
      </c>
      <c r="F49" s="29">
        <v>4.5</v>
      </c>
      <c r="G49" s="28">
        <v>1</v>
      </c>
      <c r="H49" s="28">
        <v>0</v>
      </c>
      <c r="I49" s="28"/>
      <c r="J49" s="30">
        <v>0.06</v>
      </c>
      <c r="K49" s="28">
        <v>1</v>
      </c>
      <c r="L49" s="28" t="s">
        <v>304</v>
      </c>
      <c r="M49" s="28"/>
      <c r="N49" s="28"/>
      <c r="O49" s="28"/>
      <c r="P49" s="31">
        <v>0</v>
      </c>
      <c r="Q49" s="31">
        <v>0</v>
      </c>
      <c r="R49" s="31">
        <v>0</v>
      </c>
      <c r="S49" s="28"/>
      <c r="T49" s="28"/>
      <c r="U49" s="28"/>
      <c r="V49" s="31">
        <v>0</v>
      </c>
      <c r="W49" s="31">
        <v>0</v>
      </c>
      <c r="X49" s="31">
        <v>0</v>
      </c>
      <c r="Y49" s="28" t="s">
        <v>305</v>
      </c>
    </row>
    <row r="50" spans="1:25" x14ac:dyDescent="0.3">
      <c r="A50" s="28" t="s">
        <v>306</v>
      </c>
      <c r="B50" s="28" t="s">
        <v>91</v>
      </c>
      <c r="C50" s="28" t="s">
        <v>201</v>
      </c>
      <c r="D50" s="28" t="s">
        <v>206</v>
      </c>
      <c r="E50" s="28" t="s">
        <v>304</v>
      </c>
      <c r="F50" s="29">
        <v>4.5</v>
      </c>
      <c r="G50" s="28">
        <v>1</v>
      </c>
      <c r="H50" s="28">
        <v>0</v>
      </c>
      <c r="I50" s="28"/>
      <c r="J50" s="30">
        <v>0.06</v>
      </c>
      <c r="K50" s="28">
        <v>0</v>
      </c>
      <c r="L50" s="28"/>
      <c r="M50" s="28" t="s">
        <v>261</v>
      </c>
      <c r="N50" s="28" t="s">
        <v>304</v>
      </c>
      <c r="O50" s="28">
        <v>2026</v>
      </c>
      <c r="P50" s="31">
        <v>1953556</v>
      </c>
      <c r="Q50" s="31">
        <v>1197778</v>
      </c>
      <c r="R50" s="31">
        <v>0</v>
      </c>
      <c r="S50" s="28"/>
      <c r="T50" s="28"/>
      <c r="U50" s="28"/>
      <c r="V50" s="31">
        <v>0</v>
      </c>
      <c r="W50" s="31">
        <v>0</v>
      </c>
      <c r="X50" s="31">
        <v>0</v>
      </c>
      <c r="Y50" s="28" t="s">
        <v>307</v>
      </c>
    </row>
    <row r="51" spans="1:25" x14ac:dyDescent="0.3">
      <c r="A51" s="28" t="s">
        <v>308</v>
      </c>
      <c r="B51" s="28" t="s">
        <v>91</v>
      </c>
      <c r="C51" s="28" t="s">
        <v>209</v>
      </c>
      <c r="D51" s="28" t="s">
        <v>202</v>
      </c>
      <c r="E51" s="28" t="s">
        <v>304</v>
      </c>
      <c r="F51" s="29">
        <v>4</v>
      </c>
      <c r="G51" s="28">
        <v>1</v>
      </c>
      <c r="H51" s="28">
        <v>0</v>
      </c>
      <c r="I51" s="28"/>
      <c r="J51" s="30">
        <v>0.06</v>
      </c>
      <c r="K51" s="28">
        <v>2</v>
      </c>
      <c r="L51" s="28" t="s">
        <v>304</v>
      </c>
      <c r="M51" s="28"/>
      <c r="N51" s="28"/>
      <c r="O51" s="28"/>
      <c r="P51" s="31">
        <v>0</v>
      </c>
      <c r="Q51" s="31">
        <v>0</v>
      </c>
      <c r="R51" s="31">
        <v>0</v>
      </c>
      <c r="S51" s="28"/>
      <c r="T51" s="28"/>
      <c r="U51" s="28"/>
      <c r="V51" s="31">
        <v>0</v>
      </c>
      <c r="W51" s="31">
        <v>0</v>
      </c>
      <c r="X51" s="31">
        <v>0</v>
      </c>
      <c r="Y51" s="28" t="s">
        <v>309</v>
      </c>
    </row>
    <row r="52" spans="1:25" x14ac:dyDescent="0.3">
      <c r="A52" s="28" t="s">
        <v>310</v>
      </c>
      <c r="B52" s="28" t="s">
        <v>91</v>
      </c>
      <c r="C52" s="28" t="s">
        <v>209</v>
      </c>
      <c r="D52" s="28" t="s">
        <v>206</v>
      </c>
      <c r="E52" s="28" t="s">
        <v>304</v>
      </c>
      <c r="F52" s="29">
        <v>4</v>
      </c>
      <c r="G52" s="28">
        <v>1</v>
      </c>
      <c r="H52" s="28">
        <v>0</v>
      </c>
      <c r="I52" s="28"/>
      <c r="J52" s="30">
        <v>0.06</v>
      </c>
      <c r="K52" s="28">
        <v>0</v>
      </c>
      <c r="L52" s="28"/>
      <c r="M52" s="28" t="s">
        <v>261</v>
      </c>
      <c r="N52" s="28" t="s">
        <v>304</v>
      </c>
      <c r="O52" s="28">
        <v>2026</v>
      </c>
      <c r="P52" s="31">
        <v>806140</v>
      </c>
      <c r="Q52" s="31">
        <v>266260</v>
      </c>
      <c r="R52" s="31">
        <v>0</v>
      </c>
      <c r="S52" s="28"/>
      <c r="T52" s="28"/>
      <c r="U52" s="28"/>
      <c r="V52" s="31">
        <v>0</v>
      </c>
      <c r="W52" s="31">
        <v>0</v>
      </c>
      <c r="X52" s="31">
        <v>0</v>
      </c>
      <c r="Y52" s="28" t="s">
        <v>311</v>
      </c>
    </row>
    <row r="53" spans="1:25" x14ac:dyDescent="0.3">
      <c r="A53" s="28" t="s">
        <v>312</v>
      </c>
      <c r="B53" s="28" t="s">
        <v>91</v>
      </c>
      <c r="C53" s="28" t="s">
        <v>213</v>
      </c>
      <c r="D53" s="28" t="s">
        <v>202</v>
      </c>
      <c r="E53" s="28" t="s">
        <v>304</v>
      </c>
      <c r="F53" s="29">
        <v>4</v>
      </c>
      <c r="G53" s="28">
        <v>1</v>
      </c>
      <c r="H53" s="28">
        <v>0</v>
      </c>
      <c r="I53" s="28"/>
      <c r="J53" s="30">
        <v>0.06</v>
      </c>
      <c r="K53" s="28">
        <v>1</v>
      </c>
      <c r="L53" s="28" t="s">
        <v>304</v>
      </c>
      <c r="M53" s="28"/>
      <c r="N53" s="28"/>
      <c r="O53" s="28"/>
      <c r="P53" s="31">
        <v>0</v>
      </c>
      <c r="Q53" s="31">
        <v>0</v>
      </c>
      <c r="R53" s="31">
        <v>0</v>
      </c>
      <c r="S53" s="28"/>
      <c r="T53" s="28"/>
      <c r="U53" s="28"/>
      <c r="V53" s="31">
        <v>0</v>
      </c>
      <c r="W53" s="31">
        <v>0</v>
      </c>
      <c r="X53" s="31">
        <v>0</v>
      </c>
      <c r="Y53" s="28" t="s">
        <v>313</v>
      </c>
    </row>
    <row r="54" spans="1:25" x14ac:dyDescent="0.3">
      <c r="A54" s="28" t="s">
        <v>314</v>
      </c>
      <c r="B54" s="28" t="s">
        <v>91</v>
      </c>
      <c r="C54" s="28" t="s">
        <v>213</v>
      </c>
      <c r="D54" s="28" t="s">
        <v>206</v>
      </c>
      <c r="E54" s="28" t="s">
        <v>304</v>
      </c>
      <c r="F54" s="29">
        <v>4</v>
      </c>
      <c r="G54" s="28">
        <v>1</v>
      </c>
      <c r="H54" s="28">
        <v>0</v>
      </c>
      <c r="I54" s="28"/>
      <c r="J54" s="30">
        <v>0.06</v>
      </c>
      <c r="K54" s="28">
        <v>0</v>
      </c>
      <c r="L54" s="28"/>
      <c r="M54" s="28" t="s">
        <v>261</v>
      </c>
      <c r="N54" s="28" t="s">
        <v>304</v>
      </c>
      <c r="O54" s="28">
        <v>2026</v>
      </c>
      <c r="P54" s="31">
        <v>500000</v>
      </c>
      <c r="Q54" s="31">
        <v>314000</v>
      </c>
      <c r="R54" s="31">
        <v>0</v>
      </c>
      <c r="S54" s="28"/>
      <c r="T54" s="28"/>
      <c r="U54" s="28"/>
      <c r="V54" s="31">
        <v>0</v>
      </c>
      <c r="W54" s="31">
        <v>0</v>
      </c>
      <c r="X54" s="31">
        <v>0</v>
      </c>
      <c r="Y54" s="28" t="s">
        <v>315</v>
      </c>
    </row>
    <row r="55" spans="1:25" x14ac:dyDescent="0.3">
      <c r="A55" s="28" t="s">
        <v>316</v>
      </c>
      <c r="B55" s="28" t="s">
        <v>91</v>
      </c>
      <c r="C55" s="28" t="s">
        <v>217</v>
      </c>
      <c r="D55" s="28" t="s">
        <v>202</v>
      </c>
      <c r="E55" s="28" t="s">
        <v>304</v>
      </c>
      <c r="F55" s="29">
        <v>4</v>
      </c>
      <c r="G55" s="28">
        <v>1</v>
      </c>
      <c r="H55" s="28">
        <v>0</v>
      </c>
      <c r="I55" s="28"/>
      <c r="J55" s="30">
        <v>0.06</v>
      </c>
      <c r="K55" s="28">
        <v>1</v>
      </c>
      <c r="L55" s="28" t="s">
        <v>304</v>
      </c>
      <c r="M55" s="28"/>
      <c r="N55" s="28"/>
      <c r="O55" s="28"/>
      <c r="P55" s="31">
        <v>0</v>
      </c>
      <c r="Q55" s="31">
        <v>0</v>
      </c>
      <c r="R55" s="31">
        <v>0</v>
      </c>
      <c r="S55" s="28"/>
      <c r="T55" s="28"/>
      <c r="U55" s="28"/>
      <c r="V55" s="31">
        <v>0</v>
      </c>
      <c r="W55" s="31">
        <v>0</v>
      </c>
      <c r="X55" s="31">
        <v>0</v>
      </c>
      <c r="Y55" s="28" t="s">
        <v>317</v>
      </c>
    </row>
    <row r="56" spans="1:25" x14ac:dyDescent="0.3">
      <c r="A56" s="28" t="s">
        <v>318</v>
      </c>
      <c r="B56" s="28" t="s">
        <v>91</v>
      </c>
      <c r="C56" s="28" t="s">
        <v>217</v>
      </c>
      <c r="D56" s="28" t="s">
        <v>206</v>
      </c>
      <c r="E56" s="28" t="s">
        <v>304</v>
      </c>
      <c r="F56" s="29">
        <v>4</v>
      </c>
      <c r="G56" s="28">
        <v>1</v>
      </c>
      <c r="H56" s="28">
        <v>0</v>
      </c>
      <c r="I56" s="28"/>
      <c r="J56" s="30">
        <v>0.06</v>
      </c>
      <c r="K56" s="28">
        <v>0</v>
      </c>
      <c r="L56" s="28"/>
      <c r="M56" s="28" t="s">
        <v>261</v>
      </c>
      <c r="N56" s="28" t="s">
        <v>304</v>
      </c>
      <c r="O56" s="28">
        <v>2026</v>
      </c>
      <c r="P56" s="31">
        <v>332000</v>
      </c>
      <c r="Q56" s="31">
        <v>114000</v>
      </c>
      <c r="R56" s="31">
        <v>0</v>
      </c>
      <c r="S56" s="28"/>
      <c r="T56" s="28"/>
      <c r="U56" s="28"/>
      <c r="V56" s="31">
        <v>0</v>
      </c>
      <c r="W56" s="31">
        <v>0</v>
      </c>
      <c r="X56" s="31">
        <v>0</v>
      </c>
      <c r="Y56" s="28" t="s">
        <v>319</v>
      </c>
    </row>
    <row r="57" spans="1:25" x14ac:dyDescent="0.3">
      <c r="A57" s="28" t="s">
        <v>320</v>
      </c>
      <c r="B57" s="28" t="s">
        <v>91</v>
      </c>
      <c r="C57" s="28" t="s">
        <v>221</v>
      </c>
      <c r="D57" s="28" t="s">
        <v>202</v>
      </c>
      <c r="E57" s="28" t="s">
        <v>304</v>
      </c>
      <c r="F57" s="29">
        <v>4.5</v>
      </c>
      <c r="G57" s="28">
        <v>1</v>
      </c>
      <c r="H57" s="28">
        <v>0</v>
      </c>
      <c r="I57" s="28"/>
      <c r="J57" s="30">
        <v>0.06</v>
      </c>
      <c r="K57" s="28">
        <v>1</v>
      </c>
      <c r="L57" s="28" t="s">
        <v>304</v>
      </c>
      <c r="M57" s="28"/>
      <c r="N57" s="28"/>
      <c r="O57" s="28"/>
      <c r="P57" s="31">
        <v>0</v>
      </c>
      <c r="Q57" s="31">
        <v>0</v>
      </c>
      <c r="R57" s="31">
        <v>0</v>
      </c>
      <c r="S57" s="28"/>
      <c r="T57" s="28"/>
      <c r="U57" s="28"/>
      <c r="V57" s="31">
        <v>0</v>
      </c>
      <c r="W57" s="31">
        <v>0</v>
      </c>
      <c r="X57" s="31">
        <v>0</v>
      </c>
      <c r="Y57" s="28" t="s">
        <v>321</v>
      </c>
    </row>
    <row r="58" spans="1:25" x14ac:dyDescent="0.3">
      <c r="A58" s="28" t="s">
        <v>322</v>
      </c>
      <c r="B58" s="28" t="s">
        <v>91</v>
      </c>
      <c r="C58" s="28" t="s">
        <v>221</v>
      </c>
      <c r="D58" s="28" t="s">
        <v>206</v>
      </c>
      <c r="E58" s="28" t="s">
        <v>304</v>
      </c>
      <c r="F58" s="29">
        <v>4.5</v>
      </c>
      <c r="G58" s="28">
        <v>1</v>
      </c>
      <c r="H58" s="28">
        <v>0</v>
      </c>
      <c r="I58" s="28"/>
      <c r="J58" s="30">
        <v>0.06</v>
      </c>
      <c r="K58" s="28">
        <v>0</v>
      </c>
      <c r="L58" s="28"/>
      <c r="M58" s="28" t="s">
        <v>261</v>
      </c>
      <c r="N58" s="28" t="s">
        <v>304</v>
      </c>
      <c r="O58" s="28">
        <v>2026</v>
      </c>
      <c r="P58" s="31">
        <v>416000</v>
      </c>
      <c r="Q58" s="31">
        <v>138666</v>
      </c>
      <c r="R58" s="31">
        <v>0</v>
      </c>
      <c r="S58" s="28"/>
      <c r="T58" s="28"/>
      <c r="U58" s="28"/>
      <c r="V58" s="31">
        <v>0</v>
      </c>
      <c r="W58" s="31">
        <v>0</v>
      </c>
      <c r="X58" s="31">
        <v>0</v>
      </c>
      <c r="Y58" s="28" t="s">
        <v>323</v>
      </c>
    </row>
    <row r="59" spans="1:25" x14ac:dyDescent="0.3">
      <c r="A59" s="28" t="s">
        <v>324</v>
      </c>
      <c r="B59" s="28" t="s">
        <v>91</v>
      </c>
      <c r="C59" s="28" t="s">
        <v>225</v>
      </c>
      <c r="D59" s="28" t="s">
        <v>202</v>
      </c>
      <c r="E59" s="28" t="s">
        <v>304</v>
      </c>
      <c r="F59" s="29">
        <v>4</v>
      </c>
      <c r="G59" s="28">
        <v>1</v>
      </c>
      <c r="H59" s="28">
        <v>0</v>
      </c>
      <c r="I59" s="28"/>
      <c r="J59" s="30">
        <v>0.06</v>
      </c>
      <c r="K59" s="28">
        <v>2</v>
      </c>
      <c r="L59" s="28" t="s">
        <v>304</v>
      </c>
      <c r="M59" s="28"/>
      <c r="N59" s="28"/>
      <c r="O59" s="28"/>
      <c r="P59" s="31">
        <v>0</v>
      </c>
      <c r="Q59" s="31">
        <v>0</v>
      </c>
      <c r="R59" s="31">
        <v>0</v>
      </c>
      <c r="S59" s="28"/>
      <c r="T59" s="28"/>
      <c r="U59" s="28"/>
      <c r="V59" s="31">
        <v>0</v>
      </c>
      <c r="W59" s="31">
        <v>0</v>
      </c>
      <c r="X59" s="31">
        <v>0</v>
      </c>
      <c r="Y59" s="28" t="s">
        <v>325</v>
      </c>
    </row>
    <row r="60" spans="1:25" x14ac:dyDescent="0.3">
      <c r="A60" s="28" t="s">
        <v>326</v>
      </c>
      <c r="B60" s="28" t="s">
        <v>91</v>
      </c>
      <c r="C60" s="28" t="s">
        <v>225</v>
      </c>
      <c r="D60" s="28" t="s">
        <v>206</v>
      </c>
      <c r="E60" s="28" t="s">
        <v>304</v>
      </c>
      <c r="F60" s="29">
        <v>4</v>
      </c>
      <c r="G60" s="28">
        <v>1</v>
      </c>
      <c r="H60" s="28">
        <v>0</v>
      </c>
      <c r="I60" s="28"/>
      <c r="J60" s="30">
        <v>0.06</v>
      </c>
      <c r="K60" s="28">
        <v>0</v>
      </c>
      <c r="L60" s="28"/>
      <c r="M60" s="28" t="s">
        <v>261</v>
      </c>
      <c r="N60" s="28" t="s">
        <v>304</v>
      </c>
      <c r="O60" s="28">
        <v>2026</v>
      </c>
      <c r="P60" s="31">
        <v>489000</v>
      </c>
      <c r="Q60" s="31">
        <v>189338</v>
      </c>
      <c r="R60" s="31">
        <v>0</v>
      </c>
      <c r="S60" s="28"/>
      <c r="T60" s="28"/>
      <c r="U60" s="28"/>
      <c r="V60" s="31">
        <v>0</v>
      </c>
      <c r="W60" s="31">
        <v>0</v>
      </c>
      <c r="X60" s="31">
        <v>0</v>
      </c>
      <c r="Y60" s="28" t="s">
        <v>327</v>
      </c>
    </row>
    <row r="61" spans="1:25" x14ac:dyDescent="0.3">
      <c r="A61" s="28" t="s">
        <v>328</v>
      </c>
      <c r="B61" s="28" t="s">
        <v>91</v>
      </c>
      <c r="C61" s="28" t="s">
        <v>230</v>
      </c>
      <c r="D61" s="28" t="s">
        <v>202</v>
      </c>
      <c r="E61" s="28" t="s">
        <v>304</v>
      </c>
      <c r="F61" s="29">
        <v>4</v>
      </c>
      <c r="G61" s="28">
        <v>1</v>
      </c>
      <c r="H61" s="28">
        <v>0</v>
      </c>
      <c r="I61" s="28"/>
      <c r="J61" s="30">
        <v>0.06</v>
      </c>
      <c r="K61" s="28">
        <v>3</v>
      </c>
      <c r="L61" s="28" t="s">
        <v>304</v>
      </c>
      <c r="M61" s="28"/>
      <c r="N61" s="28"/>
      <c r="O61" s="28"/>
      <c r="P61" s="31">
        <v>0</v>
      </c>
      <c r="Q61" s="31">
        <v>0</v>
      </c>
      <c r="R61" s="31">
        <v>0</v>
      </c>
      <c r="S61" s="28"/>
      <c r="T61" s="28"/>
      <c r="U61" s="28"/>
      <c r="V61" s="31">
        <v>0</v>
      </c>
      <c r="W61" s="31">
        <v>0</v>
      </c>
      <c r="X61" s="31">
        <v>0</v>
      </c>
      <c r="Y61" s="28" t="s">
        <v>329</v>
      </c>
    </row>
    <row r="62" spans="1:25" x14ac:dyDescent="0.3">
      <c r="A62" s="28" t="s">
        <v>330</v>
      </c>
      <c r="B62" s="28" t="s">
        <v>91</v>
      </c>
      <c r="C62" s="28" t="s">
        <v>230</v>
      </c>
      <c r="D62" s="28" t="s">
        <v>206</v>
      </c>
      <c r="E62" s="28" t="s">
        <v>304</v>
      </c>
      <c r="F62" s="29">
        <v>4</v>
      </c>
      <c r="G62" s="28">
        <v>1</v>
      </c>
      <c r="H62" s="28">
        <v>0</v>
      </c>
      <c r="I62" s="28"/>
      <c r="J62" s="30">
        <v>0.06</v>
      </c>
      <c r="K62" s="28">
        <v>0</v>
      </c>
      <c r="L62" s="28"/>
      <c r="M62" s="28" t="s">
        <v>261</v>
      </c>
      <c r="N62" s="28" t="s">
        <v>304</v>
      </c>
      <c r="O62" s="28">
        <v>2026</v>
      </c>
      <c r="P62" s="31">
        <v>729080</v>
      </c>
      <c r="Q62" s="31">
        <v>166892</v>
      </c>
      <c r="R62" s="31">
        <v>1498.133333333333</v>
      </c>
      <c r="S62" s="28"/>
      <c r="T62" s="28"/>
      <c r="U62" s="28"/>
      <c r="V62" s="31">
        <v>0</v>
      </c>
      <c r="W62" s="31">
        <v>0</v>
      </c>
      <c r="X62" s="31">
        <v>0</v>
      </c>
      <c r="Y62" s="28" t="s">
        <v>331</v>
      </c>
    </row>
    <row r="63" spans="1:25" x14ac:dyDescent="0.3">
      <c r="A63" s="28" t="s">
        <v>332</v>
      </c>
      <c r="B63" s="28" t="s">
        <v>91</v>
      </c>
      <c r="C63" s="28" t="s">
        <v>235</v>
      </c>
      <c r="D63" s="28" t="s">
        <v>202</v>
      </c>
      <c r="E63" s="28" t="s">
        <v>304</v>
      </c>
      <c r="F63" s="29">
        <v>4</v>
      </c>
      <c r="G63" s="28">
        <v>1</v>
      </c>
      <c r="H63" s="28">
        <v>0</v>
      </c>
      <c r="I63" s="28"/>
      <c r="J63" s="30">
        <v>0.06</v>
      </c>
      <c r="K63" s="28">
        <v>0</v>
      </c>
      <c r="L63" s="28"/>
      <c r="M63" s="28" t="s">
        <v>261</v>
      </c>
      <c r="N63" s="28" t="s">
        <v>304</v>
      </c>
      <c r="O63" s="28">
        <v>2026</v>
      </c>
      <c r="P63" s="31">
        <v>364540</v>
      </c>
      <c r="Q63" s="31">
        <v>83446</v>
      </c>
      <c r="R63" s="31">
        <v>749.06666666666672</v>
      </c>
      <c r="S63" s="28"/>
      <c r="T63" s="28"/>
      <c r="U63" s="28"/>
      <c r="V63" s="31">
        <v>0</v>
      </c>
      <c r="W63" s="31">
        <v>0</v>
      </c>
      <c r="X63" s="31">
        <v>0</v>
      </c>
      <c r="Y63" s="28" t="s">
        <v>333</v>
      </c>
    </row>
    <row r="64" spans="1:25" x14ac:dyDescent="0.3">
      <c r="A64" s="28" t="s">
        <v>334</v>
      </c>
      <c r="B64" s="28" t="s">
        <v>91</v>
      </c>
      <c r="C64" s="28" t="s">
        <v>235</v>
      </c>
      <c r="D64" s="28" t="s">
        <v>206</v>
      </c>
      <c r="E64" s="28" t="s">
        <v>304</v>
      </c>
      <c r="F64" s="29">
        <v>4</v>
      </c>
      <c r="G64" s="28">
        <v>1</v>
      </c>
      <c r="H64" s="28">
        <v>0</v>
      </c>
      <c r="I64" s="28"/>
      <c r="J64" s="30">
        <v>0.06</v>
      </c>
      <c r="K64" s="28">
        <v>0</v>
      </c>
      <c r="L64" s="28"/>
      <c r="M64" s="28" t="s">
        <v>261</v>
      </c>
      <c r="N64" s="28" t="s">
        <v>304</v>
      </c>
      <c r="O64" s="28">
        <v>2026</v>
      </c>
      <c r="P64" s="31">
        <v>729080</v>
      </c>
      <c r="Q64" s="31">
        <v>166892</v>
      </c>
      <c r="R64" s="31">
        <v>1498.133333333333</v>
      </c>
      <c r="S64" s="28"/>
      <c r="T64" s="28"/>
      <c r="U64" s="28"/>
      <c r="V64" s="31">
        <v>0</v>
      </c>
      <c r="W64" s="31">
        <v>0</v>
      </c>
      <c r="X64" s="31">
        <v>0</v>
      </c>
      <c r="Y64" s="28" t="s">
        <v>335</v>
      </c>
    </row>
    <row r="65" spans="1:25" x14ac:dyDescent="0.3">
      <c r="A65" s="28" t="s">
        <v>336</v>
      </c>
      <c r="B65" s="28" t="s">
        <v>91</v>
      </c>
      <c r="C65" s="28" t="s">
        <v>240</v>
      </c>
      <c r="D65" s="28" t="s">
        <v>202</v>
      </c>
      <c r="E65" s="28" t="s">
        <v>304</v>
      </c>
      <c r="F65" s="29">
        <v>4</v>
      </c>
      <c r="G65" s="28">
        <v>1</v>
      </c>
      <c r="H65" s="28">
        <v>0</v>
      </c>
      <c r="I65" s="28"/>
      <c r="J65" s="30">
        <v>0.06</v>
      </c>
      <c r="K65" s="28">
        <v>1</v>
      </c>
      <c r="L65" s="28" t="s">
        <v>304</v>
      </c>
      <c r="M65" s="28"/>
      <c r="N65" s="28"/>
      <c r="O65" s="28"/>
      <c r="P65" s="31">
        <v>0</v>
      </c>
      <c r="Q65" s="31">
        <v>0</v>
      </c>
      <c r="R65" s="31">
        <v>0</v>
      </c>
      <c r="S65" s="28"/>
      <c r="T65" s="28"/>
      <c r="U65" s="28"/>
      <c r="V65" s="31">
        <v>0</v>
      </c>
      <c r="W65" s="31">
        <v>0</v>
      </c>
      <c r="X65" s="31">
        <v>0</v>
      </c>
      <c r="Y65" s="28" t="s">
        <v>337</v>
      </c>
    </row>
    <row r="66" spans="1:25" x14ac:dyDescent="0.3">
      <c r="A66" s="28" t="s">
        <v>338</v>
      </c>
      <c r="B66" s="28" t="s">
        <v>91</v>
      </c>
      <c r="C66" s="28" t="s">
        <v>240</v>
      </c>
      <c r="D66" s="28" t="s">
        <v>206</v>
      </c>
      <c r="E66" s="28" t="s">
        <v>304</v>
      </c>
      <c r="F66" s="29">
        <v>4</v>
      </c>
      <c r="G66" s="28">
        <v>1</v>
      </c>
      <c r="H66" s="28">
        <v>0</v>
      </c>
      <c r="I66" s="28"/>
      <c r="J66" s="30">
        <v>0.06</v>
      </c>
      <c r="K66" s="28">
        <v>0</v>
      </c>
      <c r="L66" s="28"/>
      <c r="M66" s="28" t="s">
        <v>261</v>
      </c>
      <c r="N66" s="28" t="s">
        <v>304</v>
      </c>
      <c r="O66" s="28">
        <v>2026</v>
      </c>
      <c r="P66" s="31">
        <v>606000</v>
      </c>
      <c r="Q66" s="31">
        <v>372000</v>
      </c>
      <c r="R66" s="31">
        <v>0</v>
      </c>
      <c r="S66" s="28"/>
      <c r="T66" s="28"/>
      <c r="U66" s="28"/>
      <c r="V66" s="31">
        <v>0</v>
      </c>
      <c r="W66" s="31">
        <v>0</v>
      </c>
      <c r="X66" s="31">
        <v>0</v>
      </c>
      <c r="Y66" s="28" t="s">
        <v>339</v>
      </c>
    </row>
    <row r="67" spans="1:25" x14ac:dyDescent="0.3">
      <c r="A67" s="28" t="s">
        <v>340</v>
      </c>
      <c r="B67" s="28" t="s">
        <v>91</v>
      </c>
      <c r="C67" s="28" t="s">
        <v>245</v>
      </c>
      <c r="D67" s="28" t="s">
        <v>202</v>
      </c>
      <c r="E67" s="28" t="s">
        <v>304</v>
      </c>
      <c r="F67" s="29">
        <v>4</v>
      </c>
      <c r="G67" s="28">
        <v>1</v>
      </c>
      <c r="H67" s="28">
        <v>0</v>
      </c>
      <c r="I67" s="28"/>
      <c r="J67" s="30">
        <v>0.06</v>
      </c>
      <c r="K67" s="28">
        <v>1</v>
      </c>
      <c r="L67" s="28" t="s">
        <v>304</v>
      </c>
      <c r="M67" s="28"/>
      <c r="N67" s="28"/>
      <c r="O67" s="28"/>
      <c r="P67" s="31">
        <v>0</v>
      </c>
      <c r="Q67" s="31">
        <v>0</v>
      </c>
      <c r="R67" s="31">
        <v>0</v>
      </c>
      <c r="S67" s="28"/>
      <c r="T67" s="28"/>
      <c r="U67" s="28"/>
      <c r="V67" s="31">
        <v>0</v>
      </c>
      <c r="W67" s="31">
        <v>0</v>
      </c>
      <c r="X67" s="31">
        <v>0</v>
      </c>
      <c r="Y67" s="28" t="s">
        <v>341</v>
      </c>
    </row>
    <row r="68" spans="1:25" x14ac:dyDescent="0.3">
      <c r="A68" s="28" t="s">
        <v>342</v>
      </c>
      <c r="B68" s="28" t="s">
        <v>91</v>
      </c>
      <c r="C68" s="28" t="s">
        <v>245</v>
      </c>
      <c r="D68" s="28" t="s">
        <v>206</v>
      </c>
      <c r="E68" s="28" t="s">
        <v>304</v>
      </c>
      <c r="F68" s="29">
        <v>4</v>
      </c>
      <c r="G68" s="28">
        <v>1</v>
      </c>
      <c r="H68" s="28">
        <v>0</v>
      </c>
      <c r="I68" s="28"/>
      <c r="J68" s="30">
        <v>0.06</v>
      </c>
      <c r="K68" s="28">
        <v>0</v>
      </c>
      <c r="L68" s="28"/>
      <c r="M68" s="28" t="s">
        <v>261</v>
      </c>
      <c r="N68" s="28" t="s">
        <v>304</v>
      </c>
      <c r="O68" s="28">
        <v>2026</v>
      </c>
      <c r="P68" s="31">
        <v>644480</v>
      </c>
      <c r="Q68" s="31">
        <v>387960</v>
      </c>
      <c r="R68" s="31">
        <v>0</v>
      </c>
      <c r="S68" s="28"/>
      <c r="T68" s="28"/>
      <c r="U68" s="28"/>
      <c r="V68" s="31">
        <v>0</v>
      </c>
      <c r="W68" s="31">
        <v>0</v>
      </c>
      <c r="X68" s="31">
        <v>0</v>
      </c>
      <c r="Y68" s="28" t="s">
        <v>343</v>
      </c>
    </row>
    <row r="69" spans="1:25" x14ac:dyDescent="0.3">
      <c r="A69" s="28" t="s">
        <v>344</v>
      </c>
      <c r="B69" s="28" t="s">
        <v>91</v>
      </c>
      <c r="C69" s="28" t="s">
        <v>250</v>
      </c>
      <c r="D69" s="28" t="s">
        <v>202</v>
      </c>
      <c r="E69" s="28" t="s">
        <v>304</v>
      </c>
      <c r="F69" s="29">
        <v>4</v>
      </c>
      <c r="G69" s="28">
        <v>1</v>
      </c>
      <c r="H69" s="28">
        <v>0</v>
      </c>
      <c r="I69" s="28"/>
      <c r="J69" s="30">
        <v>0.06</v>
      </c>
      <c r="K69" s="28">
        <v>1</v>
      </c>
      <c r="L69" s="28" t="s">
        <v>304</v>
      </c>
      <c r="M69" s="28"/>
      <c r="N69" s="28"/>
      <c r="O69" s="28"/>
      <c r="P69" s="31">
        <v>0</v>
      </c>
      <c r="Q69" s="31">
        <v>0</v>
      </c>
      <c r="R69" s="31">
        <v>0</v>
      </c>
      <c r="S69" s="28"/>
      <c r="T69" s="28"/>
      <c r="U69" s="28"/>
      <c r="V69" s="31">
        <v>0</v>
      </c>
      <c r="W69" s="31">
        <v>0</v>
      </c>
      <c r="X69" s="31">
        <v>0</v>
      </c>
      <c r="Y69" s="28" t="s">
        <v>345</v>
      </c>
    </row>
    <row r="70" spans="1:25" x14ac:dyDescent="0.3">
      <c r="A70" s="28" t="s">
        <v>346</v>
      </c>
      <c r="B70" s="28" t="s">
        <v>91</v>
      </c>
      <c r="C70" s="28" t="s">
        <v>250</v>
      </c>
      <c r="D70" s="28" t="s">
        <v>206</v>
      </c>
      <c r="E70" s="28" t="s">
        <v>304</v>
      </c>
      <c r="F70" s="29">
        <v>4</v>
      </c>
      <c r="G70" s="28">
        <v>1</v>
      </c>
      <c r="H70" s="28">
        <v>0</v>
      </c>
      <c r="I70" s="28"/>
      <c r="J70" s="30">
        <v>0.06</v>
      </c>
      <c r="K70" s="28">
        <v>0</v>
      </c>
      <c r="L70" s="28"/>
      <c r="M70" s="28" t="s">
        <v>261</v>
      </c>
      <c r="N70" s="28" t="s">
        <v>304</v>
      </c>
      <c r="O70" s="28">
        <v>2026</v>
      </c>
      <c r="P70" s="31">
        <v>644480</v>
      </c>
      <c r="Q70" s="31">
        <v>387960</v>
      </c>
      <c r="R70" s="31">
        <v>0</v>
      </c>
      <c r="S70" s="28"/>
      <c r="T70" s="28"/>
      <c r="U70" s="28"/>
      <c r="V70" s="31">
        <v>0</v>
      </c>
      <c r="W70" s="31">
        <v>0</v>
      </c>
      <c r="X70" s="31">
        <v>0</v>
      </c>
      <c r="Y70" s="28" t="s">
        <v>347</v>
      </c>
    </row>
    <row r="71" spans="1:25" x14ac:dyDescent="0.3">
      <c r="A71" s="28" t="s">
        <v>348</v>
      </c>
      <c r="B71" s="28" t="s">
        <v>91</v>
      </c>
      <c r="C71" s="28" t="s">
        <v>255</v>
      </c>
      <c r="D71" s="28" t="s">
        <v>202</v>
      </c>
      <c r="E71" s="28" t="s">
        <v>304</v>
      </c>
      <c r="F71" s="29">
        <v>3</v>
      </c>
      <c r="G71" s="28">
        <v>1</v>
      </c>
      <c r="H71" s="28">
        <v>0</v>
      </c>
      <c r="I71" s="28"/>
      <c r="J71" s="30">
        <v>0.06</v>
      </c>
      <c r="K71" s="28">
        <v>3</v>
      </c>
      <c r="L71" s="28" t="s">
        <v>304</v>
      </c>
      <c r="M71" s="28"/>
      <c r="N71" s="28"/>
      <c r="O71" s="28"/>
      <c r="P71" s="31">
        <v>0</v>
      </c>
      <c r="Q71" s="31">
        <v>0</v>
      </c>
      <c r="R71" s="31">
        <v>0</v>
      </c>
      <c r="S71" s="28"/>
      <c r="T71" s="28"/>
      <c r="U71" s="28"/>
      <c r="V71" s="31">
        <v>0</v>
      </c>
      <c r="W71" s="31">
        <v>0</v>
      </c>
      <c r="X71" s="31">
        <v>0</v>
      </c>
      <c r="Y71" s="28" t="s">
        <v>349</v>
      </c>
    </row>
    <row r="72" spans="1:25" x14ac:dyDescent="0.3">
      <c r="A72" s="28" t="s">
        <v>350</v>
      </c>
      <c r="B72" s="28" t="s">
        <v>91</v>
      </c>
      <c r="C72" s="28" t="s">
        <v>255</v>
      </c>
      <c r="D72" s="28" t="s">
        <v>206</v>
      </c>
      <c r="E72" s="28" t="s">
        <v>304</v>
      </c>
      <c r="F72" s="29">
        <v>3</v>
      </c>
      <c r="G72" s="28">
        <v>1</v>
      </c>
      <c r="H72" s="28">
        <v>0</v>
      </c>
      <c r="I72" s="28"/>
      <c r="J72" s="30">
        <v>0.06</v>
      </c>
      <c r="K72" s="28">
        <v>1</v>
      </c>
      <c r="L72" s="28" t="s">
        <v>12</v>
      </c>
      <c r="M72" s="28"/>
      <c r="N72" s="28"/>
      <c r="O72" s="28"/>
      <c r="P72" s="31">
        <v>0</v>
      </c>
      <c r="Q72" s="31">
        <v>0</v>
      </c>
      <c r="R72" s="31">
        <v>0</v>
      </c>
      <c r="S72" s="28"/>
      <c r="T72" s="28"/>
      <c r="U72" s="28"/>
      <c r="V72" s="31">
        <v>0</v>
      </c>
      <c r="W72" s="31">
        <v>0</v>
      </c>
      <c r="X72" s="31">
        <v>0</v>
      </c>
      <c r="Y72" s="28" t="s">
        <v>351</v>
      </c>
    </row>
    <row r="73" spans="1:25" x14ac:dyDescent="0.3">
      <c r="A73" s="28" t="s">
        <v>352</v>
      </c>
      <c r="B73" s="28" t="s">
        <v>91</v>
      </c>
      <c r="C73" s="28" t="s">
        <v>260</v>
      </c>
      <c r="D73" s="28" t="s">
        <v>202</v>
      </c>
      <c r="E73" s="28" t="s">
        <v>304</v>
      </c>
      <c r="F73" s="29">
        <v>3</v>
      </c>
      <c r="G73" s="28">
        <v>1</v>
      </c>
      <c r="H73" s="28">
        <v>0</v>
      </c>
      <c r="I73" s="28"/>
      <c r="J73" s="30">
        <v>0.06</v>
      </c>
      <c r="K73" s="28">
        <v>1</v>
      </c>
      <c r="L73" s="28" t="s">
        <v>304</v>
      </c>
      <c r="M73" s="28"/>
      <c r="N73" s="28"/>
      <c r="O73" s="28"/>
      <c r="P73" s="31">
        <v>0</v>
      </c>
      <c r="Q73" s="31">
        <v>0</v>
      </c>
      <c r="R73" s="31">
        <v>0</v>
      </c>
      <c r="S73" s="28"/>
      <c r="T73" s="28"/>
      <c r="U73" s="28"/>
      <c r="V73" s="31">
        <v>0</v>
      </c>
      <c r="W73" s="31">
        <v>0</v>
      </c>
      <c r="X73" s="31">
        <v>0</v>
      </c>
      <c r="Y73" s="28" t="s">
        <v>353</v>
      </c>
    </row>
    <row r="74" spans="1:25" x14ac:dyDescent="0.3">
      <c r="A74" s="28" t="s">
        <v>354</v>
      </c>
      <c r="B74" s="28" t="s">
        <v>91</v>
      </c>
      <c r="C74" s="28" t="s">
        <v>260</v>
      </c>
      <c r="D74" s="28" t="s">
        <v>206</v>
      </c>
      <c r="E74" s="28" t="s">
        <v>304</v>
      </c>
      <c r="F74" s="29">
        <v>3</v>
      </c>
      <c r="G74" s="28">
        <v>1</v>
      </c>
      <c r="H74" s="28">
        <v>0</v>
      </c>
      <c r="I74" s="28"/>
      <c r="J74" s="30">
        <v>0.06</v>
      </c>
      <c r="K74" s="28">
        <v>0</v>
      </c>
      <c r="L74" s="28"/>
      <c r="M74" s="28" t="s">
        <v>261</v>
      </c>
      <c r="N74" s="28" t="s">
        <v>304</v>
      </c>
      <c r="O74" s="28">
        <v>2026</v>
      </c>
      <c r="P74" s="31">
        <v>356000</v>
      </c>
      <c r="Q74" s="31">
        <v>218000</v>
      </c>
      <c r="R74" s="31">
        <v>0</v>
      </c>
      <c r="S74" s="28"/>
      <c r="T74" s="28"/>
      <c r="U74" s="28"/>
      <c r="V74" s="31">
        <v>0</v>
      </c>
      <c r="W74" s="31">
        <v>0</v>
      </c>
      <c r="X74" s="31">
        <v>0</v>
      </c>
      <c r="Y74" s="28" t="s">
        <v>355</v>
      </c>
    </row>
    <row r="75" spans="1:25" x14ac:dyDescent="0.3">
      <c r="A75" s="28" t="s">
        <v>356</v>
      </c>
      <c r="B75" s="28" t="s">
        <v>91</v>
      </c>
      <c r="C75" s="28" t="s">
        <v>265</v>
      </c>
      <c r="D75" s="28" t="s">
        <v>202</v>
      </c>
      <c r="E75" s="28" t="s">
        <v>304</v>
      </c>
      <c r="F75" s="29">
        <v>3</v>
      </c>
      <c r="G75" s="28">
        <v>1</v>
      </c>
      <c r="H75" s="28">
        <v>0</v>
      </c>
      <c r="I75" s="28"/>
      <c r="J75" s="30">
        <v>0.06</v>
      </c>
      <c r="K75" s="28">
        <v>3</v>
      </c>
      <c r="L75" s="28" t="s">
        <v>304</v>
      </c>
      <c r="M75" s="28"/>
      <c r="N75" s="28"/>
      <c r="O75" s="28"/>
      <c r="P75" s="31">
        <v>0</v>
      </c>
      <c r="Q75" s="31">
        <v>0</v>
      </c>
      <c r="R75" s="31">
        <v>0</v>
      </c>
      <c r="S75" s="28"/>
      <c r="T75" s="28"/>
      <c r="U75" s="28"/>
      <c r="V75" s="31">
        <v>0</v>
      </c>
      <c r="W75" s="31">
        <v>0</v>
      </c>
      <c r="X75" s="31">
        <v>0</v>
      </c>
      <c r="Y75" s="28" t="s">
        <v>357</v>
      </c>
    </row>
    <row r="76" spans="1:25" x14ac:dyDescent="0.3">
      <c r="A76" s="28" t="s">
        <v>358</v>
      </c>
      <c r="B76" s="28" t="s">
        <v>91</v>
      </c>
      <c r="C76" s="28" t="s">
        <v>265</v>
      </c>
      <c r="D76" s="28" t="s">
        <v>206</v>
      </c>
      <c r="E76" s="28" t="s">
        <v>304</v>
      </c>
      <c r="F76" s="29">
        <v>3</v>
      </c>
      <c r="G76" s="28">
        <v>1</v>
      </c>
      <c r="H76" s="28">
        <v>0</v>
      </c>
      <c r="I76" s="28"/>
      <c r="J76" s="30">
        <v>0.06</v>
      </c>
      <c r="K76" s="28">
        <v>0</v>
      </c>
      <c r="L76" s="28"/>
      <c r="M76" s="28" t="s">
        <v>261</v>
      </c>
      <c r="N76" s="28" t="s">
        <v>304</v>
      </c>
      <c r="O76" s="28">
        <v>2026</v>
      </c>
      <c r="P76" s="31">
        <v>202860.5333333333</v>
      </c>
      <c r="Q76" s="31">
        <v>135509</v>
      </c>
      <c r="R76" s="31">
        <v>0</v>
      </c>
      <c r="S76" s="28"/>
      <c r="T76" s="28"/>
      <c r="U76" s="28"/>
      <c r="V76" s="31">
        <v>0</v>
      </c>
      <c r="W76" s="31">
        <v>0</v>
      </c>
      <c r="X76" s="31">
        <v>0</v>
      </c>
      <c r="Y76" s="28" t="s">
        <v>359</v>
      </c>
    </row>
    <row r="77" spans="1:25" x14ac:dyDescent="0.3">
      <c r="A77" s="28" t="s">
        <v>360</v>
      </c>
      <c r="B77" s="28" t="s">
        <v>91</v>
      </c>
      <c r="C77" s="28" t="s">
        <v>270</v>
      </c>
      <c r="D77" s="28" t="s">
        <v>202</v>
      </c>
      <c r="E77" s="28" t="s">
        <v>304</v>
      </c>
      <c r="F77" s="29">
        <v>3</v>
      </c>
      <c r="G77" s="28">
        <v>1</v>
      </c>
      <c r="H77" s="28">
        <v>0</v>
      </c>
      <c r="I77" s="28"/>
      <c r="J77" s="30">
        <v>0.06</v>
      </c>
      <c r="K77" s="28">
        <v>0</v>
      </c>
      <c r="L77" s="28"/>
      <c r="M77" s="28" t="s">
        <v>261</v>
      </c>
      <c r="N77" s="28" t="s">
        <v>271</v>
      </c>
      <c r="O77" s="28">
        <v>2026</v>
      </c>
      <c r="P77" s="31">
        <v>834</v>
      </c>
      <c r="Q77" s="31">
        <v>0</v>
      </c>
      <c r="R77" s="31">
        <v>30</v>
      </c>
      <c r="S77" s="28"/>
      <c r="T77" s="28"/>
      <c r="U77" s="28"/>
      <c r="V77" s="31">
        <v>0</v>
      </c>
      <c r="W77" s="31">
        <v>0</v>
      </c>
      <c r="X77" s="31">
        <v>0</v>
      </c>
      <c r="Y77" s="28" t="s">
        <v>361</v>
      </c>
    </row>
    <row r="78" spans="1:25" x14ac:dyDescent="0.3">
      <c r="A78" s="28" t="s">
        <v>362</v>
      </c>
      <c r="B78" s="28" t="s">
        <v>91</v>
      </c>
      <c r="C78" s="28" t="s">
        <v>270</v>
      </c>
      <c r="D78" s="28" t="s">
        <v>206</v>
      </c>
      <c r="E78" s="28" t="s">
        <v>304</v>
      </c>
      <c r="F78" s="29">
        <v>3</v>
      </c>
      <c r="G78" s="28">
        <v>1</v>
      </c>
      <c r="H78" s="28">
        <v>0</v>
      </c>
      <c r="I78" s="28"/>
      <c r="J78" s="30">
        <v>0.06</v>
      </c>
      <c r="K78" s="28">
        <v>0</v>
      </c>
      <c r="L78" s="28"/>
      <c r="M78" s="28" t="s">
        <v>261</v>
      </c>
      <c r="N78" s="28" t="s">
        <v>271</v>
      </c>
      <c r="O78" s="28">
        <v>2026</v>
      </c>
      <c r="P78" s="31">
        <v>834</v>
      </c>
      <c r="Q78" s="31">
        <v>0</v>
      </c>
      <c r="R78" s="31">
        <v>30</v>
      </c>
      <c r="S78" s="28"/>
      <c r="T78" s="28"/>
      <c r="U78" s="28"/>
      <c r="V78" s="31">
        <v>0</v>
      </c>
      <c r="W78" s="31">
        <v>0</v>
      </c>
      <c r="X78" s="31">
        <v>0</v>
      </c>
      <c r="Y78" s="28" t="s">
        <v>361</v>
      </c>
    </row>
    <row r="79" spans="1:25" x14ac:dyDescent="0.3">
      <c r="A79" s="28" t="s">
        <v>363</v>
      </c>
      <c r="B79" s="28" t="s">
        <v>91</v>
      </c>
      <c r="C79" s="28" t="s">
        <v>275</v>
      </c>
      <c r="D79" s="28" t="s">
        <v>202</v>
      </c>
      <c r="E79" s="28" t="s">
        <v>304</v>
      </c>
      <c r="F79" s="29">
        <v>0</v>
      </c>
      <c r="G79" s="28">
        <v>0</v>
      </c>
      <c r="H79" s="28">
        <v>0</v>
      </c>
      <c r="I79" s="28"/>
      <c r="J79" s="30">
        <v>0.06</v>
      </c>
      <c r="K79" s="28">
        <v>0</v>
      </c>
      <c r="L79" s="28"/>
      <c r="M79" s="28" t="s">
        <v>276</v>
      </c>
      <c r="N79" s="28" t="s">
        <v>304</v>
      </c>
      <c r="O79" s="28">
        <v>2026</v>
      </c>
      <c r="P79" s="31">
        <v>0</v>
      </c>
      <c r="Q79" s="31">
        <v>0</v>
      </c>
      <c r="R79" s="31">
        <v>0</v>
      </c>
      <c r="S79" s="28"/>
      <c r="T79" s="28"/>
      <c r="U79" s="28"/>
      <c r="V79" s="31">
        <v>0</v>
      </c>
      <c r="W79" s="31">
        <v>0</v>
      </c>
      <c r="X79" s="31">
        <v>0</v>
      </c>
      <c r="Y79" s="28" t="s">
        <v>277</v>
      </c>
    </row>
    <row r="80" spans="1:25" x14ac:dyDescent="0.3">
      <c r="A80" s="28" t="s">
        <v>364</v>
      </c>
      <c r="B80" s="28" t="s">
        <v>91</v>
      </c>
      <c r="C80" s="28" t="s">
        <v>275</v>
      </c>
      <c r="D80" s="28" t="s">
        <v>206</v>
      </c>
      <c r="E80" s="28" t="s">
        <v>304</v>
      </c>
      <c r="F80" s="29">
        <v>0</v>
      </c>
      <c r="G80" s="28">
        <v>0</v>
      </c>
      <c r="H80" s="28">
        <v>0</v>
      </c>
      <c r="I80" s="28"/>
      <c r="J80" s="30">
        <v>0.06</v>
      </c>
      <c r="K80" s="28">
        <v>0</v>
      </c>
      <c r="L80" s="28"/>
      <c r="M80" s="28" t="s">
        <v>276</v>
      </c>
      <c r="N80" s="28" t="s">
        <v>304</v>
      </c>
      <c r="O80" s="28">
        <v>2026</v>
      </c>
      <c r="P80" s="31">
        <v>0</v>
      </c>
      <c r="Q80" s="31">
        <v>0</v>
      </c>
      <c r="R80" s="31">
        <v>0</v>
      </c>
      <c r="S80" s="28"/>
      <c r="T80" s="28"/>
      <c r="U80" s="28"/>
      <c r="V80" s="31">
        <v>0</v>
      </c>
      <c r="W80" s="31">
        <v>0</v>
      </c>
      <c r="X80" s="31">
        <v>0</v>
      </c>
      <c r="Y80" s="28" t="s">
        <v>277</v>
      </c>
    </row>
    <row r="81" spans="1:25" x14ac:dyDescent="0.3">
      <c r="A81" s="28" t="s">
        <v>365</v>
      </c>
      <c r="B81" s="28" t="s">
        <v>91</v>
      </c>
      <c r="C81" s="28" t="s">
        <v>280</v>
      </c>
      <c r="D81" s="28" t="s">
        <v>202</v>
      </c>
      <c r="E81" s="28" t="s">
        <v>304</v>
      </c>
      <c r="F81" s="29">
        <v>4.5</v>
      </c>
      <c r="G81" s="28">
        <v>1</v>
      </c>
      <c r="H81" s="28">
        <v>0</v>
      </c>
      <c r="I81" s="28"/>
      <c r="J81" s="30">
        <v>0.06</v>
      </c>
      <c r="K81" s="28">
        <v>0</v>
      </c>
      <c r="L81" s="28"/>
      <c r="M81" s="28" t="s">
        <v>261</v>
      </c>
      <c r="N81" s="28" t="s">
        <v>304</v>
      </c>
      <c r="O81" s="28">
        <v>2026</v>
      </c>
      <c r="P81" s="31">
        <v>12556</v>
      </c>
      <c r="Q81" s="31">
        <v>0</v>
      </c>
      <c r="R81" s="31">
        <v>0</v>
      </c>
      <c r="S81" s="28"/>
      <c r="T81" s="28"/>
      <c r="U81" s="28"/>
      <c r="V81" s="31">
        <v>0</v>
      </c>
      <c r="W81" s="31">
        <v>0</v>
      </c>
      <c r="X81" s="31">
        <v>0</v>
      </c>
      <c r="Y81" s="28" t="s">
        <v>366</v>
      </c>
    </row>
    <row r="82" spans="1:25" x14ac:dyDescent="0.3">
      <c r="A82" s="28" t="s">
        <v>367</v>
      </c>
      <c r="B82" s="28" t="s">
        <v>91</v>
      </c>
      <c r="C82" s="28" t="s">
        <v>280</v>
      </c>
      <c r="D82" s="28" t="s">
        <v>206</v>
      </c>
      <c r="E82" s="28" t="s">
        <v>304</v>
      </c>
      <c r="F82" s="29">
        <v>4.5</v>
      </c>
      <c r="G82" s="28">
        <v>1</v>
      </c>
      <c r="H82" s="28">
        <v>0</v>
      </c>
      <c r="I82" s="28"/>
      <c r="J82" s="30">
        <v>0.06</v>
      </c>
      <c r="K82" s="28">
        <v>0</v>
      </c>
      <c r="L82" s="28"/>
      <c r="M82" s="28" t="s">
        <v>261</v>
      </c>
      <c r="N82" s="28" t="s">
        <v>304</v>
      </c>
      <c r="O82" s="28">
        <v>2026</v>
      </c>
      <c r="P82" s="31">
        <v>12556</v>
      </c>
      <c r="Q82" s="31">
        <v>0</v>
      </c>
      <c r="R82" s="31">
        <v>0</v>
      </c>
      <c r="S82" s="28"/>
      <c r="T82" s="28"/>
      <c r="U82" s="28"/>
      <c r="V82" s="31">
        <v>0</v>
      </c>
      <c r="W82" s="31">
        <v>0</v>
      </c>
      <c r="X82" s="31">
        <v>0</v>
      </c>
      <c r="Y82" s="28" t="s">
        <v>366</v>
      </c>
    </row>
    <row r="83" spans="1:25" x14ac:dyDescent="0.3">
      <c r="A83" s="28" t="s">
        <v>368</v>
      </c>
      <c r="B83" s="28" t="s">
        <v>91</v>
      </c>
      <c r="C83" s="28" t="s">
        <v>284</v>
      </c>
      <c r="D83" s="28" t="s">
        <v>202</v>
      </c>
      <c r="E83" s="28" t="s">
        <v>304</v>
      </c>
      <c r="F83" s="29">
        <v>5</v>
      </c>
      <c r="G83" s="28">
        <v>1</v>
      </c>
      <c r="H83" s="28">
        <v>0</v>
      </c>
      <c r="I83" s="28"/>
      <c r="J83" s="30">
        <v>0.06</v>
      </c>
      <c r="K83" s="28">
        <v>1</v>
      </c>
      <c r="L83" s="28" t="s">
        <v>304</v>
      </c>
      <c r="M83" s="28"/>
      <c r="N83" s="28"/>
      <c r="O83" s="28"/>
      <c r="P83" s="31">
        <v>0</v>
      </c>
      <c r="Q83" s="31">
        <v>0</v>
      </c>
      <c r="R83" s="31">
        <v>0</v>
      </c>
      <c r="S83" s="28"/>
      <c r="T83" s="28"/>
      <c r="U83" s="28"/>
      <c r="V83" s="31">
        <v>0</v>
      </c>
      <c r="W83" s="31">
        <v>0</v>
      </c>
      <c r="X83" s="31">
        <v>0</v>
      </c>
      <c r="Y83" s="28" t="s">
        <v>369</v>
      </c>
    </row>
    <row r="84" spans="1:25" x14ac:dyDescent="0.3">
      <c r="A84" s="28" t="s">
        <v>370</v>
      </c>
      <c r="B84" s="28" t="s">
        <v>91</v>
      </c>
      <c r="C84" s="28" t="s">
        <v>284</v>
      </c>
      <c r="D84" s="28" t="s">
        <v>206</v>
      </c>
      <c r="E84" s="28" t="s">
        <v>304</v>
      </c>
      <c r="F84" s="29">
        <v>5</v>
      </c>
      <c r="G84" s="28">
        <v>1</v>
      </c>
      <c r="H84" s="28">
        <v>0</v>
      </c>
      <c r="I84" s="28"/>
      <c r="J84" s="30">
        <v>0.06</v>
      </c>
      <c r="K84" s="28">
        <v>0</v>
      </c>
      <c r="L84" s="28"/>
      <c r="M84" s="28" t="s">
        <v>261</v>
      </c>
      <c r="N84" s="28" t="s">
        <v>304</v>
      </c>
      <c r="O84" s="28">
        <v>2026</v>
      </c>
      <c r="P84" s="31">
        <v>546000</v>
      </c>
      <c r="Q84" s="31">
        <v>186000</v>
      </c>
      <c r="R84" s="31">
        <v>0</v>
      </c>
      <c r="S84" s="28"/>
      <c r="T84" s="28"/>
      <c r="U84" s="28"/>
      <c r="V84" s="31">
        <v>0</v>
      </c>
      <c r="W84" s="31">
        <v>0</v>
      </c>
      <c r="X84" s="31">
        <v>0</v>
      </c>
      <c r="Y84" s="28" t="s">
        <v>371</v>
      </c>
    </row>
    <row r="85" spans="1:25" x14ac:dyDescent="0.3">
      <c r="A85" s="28" t="s">
        <v>372</v>
      </c>
      <c r="B85" s="28" t="s">
        <v>91</v>
      </c>
      <c r="C85" s="28" t="s">
        <v>288</v>
      </c>
      <c r="D85" s="28" t="s">
        <v>202</v>
      </c>
      <c r="E85" s="28" t="s">
        <v>304</v>
      </c>
      <c r="F85" s="29">
        <v>5</v>
      </c>
      <c r="G85" s="28">
        <v>1</v>
      </c>
      <c r="H85" s="28">
        <v>0</v>
      </c>
      <c r="I85" s="28"/>
      <c r="J85" s="30">
        <v>0.06</v>
      </c>
      <c r="K85" s="28">
        <v>1</v>
      </c>
      <c r="L85" s="28" t="s">
        <v>304</v>
      </c>
      <c r="M85" s="28"/>
      <c r="N85" s="28"/>
      <c r="O85" s="28"/>
      <c r="P85" s="31">
        <v>0</v>
      </c>
      <c r="Q85" s="31">
        <v>0</v>
      </c>
      <c r="R85" s="31">
        <v>0</v>
      </c>
      <c r="S85" s="28"/>
      <c r="T85" s="28"/>
      <c r="U85" s="28"/>
      <c r="V85" s="31">
        <v>0</v>
      </c>
      <c r="W85" s="31">
        <v>0</v>
      </c>
      <c r="X85" s="31">
        <v>0</v>
      </c>
      <c r="Y85" s="28" t="s">
        <v>373</v>
      </c>
    </row>
    <row r="86" spans="1:25" x14ac:dyDescent="0.3">
      <c r="A86" s="28" t="s">
        <v>374</v>
      </c>
      <c r="B86" s="28" t="s">
        <v>91</v>
      </c>
      <c r="C86" s="28" t="s">
        <v>288</v>
      </c>
      <c r="D86" s="28" t="s">
        <v>206</v>
      </c>
      <c r="E86" s="28" t="s">
        <v>304</v>
      </c>
      <c r="F86" s="29">
        <v>5</v>
      </c>
      <c r="G86" s="28">
        <v>1</v>
      </c>
      <c r="H86" s="28">
        <v>0</v>
      </c>
      <c r="I86" s="28"/>
      <c r="J86" s="30">
        <v>0.06</v>
      </c>
      <c r="K86" s="28">
        <v>0</v>
      </c>
      <c r="L86" s="28"/>
      <c r="M86" s="28" t="s">
        <v>261</v>
      </c>
      <c r="N86" s="28" t="s">
        <v>304</v>
      </c>
      <c r="O86" s="28">
        <v>2026</v>
      </c>
      <c r="P86" s="31">
        <v>544000</v>
      </c>
      <c r="Q86" s="31">
        <v>336000</v>
      </c>
      <c r="R86" s="31">
        <v>0</v>
      </c>
      <c r="S86" s="28"/>
      <c r="T86" s="28"/>
      <c r="U86" s="28"/>
      <c r="V86" s="31">
        <v>0</v>
      </c>
      <c r="W86" s="31">
        <v>0</v>
      </c>
      <c r="X86" s="31">
        <v>0</v>
      </c>
      <c r="Y86" s="28" t="s">
        <v>375</v>
      </c>
    </row>
    <row r="87" spans="1:25" x14ac:dyDescent="0.3">
      <c r="A87" s="28" t="s">
        <v>376</v>
      </c>
      <c r="B87" s="28" t="s">
        <v>91</v>
      </c>
      <c r="C87" s="28" t="s">
        <v>292</v>
      </c>
      <c r="D87" s="28" t="s">
        <v>202</v>
      </c>
      <c r="E87" s="28" t="s">
        <v>304</v>
      </c>
      <c r="F87" s="29">
        <v>3</v>
      </c>
      <c r="G87" s="28">
        <v>1</v>
      </c>
      <c r="H87" s="28">
        <v>0</v>
      </c>
      <c r="I87" s="28"/>
      <c r="J87" s="30">
        <v>0.06</v>
      </c>
      <c r="K87" s="28">
        <v>1</v>
      </c>
      <c r="L87" s="28" t="s">
        <v>304</v>
      </c>
      <c r="M87" s="28"/>
      <c r="N87" s="28"/>
      <c r="O87" s="28"/>
      <c r="P87" s="31">
        <v>0</v>
      </c>
      <c r="Q87" s="31">
        <v>0</v>
      </c>
      <c r="R87" s="31">
        <v>0</v>
      </c>
      <c r="S87" s="28"/>
      <c r="T87" s="28"/>
      <c r="U87" s="28"/>
      <c r="V87" s="31">
        <v>0</v>
      </c>
      <c r="W87" s="31">
        <v>0</v>
      </c>
      <c r="X87" s="31">
        <v>0</v>
      </c>
      <c r="Y87" s="28" t="s">
        <v>377</v>
      </c>
    </row>
    <row r="88" spans="1:25" x14ac:dyDescent="0.3">
      <c r="A88" s="28" t="s">
        <v>378</v>
      </c>
      <c r="B88" s="28" t="s">
        <v>91</v>
      </c>
      <c r="C88" s="28" t="s">
        <v>292</v>
      </c>
      <c r="D88" s="28" t="s">
        <v>206</v>
      </c>
      <c r="E88" s="28" t="s">
        <v>304</v>
      </c>
      <c r="F88" s="29">
        <v>3</v>
      </c>
      <c r="G88" s="28">
        <v>1</v>
      </c>
      <c r="H88" s="28">
        <v>0</v>
      </c>
      <c r="I88" s="28"/>
      <c r="J88" s="30">
        <v>0.06</v>
      </c>
      <c r="K88" s="28">
        <v>0</v>
      </c>
      <c r="L88" s="28"/>
      <c r="M88" s="28" t="s">
        <v>261</v>
      </c>
      <c r="N88" s="28" t="s">
        <v>304</v>
      </c>
      <c r="O88" s="28">
        <v>2026</v>
      </c>
      <c r="P88" s="31">
        <v>442000</v>
      </c>
      <c r="Q88" s="31">
        <v>150000</v>
      </c>
      <c r="R88" s="31">
        <v>0</v>
      </c>
      <c r="S88" s="28"/>
      <c r="T88" s="28"/>
      <c r="U88" s="28"/>
      <c r="V88" s="31">
        <v>0</v>
      </c>
      <c r="W88" s="31">
        <v>0</v>
      </c>
      <c r="X88" s="31">
        <v>0</v>
      </c>
      <c r="Y88" s="28" t="s">
        <v>379</v>
      </c>
    </row>
    <row r="89" spans="1:25" x14ac:dyDescent="0.3">
      <c r="A89" s="28" t="s">
        <v>380</v>
      </c>
      <c r="B89" s="28" t="s">
        <v>91</v>
      </c>
      <c r="C89" s="28" t="s">
        <v>296</v>
      </c>
      <c r="D89" s="28" t="s">
        <v>202</v>
      </c>
      <c r="E89" s="28" t="s">
        <v>304</v>
      </c>
      <c r="F89" s="29">
        <v>4</v>
      </c>
      <c r="G89" s="28">
        <v>1</v>
      </c>
      <c r="H89" s="28">
        <v>0</v>
      </c>
      <c r="I89" s="28"/>
      <c r="J89" s="30">
        <v>0.06</v>
      </c>
      <c r="K89" s="28">
        <v>1</v>
      </c>
      <c r="L89" s="28" t="s">
        <v>304</v>
      </c>
      <c r="M89" s="28"/>
      <c r="N89" s="28"/>
      <c r="O89" s="28"/>
      <c r="P89" s="31">
        <v>0</v>
      </c>
      <c r="Q89" s="31">
        <v>0</v>
      </c>
      <c r="R89" s="31">
        <v>0</v>
      </c>
      <c r="S89" s="28"/>
      <c r="T89" s="28"/>
      <c r="U89" s="28"/>
      <c r="V89" s="31">
        <v>0</v>
      </c>
      <c r="W89" s="31">
        <v>0</v>
      </c>
      <c r="X89" s="31">
        <v>0</v>
      </c>
      <c r="Y89" s="28" t="s">
        <v>381</v>
      </c>
    </row>
    <row r="90" spans="1:25" x14ac:dyDescent="0.3">
      <c r="A90" s="28" t="s">
        <v>382</v>
      </c>
      <c r="B90" s="28" t="s">
        <v>91</v>
      </c>
      <c r="C90" s="28" t="s">
        <v>296</v>
      </c>
      <c r="D90" s="28" t="s">
        <v>206</v>
      </c>
      <c r="E90" s="28" t="s">
        <v>304</v>
      </c>
      <c r="F90" s="29">
        <v>4</v>
      </c>
      <c r="G90" s="28">
        <v>1</v>
      </c>
      <c r="H90" s="28">
        <v>0</v>
      </c>
      <c r="I90" s="28"/>
      <c r="J90" s="30">
        <v>0.06</v>
      </c>
      <c r="K90" s="28">
        <v>0</v>
      </c>
      <c r="L90" s="28"/>
      <c r="M90" s="28" t="s">
        <v>261</v>
      </c>
      <c r="N90" s="28" t="s">
        <v>304</v>
      </c>
      <c r="O90" s="28">
        <v>2026</v>
      </c>
      <c r="P90" s="31">
        <v>554000</v>
      </c>
      <c r="Q90" s="31">
        <v>342000</v>
      </c>
      <c r="R90" s="31">
        <v>0</v>
      </c>
      <c r="S90" s="28"/>
      <c r="T90" s="28"/>
      <c r="U90" s="28"/>
      <c r="V90" s="31">
        <v>0</v>
      </c>
      <c r="W90" s="31">
        <v>0</v>
      </c>
      <c r="X90" s="31">
        <v>0</v>
      </c>
      <c r="Y90" s="28" t="s">
        <v>383</v>
      </c>
    </row>
    <row r="91" spans="1:25" x14ac:dyDescent="0.3">
      <c r="A91" s="28" t="s">
        <v>384</v>
      </c>
      <c r="B91" s="28" t="s">
        <v>91</v>
      </c>
      <c r="C91" s="28" t="s">
        <v>300</v>
      </c>
      <c r="D91" s="28" t="s">
        <v>202</v>
      </c>
      <c r="E91" s="28" t="s">
        <v>304</v>
      </c>
      <c r="F91" s="29">
        <v>3</v>
      </c>
      <c r="G91" s="28">
        <v>1</v>
      </c>
      <c r="H91" s="28">
        <v>0</v>
      </c>
      <c r="I91" s="28"/>
      <c r="J91" s="30">
        <v>0.06</v>
      </c>
      <c r="K91" s="28">
        <v>0</v>
      </c>
      <c r="L91" s="28"/>
      <c r="M91" s="28" t="s">
        <v>261</v>
      </c>
      <c r="N91" s="28" t="s">
        <v>304</v>
      </c>
      <c r="O91" s="28">
        <v>2026</v>
      </c>
      <c r="P91" s="31">
        <v>250103.79555555561</v>
      </c>
      <c r="Q91" s="31">
        <v>118975.2777777778</v>
      </c>
      <c r="R91" s="31">
        <v>227.71555555555551</v>
      </c>
      <c r="S91" s="28"/>
      <c r="T91" s="28"/>
      <c r="U91" s="28"/>
      <c r="V91" s="31">
        <v>0</v>
      </c>
      <c r="W91" s="31">
        <v>0</v>
      </c>
      <c r="X91" s="31">
        <v>0</v>
      </c>
      <c r="Y91" s="28" t="s">
        <v>385</v>
      </c>
    </row>
    <row r="92" spans="1:25" x14ac:dyDescent="0.3">
      <c r="A92" s="28" t="s">
        <v>386</v>
      </c>
      <c r="B92" s="28" t="s">
        <v>91</v>
      </c>
      <c r="C92" s="28" t="s">
        <v>300</v>
      </c>
      <c r="D92" s="28" t="s">
        <v>206</v>
      </c>
      <c r="E92" s="28" t="s">
        <v>304</v>
      </c>
      <c r="F92" s="29">
        <v>3</v>
      </c>
      <c r="G92" s="28">
        <v>1</v>
      </c>
      <c r="H92" s="28">
        <v>0</v>
      </c>
      <c r="I92" s="28"/>
      <c r="J92" s="30">
        <v>0.06</v>
      </c>
      <c r="K92" s="28">
        <v>0</v>
      </c>
      <c r="L92" s="28"/>
      <c r="M92" s="28" t="s">
        <v>261</v>
      </c>
      <c r="N92" s="28" t="s">
        <v>12</v>
      </c>
      <c r="O92" s="28">
        <v>2026</v>
      </c>
      <c r="P92" s="31">
        <v>5800</v>
      </c>
      <c r="Q92" s="31">
        <v>0</v>
      </c>
      <c r="R92" s="31">
        <v>0</v>
      </c>
      <c r="S92" s="28"/>
      <c r="T92" s="28"/>
      <c r="U92" s="28"/>
      <c r="V92" s="31">
        <v>0</v>
      </c>
      <c r="W92" s="31">
        <v>0</v>
      </c>
      <c r="X92" s="31">
        <v>0</v>
      </c>
      <c r="Y92" s="28" t="s">
        <v>387</v>
      </c>
    </row>
    <row r="93" spans="1:25" x14ac:dyDescent="0.3">
      <c r="A93" s="28" t="s">
        <v>388</v>
      </c>
      <c r="B93" s="28" t="s">
        <v>92</v>
      </c>
      <c r="C93" s="28" t="s">
        <v>201</v>
      </c>
      <c r="D93" s="28" t="s">
        <v>202</v>
      </c>
      <c r="E93" s="28" t="s">
        <v>12</v>
      </c>
      <c r="F93" s="29">
        <v>8</v>
      </c>
      <c r="G93" s="28">
        <v>1</v>
      </c>
      <c r="H93" s="28">
        <v>4</v>
      </c>
      <c r="I93" s="28" t="s">
        <v>296</v>
      </c>
      <c r="J93" s="30">
        <v>0.04</v>
      </c>
      <c r="K93" s="28">
        <v>3</v>
      </c>
      <c r="L93" s="28" t="s">
        <v>12</v>
      </c>
      <c r="M93" s="28"/>
      <c r="N93" s="28"/>
      <c r="O93" s="28"/>
      <c r="P93" s="31">
        <v>0</v>
      </c>
      <c r="Q93" s="31">
        <v>0</v>
      </c>
      <c r="R93" s="31">
        <v>0</v>
      </c>
      <c r="S93" s="28" t="s">
        <v>389</v>
      </c>
      <c r="T93" s="28" t="s">
        <v>12</v>
      </c>
      <c r="U93" s="28">
        <v>2026</v>
      </c>
      <c r="V93" s="31">
        <v>9992</v>
      </c>
      <c r="W93" s="31">
        <v>0</v>
      </c>
      <c r="X93" s="31">
        <v>0</v>
      </c>
      <c r="Y93" s="28" t="s">
        <v>390</v>
      </c>
    </row>
    <row r="94" spans="1:25" x14ac:dyDescent="0.3">
      <c r="A94" s="28" t="s">
        <v>391</v>
      </c>
      <c r="B94" s="28" t="s">
        <v>92</v>
      </c>
      <c r="C94" s="28" t="s">
        <v>201</v>
      </c>
      <c r="D94" s="28" t="s">
        <v>206</v>
      </c>
      <c r="E94" s="28" t="s">
        <v>12</v>
      </c>
      <c r="F94" s="29">
        <v>8</v>
      </c>
      <c r="G94" s="28">
        <v>1</v>
      </c>
      <c r="H94" s="28">
        <v>4</v>
      </c>
      <c r="I94" s="28" t="s">
        <v>296</v>
      </c>
      <c r="J94" s="30">
        <v>0.04</v>
      </c>
      <c r="K94" s="28">
        <v>0</v>
      </c>
      <c r="L94" s="28"/>
      <c r="M94" s="28" t="s">
        <v>261</v>
      </c>
      <c r="N94" s="28" t="s">
        <v>12</v>
      </c>
      <c r="O94" s="28">
        <v>2026</v>
      </c>
      <c r="P94" s="31">
        <v>74315.333333333328</v>
      </c>
      <c r="Q94" s="31">
        <v>2559</v>
      </c>
      <c r="R94" s="31">
        <v>0</v>
      </c>
      <c r="S94" s="28" t="s">
        <v>389</v>
      </c>
      <c r="T94" s="28" t="s">
        <v>12</v>
      </c>
      <c r="U94" s="28">
        <v>2026</v>
      </c>
      <c r="V94" s="31">
        <v>32104</v>
      </c>
      <c r="W94" s="31">
        <v>0</v>
      </c>
      <c r="X94" s="31">
        <v>0</v>
      </c>
      <c r="Y94" s="28" t="s">
        <v>392</v>
      </c>
    </row>
    <row r="95" spans="1:25" x14ac:dyDescent="0.3">
      <c r="A95" s="28" t="s">
        <v>393</v>
      </c>
      <c r="B95" s="28" t="s">
        <v>92</v>
      </c>
      <c r="C95" s="28" t="s">
        <v>209</v>
      </c>
      <c r="D95" s="28" t="s">
        <v>202</v>
      </c>
      <c r="E95" s="28" t="s">
        <v>12</v>
      </c>
      <c r="F95" s="29">
        <v>8</v>
      </c>
      <c r="G95" s="28">
        <v>1</v>
      </c>
      <c r="H95" s="28">
        <v>4</v>
      </c>
      <c r="I95" s="28" t="s">
        <v>296</v>
      </c>
      <c r="J95" s="30">
        <v>0.04</v>
      </c>
      <c r="K95" s="28">
        <v>1</v>
      </c>
      <c r="L95" s="28" t="s">
        <v>12</v>
      </c>
      <c r="M95" s="28"/>
      <c r="N95" s="28"/>
      <c r="O95" s="28"/>
      <c r="P95" s="31">
        <v>0</v>
      </c>
      <c r="Q95" s="31">
        <v>0</v>
      </c>
      <c r="R95" s="31">
        <v>0</v>
      </c>
      <c r="S95" s="28" t="s">
        <v>389</v>
      </c>
      <c r="T95" s="28" t="s">
        <v>12</v>
      </c>
      <c r="U95" s="28">
        <v>2026</v>
      </c>
      <c r="V95" s="31">
        <v>9992</v>
      </c>
      <c r="W95" s="31">
        <v>0</v>
      </c>
      <c r="X95" s="31">
        <v>0</v>
      </c>
      <c r="Y95" s="28" t="s">
        <v>394</v>
      </c>
    </row>
    <row r="96" spans="1:25" x14ac:dyDescent="0.3">
      <c r="A96" s="28" t="s">
        <v>395</v>
      </c>
      <c r="B96" s="28" t="s">
        <v>92</v>
      </c>
      <c r="C96" s="28" t="s">
        <v>209</v>
      </c>
      <c r="D96" s="28" t="s">
        <v>206</v>
      </c>
      <c r="E96" s="28" t="s">
        <v>12</v>
      </c>
      <c r="F96" s="29">
        <v>8</v>
      </c>
      <c r="G96" s="28">
        <v>1</v>
      </c>
      <c r="H96" s="28">
        <v>4</v>
      </c>
      <c r="I96" s="28" t="s">
        <v>296</v>
      </c>
      <c r="J96" s="30">
        <v>0.04</v>
      </c>
      <c r="K96" s="28">
        <v>0</v>
      </c>
      <c r="L96" s="28"/>
      <c r="M96" s="28" t="s">
        <v>261</v>
      </c>
      <c r="N96" s="28" t="s">
        <v>12</v>
      </c>
      <c r="O96" s="28">
        <v>2025</v>
      </c>
      <c r="P96" s="31">
        <v>86043</v>
      </c>
      <c r="Q96" s="31">
        <v>0</v>
      </c>
      <c r="R96" s="31">
        <v>0</v>
      </c>
      <c r="S96" s="28" t="s">
        <v>389</v>
      </c>
      <c r="T96" s="28" t="s">
        <v>12</v>
      </c>
      <c r="U96" s="28">
        <v>2026</v>
      </c>
      <c r="V96" s="31">
        <v>32104</v>
      </c>
      <c r="W96" s="31">
        <v>0</v>
      </c>
      <c r="X96" s="31">
        <v>0</v>
      </c>
      <c r="Y96" s="28" t="s">
        <v>396</v>
      </c>
    </row>
    <row r="97" spans="1:25" x14ac:dyDescent="0.3">
      <c r="A97" s="28" t="s">
        <v>397</v>
      </c>
      <c r="B97" s="28" t="s">
        <v>92</v>
      </c>
      <c r="C97" s="28" t="s">
        <v>213</v>
      </c>
      <c r="D97" s="28" t="s">
        <v>202</v>
      </c>
      <c r="E97" s="28" t="s">
        <v>12</v>
      </c>
      <c r="F97" s="29">
        <v>6</v>
      </c>
      <c r="G97" s="28">
        <v>1</v>
      </c>
      <c r="H97" s="28">
        <v>2</v>
      </c>
      <c r="I97" s="28" t="s">
        <v>296</v>
      </c>
      <c r="J97" s="30">
        <v>0.04</v>
      </c>
      <c r="K97" s="28">
        <v>1</v>
      </c>
      <c r="L97" s="28" t="s">
        <v>12</v>
      </c>
      <c r="M97" s="28"/>
      <c r="N97" s="28"/>
      <c r="O97" s="28"/>
      <c r="P97" s="31">
        <v>0</v>
      </c>
      <c r="Q97" s="31">
        <v>0</v>
      </c>
      <c r="R97" s="31">
        <v>0</v>
      </c>
      <c r="S97" s="28" t="s">
        <v>389</v>
      </c>
      <c r="T97" s="28" t="s">
        <v>12</v>
      </c>
      <c r="U97" s="28">
        <v>2026</v>
      </c>
      <c r="V97" s="31">
        <v>9992</v>
      </c>
      <c r="W97" s="31">
        <v>0</v>
      </c>
      <c r="X97" s="31">
        <v>0</v>
      </c>
      <c r="Y97" s="28" t="s">
        <v>398</v>
      </c>
    </row>
    <row r="98" spans="1:25" x14ac:dyDescent="0.3">
      <c r="A98" s="28" t="s">
        <v>399</v>
      </c>
      <c r="B98" s="28" t="s">
        <v>92</v>
      </c>
      <c r="C98" s="28" t="s">
        <v>213</v>
      </c>
      <c r="D98" s="28" t="s">
        <v>206</v>
      </c>
      <c r="E98" s="28" t="s">
        <v>12</v>
      </c>
      <c r="F98" s="29">
        <v>6</v>
      </c>
      <c r="G98" s="28">
        <v>1</v>
      </c>
      <c r="H98" s="28">
        <v>2</v>
      </c>
      <c r="I98" s="28" t="s">
        <v>296</v>
      </c>
      <c r="J98" s="30">
        <v>0.04</v>
      </c>
      <c r="K98" s="28">
        <v>0</v>
      </c>
      <c r="L98" s="28"/>
      <c r="M98" s="28" t="s">
        <v>261</v>
      </c>
      <c r="N98" s="28" t="s">
        <v>12</v>
      </c>
      <c r="O98" s="28">
        <v>2026</v>
      </c>
      <c r="P98" s="31">
        <v>54671</v>
      </c>
      <c r="Q98" s="31">
        <v>0</v>
      </c>
      <c r="R98" s="31">
        <v>0</v>
      </c>
      <c r="S98" s="28" t="s">
        <v>389</v>
      </c>
      <c r="T98" s="28" t="s">
        <v>12</v>
      </c>
      <c r="U98" s="28">
        <v>2026</v>
      </c>
      <c r="V98" s="31">
        <v>32104</v>
      </c>
      <c r="W98" s="31">
        <v>0</v>
      </c>
      <c r="X98" s="31">
        <v>0</v>
      </c>
      <c r="Y98" s="28" t="s">
        <v>400</v>
      </c>
    </row>
    <row r="99" spans="1:25" x14ac:dyDescent="0.3">
      <c r="A99" s="28" t="s">
        <v>401</v>
      </c>
      <c r="B99" s="28" t="s">
        <v>92</v>
      </c>
      <c r="C99" s="28" t="s">
        <v>217</v>
      </c>
      <c r="D99" s="28" t="s">
        <v>202</v>
      </c>
      <c r="E99" s="28" t="s">
        <v>12</v>
      </c>
      <c r="F99" s="29">
        <v>4</v>
      </c>
      <c r="G99" s="28">
        <v>1</v>
      </c>
      <c r="H99" s="28">
        <v>0</v>
      </c>
      <c r="I99" s="28"/>
      <c r="J99" s="30">
        <v>0.04</v>
      </c>
      <c r="K99" s="28">
        <v>2</v>
      </c>
      <c r="L99" s="28" t="s">
        <v>12</v>
      </c>
      <c r="M99" s="28"/>
      <c r="N99" s="28"/>
      <c r="O99" s="28"/>
      <c r="P99" s="31">
        <v>0</v>
      </c>
      <c r="Q99" s="31">
        <v>0</v>
      </c>
      <c r="R99" s="31">
        <v>0</v>
      </c>
      <c r="S99" s="28"/>
      <c r="T99" s="28"/>
      <c r="U99" s="28"/>
      <c r="V99" s="31">
        <v>0</v>
      </c>
      <c r="W99" s="31">
        <v>0</v>
      </c>
      <c r="X99" s="31">
        <v>0</v>
      </c>
      <c r="Y99" s="28" t="s">
        <v>402</v>
      </c>
    </row>
    <row r="100" spans="1:25" x14ac:dyDescent="0.3">
      <c r="A100" s="28" t="s">
        <v>403</v>
      </c>
      <c r="B100" s="28" t="s">
        <v>92</v>
      </c>
      <c r="C100" s="28" t="s">
        <v>217</v>
      </c>
      <c r="D100" s="28" t="s">
        <v>206</v>
      </c>
      <c r="E100" s="28" t="s">
        <v>12</v>
      </c>
      <c r="F100" s="29">
        <v>4</v>
      </c>
      <c r="G100" s="28">
        <v>1</v>
      </c>
      <c r="H100" s="28">
        <v>0</v>
      </c>
      <c r="I100" s="28"/>
      <c r="J100" s="30">
        <v>0.04</v>
      </c>
      <c r="K100" s="28">
        <v>2</v>
      </c>
      <c r="L100" s="28" t="s">
        <v>12</v>
      </c>
      <c r="M100" s="28"/>
      <c r="N100" s="28"/>
      <c r="O100" s="28"/>
      <c r="P100" s="31">
        <v>0</v>
      </c>
      <c r="Q100" s="31">
        <v>0</v>
      </c>
      <c r="R100" s="31">
        <v>0</v>
      </c>
      <c r="S100" s="28"/>
      <c r="T100" s="28"/>
      <c r="U100" s="28"/>
      <c r="V100" s="31">
        <v>0</v>
      </c>
      <c r="W100" s="31">
        <v>0</v>
      </c>
      <c r="X100" s="31">
        <v>0</v>
      </c>
      <c r="Y100" s="28" t="s">
        <v>402</v>
      </c>
    </row>
    <row r="101" spans="1:25" x14ac:dyDescent="0.3">
      <c r="A101" s="28" t="s">
        <v>404</v>
      </c>
      <c r="B101" s="28" t="s">
        <v>92</v>
      </c>
      <c r="C101" s="28" t="s">
        <v>221</v>
      </c>
      <c r="D101" s="28" t="s">
        <v>202</v>
      </c>
      <c r="E101" s="28" t="s">
        <v>12</v>
      </c>
      <c r="F101" s="29">
        <v>7</v>
      </c>
      <c r="G101" s="28">
        <v>1</v>
      </c>
      <c r="H101" s="28">
        <v>4</v>
      </c>
      <c r="I101" s="28" t="s">
        <v>296</v>
      </c>
      <c r="J101" s="30">
        <v>0.04</v>
      </c>
      <c r="K101" s="28">
        <v>0</v>
      </c>
      <c r="L101" s="28"/>
      <c r="M101" s="28" t="s">
        <v>261</v>
      </c>
      <c r="N101" s="28" t="s">
        <v>12</v>
      </c>
      <c r="O101" s="28">
        <v>2026</v>
      </c>
      <c r="P101" s="31">
        <v>46544</v>
      </c>
      <c r="Q101" s="31">
        <v>0</v>
      </c>
      <c r="R101" s="31">
        <v>0</v>
      </c>
      <c r="S101" s="28" t="s">
        <v>389</v>
      </c>
      <c r="T101" s="28" t="s">
        <v>12</v>
      </c>
      <c r="U101" s="28">
        <v>2026</v>
      </c>
      <c r="V101" s="31">
        <v>9992</v>
      </c>
      <c r="W101" s="31">
        <v>0</v>
      </c>
      <c r="X101" s="31">
        <v>0</v>
      </c>
      <c r="Y101" s="28" t="s">
        <v>405</v>
      </c>
    </row>
    <row r="102" spans="1:25" x14ac:dyDescent="0.3">
      <c r="A102" s="28" t="s">
        <v>406</v>
      </c>
      <c r="B102" s="28" t="s">
        <v>92</v>
      </c>
      <c r="C102" s="28" t="s">
        <v>221</v>
      </c>
      <c r="D102" s="28" t="s">
        <v>206</v>
      </c>
      <c r="E102" s="28" t="s">
        <v>12</v>
      </c>
      <c r="F102" s="29">
        <v>7</v>
      </c>
      <c r="G102" s="28">
        <v>1</v>
      </c>
      <c r="H102" s="28">
        <v>4</v>
      </c>
      <c r="I102" s="28" t="s">
        <v>296</v>
      </c>
      <c r="J102" s="30">
        <v>0.04</v>
      </c>
      <c r="K102" s="28">
        <v>0</v>
      </c>
      <c r="L102" s="28"/>
      <c r="M102" s="28" t="s">
        <v>261</v>
      </c>
      <c r="N102" s="28" t="s">
        <v>12</v>
      </c>
      <c r="O102" s="28">
        <v>2026</v>
      </c>
      <c r="P102" s="31">
        <v>54671</v>
      </c>
      <c r="Q102" s="31">
        <v>0</v>
      </c>
      <c r="R102" s="31">
        <v>0</v>
      </c>
      <c r="S102" s="28" t="s">
        <v>389</v>
      </c>
      <c r="T102" s="28" t="s">
        <v>12</v>
      </c>
      <c r="U102" s="28">
        <v>2026</v>
      </c>
      <c r="V102" s="31">
        <v>32104</v>
      </c>
      <c r="W102" s="31">
        <v>0</v>
      </c>
      <c r="X102" s="31">
        <v>0</v>
      </c>
      <c r="Y102" s="28" t="s">
        <v>407</v>
      </c>
    </row>
    <row r="103" spans="1:25" x14ac:dyDescent="0.3">
      <c r="A103" s="28" t="s">
        <v>408</v>
      </c>
      <c r="B103" s="28" t="s">
        <v>92</v>
      </c>
      <c r="C103" s="28" t="s">
        <v>225</v>
      </c>
      <c r="D103" s="28" t="s">
        <v>202</v>
      </c>
      <c r="E103" s="28" t="s">
        <v>12</v>
      </c>
      <c r="F103" s="29">
        <v>4</v>
      </c>
      <c r="G103" s="28">
        <v>1</v>
      </c>
      <c r="H103" s="28">
        <v>0</v>
      </c>
      <c r="I103" s="28"/>
      <c r="J103" s="30">
        <v>0.04</v>
      </c>
      <c r="K103" s="28">
        <v>2</v>
      </c>
      <c r="L103" s="28" t="s">
        <v>12</v>
      </c>
      <c r="M103" s="28"/>
      <c r="N103" s="28"/>
      <c r="O103" s="28"/>
      <c r="P103" s="31">
        <v>0</v>
      </c>
      <c r="Q103" s="31">
        <v>0</v>
      </c>
      <c r="R103" s="31">
        <v>0</v>
      </c>
      <c r="S103" s="28"/>
      <c r="T103" s="28"/>
      <c r="U103" s="28"/>
      <c r="V103" s="31">
        <v>0</v>
      </c>
      <c r="W103" s="31">
        <v>0</v>
      </c>
      <c r="X103" s="31">
        <v>0</v>
      </c>
      <c r="Y103" s="28" t="s">
        <v>409</v>
      </c>
    </row>
    <row r="104" spans="1:25" x14ac:dyDescent="0.3">
      <c r="A104" s="28" t="s">
        <v>410</v>
      </c>
      <c r="B104" s="28" t="s">
        <v>92</v>
      </c>
      <c r="C104" s="28" t="s">
        <v>225</v>
      </c>
      <c r="D104" s="28" t="s">
        <v>206</v>
      </c>
      <c r="E104" s="28" t="s">
        <v>12</v>
      </c>
      <c r="F104" s="29">
        <v>4</v>
      </c>
      <c r="G104" s="28">
        <v>1</v>
      </c>
      <c r="H104" s="28">
        <v>0</v>
      </c>
      <c r="I104" s="28"/>
      <c r="J104" s="30">
        <v>0.04</v>
      </c>
      <c r="K104" s="28">
        <v>3</v>
      </c>
      <c r="L104" s="28" t="s">
        <v>12</v>
      </c>
      <c r="M104" s="28"/>
      <c r="N104" s="28"/>
      <c r="O104" s="28"/>
      <c r="P104" s="31">
        <v>0</v>
      </c>
      <c r="Q104" s="31">
        <v>0</v>
      </c>
      <c r="R104" s="31">
        <v>0</v>
      </c>
      <c r="S104" s="28"/>
      <c r="T104" s="28"/>
      <c r="U104" s="28"/>
      <c r="V104" s="31">
        <v>0</v>
      </c>
      <c r="W104" s="31">
        <v>0</v>
      </c>
      <c r="X104" s="31">
        <v>0</v>
      </c>
      <c r="Y104" s="28" t="s">
        <v>411</v>
      </c>
    </row>
    <row r="105" spans="1:25" x14ac:dyDescent="0.3">
      <c r="A105" s="28" t="s">
        <v>412</v>
      </c>
      <c r="B105" s="28" t="s">
        <v>92</v>
      </c>
      <c r="C105" s="28" t="s">
        <v>230</v>
      </c>
      <c r="D105" s="28" t="s">
        <v>202</v>
      </c>
      <c r="E105" s="28" t="s">
        <v>12</v>
      </c>
      <c r="F105" s="29">
        <v>4</v>
      </c>
      <c r="G105" s="28">
        <v>1</v>
      </c>
      <c r="H105" s="28">
        <v>0</v>
      </c>
      <c r="I105" s="28"/>
      <c r="J105" s="30">
        <v>0.04</v>
      </c>
      <c r="K105" s="28">
        <v>2</v>
      </c>
      <c r="L105" s="28" t="s">
        <v>12</v>
      </c>
      <c r="M105" s="28"/>
      <c r="N105" s="28"/>
      <c r="O105" s="28"/>
      <c r="P105" s="31">
        <v>0</v>
      </c>
      <c r="Q105" s="31">
        <v>0</v>
      </c>
      <c r="R105" s="31">
        <v>0</v>
      </c>
      <c r="S105" s="28"/>
      <c r="T105" s="28"/>
      <c r="U105" s="28"/>
      <c r="V105" s="31">
        <v>0</v>
      </c>
      <c r="W105" s="31">
        <v>0</v>
      </c>
      <c r="X105" s="31">
        <v>0</v>
      </c>
      <c r="Y105" s="28" t="s">
        <v>413</v>
      </c>
    </row>
    <row r="106" spans="1:25" x14ac:dyDescent="0.3">
      <c r="A106" s="28" t="s">
        <v>414</v>
      </c>
      <c r="B106" s="28" t="s">
        <v>92</v>
      </c>
      <c r="C106" s="28" t="s">
        <v>230</v>
      </c>
      <c r="D106" s="28" t="s">
        <v>206</v>
      </c>
      <c r="E106" s="28" t="s">
        <v>12</v>
      </c>
      <c r="F106" s="29">
        <v>4</v>
      </c>
      <c r="G106" s="28">
        <v>1</v>
      </c>
      <c r="H106" s="28">
        <v>0</v>
      </c>
      <c r="I106" s="28"/>
      <c r="J106" s="30">
        <v>0.04</v>
      </c>
      <c r="K106" s="28">
        <v>3</v>
      </c>
      <c r="L106" s="28" t="s">
        <v>12</v>
      </c>
      <c r="M106" s="28"/>
      <c r="N106" s="28"/>
      <c r="O106" s="28"/>
      <c r="P106" s="31">
        <v>0</v>
      </c>
      <c r="Q106" s="31">
        <v>0</v>
      </c>
      <c r="R106" s="31">
        <v>0</v>
      </c>
      <c r="S106" s="28"/>
      <c r="T106" s="28"/>
      <c r="U106" s="28"/>
      <c r="V106" s="31">
        <v>0</v>
      </c>
      <c r="W106" s="31">
        <v>0</v>
      </c>
      <c r="X106" s="31">
        <v>0</v>
      </c>
      <c r="Y106" s="28" t="s">
        <v>415</v>
      </c>
    </row>
    <row r="107" spans="1:25" x14ac:dyDescent="0.3">
      <c r="A107" s="28" t="s">
        <v>416</v>
      </c>
      <c r="B107" s="28" t="s">
        <v>92</v>
      </c>
      <c r="C107" s="28" t="s">
        <v>235</v>
      </c>
      <c r="D107" s="28" t="s">
        <v>202</v>
      </c>
      <c r="E107" s="28" t="s">
        <v>12</v>
      </c>
      <c r="F107" s="29">
        <v>4</v>
      </c>
      <c r="G107" s="28">
        <v>1</v>
      </c>
      <c r="H107" s="28">
        <v>0</v>
      </c>
      <c r="I107" s="28"/>
      <c r="J107" s="30">
        <v>0.04</v>
      </c>
      <c r="K107" s="28">
        <v>0</v>
      </c>
      <c r="L107" s="28"/>
      <c r="M107" s="28" t="s">
        <v>261</v>
      </c>
      <c r="N107" s="28" t="s">
        <v>12</v>
      </c>
      <c r="O107" s="28">
        <v>2026</v>
      </c>
      <c r="P107" s="31">
        <v>13109.5</v>
      </c>
      <c r="Q107" s="31">
        <v>0</v>
      </c>
      <c r="R107" s="31">
        <v>0</v>
      </c>
      <c r="S107" s="28"/>
      <c r="T107" s="28"/>
      <c r="U107" s="28"/>
      <c r="V107" s="31">
        <v>0</v>
      </c>
      <c r="W107" s="31">
        <v>0</v>
      </c>
      <c r="X107" s="31">
        <v>0</v>
      </c>
      <c r="Y107" s="28" t="s">
        <v>417</v>
      </c>
    </row>
    <row r="108" spans="1:25" x14ac:dyDescent="0.3">
      <c r="A108" s="28" t="s">
        <v>418</v>
      </c>
      <c r="B108" s="28" t="s">
        <v>92</v>
      </c>
      <c r="C108" s="28" t="s">
        <v>235</v>
      </c>
      <c r="D108" s="28" t="s">
        <v>206</v>
      </c>
      <c r="E108" s="28" t="s">
        <v>12</v>
      </c>
      <c r="F108" s="29">
        <v>4</v>
      </c>
      <c r="G108" s="28">
        <v>1</v>
      </c>
      <c r="H108" s="28">
        <v>0</v>
      </c>
      <c r="I108" s="28"/>
      <c r="J108" s="30">
        <v>0.04</v>
      </c>
      <c r="K108" s="28">
        <v>0</v>
      </c>
      <c r="L108" s="28"/>
      <c r="M108" s="28" t="s">
        <v>261</v>
      </c>
      <c r="N108" s="28" t="s">
        <v>12</v>
      </c>
      <c r="O108" s="28">
        <v>2026</v>
      </c>
      <c r="P108" s="31">
        <v>38336.333333333343</v>
      </c>
      <c r="Q108" s="31">
        <v>0</v>
      </c>
      <c r="R108" s="31">
        <v>0</v>
      </c>
      <c r="S108" s="28"/>
      <c r="T108" s="28"/>
      <c r="U108" s="28"/>
      <c r="V108" s="31">
        <v>0</v>
      </c>
      <c r="W108" s="31">
        <v>0</v>
      </c>
      <c r="X108" s="31">
        <v>0</v>
      </c>
      <c r="Y108" s="28" t="s">
        <v>417</v>
      </c>
    </row>
    <row r="109" spans="1:25" x14ac:dyDescent="0.3">
      <c r="A109" s="28" t="s">
        <v>419</v>
      </c>
      <c r="B109" s="28" t="s">
        <v>92</v>
      </c>
      <c r="C109" s="28" t="s">
        <v>240</v>
      </c>
      <c r="D109" s="28" t="s">
        <v>202</v>
      </c>
      <c r="E109" s="28" t="s">
        <v>12</v>
      </c>
      <c r="F109" s="29">
        <v>4</v>
      </c>
      <c r="G109" s="28">
        <v>1</v>
      </c>
      <c r="H109" s="28">
        <v>0</v>
      </c>
      <c r="I109" s="28"/>
      <c r="J109" s="30">
        <v>0.04</v>
      </c>
      <c r="K109" s="28">
        <v>0</v>
      </c>
      <c r="L109" s="28"/>
      <c r="M109" s="28" t="s">
        <v>261</v>
      </c>
      <c r="N109" s="28" t="s">
        <v>12</v>
      </c>
      <c r="O109" s="28">
        <v>2026</v>
      </c>
      <c r="P109" s="31">
        <v>13109.5</v>
      </c>
      <c r="Q109" s="31">
        <v>0</v>
      </c>
      <c r="R109" s="31">
        <v>0</v>
      </c>
      <c r="S109" s="28"/>
      <c r="T109" s="28"/>
      <c r="U109" s="28"/>
      <c r="V109" s="31">
        <v>0</v>
      </c>
      <c r="W109" s="31">
        <v>0</v>
      </c>
      <c r="X109" s="31">
        <v>0</v>
      </c>
      <c r="Y109" s="28" t="s">
        <v>420</v>
      </c>
    </row>
    <row r="110" spans="1:25" x14ac:dyDescent="0.3">
      <c r="A110" s="28" t="s">
        <v>421</v>
      </c>
      <c r="B110" s="28" t="s">
        <v>92</v>
      </c>
      <c r="C110" s="28" t="s">
        <v>240</v>
      </c>
      <c r="D110" s="28" t="s">
        <v>206</v>
      </c>
      <c r="E110" s="28" t="s">
        <v>12</v>
      </c>
      <c r="F110" s="29">
        <v>4</v>
      </c>
      <c r="G110" s="28">
        <v>1</v>
      </c>
      <c r="H110" s="28">
        <v>0</v>
      </c>
      <c r="I110" s="28"/>
      <c r="J110" s="30">
        <v>0.04</v>
      </c>
      <c r="K110" s="28">
        <v>0</v>
      </c>
      <c r="L110" s="28"/>
      <c r="M110" s="28" t="s">
        <v>261</v>
      </c>
      <c r="N110" s="28" t="s">
        <v>12</v>
      </c>
      <c r="O110" s="28">
        <v>2026</v>
      </c>
      <c r="P110" s="31">
        <v>38336.333333333343</v>
      </c>
      <c r="Q110" s="31">
        <v>0</v>
      </c>
      <c r="R110" s="31">
        <v>0</v>
      </c>
      <c r="S110" s="28"/>
      <c r="T110" s="28"/>
      <c r="U110" s="28"/>
      <c r="V110" s="31">
        <v>0</v>
      </c>
      <c r="W110" s="31">
        <v>0</v>
      </c>
      <c r="X110" s="31">
        <v>0</v>
      </c>
      <c r="Y110" s="28" t="s">
        <v>420</v>
      </c>
    </row>
    <row r="111" spans="1:25" x14ac:dyDescent="0.3">
      <c r="A111" s="28" t="s">
        <v>422</v>
      </c>
      <c r="B111" s="28" t="s">
        <v>92</v>
      </c>
      <c r="C111" s="28" t="s">
        <v>245</v>
      </c>
      <c r="D111" s="28" t="s">
        <v>202</v>
      </c>
      <c r="E111" s="28" t="s">
        <v>12</v>
      </c>
      <c r="F111" s="29">
        <v>4</v>
      </c>
      <c r="G111" s="28">
        <v>1</v>
      </c>
      <c r="H111" s="28">
        <v>0</v>
      </c>
      <c r="I111" s="28"/>
      <c r="J111" s="30">
        <v>0.04</v>
      </c>
      <c r="K111" s="28">
        <v>1</v>
      </c>
      <c r="L111" s="28" t="s">
        <v>12</v>
      </c>
      <c r="M111" s="28"/>
      <c r="N111" s="28"/>
      <c r="O111" s="28"/>
      <c r="P111" s="31">
        <v>0</v>
      </c>
      <c r="Q111" s="31">
        <v>0</v>
      </c>
      <c r="R111" s="31">
        <v>0</v>
      </c>
      <c r="S111" s="28"/>
      <c r="T111" s="28"/>
      <c r="U111" s="28"/>
      <c r="V111" s="31">
        <v>0</v>
      </c>
      <c r="W111" s="31">
        <v>0</v>
      </c>
      <c r="X111" s="31">
        <v>0</v>
      </c>
      <c r="Y111" s="28" t="s">
        <v>423</v>
      </c>
    </row>
    <row r="112" spans="1:25" x14ac:dyDescent="0.3">
      <c r="A112" s="28" t="s">
        <v>424</v>
      </c>
      <c r="B112" s="28" t="s">
        <v>92</v>
      </c>
      <c r="C112" s="28" t="s">
        <v>245</v>
      </c>
      <c r="D112" s="28" t="s">
        <v>206</v>
      </c>
      <c r="E112" s="28" t="s">
        <v>12</v>
      </c>
      <c r="F112" s="29">
        <v>4</v>
      </c>
      <c r="G112" s="28">
        <v>1</v>
      </c>
      <c r="H112" s="28">
        <v>0</v>
      </c>
      <c r="I112" s="28"/>
      <c r="J112" s="30">
        <v>0.04</v>
      </c>
      <c r="K112" s="28">
        <v>1</v>
      </c>
      <c r="L112" s="28" t="s">
        <v>12</v>
      </c>
      <c r="M112" s="28"/>
      <c r="N112" s="28"/>
      <c r="O112" s="28"/>
      <c r="P112" s="31">
        <v>0</v>
      </c>
      <c r="Q112" s="31">
        <v>0</v>
      </c>
      <c r="R112" s="31">
        <v>0</v>
      </c>
      <c r="S112" s="28"/>
      <c r="T112" s="28"/>
      <c r="U112" s="28"/>
      <c r="V112" s="31">
        <v>0</v>
      </c>
      <c r="W112" s="31">
        <v>0</v>
      </c>
      <c r="X112" s="31">
        <v>0</v>
      </c>
      <c r="Y112" s="28" t="s">
        <v>423</v>
      </c>
    </row>
    <row r="113" spans="1:25" x14ac:dyDescent="0.3">
      <c r="A113" s="28" t="s">
        <v>425</v>
      </c>
      <c r="B113" s="28" t="s">
        <v>92</v>
      </c>
      <c r="C113" s="28" t="s">
        <v>250</v>
      </c>
      <c r="D113" s="28" t="s">
        <v>202</v>
      </c>
      <c r="E113" s="28" t="s">
        <v>12</v>
      </c>
      <c r="F113" s="29">
        <v>4</v>
      </c>
      <c r="G113" s="28">
        <v>1</v>
      </c>
      <c r="H113" s="28">
        <v>0</v>
      </c>
      <c r="I113" s="28"/>
      <c r="J113" s="30">
        <v>0.04</v>
      </c>
      <c r="K113" s="28">
        <v>1</v>
      </c>
      <c r="L113" s="28" t="s">
        <v>12</v>
      </c>
      <c r="M113" s="28"/>
      <c r="N113" s="28"/>
      <c r="O113" s="28"/>
      <c r="P113" s="31">
        <v>0</v>
      </c>
      <c r="Q113" s="31">
        <v>0</v>
      </c>
      <c r="R113" s="31">
        <v>0</v>
      </c>
      <c r="S113" s="28"/>
      <c r="T113" s="28"/>
      <c r="U113" s="28"/>
      <c r="V113" s="31">
        <v>0</v>
      </c>
      <c r="W113" s="31">
        <v>0</v>
      </c>
      <c r="X113" s="31">
        <v>0</v>
      </c>
      <c r="Y113" s="28" t="s">
        <v>423</v>
      </c>
    </row>
    <row r="114" spans="1:25" x14ac:dyDescent="0.3">
      <c r="A114" s="28" t="s">
        <v>426</v>
      </c>
      <c r="B114" s="28" t="s">
        <v>92</v>
      </c>
      <c r="C114" s="28" t="s">
        <v>250</v>
      </c>
      <c r="D114" s="28" t="s">
        <v>206</v>
      </c>
      <c r="E114" s="28" t="s">
        <v>12</v>
      </c>
      <c r="F114" s="29">
        <v>4</v>
      </c>
      <c r="G114" s="28">
        <v>1</v>
      </c>
      <c r="H114" s="28">
        <v>0</v>
      </c>
      <c r="I114" s="28"/>
      <c r="J114" s="30">
        <v>0.04</v>
      </c>
      <c r="K114" s="28">
        <v>1</v>
      </c>
      <c r="L114" s="28" t="s">
        <v>12</v>
      </c>
      <c r="M114" s="28"/>
      <c r="N114" s="28"/>
      <c r="O114" s="28"/>
      <c r="P114" s="31">
        <v>0</v>
      </c>
      <c r="Q114" s="31">
        <v>0</v>
      </c>
      <c r="R114" s="31">
        <v>0</v>
      </c>
      <c r="S114" s="28"/>
      <c r="T114" s="28"/>
      <c r="U114" s="28"/>
      <c r="V114" s="31">
        <v>0</v>
      </c>
      <c r="W114" s="31">
        <v>0</v>
      </c>
      <c r="X114" s="31">
        <v>0</v>
      </c>
      <c r="Y114" s="28" t="s">
        <v>423</v>
      </c>
    </row>
    <row r="115" spans="1:25" x14ac:dyDescent="0.3">
      <c r="A115" s="28" t="s">
        <v>427</v>
      </c>
      <c r="B115" s="28" t="s">
        <v>92</v>
      </c>
      <c r="C115" s="28" t="s">
        <v>255</v>
      </c>
      <c r="D115" s="28" t="s">
        <v>202</v>
      </c>
      <c r="E115" s="28" t="s">
        <v>12</v>
      </c>
      <c r="F115" s="29">
        <v>4</v>
      </c>
      <c r="G115" s="28">
        <v>1</v>
      </c>
      <c r="H115" s="28">
        <v>0</v>
      </c>
      <c r="I115" s="28"/>
      <c r="J115" s="30">
        <v>0.04</v>
      </c>
      <c r="K115" s="28">
        <v>2</v>
      </c>
      <c r="L115" s="28" t="s">
        <v>12</v>
      </c>
      <c r="M115" s="28"/>
      <c r="N115" s="28"/>
      <c r="O115" s="28"/>
      <c r="P115" s="31">
        <v>0</v>
      </c>
      <c r="Q115" s="31">
        <v>0</v>
      </c>
      <c r="R115" s="31">
        <v>0</v>
      </c>
      <c r="S115" s="28"/>
      <c r="T115" s="28"/>
      <c r="U115" s="28"/>
      <c r="V115" s="31">
        <v>0</v>
      </c>
      <c r="W115" s="31">
        <v>0</v>
      </c>
      <c r="X115" s="31">
        <v>0</v>
      </c>
      <c r="Y115" s="28" t="s">
        <v>413</v>
      </c>
    </row>
    <row r="116" spans="1:25" x14ac:dyDescent="0.3">
      <c r="A116" s="28" t="s">
        <v>428</v>
      </c>
      <c r="B116" s="28" t="s">
        <v>92</v>
      </c>
      <c r="C116" s="28" t="s">
        <v>255</v>
      </c>
      <c r="D116" s="28" t="s">
        <v>206</v>
      </c>
      <c r="E116" s="28" t="s">
        <v>12</v>
      </c>
      <c r="F116" s="29">
        <v>4</v>
      </c>
      <c r="G116" s="28">
        <v>1</v>
      </c>
      <c r="H116" s="28">
        <v>0</v>
      </c>
      <c r="I116" s="28"/>
      <c r="J116" s="30">
        <v>0.04</v>
      </c>
      <c r="K116" s="28">
        <v>3</v>
      </c>
      <c r="L116" s="28" t="s">
        <v>12</v>
      </c>
      <c r="M116" s="28"/>
      <c r="N116" s="28"/>
      <c r="O116" s="28"/>
      <c r="P116" s="31">
        <v>0</v>
      </c>
      <c r="Q116" s="31">
        <v>0</v>
      </c>
      <c r="R116" s="31">
        <v>0</v>
      </c>
      <c r="S116" s="28"/>
      <c r="T116" s="28"/>
      <c r="U116" s="28"/>
      <c r="V116" s="31">
        <v>0</v>
      </c>
      <c r="W116" s="31">
        <v>0</v>
      </c>
      <c r="X116" s="31">
        <v>0</v>
      </c>
      <c r="Y116" s="28" t="s">
        <v>415</v>
      </c>
    </row>
    <row r="117" spans="1:25" x14ac:dyDescent="0.3">
      <c r="A117" s="28" t="s">
        <v>429</v>
      </c>
      <c r="B117" s="28" t="s">
        <v>92</v>
      </c>
      <c r="C117" s="28" t="s">
        <v>260</v>
      </c>
      <c r="D117" s="28" t="s">
        <v>202</v>
      </c>
      <c r="E117" s="28" t="s">
        <v>12</v>
      </c>
      <c r="F117" s="29">
        <v>4</v>
      </c>
      <c r="G117" s="28">
        <v>1</v>
      </c>
      <c r="H117" s="28">
        <v>0</v>
      </c>
      <c r="I117" s="28"/>
      <c r="J117" s="30">
        <v>0.04</v>
      </c>
      <c r="K117" s="28">
        <v>2</v>
      </c>
      <c r="L117" s="28" t="s">
        <v>12</v>
      </c>
      <c r="M117" s="28"/>
      <c r="N117" s="28"/>
      <c r="O117" s="28"/>
      <c r="P117" s="31">
        <v>0</v>
      </c>
      <c r="Q117" s="31">
        <v>0</v>
      </c>
      <c r="R117" s="31">
        <v>0</v>
      </c>
      <c r="S117" s="28"/>
      <c r="T117" s="28"/>
      <c r="U117" s="28"/>
      <c r="V117" s="31">
        <v>0</v>
      </c>
      <c r="W117" s="31">
        <v>0</v>
      </c>
      <c r="X117" s="31">
        <v>0</v>
      </c>
      <c r="Y117" s="28" t="s">
        <v>413</v>
      </c>
    </row>
    <row r="118" spans="1:25" x14ac:dyDescent="0.3">
      <c r="A118" s="28" t="s">
        <v>430</v>
      </c>
      <c r="B118" s="28" t="s">
        <v>92</v>
      </c>
      <c r="C118" s="28" t="s">
        <v>260</v>
      </c>
      <c r="D118" s="28" t="s">
        <v>206</v>
      </c>
      <c r="E118" s="28" t="s">
        <v>12</v>
      </c>
      <c r="F118" s="29">
        <v>4</v>
      </c>
      <c r="G118" s="28">
        <v>1</v>
      </c>
      <c r="H118" s="28">
        <v>0</v>
      </c>
      <c r="I118" s="28"/>
      <c r="J118" s="30">
        <v>0.04</v>
      </c>
      <c r="K118" s="28">
        <v>2</v>
      </c>
      <c r="L118" s="28" t="s">
        <v>12</v>
      </c>
      <c r="M118" s="28"/>
      <c r="N118" s="28"/>
      <c r="O118" s="28"/>
      <c r="P118" s="31">
        <v>0</v>
      </c>
      <c r="Q118" s="31">
        <v>0</v>
      </c>
      <c r="R118" s="31">
        <v>0</v>
      </c>
      <c r="S118" s="28"/>
      <c r="T118" s="28"/>
      <c r="U118" s="28"/>
      <c r="V118" s="31">
        <v>0</v>
      </c>
      <c r="W118" s="31">
        <v>0</v>
      </c>
      <c r="X118" s="31">
        <v>0</v>
      </c>
      <c r="Y118" s="28" t="s">
        <v>413</v>
      </c>
    </row>
    <row r="119" spans="1:25" x14ac:dyDescent="0.3">
      <c r="A119" s="28" t="s">
        <v>431</v>
      </c>
      <c r="B119" s="28" t="s">
        <v>92</v>
      </c>
      <c r="C119" s="28" t="s">
        <v>265</v>
      </c>
      <c r="D119" s="28" t="s">
        <v>202</v>
      </c>
      <c r="E119" s="28" t="s">
        <v>12</v>
      </c>
      <c r="F119" s="29">
        <v>4</v>
      </c>
      <c r="G119" s="28">
        <v>1</v>
      </c>
      <c r="H119" s="28">
        <v>0</v>
      </c>
      <c r="I119" s="28"/>
      <c r="J119" s="30">
        <v>0.04</v>
      </c>
      <c r="K119" s="28">
        <v>2</v>
      </c>
      <c r="L119" s="28" t="s">
        <v>12</v>
      </c>
      <c r="M119" s="28"/>
      <c r="N119" s="28"/>
      <c r="O119" s="28"/>
      <c r="P119" s="31">
        <v>0</v>
      </c>
      <c r="Q119" s="31">
        <v>0</v>
      </c>
      <c r="R119" s="31">
        <v>0</v>
      </c>
      <c r="S119" s="28"/>
      <c r="T119" s="28"/>
      <c r="U119" s="28"/>
      <c r="V119" s="31">
        <v>0</v>
      </c>
      <c r="W119" s="31">
        <v>0</v>
      </c>
      <c r="X119" s="31">
        <v>0</v>
      </c>
      <c r="Y119" s="28" t="s">
        <v>413</v>
      </c>
    </row>
    <row r="120" spans="1:25" x14ac:dyDescent="0.3">
      <c r="A120" s="28" t="s">
        <v>432</v>
      </c>
      <c r="B120" s="28" t="s">
        <v>92</v>
      </c>
      <c r="C120" s="28" t="s">
        <v>265</v>
      </c>
      <c r="D120" s="28" t="s">
        <v>206</v>
      </c>
      <c r="E120" s="28" t="s">
        <v>12</v>
      </c>
      <c r="F120" s="29">
        <v>4</v>
      </c>
      <c r="G120" s="28">
        <v>1</v>
      </c>
      <c r="H120" s="28">
        <v>0</v>
      </c>
      <c r="I120" s="28"/>
      <c r="J120" s="30">
        <v>0.04</v>
      </c>
      <c r="K120" s="28">
        <v>3</v>
      </c>
      <c r="L120" s="28" t="s">
        <v>12</v>
      </c>
      <c r="M120" s="28"/>
      <c r="N120" s="28"/>
      <c r="O120" s="28"/>
      <c r="P120" s="31">
        <v>0</v>
      </c>
      <c r="Q120" s="31">
        <v>0</v>
      </c>
      <c r="R120" s="31">
        <v>0</v>
      </c>
      <c r="S120" s="28"/>
      <c r="T120" s="28"/>
      <c r="U120" s="28"/>
      <c r="V120" s="31">
        <v>0</v>
      </c>
      <c r="W120" s="31">
        <v>0</v>
      </c>
      <c r="X120" s="31">
        <v>0</v>
      </c>
      <c r="Y120" s="28" t="s">
        <v>415</v>
      </c>
    </row>
    <row r="121" spans="1:25" x14ac:dyDescent="0.3">
      <c r="A121" s="28" t="s">
        <v>433</v>
      </c>
      <c r="B121" s="28" t="s">
        <v>92</v>
      </c>
      <c r="C121" s="28" t="s">
        <v>270</v>
      </c>
      <c r="D121" s="28" t="s">
        <v>202</v>
      </c>
      <c r="E121" s="28" t="s">
        <v>12</v>
      </c>
      <c r="F121" s="29">
        <v>3</v>
      </c>
      <c r="G121" s="28">
        <v>1</v>
      </c>
      <c r="H121" s="28">
        <v>0</v>
      </c>
      <c r="I121" s="28"/>
      <c r="J121" s="30">
        <v>0.04</v>
      </c>
      <c r="K121" s="28">
        <v>0</v>
      </c>
      <c r="L121" s="28"/>
      <c r="M121" s="28" t="s">
        <v>261</v>
      </c>
      <c r="N121" s="28" t="s">
        <v>271</v>
      </c>
      <c r="O121" s="28">
        <v>2026</v>
      </c>
      <c r="P121" s="31">
        <v>876</v>
      </c>
      <c r="Q121" s="31">
        <v>0</v>
      </c>
      <c r="R121" s="31">
        <v>89</v>
      </c>
      <c r="S121" s="28"/>
      <c r="T121" s="28"/>
      <c r="U121" s="28"/>
      <c r="V121" s="31">
        <v>0</v>
      </c>
      <c r="W121" s="31">
        <v>0</v>
      </c>
      <c r="X121" s="31">
        <v>0</v>
      </c>
      <c r="Y121" s="28" t="s">
        <v>434</v>
      </c>
    </row>
    <row r="122" spans="1:25" x14ac:dyDescent="0.3">
      <c r="A122" s="28" t="s">
        <v>435</v>
      </c>
      <c r="B122" s="28" t="s">
        <v>92</v>
      </c>
      <c r="C122" s="28" t="s">
        <v>270</v>
      </c>
      <c r="D122" s="28" t="s">
        <v>206</v>
      </c>
      <c r="E122" s="28" t="s">
        <v>12</v>
      </c>
      <c r="F122" s="29">
        <v>3</v>
      </c>
      <c r="G122" s="28">
        <v>1</v>
      </c>
      <c r="H122" s="28">
        <v>0</v>
      </c>
      <c r="I122" s="28"/>
      <c r="J122" s="30">
        <v>0.04</v>
      </c>
      <c r="K122" s="28">
        <v>0</v>
      </c>
      <c r="L122" s="28"/>
      <c r="M122" s="28" t="s">
        <v>261</v>
      </c>
      <c r="N122" s="28" t="s">
        <v>271</v>
      </c>
      <c r="O122" s="28">
        <v>2026</v>
      </c>
      <c r="P122" s="31">
        <v>876</v>
      </c>
      <c r="Q122" s="31">
        <v>0</v>
      </c>
      <c r="R122" s="31">
        <v>89</v>
      </c>
      <c r="S122" s="28"/>
      <c r="T122" s="28"/>
      <c r="U122" s="28"/>
      <c r="V122" s="31">
        <v>0</v>
      </c>
      <c r="W122" s="31">
        <v>0</v>
      </c>
      <c r="X122" s="31">
        <v>0</v>
      </c>
      <c r="Y122" s="28" t="s">
        <v>434</v>
      </c>
    </row>
    <row r="123" spans="1:25" x14ac:dyDescent="0.3">
      <c r="A123" s="28" t="s">
        <v>436</v>
      </c>
      <c r="B123" s="28" t="s">
        <v>92</v>
      </c>
      <c r="C123" s="28" t="s">
        <v>275</v>
      </c>
      <c r="D123" s="28" t="s">
        <v>202</v>
      </c>
      <c r="E123" s="28" t="s">
        <v>12</v>
      </c>
      <c r="F123" s="29">
        <v>5</v>
      </c>
      <c r="G123" s="28">
        <v>1</v>
      </c>
      <c r="H123" s="28">
        <v>4</v>
      </c>
      <c r="I123" s="28" t="s">
        <v>265</v>
      </c>
      <c r="J123" s="30">
        <v>0.04</v>
      </c>
      <c r="K123" s="28">
        <v>0</v>
      </c>
      <c r="L123" s="28"/>
      <c r="M123" s="28" t="s">
        <v>261</v>
      </c>
      <c r="N123" s="28" t="s">
        <v>12</v>
      </c>
      <c r="O123" s="28">
        <v>2026</v>
      </c>
      <c r="P123" s="31">
        <v>1074</v>
      </c>
      <c r="Q123" s="31">
        <v>0</v>
      </c>
      <c r="R123" s="31">
        <v>199</v>
      </c>
      <c r="S123" s="28" t="s">
        <v>389</v>
      </c>
      <c r="T123" s="28" t="s">
        <v>12</v>
      </c>
      <c r="U123" s="28">
        <v>2026</v>
      </c>
      <c r="V123" s="31">
        <v>12802.5</v>
      </c>
      <c r="W123" s="31">
        <v>0</v>
      </c>
      <c r="X123" s="31">
        <v>0</v>
      </c>
      <c r="Y123" s="28" t="s">
        <v>437</v>
      </c>
    </row>
    <row r="124" spans="1:25" x14ac:dyDescent="0.3">
      <c r="A124" s="28" t="s">
        <v>438</v>
      </c>
      <c r="B124" s="28" t="s">
        <v>92</v>
      </c>
      <c r="C124" s="28" t="s">
        <v>275</v>
      </c>
      <c r="D124" s="28" t="s">
        <v>206</v>
      </c>
      <c r="E124" s="28" t="s">
        <v>12</v>
      </c>
      <c r="F124" s="29">
        <v>5</v>
      </c>
      <c r="G124" s="28">
        <v>1</v>
      </c>
      <c r="H124" s="28">
        <v>4</v>
      </c>
      <c r="I124" s="28" t="s">
        <v>265</v>
      </c>
      <c r="J124" s="30">
        <v>0.04</v>
      </c>
      <c r="K124" s="28">
        <v>0</v>
      </c>
      <c r="L124" s="28"/>
      <c r="M124" s="28" t="s">
        <v>261</v>
      </c>
      <c r="N124" s="28" t="s">
        <v>12</v>
      </c>
      <c r="O124" s="28">
        <v>2026</v>
      </c>
      <c r="P124" s="31">
        <v>1074</v>
      </c>
      <c r="Q124" s="31">
        <v>0</v>
      </c>
      <c r="R124" s="31">
        <v>199</v>
      </c>
      <c r="S124" s="28" t="s">
        <v>389</v>
      </c>
      <c r="T124" s="28" t="s">
        <v>12</v>
      </c>
      <c r="U124" s="28">
        <v>2026</v>
      </c>
      <c r="V124" s="31">
        <v>38131.666666666657</v>
      </c>
      <c r="W124" s="31">
        <v>0</v>
      </c>
      <c r="X124" s="31">
        <v>0</v>
      </c>
      <c r="Y124" s="28" t="s">
        <v>437</v>
      </c>
    </row>
    <row r="125" spans="1:25" x14ac:dyDescent="0.3">
      <c r="A125" s="28" t="s">
        <v>439</v>
      </c>
      <c r="B125" s="28" t="s">
        <v>92</v>
      </c>
      <c r="C125" s="28" t="s">
        <v>280</v>
      </c>
      <c r="D125" s="28" t="s">
        <v>202</v>
      </c>
      <c r="E125" s="28" t="s">
        <v>12</v>
      </c>
      <c r="F125" s="29">
        <v>0</v>
      </c>
      <c r="G125" s="28">
        <v>0</v>
      </c>
      <c r="H125" s="28">
        <v>0</v>
      </c>
      <c r="I125" s="28"/>
      <c r="J125" s="30">
        <v>0.04</v>
      </c>
      <c r="K125" s="28">
        <v>0</v>
      </c>
      <c r="L125" s="28"/>
      <c r="M125" s="28" t="s">
        <v>276</v>
      </c>
      <c r="N125" s="28" t="s">
        <v>12</v>
      </c>
      <c r="O125" s="28">
        <v>2026</v>
      </c>
      <c r="P125" s="31">
        <v>0</v>
      </c>
      <c r="Q125" s="31">
        <v>0</v>
      </c>
      <c r="R125" s="31">
        <v>0</v>
      </c>
      <c r="S125" s="28"/>
      <c r="T125" s="28"/>
      <c r="U125" s="28"/>
      <c r="V125" s="31">
        <v>0</v>
      </c>
      <c r="W125" s="31">
        <v>0</v>
      </c>
      <c r="X125" s="31">
        <v>0</v>
      </c>
      <c r="Y125" s="28" t="s">
        <v>440</v>
      </c>
    </row>
    <row r="126" spans="1:25" x14ac:dyDescent="0.3">
      <c r="A126" s="28" t="s">
        <v>441</v>
      </c>
      <c r="B126" s="28" t="s">
        <v>92</v>
      </c>
      <c r="C126" s="28" t="s">
        <v>280</v>
      </c>
      <c r="D126" s="28" t="s">
        <v>206</v>
      </c>
      <c r="E126" s="28" t="s">
        <v>12</v>
      </c>
      <c r="F126" s="29">
        <v>0</v>
      </c>
      <c r="G126" s="28">
        <v>0</v>
      </c>
      <c r="H126" s="28">
        <v>0</v>
      </c>
      <c r="I126" s="28"/>
      <c r="J126" s="30">
        <v>0.04</v>
      </c>
      <c r="K126" s="28">
        <v>0</v>
      </c>
      <c r="L126" s="28"/>
      <c r="M126" s="28" t="s">
        <v>276</v>
      </c>
      <c r="N126" s="28" t="s">
        <v>12</v>
      </c>
      <c r="O126" s="28">
        <v>2026</v>
      </c>
      <c r="P126" s="31">
        <v>0</v>
      </c>
      <c r="Q126" s="31">
        <v>0</v>
      </c>
      <c r="R126" s="31">
        <v>0</v>
      </c>
      <c r="S126" s="28"/>
      <c r="T126" s="28"/>
      <c r="U126" s="28"/>
      <c r="V126" s="31">
        <v>0</v>
      </c>
      <c r="W126" s="31">
        <v>0</v>
      </c>
      <c r="X126" s="31">
        <v>0</v>
      </c>
      <c r="Y126" s="28" t="s">
        <v>440</v>
      </c>
    </row>
    <row r="127" spans="1:25" x14ac:dyDescent="0.3">
      <c r="A127" s="28" t="s">
        <v>442</v>
      </c>
      <c r="B127" s="28" t="s">
        <v>92</v>
      </c>
      <c r="C127" s="28" t="s">
        <v>284</v>
      </c>
      <c r="D127" s="28" t="s">
        <v>202</v>
      </c>
      <c r="E127" s="28" t="s">
        <v>12</v>
      </c>
      <c r="F127" s="29">
        <v>7</v>
      </c>
      <c r="G127" s="28">
        <v>1</v>
      </c>
      <c r="H127" s="28">
        <v>4</v>
      </c>
      <c r="I127" s="28" t="s">
        <v>255</v>
      </c>
      <c r="J127" s="30">
        <v>0.04</v>
      </c>
      <c r="K127" s="28">
        <v>1</v>
      </c>
      <c r="L127" s="28" t="s">
        <v>12</v>
      </c>
      <c r="M127" s="28"/>
      <c r="N127" s="28"/>
      <c r="O127" s="28"/>
      <c r="P127" s="31">
        <v>0</v>
      </c>
      <c r="Q127" s="31">
        <v>0</v>
      </c>
      <c r="R127" s="31">
        <v>0</v>
      </c>
      <c r="S127" s="28" t="s">
        <v>389</v>
      </c>
      <c r="T127" s="28" t="s">
        <v>12</v>
      </c>
      <c r="U127" s="28">
        <v>2026</v>
      </c>
      <c r="V127" s="31">
        <v>12802.5</v>
      </c>
      <c r="W127" s="31">
        <v>0</v>
      </c>
      <c r="X127" s="31">
        <v>0</v>
      </c>
      <c r="Y127" s="28" t="s">
        <v>443</v>
      </c>
    </row>
    <row r="128" spans="1:25" x14ac:dyDescent="0.3">
      <c r="A128" s="28" t="s">
        <v>444</v>
      </c>
      <c r="B128" s="28" t="s">
        <v>92</v>
      </c>
      <c r="C128" s="28" t="s">
        <v>284</v>
      </c>
      <c r="D128" s="28" t="s">
        <v>206</v>
      </c>
      <c r="E128" s="28" t="s">
        <v>12</v>
      </c>
      <c r="F128" s="29">
        <v>7</v>
      </c>
      <c r="G128" s="28">
        <v>1</v>
      </c>
      <c r="H128" s="28">
        <v>4</v>
      </c>
      <c r="I128" s="28" t="s">
        <v>255</v>
      </c>
      <c r="J128" s="30">
        <v>0.04</v>
      </c>
      <c r="K128" s="28">
        <v>0</v>
      </c>
      <c r="L128" s="28"/>
      <c r="M128" s="28" t="s">
        <v>261</v>
      </c>
      <c r="N128" s="28" t="s">
        <v>12</v>
      </c>
      <c r="O128" s="28">
        <v>2026</v>
      </c>
      <c r="P128" s="31">
        <v>83381</v>
      </c>
      <c r="Q128" s="31">
        <v>0</v>
      </c>
      <c r="R128" s="31">
        <v>0</v>
      </c>
      <c r="S128" s="28" t="s">
        <v>389</v>
      </c>
      <c r="T128" s="28" t="s">
        <v>12</v>
      </c>
      <c r="U128" s="28">
        <v>2026</v>
      </c>
      <c r="V128" s="31">
        <v>38131.666666666657</v>
      </c>
      <c r="W128" s="31">
        <v>0</v>
      </c>
      <c r="X128" s="31">
        <v>0</v>
      </c>
      <c r="Y128" s="28" t="s">
        <v>445</v>
      </c>
    </row>
    <row r="129" spans="1:25" x14ac:dyDescent="0.3">
      <c r="A129" s="28" t="s">
        <v>446</v>
      </c>
      <c r="B129" s="28" t="s">
        <v>92</v>
      </c>
      <c r="C129" s="28" t="s">
        <v>288</v>
      </c>
      <c r="D129" s="28" t="s">
        <v>202</v>
      </c>
      <c r="E129" s="28" t="s">
        <v>12</v>
      </c>
      <c r="F129" s="29">
        <v>5</v>
      </c>
      <c r="G129" s="28">
        <v>1</v>
      </c>
      <c r="H129" s="28">
        <v>0</v>
      </c>
      <c r="I129" s="28"/>
      <c r="J129" s="30">
        <v>0.04</v>
      </c>
      <c r="K129" s="28">
        <v>0</v>
      </c>
      <c r="L129" s="28"/>
      <c r="M129" s="28" t="s">
        <v>261</v>
      </c>
      <c r="N129" s="28" t="s">
        <v>12</v>
      </c>
      <c r="O129" s="28">
        <v>2026</v>
      </c>
      <c r="P129" s="31">
        <v>12084.5</v>
      </c>
      <c r="Q129" s="31">
        <v>0</v>
      </c>
      <c r="R129" s="31">
        <v>0</v>
      </c>
      <c r="S129" s="28"/>
      <c r="T129" s="28"/>
      <c r="U129" s="28"/>
      <c r="V129" s="31">
        <v>0</v>
      </c>
      <c r="W129" s="31">
        <v>0</v>
      </c>
      <c r="X129" s="31">
        <v>0</v>
      </c>
      <c r="Y129" s="28" t="s">
        <v>447</v>
      </c>
    </row>
    <row r="130" spans="1:25" x14ac:dyDescent="0.3">
      <c r="A130" s="28" t="s">
        <v>448</v>
      </c>
      <c r="B130" s="28" t="s">
        <v>92</v>
      </c>
      <c r="C130" s="28" t="s">
        <v>288</v>
      </c>
      <c r="D130" s="28" t="s">
        <v>206</v>
      </c>
      <c r="E130" s="28" t="s">
        <v>12</v>
      </c>
      <c r="F130" s="29">
        <v>5</v>
      </c>
      <c r="G130" s="28">
        <v>1</v>
      </c>
      <c r="H130" s="28">
        <v>0</v>
      </c>
      <c r="I130" s="28"/>
      <c r="J130" s="30">
        <v>0.04</v>
      </c>
      <c r="K130" s="28">
        <v>0</v>
      </c>
      <c r="L130" s="28"/>
      <c r="M130" s="28" t="s">
        <v>261</v>
      </c>
      <c r="N130" s="28" t="s">
        <v>12</v>
      </c>
      <c r="O130" s="28">
        <v>2026</v>
      </c>
      <c r="P130" s="31">
        <v>33975</v>
      </c>
      <c r="Q130" s="31">
        <v>0</v>
      </c>
      <c r="R130" s="31">
        <v>0</v>
      </c>
      <c r="S130" s="28"/>
      <c r="T130" s="28"/>
      <c r="U130" s="28"/>
      <c r="V130" s="31">
        <v>0</v>
      </c>
      <c r="W130" s="31">
        <v>0</v>
      </c>
      <c r="X130" s="31">
        <v>0</v>
      </c>
      <c r="Y130" s="28" t="s">
        <v>447</v>
      </c>
    </row>
    <row r="131" spans="1:25" x14ac:dyDescent="0.3">
      <c r="A131" s="28" t="s">
        <v>449</v>
      </c>
      <c r="B131" s="28" t="s">
        <v>92</v>
      </c>
      <c r="C131" s="28" t="s">
        <v>292</v>
      </c>
      <c r="D131" s="28" t="s">
        <v>202</v>
      </c>
      <c r="E131" s="28" t="s">
        <v>12</v>
      </c>
      <c r="F131" s="29">
        <v>4</v>
      </c>
      <c r="G131" s="28">
        <v>1</v>
      </c>
      <c r="H131" s="28">
        <v>0</v>
      </c>
      <c r="I131" s="28"/>
      <c r="J131" s="30">
        <v>0.04</v>
      </c>
      <c r="K131" s="28">
        <v>2</v>
      </c>
      <c r="L131" s="28" t="s">
        <v>12</v>
      </c>
      <c r="M131" s="28"/>
      <c r="N131" s="28"/>
      <c r="O131" s="28"/>
      <c r="P131" s="31">
        <v>0</v>
      </c>
      <c r="Q131" s="31">
        <v>0</v>
      </c>
      <c r="R131" s="31">
        <v>0</v>
      </c>
      <c r="S131" s="28"/>
      <c r="T131" s="28"/>
      <c r="U131" s="28"/>
      <c r="V131" s="31">
        <v>0</v>
      </c>
      <c r="W131" s="31">
        <v>0</v>
      </c>
      <c r="X131" s="31">
        <v>0</v>
      </c>
      <c r="Y131" s="28" t="s">
        <v>413</v>
      </c>
    </row>
    <row r="132" spans="1:25" x14ac:dyDescent="0.3">
      <c r="A132" s="28" t="s">
        <v>450</v>
      </c>
      <c r="B132" s="28" t="s">
        <v>92</v>
      </c>
      <c r="C132" s="28" t="s">
        <v>292</v>
      </c>
      <c r="D132" s="28" t="s">
        <v>206</v>
      </c>
      <c r="E132" s="28" t="s">
        <v>12</v>
      </c>
      <c r="F132" s="29">
        <v>4</v>
      </c>
      <c r="G132" s="28">
        <v>1</v>
      </c>
      <c r="H132" s="28">
        <v>0</v>
      </c>
      <c r="I132" s="28"/>
      <c r="J132" s="30">
        <v>0.04</v>
      </c>
      <c r="K132" s="28">
        <v>2</v>
      </c>
      <c r="L132" s="28" t="s">
        <v>12</v>
      </c>
      <c r="M132" s="28"/>
      <c r="N132" s="28"/>
      <c r="O132" s="28"/>
      <c r="P132" s="31">
        <v>0</v>
      </c>
      <c r="Q132" s="31">
        <v>0</v>
      </c>
      <c r="R132" s="31">
        <v>0</v>
      </c>
      <c r="S132" s="28"/>
      <c r="T132" s="28"/>
      <c r="U132" s="28"/>
      <c r="V132" s="31">
        <v>0</v>
      </c>
      <c r="W132" s="31">
        <v>0</v>
      </c>
      <c r="X132" s="31">
        <v>0</v>
      </c>
      <c r="Y132" s="28" t="s">
        <v>413</v>
      </c>
    </row>
    <row r="133" spans="1:25" x14ac:dyDescent="0.3">
      <c r="A133" s="28" t="s">
        <v>451</v>
      </c>
      <c r="B133" s="28" t="s">
        <v>92</v>
      </c>
      <c r="C133" s="28" t="s">
        <v>296</v>
      </c>
      <c r="D133" s="28" t="s">
        <v>202</v>
      </c>
      <c r="E133" s="28" t="s">
        <v>12</v>
      </c>
      <c r="F133" s="29">
        <v>4</v>
      </c>
      <c r="G133" s="28">
        <v>1</v>
      </c>
      <c r="H133" s="28">
        <v>0</v>
      </c>
      <c r="I133" s="28"/>
      <c r="J133" s="30">
        <v>0.04</v>
      </c>
      <c r="K133" s="28">
        <v>1</v>
      </c>
      <c r="L133" s="28" t="s">
        <v>12</v>
      </c>
      <c r="M133" s="28"/>
      <c r="N133" s="28"/>
      <c r="O133" s="28"/>
      <c r="P133" s="31">
        <v>0</v>
      </c>
      <c r="Q133" s="31">
        <v>0</v>
      </c>
      <c r="R133" s="31">
        <v>0</v>
      </c>
      <c r="S133" s="28"/>
      <c r="T133" s="28"/>
      <c r="U133" s="28"/>
      <c r="V133" s="31">
        <v>0</v>
      </c>
      <c r="W133" s="31">
        <v>0</v>
      </c>
      <c r="X133" s="31">
        <v>0</v>
      </c>
      <c r="Y133" s="28" t="s">
        <v>423</v>
      </c>
    </row>
    <row r="134" spans="1:25" x14ac:dyDescent="0.3">
      <c r="A134" s="28" t="s">
        <v>452</v>
      </c>
      <c r="B134" s="28" t="s">
        <v>92</v>
      </c>
      <c r="C134" s="28" t="s">
        <v>296</v>
      </c>
      <c r="D134" s="28" t="s">
        <v>206</v>
      </c>
      <c r="E134" s="28" t="s">
        <v>12</v>
      </c>
      <c r="F134" s="29">
        <v>4</v>
      </c>
      <c r="G134" s="28">
        <v>1</v>
      </c>
      <c r="H134" s="28">
        <v>0</v>
      </c>
      <c r="I134" s="28"/>
      <c r="J134" s="30">
        <v>0.04</v>
      </c>
      <c r="K134" s="28">
        <v>1</v>
      </c>
      <c r="L134" s="28" t="s">
        <v>12</v>
      </c>
      <c r="M134" s="28"/>
      <c r="N134" s="28"/>
      <c r="O134" s="28"/>
      <c r="P134" s="31">
        <v>0</v>
      </c>
      <c r="Q134" s="31">
        <v>0</v>
      </c>
      <c r="R134" s="31">
        <v>0</v>
      </c>
      <c r="S134" s="28"/>
      <c r="T134" s="28"/>
      <c r="U134" s="28"/>
      <c r="V134" s="31">
        <v>0</v>
      </c>
      <c r="W134" s="31">
        <v>0</v>
      </c>
      <c r="X134" s="31">
        <v>0</v>
      </c>
      <c r="Y134" s="28" t="s">
        <v>423</v>
      </c>
    </row>
    <row r="135" spans="1:25" x14ac:dyDescent="0.3">
      <c r="A135" s="28" t="s">
        <v>453</v>
      </c>
      <c r="B135" s="28" t="s">
        <v>92</v>
      </c>
      <c r="C135" s="28" t="s">
        <v>300</v>
      </c>
      <c r="D135" s="28" t="s">
        <v>202</v>
      </c>
      <c r="E135" s="28" t="s">
        <v>12</v>
      </c>
      <c r="F135" s="29">
        <v>4</v>
      </c>
      <c r="G135" s="28">
        <v>1</v>
      </c>
      <c r="H135" s="28">
        <v>0</v>
      </c>
      <c r="I135" s="28"/>
      <c r="J135" s="30">
        <v>0.04</v>
      </c>
      <c r="K135" s="28">
        <v>0</v>
      </c>
      <c r="L135" s="28"/>
      <c r="M135" s="28" t="s">
        <v>261</v>
      </c>
      <c r="N135" s="28" t="s">
        <v>12</v>
      </c>
      <c r="O135" s="28">
        <v>2026</v>
      </c>
      <c r="P135" s="31">
        <v>20734.791666666672</v>
      </c>
      <c r="Q135" s="31">
        <v>0</v>
      </c>
      <c r="R135" s="31">
        <v>0</v>
      </c>
      <c r="S135" s="28"/>
      <c r="T135" s="28"/>
      <c r="U135" s="28"/>
      <c r="V135" s="31">
        <v>0</v>
      </c>
      <c r="W135" s="31">
        <v>0</v>
      </c>
      <c r="X135" s="31">
        <v>0</v>
      </c>
      <c r="Y135" s="28" t="s">
        <v>454</v>
      </c>
    </row>
    <row r="136" spans="1:25" x14ac:dyDescent="0.3">
      <c r="A136" s="28" t="s">
        <v>455</v>
      </c>
      <c r="B136" s="28" t="s">
        <v>92</v>
      </c>
      <c r="C136" s="28" t="s">
        <v>300</v>
      </c>
      <c r="D136" s="28" t="s">
        <v>206</v>
      </c>
      <c r="E136" s="28" t="s">
        <v>12</v>
      </c>
      <c r="F136" s="29">
        <v>4</v>
      </c>
      <c r="G136" s="28">
        <v>1</v>
      </c>
      <c r="H136" s="28">
        <v>0</v>
      </c>
      <c r="I136" s="28"/>
      <c r="J136" s="30">
        <v>0.04</v>
      </c>
      <c r="K136" s="28">
        <v>0</v>
      </c>
      <c r="L136" s="28"/>
      <c r="M136" s="28" t="s">
        <v>261</v>
      </c>
      <c r="N136" s="28" t="s">
        <v>12</v>
      </c>
      <c r="O136" s="28">
        <v>2026</v>
      </c>
      <c r="P136" s="31">
        <v>35801.199999999997</v>
      </c>
      <c r="Q136" s="31">
        <v>0</v>
      </c>
      <c r="R136" s="31">
        <v>0</v>
      </c>
      <c r="S136" s="28"/>
      <c r="T136" s="28"/>
      <c r="U136" s="28"/>
      <c r="V136" s="31">
        <v>0</v>
      </c>
      <c r="W136" s="31">
        <v>0</v>
      </c>
      <c r="X136" s="31">
        <v>0</v>
      </c>
      <c r="Y136" s="28" t="s">
        <v>454</v>
      </c>
    </row>
    <row r="137" spans="1:25" x14ac:dyDescent="0.3">
      <c r="A137" s="28" t="s">
        <v>456</v>
      </c>
      <c r="B137" s="28" t="s">
        <v>93</v>
      </c>
      <c r="C137" s="28" t="s">
        <v>201</v>
      </c>
      <c r="D137" s="28" t="s">
        <v>202</v>
      </c>
      <c r="E137" s="28" t="s">
        <v>271</v>
      </c>
      <c r="F137" s="29">
        <v>5</v>
      </c>
      <c r="G137" s="28">
        <v>1</v>
      </c>
      <c r="H137" s="28">
        <v>0</v>
      </c>
      <c r="I137" s="28"/>
      <c r="J137" s="30">
        <v>2.7E-2</v>
      </c>
      <c r="K137" s="28">
        <v>1</v>
      </c>
      <c r="L137" s="28" t="s">
        <v>271</v>
      </c>
      <c r="M137" s="28"/>
      <c r="N137" s="28"/>
      <c r="O137" s="28"/>
      <c r="P137" s="31">
        <v>0</v>
      </c>
      <c r="Q137" s="31">
        <v>0</v>
      </c>
      <c r="R137" s="31">
        <v>0</v>
      </c>
      <c r="S137" s="28"/>
      <c r="T137" s="28"/>
      <c r="U137" s="28"/>
      <c r="V137" s="31">
        <v>0</v>
      </c>
      <c r="W137" s="31">
        <v>0</v>
      </c>
      <c r="X137" s="31">
        <v>0</v>
      </c>
      <c r="Y137" s="28" t="s">
        <v>457</v>
      </c>
    </row>
    <row r="138" spans="1:25" x14ac:dyDescent="0.3">
      <c r="A138" s="28" t="s">
        <v>458</v>
      </c>
      <c r="B138" s="28" t="s">
        <v>93</v>
      </c>
      <c r="C138" s="28" t="s">
        <v>201</v>
      </c>
      <c r="D138" s="28" t="s">
        <v>206</v>
      </c>
      <c r="E138" s="28" t="s">
        <v>271</v>
      </c>
      <c r="F138" s="29">
        <v>5</v>
      </c>
      <c r="G138" s="28">
        <v>1</v>
      </c>
      <c r="H138" s="28">
        <v>0</v>
      </c>
      <c r="I138" s="28"/>
      <c r="J138" s="30">
        <v>0.04</v>
      </c>
      <c r="K138" s="28">
        <v>3</v>
      </c>
      <c r="L138" s="28" t="s">
        <v>271</v>
      </c>
      <c r="M138" s="28"/>
      <c r="N138" s="28"/>
      <c r="O138" s="28"/>
      <c r="P138" s="31">
        <v>0</v>
      </c>
      <c r="Q138" s="31">
        <v>0</v>
      </c>
      <c r="R138" s="31">
        <v>0</v>
      </c>
      <c r="S138" s="28"/>
      <c r="T138" s="28"/>
      <c r="U138" s="28"/>
      <c r="V138" s="31">
        <v>0</v>
      </c>
      <c r="W138" s="31">
        <v>0</v>
      </c>
      <c r="X138" s="31">
        <v>0</v>
      </c>
      <c r="Y138" s="28" t="s">
        <v>459</v>
      </c>
    </row>
    <row r="139" spans="1:25" x14ac:dyDescent="0.3">
      <c r="A139" s="28" t="s">
        <v>460</v>
      </c>
      <c r="B139" s="28" t="s">
        <v>93</v>
      </c>
      <c r="C139" s="28" t="s">
        <v>209</v>
      </c>
      <c r="D139" s="28" t="s">
        <v>202</v>
      </c>
      <c r="E139" s="28" t="s">
        <v>271</v>
      </c>
      <c r="F139" s="29">
        <v>5</v>
      </c>
      <c r="G139" s="28">
        <v>1</v>
      </c>
      <c r="H139" s="28">
        <v>0</v>
      </c>
      <c r="I139" s="28"/>
      <c r="J139" s="30">
        <v>2.7E-2</v>
      </c>
      <c r="K139" s="28">
        <v>1</v>
      </c>
      <c r="L139" s="28" t="s">
        <v>271</v>
      </c>
      <c r="M139" s="28"/>
      <c r="N139" s="28"/>
      <c r="O139" s="28"/>
      <c r="P139" s="31">
        <v>0</v>
      </c>
      <c r="Q139" s="31">
        <v>0</v>
      </c>
      <c r="R139" s="31">
        <v>0</v>
      </c>
      <c r="S139" s="28"/>
      <c r="T139" s="28"/>
      <c r="U139" s="28"/>
      <c r="V139" s="31">
        <v>0</v>
      </c>
      <c r="W139" s="31">
        <v>0</v>
      </c>
      <c r="X139" s="31">
        <v>0</v>
      </c>
      <c r="Y139" s="28" t="s">
        <v>461</v>
      </c>
    </row>
    <row r="140" spans="1:25" x14ac:dyDescent="0.3">
      <c r="A140" s="28" t="s">
        <v>462</v>
      </c>
      <c r="B140" s="28" t="s">
        <v>93</v>
      </c>
      <c r="C140" s="28" t="s">
        <v>209</v>
      </c>
      <c r="D140" s="28" t="s">
        <v>206</v>
      </c>
      <c r="E140" s="28" t="s">
        <v>271</v>
      </c>
      <c r="F140" s="29">
        <v>5</v>
      </c>
      <c r="G140" s="28">
        <v>1</v>
      </c>
      <c r="H140" s="28">
        <v>0</v>
      </c>
      <c r="I140" s="28"/>
      <c r="J140" s="30">
        <v>0.04</v>
      </c>
      <c r="K140" s="28">
        <v>3</v>
      </c>
      <c r="L140" s="28" t="s">
        <v>271</v>
      </c>
      <c r="M140" s="28"/>
      <c r="N140" s="28"/>
      <c r="O140" s="28"/>
      <c r="P140" s="31">
        <v>0</v>
      </c>
      <c r="Q140" s="31">
        <v>0</v>
      </c>
      <c r="R140" s="31">
        <v>0</v>
      </c>
      <c r="S140" s="28"/>
      <c r="T140" s="28"/>
      <c r="U140" s="28"/>
      <c r="V140" s="31">
        <v>0</v>
      </c>
      <c r="W140" s="31">
        <v>0</v>
      </c>
      <c r="X140" s="31">
        <v>0</v>
      </c>
      <c r="Y140" s="28" t="s">
        <v>463</v>
      </c>
    </row>
    <row r="141" spans="1:25" x14ac:dyDescent="0.3">
      <c r="A141" s="28" t="s">
        <v>464</v>
      </c>
      <c r="B141" s="28" t="s">
        <v>93</v>
      </c>
      <c r="C141" s="28" t="s">
        <v>213</v>
      </c>
      <c r="D141" s="28" t="s">
        <v>202</v>
      </c>
      <c r="E141" s="28" t="s">
        <v>271</v>
      </c>
      <c r="F141" s="29">
        <v>4</v>
      </c>
      <c r="G141" s="28">
        <v>1</v>
      </c>
      <c r="H141" s="28">
        <v>0</v>
      </c>
      <c r="I141" s="28"/>
      <c r="J141" s="30">
        <v>2.7E-2</v>
      </c>
      <c r="K141" s="28">
        <v>1</v>
      </c>
      <c r="L141" s="28" t="s">
        <v>271</v>
      </c>
      <c r="M141" s="28"/>
      <c r="N141" s="28"/>
      <c r="O141" s="28"/>
      <c r="P141" s="31">
        <v>0</v>
      </c>
      <c r="Q141" s="31">
        <v>0</v>
      </c>
      <c r="R141" s="31">
        <v>0</v>
      </c>
      <c r="S141" s="28"/>
      <c r="T141" s="28"/>
      <c r="U141" s="28"/>
      <c r="V141" s="31">
        <v>0</v>
      </c>
      <c r="W141" s="31">
        <v>0</v>
      </c>
      <c r="X141" s="31">
        <v>0</v>
      </c>
      <c r="Y141" s="28" t="s">
        <v>465</v>
      </c>
    </row>
    <row r="142" spans="1:25" x14ac:dyDescent="0.3">
      <c r="A142" s="28" t="s">
        <v>466</v>
      </c>
      <c r="B142" s="28" t="s">
        <v>93</v>
      </c>
      <c r="C142" s="28" t="s">
        <v>213</v>
      </c>
      <c r="D142" s="28" t="s">
        <v>206</v>
      </c>
      <c r="E142" s="28" t="s">
        <v>271</v>
      </c>
      <c r="F142" s="29">
        <v>4</v>
      </c>
      <c r="G142" s="28">
        <v>1</v>
      </c>
      <c r="H142" s="28">
        <v>0</v>
      </c>
      <c r="I142" s="28"/>
      <c r="J142" s="30">
        <v>0.04</v>
      </c>
      <c r="K142" s="28">
        <v>2</v>
      </c>
      <c r="L142" s="28" t="s">
        <v>271</v>
      </c>
      <c r="M142" s="28"/>
      <c r="N142" s="28"/>
      <c r="O142" s="28"/>
      <c r="P142" s="31">
        <v>0</v>
      </c>
      <c r="Q142" s="31">
        <v>0</v>
      </c>
      <c r="R142" s="31">
        <v>0</v>
      </c>
      <c r="S142" s="28"/>
      <c r="T142" s="28"/>
      <c r="U142" s="28"/>
      <c r="V142" s="31">
        <v>0</v>
      </c>
      <c r="W142" s="31">
        <v>0</v>
      </c>
      <c r="X142" s="31">
        <v>0</v>
      </c>
      <c r="Y142" s="28" t="s">
        <v>467</v>
      </c>
    </row>
    <row r="143" spans="1:25" x14ac:dyDescent="0.3">
      <c r="A143" s="28" t="s">
        <v>468</v>
      </c>
      <c r="B143" s="28" t="s">
        <v>93</v>
      </c>
      <c r="C143" s="28" t="s">
        <v>217</v>
      </c>
      <c r="D143" s="28" t="s">
        <v>202</v>
      </c>
      <c r="E143" s="28" t="s">
        <v>271</v>
      </c>
      <c r="F143" s="29">
        <v>3</v>
      </c>
      <c r="G143" s="28">
        <v>1</v>
      </c>
      <c r="H143" s="28">
        <v>0</v>
      </c>
      <c r="I143" s="28"/>
      <c r="J143" s="30">
        <v>2.7E-2</v>
      </c>
      <c r="K143" s="28">
        <v>1</v>
      </c>
      <c r="L143" s="28" t="s">
        <v>271</v>
      </c>
      <c r="M143" s="28"/>
      <c r="N143" s="28"/>
      <c r="O143" s="28"/>
      <c r="P143" s="31">
        <v>0</v>
      </c>
      <c r="Q143" s="31">
        <v>0</v>
      </c>
      <c r="R143" s="31">
        <v>0</v>
      </c>
      <c r="S143" s="28"/>
      <c r="T143" s="28"/>
      <c r="U143" s="28"/>
      <c r="V143" s="31">
        <v>0</v>
      </c>
      <c r="W143" s="31">
        <v>0</v>
      </c>
      <c r="X143" s="31">
        <v>0</v>
      </c>
      <c r="Y143" s="28" t="s">
        <v>469</v>
      </c>
    </row>
    <row r="144" spans="1:25" x14ac:dyDescent="0.3">
      <c r="A144" s="28" t="s">
        <v>470</v>
      </c>
      <c r="B144" s="28" t="s">
        <v>93</v>
      </c>
      <c r="C144" s="28" t="s">
        <v>217</v>
      </c>
      <c r="D144" s="28" t="s">
        <v>206</v>
      </c>
      <c r="E144" s="28" t="s">
        <v>271</v>
      </c>
      <c r="F144" s="29">
        <v>3</v>
      </c>
      <c r="G144" s="28">
        <v>1</v>
      </c>
      <c r="H144" s="28">
        <v>0</v>
      </c>
      <c r="I144" s="28"/>
      <c r="J144" s="30">
        <v>0.04</v>
      </c>
      <c r="K144" s="28">
        <v>3</v>
      </c>
      <c r="L144" s="28" t="s">
        <v>271</v>
      </c>
      <c r="M144" s="28"/>
      <c r="N144" s="28"/>
      <c r="O144" s="28"/>
      <c r="P144" s="31">
        <v>0</v>
      </c>
      <c r="Q144" s="31">
        <v>0</v>
      </c>
      <c r="R144" s="31">
        <v>0</v>
      </c>
      <c r="S144" s="28"/>
      <c r="T144" s="28"/>
      <c r="U144" s="28"/>
      <c r="V144" s="31">
        <v>0</v>
      </c>
      <c r="W144" s="31">
        <v>0</v>
      </c>
      <c r="X144" s="31">
        <v>0</v>
      </c>
      <c r="Y144" s="28" t="s">
        <v>471</v>
      </c>
    </row>
    <row r="145" spans="1:25" x14ac:dyDescent="0.3">
      <c r="A145" s="28" t="s">
        <v>472</v>
      </c>
      <c r="B145" s="28" t="s">
        <v>93</v>
      </c>
      <c r="C145" s="28" t="s">
        <v>221</v>
      </c>
      <c r="D145" s="28" t="s">
        <v>202</v>
      </c>
      <c r="E145" s="28" t="s">
        <v>271</v>
      </c>
      <c r="F145" s="29">
        <v>3</v>
      </c>
      <c r="G145" s="28">
        <v>1</v>
      </c>
      <c r="H145" s="28">
        <v>0</v>
      </c>
      <c r="I145" s="28"/>
      <c r="J145" s="30">
        <v>2.7E-2</v>
      </c>
      <c r="K145" s="28">
        <v>1</v>
      </c>
      <c r="L145" s="28" t="s">
        <v>271</v>
      </c>
      <c r="M145" s="28"/>
      <c r="N145" s="28"/>
      <c r="O145" s="28"/>
      <c r="P145" s="31">
        <v>0</v>
      </c>
      <c r="Q145" s="31">
        <v>0</v>
      </c>
      <c r="R145" s="31">
        <v>0</v>
      </c>
      <c r="S145" s="28"/>
      <c r="T145" s="28"/>
      <c r="U145" s="28"/>
      <c r="V145" s="31">
        <v>0</v>
      </c>
      <c r="W145" s="31">
        <v>0</v>
      </c>
      <c r="X145" s="31">
        <v>0</v>
      </c>
      <c r="Y145" s="28" t="s">
        <v>473</v>
      </c>
    </row>
    <row r="146" spans="1:25" x14ac:dyDescent="0.3">
      <c r="A146" s="28" t="s">
        <v>474</v>
      </c>
      <c r="B146" s="28" t="s">
        <v>93</v>
      </c>
      <c r="C146" s="28" t="s">
        <v>221</v>
      </c>
      <c r="D146" s="28" t="s">
        <v>206</v>
      </c>
      <c r="E146" s="28" t="s">
        <v>271</v>
      </c>
      <c r="F146" s="29">
        <v>3</v>
      </c>
      <c r="G146" s="28">
        <v>1</v>
      </c>
      <c r="H146" s="28">
        <v>0</v>
      </c>
      <c r="I146" s="28"/>
      <c r="J146" s="30">
        <v>0.04</v>
      </c>
      <c r="K146" s="28">
        <v>2</v>
      </c>
      <c r="L146" s="28" t="s">
        <v>271</v>
      </c>
      <c r="M146" s="28"/>
      <c r="N146" s="28"/>
      <c r="O146" s="28"/>
      <c r="P146" s="31">
        <v>0</v>
      </c>
      <c r="Q146" s="31">
        <v>0</v>
      </c>
      <c r="R146" s="31">
        <v>0</v>
      </c>
      <c r="S146" s="28"/>
      <c r="T146" s="28"/>
      <c r="U146" s="28"/>
      <c r="V146" s="31">
        <v>0</v>
      </c>
      <c r="W146" s="31">
        <v>0</v>
      </c>
      <c r="X146" s="31">
        <v>0</v>
      </c>
      <c r="Y146" s="28" t="s">
        <v>475</v>
      </c>
    </row>
    <row r="147" spans="1:25" x14ac:dyDescent="0.3">
      <c r="A147" s="28" t="s">
        <v>476</v>
      </c>
      <c r="B147" s="28" t="s">
        <v>93</v>
      </c>
      <c r="C147" s="28" t="s">
        <v>225</v>
      </c>
      <c r="D147" s="28" t="s">
        <v>202</v>
      </c>
      <c r="E147" s="28" t="s">
        <v>271</v>
      </c>
      <c r="F147" s="29">
        <v>3</v>
      </c>
      <c r="G147" s="28">
        <v>1</v>
      </c>
      <c r="H147" s="28">
        <v>0</v>
      </c>
      <c r="I147" s="28"/>
      <c r="J147" s="30">
        <v>2.7E-2</v>
      </c>
      <c r="K147" s="28">
        <v>1</v>
      </c>
      <c r="L147" s="28" t="s">
        <v>271</v>
      </c>
      <c r="M147" s="28"/>
      <c r="N147" s="28"/>
      <c r="O147" s="28"/>
      <c r="P147" s="31">
        <v>0</v>
      </c>
      <c r="Q147" s="31">
        <v>0</v>
      </c>
      <c r="R147" s="31">
        <v>0</v>
      </c>
      <c r="S147" s="28"/>
      <c r="T147" s="28"/>
      <c r="U147" s="28"/>
      <c r="V147" s="31">
        <v>0</v>
      </c>
      <c r="W147" s="31">
        <v>0</v>
      </c>
      <c r="X147" s="31">
        <v>0</v>
      </c>
      <c r="Y147" s="28" t="s">
        <v>477</v>
      </c>
    </row>
    <row r="148" spans="1:25" x14ac:dyDescent="0.3">
      <c r="A148" s="28" t="s">
        <v>478</v>
      </c>
      <c r="B148" s="28" t="s">
        <v>93</v>
      </c>
      <c r="C148" s="28" t="s">
        <v>225</v>
      </c>
      <c r="D148" s="28" t="s">
        <v>206</v>
      </c>
      <c r="E148" s="28" t="s">
        <v>271</v>
      </c>
      <c r="F148" s="29">
        <v>3</v>
      </c>
      <c r="G148" s="28">
        <v>1</v>
      </c>
      <c r="H148" s="28">
        <v>0</v>
      </c>
      <c r="I148" s="28"/>
      <c r="J148" s="30">
        <v>0.04</v>
      </c>
      <c r="K148" s="28">
        <v>4</v>
      </c>
      <c r="L148" s="28" t="s">
        <v>271</v>
      </c>
      <c r="M148" s="28"/>
      <c r="N148" s="28"/>
      <c r="O148" s="28"/>
      <c r="P148" s="31">
        <v>0</v>
      </c>
      <c r="Q148" s="31">
        <v>0</v>
      </c>
      <c r="R148" s="31">
        <v>0</v>
      </c>
      <c r="S148" s="28"/>
      <c r="T148" s="28"/>
      <c r="U148" s="28"/>
      <c r="V148" s="31">
        <v>0</v>
      </c>
      <c r="W148" s="31">
        <v>0</v>
      </c>
      <c r="X148" s="31">
        <v>0</v>
      </c>
      <c r="Y148" s="28" t="s">
        <v>479</v>
      </c>
    </row>
    <row r="149" spans="1:25" x14ac:dyDescent="0.3">
      <c r="A149" s="28" t="s">
        <v>480</v>
      </c>
      <c r="B149" s="28" t="s">
        <v>93</v>
      </c>
      <c r="C149" s="28" t="s">
        <v>230</v>
      </c>
      <c r="D149" s="28" t="s">
        <v>202</v>
      </c>
      <c r="E149" s="28" t="s">
        <v>271</v>
      </c>
      <c r="F149" s="29">
        <v>3</v>
      </c>
      <c r="G149" s="28">
        <v>1</v>
      </c>
      <c r="H149" s="28">
        <v>0</v>
      </c>
      <c r="I149" s="28"/>
      <c r="J149" s="30">
        <v>2.7E-2</v>
      </c>
      <c r="K149" s="28">
        <v>1</v>
      </c>
      <c r="L149" s="28" t="s">
        <v>271</v>
      </c>
      <c r="M149" s="28"/>
      <c r="N149" s="28"/>
      <c r="O149" s="28"/>
      <c r="P149" s="31">
        <v>0</v>
      </c>
      <c r="Q149" s="31">
        <v>0</v>
      </c>
      <c r="R149" s="31">
        <v>0</v>
      </c>
      <c r="S149" s="28"/>
      <c r="T149" s="28"/>
      <c r="U149" s="28"/>
      <c r="V149" s="31">
        <v>0</v>
      </c>
      <c r="W149" s="31">
        <v>0</v>
      </c>
      <c r="X149" s="31">
        <v>0</v>
      </c>
      <c r="Y149" s="28" t="s">
        <v>481</v>
      </c>
    </row>
    <row r="150" spans="1:25" x14ac:dyDescent="0.3">
      <c r="A150" s="28" t="s">
        <v>482</v>
      </c>
      <c r="B150" s="28" t="s">
        <v>93</v>
      </c>
      <c r="C150" s="28" t="s">
        <v>230</v>
      </c>
      <c r="D150" s="28" t="s">
        <v>206</v>
      </c>
      <c r="E150" s="28" t="s">
        <v>271</v>
      </c>
      <c r="F150" s="29">
        <v>3</v>
      </c>
      <c r="G150" s="28">
        <v>1</v>
      </c>
      <c r="H150" s="28">
        <v>0</v>
      </c>
      <c r="I150" s="28"/>
      <c r="J150" s="30">
        <v>0.04</v>
      </c>
      <c r="K150" s="28">
        <v>4</v>
      </c>
      <c r="L150" s="28" t="s">
        <v>271</v>
      </c>
      <c r="M150" s="28"/>
      <c r="N150" s="28"/>
      <c r="O150" s="28"/>
      <c r="P150" s="31">
        <v>0</v>
      </c>
      <c r="Q150" s="31">
        <v>0</v>
      </c>
      <c r="R150" s="31">
        <v>0</v>
      </c>
      <c r="S150" s="28"/>
      <c r="T150" s="28"/>
      <c r="U150" s="28"/>
      <c r="V150" s="31">
        <v>0</v>
      </c>
      <c r="W150" s="31">
        <v>0</v>
      </c>
      <c r="X150" s="31">
        <v>0</v>
      </c>
      <c r="Y150" s="28" t="s">
        <v>483</v>
      </c>
    </row>
    <row r="151" spans="1:25" x14ac:dyDescent="0.3">
      <c r="A151" s="28" t="s">
        <v>484</v>
      </c>
      <c r="B151" s="28" t="s">
        <v>93</v>
      </c>
      <c r="C151" s="28" t="s">
        <v>235</v>
      </c>
      <c r="D151" s="28" t="s">
        <v>202</v>
      </c>
      <c r="E151" s="28" t="s">
        <v>271</v>
      </c>
      <c r="F151" s="29">
        <v>3</v>
      </c>
      <c r="G151" s="28">
        <v>1</v>
      </c>
      <c r="H151" s="28">
        <v>0</v>
      </c>
      <c r="I151" s="28"/>
      <c r="J151" s="30">
        <v>2.7E-2</v>
      </c>
      <c r="K151" s="28">
        <v>1</v>
      </c>
      <c r="L151" s="28" t="s">
        <v>271</v>
      </c>
      <c r="M151" s="28"/>
      <c r="N151" s="28"/>
      <c r="O151" s="28"/>
      <c r="P151" s="31">
        <v>0</v>
      </c>
      <c r="Q151" s="31">
        <v>0</v>
      </c>
      <c r="R151" s="31">
        <v>0</v>
      </c>
      <c r="S151" s="28"/>
      <c r="T151" s="28"/>
      <c r="U151" s="28"/>
      <c r="V151" s="31">
        <v>0</v>
      </c>
      <c r="W151" s="31">
        <v>0</v>
      </c>
      <c r="X151" s="31">
        <v>0</v>
      </c>
      <c r="Y151" s="28" t="s">
        <v>485</v>
      </c>
    </row>
    <row r="152" spans="1:25" x14ac:dyDescent="0.3">
      <c r="A152" s="28" t="s">
        <v>486</v>
      </c>
      <c r="B152" s="28" t="s">
        <v>93</v>
      </c>
      <c r="C152" s="28" t="s">
        <v>235</v>
      </c>
      <c r="D152" s="28" t="s">
        <v>206</v>
      </c>
      <c r="E152" s="28" t="s">
        <v>271</v>
      </c>
      <c r="F152" s="29">
        <v>3</v>
      </c>
      <c r="G152" s="28">
        <v>1</v>
      </c>
      <c r="H152" s="28">
        <v>0</v>
      </c>
      <c r="I152" s="28"/>
      <c r="J152" s="30">
        <v>0.04</v>
      </c>
      <c r="K152" s="28">
        <v>2</v>
      </c>
      <c r="L152" s="28" t="s">
        <v>271</v>
      </c>
      <c r="M152" s="28"/>
      <c r="N152" s="28"/>
      <c r="O152" s="28"/>
      <c r="P152" s="31">
        <v>0</v>
      </c>
      <c r="Q152" s="31">
        <v>0</v>
      </c>
      <c r="R152" s="31">
        <v>0</v>
      </c>
      <c r="S152" s="28"/>
      <c r="T152" s="28"/>
      <c r="U152" s="28"/>
      <c r="V152" s="31">
        <v>0</v>
      </c>
      <c r="W152" s="31">
        <v>0</v>
      </c>
      <c r="X152" s="31">
        <v>0</v>
      </c>
      <c r="Y152" s="28" t="s">
        <v>487</v>
      </c>
    </row>
    <row r="153" spans="1:25" x14ac:dyDescent="0.3">
      <c r="A153" s="28" t="s">
        <v>488</v>
      </c>
      <c r="B153" s="28" t="s">
        <v>93</v>
      </c>
      <c r="C153" s="28" t="s">
        <v>240</v>
      </c>
      <c r="D153" s="28" t="s">
        <v>202</v>
      </c>
      <c r="E153" s="28" t="s">
        <v>271</v>
      </c>
      <c r="F153" s="29">
        <v>3</v>
      </c>
      <c r="G153" s="28">
        <v>1</v>
      </c>
      <c r="H153" s="28">
        <v>0</v>
      </c>
      <c r="I153" s="28"/>
      <c r="J153" s="30">
        <v>2.7E-2</v>
      </c>
      <c r="K153" s="28">
        <v>1</v>
      </c>
      <c r="L153" s="28" t="s">
        <v>271</v>
      </c>
      <c r="M153" s="28"/>
      <c r="N153" s="28"/>
      <c r="O153" s="28"/>
      <c r="P153" s="31">
        <v>0</v>
      </c>
      <c r="Q153" s="31">
        <v>0</v>
      </c>
      <c r="R153" s="31">
        <v>0</v>
      </c>
      <c r="S153" s="28"/>
      <c r="T153" s="28"/>
      <c r="U153" s="28"/>
      <c r="V153" s="31">
        <v>0</v>
      </c>
      <c r="W153" s="31">
        <v>0</v>
      </c>
      <c r="X153" s="31">
        <v>0</v>
      </c>
      <c r="Y153" s="28" t="s">
        <v>489</v>
      </c>
    </row>
    <row r="154" spans="1:25" x14ac:dyDescent="0.3">
      <c r="A154" s="28" t="s">
        <v>490</v>
      </c>
      <c r="B154" s="28" t="s">
        <v>93</v>
      </c>
      <c r="C154" s="28" t="s">
        <v>240</v>
      </c>
      <c r="D154" s="28" t="s">
        <v>206</v>
      </c>
      <c r="E154" s="28" t="s">
        <v>271</v>
      </c>
      <c r="F154" s="29">
        <v>3</v>
      </c>
      <c r="G154" s="28">
        <v>1</v>
      </c>
      <c r="H154" s="28">
        <v>0</v>
      </c>
      <c r="I154" s="28"/>
      <c r="J154" s="30">
        <v>0.04</v>
      </c>
      <c r="K154" s="28">
        <v>3</v>
      </c>
      <c r="L154" s="28" t="s">
        <v>271</v>
      </c>
      <c r="M154" s="28"/>
      <c r="N154" s="28"/>
      <c r="O154" s="28"/>
      <c r="P154" s="31">
        <v>0</v>
      </c>
      <c r="Q154" s="31">
        <v>0</v>
      </c>
      <c r="R154" s="31">
        <v>0</v>
      </c>
      <c r="S154" s="28"/>
      <c r="T154" s="28"/>
      <c r="U154" s="28"/>
      <c r="V154" s="31">
        <v>0</v>
      </c>
      <c r="W154" s="31">
        <v>0</v>
      </c>
      <c r="X154" s="31">
        <v>0</v>
      </c>
      <c r="Y154" s="28" t="s">
        <v>491</v>
      </c>
    </row>
    <row r="155" spans="1:25" x14ac:dyDescent="0.3">
      <c r="A155" s="28" t="s">
        <v>492</v>
      </c>
      <c r="B155" s="28" t="s">
        <v>93</v>
      </c>
      <c r="C155" s="28" t="s">
        <v>245</v>
      </c>
      <c r="D155" s="28" t="s">
        <v>202</v>
      </c>
      <c r="E155" s="28" t="s">
        <v>271</v>
      </c>
      <c r="F155" s="29">
        <v>3</v>
      </c>
      <c r="G155" s="28">
        <v>1</v>
      </c>
      <c r="H155" s="28">
        <v>0</v>
      </c>
      <c r="I155" s="28"/>
      <c r="J155" s="30">
        <v>2.7E-2</v>
      </c>
      <c r="K155" s="28">
        <v>1</v>
      </c>
      <c r="L155" s="28" t="s">
        <v>271</v>
      </c>
      <c r="M155" s="28"/>
      <c r="N155" s="28"/>
      <c r="O155" s="28"/>
      <c r="P155" s="31">
        <v>0</v>
      </c>
      <c r="Q155" s="31">
        <v>0</v>
      </c>
      <c r="R155" s="31">
        <v>0</v>
      </c>
      <c r="S155" s="28"/>
      <c r="T155" s="28"/>
      <c r="U155" s="28"/>
      <c r="V155" s="31">
        <v>0</v>
      </c>
      <c r="W155" s="31">
        <v>0</v>
      </c>
      <c r="X155" s="31">
        <v>0</v>
      </c>
      <c r="Y155" s="28" t="s">
        <v>481</v>
      </c>
    </row>
    <row r="156" spans="1:25" x14ac:dyDescent="0.3">
      <c r="A156" s="28" t="s">
        <v>493</v>
      </c>
      <c r="B156" s="28" t="s">
        <v>93</v>
      </c>
      <c r="C156" s="28" t="s">
        <v>245</v>
      </c>
      <c r="D156" s="28" t="s">
        <v>206</v>
      </c>
      <c r="E156" s="28" t="s">
        <v>271</v>
      </c>
      <c r="F156" s="29">
        <v>3</v>
      </c>
      <c r="G156" s="28">
        <v>1</v>
      </c>
      <c r="H156" s="28">
        <v>0</v>
      </c>
      <c r="I156" s="28"/>
      <c r="J156" s="30">
        <v>0.04</v>
      </c>
      <c r="K156" s="28">
        <v>2</v>
      </c>
      <c r="L156" s="28" t="s">
        <v>271</v>
      </c>
      <c r="M156" s="28"/>
      <c r="N156" s="28"/>
      <c r="O156" s="28"/>
      <c r="P156" s="31">
        <v>0</v>
      </c>
      <c r="Q156" s="31">
        <v>0</v>
      </c>
      <c r="R156" s="31">
        <v>0</v>
      </c>
      <c r="S156" s="28"/>
      <c r="T156" s="28"/>
      <c r="U156" s="28"/>
      <c r="V156" s="31">
        <v>0</v>
      </c>
      <c r="W156" s="31">
        <v>0</v>
      </c>
      <c r="X156" s="31">
        <v>0</v>
      </c>
      <c r="Y156" s="28" t="s">
        <v>494</v>
      </c>
    </row>
    <row r="157" spans="1:25" x14ac:dyDescent="0.3">
      <c r="A157" s="28" t="s">
        <v>495</v>
      </c>
      <c r="B157" s="28" t="s">
        <v>93</v>
      </c>
      <c r="C157" s="28" t="s">
        <v>250</v>
      </c>
      <c r="D157" s="28" t="s">
        <v>202</v>
      </c>
      <c r="E157" s="28" t="s">
        <v>271</v>
      </c>
      <c r="F157" s="29">
        <v>3</v>
      </c>
      <c r="G157" s="28">
        <v>1</v>
      </c>
      <c r="H157" s="28">
        <v>0</v>
      </c>
      <c r="I157" s="28"/>
      <c r="J157" s="30">
        <v>2.7E-2</v>
      </c>
      <c r="K157" s="28">
        <v>1</v>
      </c>
      <c r="L157" s="28" t="s">
        <v>271</v>
      </c>
      <c r="M157" s="28"/>
      <c r="N157" s="28"/>
      <c r="O157" s="28"/>
      <c r="P157" s="31">
        <v>0</v>
      </c>
      <c r="Q157" s="31">
        <v>0</v>
      </c>
      <c r="R157" s="31">
        <v>0</v>
      </c>
      <c r="S157" s="28"/>
      <c r="T157" s="28"/>
      <c r="U157" s="28"/>
      <c r="V157" s="31">
        <v>0</v>
      </c>
      <c r="W157" s="31">
        <v>0</v>
      </c>
      <c r="X157" s="31">
        <v>0</v>
      </c>
      <c r="Y157" s="28" t="s">
        <v>489</v>
      </c>
    </row>
    <row r="158" spans="1:25" x14ac:dyDescent="0.3">
      <c r="A158" s="28" t="s">
        <v>496</v>
      </c>
      <c r="B158" s="28" t="s">
        <v>93</v>
      </c>
      <c r="C158" s="28" t="s">
        <v>250</v>
      </c>
      <c r="D158" s="28" t="s">
        <v>206</v>
      </c>
      <c r="E158" s="28" t="s">
        <v>271</v>
      </c>
      <c r="F158" s="29">
        <v>3</v>
      </c>
      <c r="G158" s="28">
        <v>1</v>
      </c>
      <c r="H158" s="28">
        <v>0</v>
      </c>
      <c r="I158" s="28"/>
      <c r="J158" s="30">
        <v>0.04</v>
      </c>
      <c r="K158" s="28">
        <v>2</v>
      </c>
      <c r="L158" s="28" t="s">
        <v>271</v>
      </c>
      <c r="M158" s="28"/>
      <c r="N158" s="28"/>
      <c r="O158" s="28"/>
      <c r="P158" s="31">
        <v>0</v>
      </c>
      <c r="Q158" s="31">
        <v>0</v>
      </c>
      <c r="R158" s="31">
        <v>0</v>
      </c>
      <c r="S158" s="28"/>
      <c r="T158" s="28"/>
      <c r="U158" s="28"/>
      <c r="V158" s="31">
        <v>0</v>
      </c>
      <c r="W158" s="31">
        <v>0</v>
      </c>
      <c r="X158" s="31">
        <v>0</v>
      </c>
      <c r="Y158" s="28" t="s">
        <v>497</v>
      </c>
    </row>
    <row r="159" spans="1:25" x14ac:dyDescent="0.3">
      <c r="A159" s="28" t="s">
        <v>498</v>
      </c>
      <c r="B159" s="28" t="s">
        <v>93</v>
      </c>
      <c r="C159" s="28" t="s">
        <v>255</v>
      </c>
      <c r="D159" s="28" t="s">
        <v>202</v>
      </c>
      <c r="E159" s="28" t="s">
        <v>271</v>
      </c>
      <c r="F159" s="29">
        <v>3</v>
      </c>
      <c r="G159" s="28">
        <v>1</v>
      </c>
      <c r="H159" s="28">
        <v>0</v>
      </c>
      <c r="I159" s="28"/>
      <c r="J159" s="30">
        <v>2.7E-2</v>
      </c>
      <c r="K159" s="28">
        <v>1</v>
      </c>
      <c r="L159" s="28" t="s">
        <v>271</v>
      </c>
      <c r="M159" s="28"/>
      <c r="N159" s="28"/>
      <c r="O159" s="28"/>
      <c r="P159" s="31">
        <v>0</v>
      </c>
      <c r="Q159" s="31">
        <v>0</v>
      </c>
      <c r="R159" s="31">
        <v>0</v>
      </c>
      <c r="S159" s="28"/>
      <c r="T159" s="28"/>
      <c r="U159" s="28"/>
      <c r="V159" s="31">
        <v>0</v>
      </c>
      <c r="W159" s="31">
        <v>0</v>
      </c>
      <c r="X159" s="31">
        <v>0</v>
      </c>
      <c r="Y159" s="28" t="s">
        <v>499</v>
      </c>
    </row>
    <row r="160" spans="1:25" x14ac:dyDescent="0.3">
      <c r="A160" s="28" t="s">
        <v>500</v>
      </c>
      <c r="B160" s="28" t="s">
        <v>93</v>
      </c>
      <c r="C160" s="28" t="s">
        <v>255</v>
      </c>
      <c r="D160" s="28" t="s">
        <v>206</v>
      </c>
      <c r="E160" s="28" t="s">
        <v>271</v>
      </c>
      <c r="F160" s="29">
        <v>3</v>
      </c>
      <c r="G160" s="28">
        <v>1</v>
      </c>
      <c r="H160" s="28">
        <v>0</v>
      </c>
      <c r="I160" s="28"/>
      <c r="J160" s="30">
        <v>0.04</v>
      </c>
      <c r="K160" s="28">
        <v>1</v>
      </c>
      <c r="L160" s="28" t="s">
        <v>271</v>
      </c>
      <c r="M160" s="28"/>
      <c r="N160" s="28"/>
      <c r="O160" s="28"/>
      <c r="P160" s="31">
        <v>0</v>
      </c>
      <c r="Q160" s="31">
        <v>0</v>
      </c>
      <c r="R160" s="31">
        <v>0</v>
      </c>
      <c r="S160" s="28"/>
      <c r="T160" s="28"/>
      <c r="U160" s="28"/>
      <c r="V160" s="31">
        <v>0</v>
      </c>
      <c r="W160" s="31">
        <v>0</v>
      </c>
      <c r="X160" s="31">
        <v>0</v>
      </c>
      <c r="Y160" s="28" t="s">
        <v>499</v>
      </c>
    </row>
    <row r="161" spans="1:25" x14ac:dyDescent="0.3">
      <c r="A161" s="28" t="s">
        <v>501</v>
      </c>
      <c r="B161" s="28" t="s">
        <v>93</v>
      </c>
      <c r="C161" s="28" t="s">
        <v>260</v>
      </c>
      <c r="D161" s="28" t="s">
        <v>202</v>
      </c>
      <c r="E161" s="28" t="s">
        <v>271</v>
      </c>
      <c r="F161" s="29">
        <v>3</v>
      </c>
      <c r="G161" s="28">
        <v>1</v>
      </c>
      <c r="H161" s="28">
        <v>0</v>
      </c>
      <c r="I161" s="28"/>
      <c r="J161" s="30">
        <v>2.7E-2</v>
      </c>
      <c r="K161" s="28">
        <v>1</v>
      </c>
      <c r="L161" s="28" t="s">
        <v>271</v>
      </c>
      <c r="M161" s="28"/>
      <c r="N161" s="28"/>
      <c r="O161" s="28"/>
      <c r="P161" s="31">
        <v>0</v>
      </c>
      <c r="Q161" s="31">
        <v>0</v>
      </c>
      <c r="R161" s="31">
        <v>0</v>
      </c>
      <c r="S161" s="28"/>
      <c r="T161" s="28"/>
      <c r="U161" s="28"/>
      <c r="V161" s="31">
        <v>0</v>
      </c>
      <c r="W161" s="31">
        <v>0</v>
      </c>
      <c r="X161" s="31">
        <v>0</v>
      </c>
      <c r="Y161" s="28" t="s">
        <v>502</v>
      </c>
    </row>
    <row r="162" spans="1:25" x14ac:dyDescent="0.3">
      <c r="A162" s="28" t="s">
        <v>503</v>
      </c>
      <c r="B162" s="28" t="s">
        <v>93</v>
      </c>
      <c r="C162" s="28" t="s">
        <v>260</v>
      </c>
      <c r="D162" s="28" t="s">
        <v>206</v>
      </c>
      <c r="E162" s="28" t="s">
        <v>271</v>
      </c>
      <c r="F162" s="29">
        <v>3</v>
      </c>
      <c r="G162" s="28">
        <v>1</v>
      </c>
      <c r="H162" s="28">
        <v>0</v>
      </c>
      <c r="I162" s="28"/>
      <c r="J162" s="30">
        <v>0.04</v>
      </c>
      <c r="K162" s="28">
        <v>2</v>
      </c>
      <c r="L162" s="28" t="s">
        <v>271</v>
      </c>
      <c r="M162" s="28"/>
      <c r="N162" s="28"/>
      <c r="O162" s="28"/>
      <c r="P162" s="31">
        <v>0</v>
      </c>
      <c r="Q162" s="31">
        <v>0</v>
      </c>
      <c r="R162" s="31">
        <v>0</v>
      </c>
      <c r="S162" s="28"/>
      <c r="T162" s="28"/>
      <c r="U162" s="28"/>
      <c r="V162" s="31">
        <v>0</v>
      </c>
      <c r="W162" s="31">
        <v>0</v>
      </c>
      <c r="X162" s="31">
        <v>0</v>
      </c>
      <c r="Y162" s="28" t="s">
        <v>504</v>
      </c>
    </row>
    <row r="163" spans="1:25" x14ac:dyDescent="0.3">
      <c r="A163" s="28" t="s">
        <v>505</v>
      </c>
      <c r="B163" s="28" t="s">
        <v>93</v>
      </c>
      <c r="C163" s="28" t="s">
        <v>265</v>
      </c>
      <c r="D163" s="28" t="s">
        <v>202</v>
      </c>
      <c r="E163" s="28" t="s">
        <v>271</v>
      </c>
      <c r="F163" s="29">
        <v>3</v>
      </c>
      <c r="G163" s="28">
        <v>1</v>
      </c>
      <c r="H163" s="28">
        <v>0</v>
      </c>
      <c r="I163" s="28"/>
      <c r="J163" s="30">
        <v>2.7E-2</v>
      </c>
      <c r="K163" s="28">
        <v>1</v>
      </c>
      <c r="L163" s="28" t="s">
        <v>271</v>
      </c>
      <c r="M163" s="28"/>
      <c r="N163" s="28"/>
      <c r="O163" s="28"/>
      <c r="P163" s="31">
        <v>0</v>
      </c>
      <c r="Q163" s="31">
        <v>0</v>
      </c>
      <c r="R163" s="31">
        <v>0</v>
      </c>
      <c r="S163" s="28"/>
      <c r="T163" s="28"/>
      <c r="U163" s="28"/>
      <c r="V163" s="31">
        <v>0</v>
      </c>
      <c r="W163" s="31">
        <v>0</v>
      </c>
      <c r="X163" s="31">
        <v>0</v>
      </c>
      <c r="Y163" s="28" t="s">
        <v>506</v>
      </c>
    </row>
    <row r="164" spans="1:25" x14ac:dyDescent="0.3">
      <c r="A164" s="28" t="s">
        <v>507</v>
      </c>
      <c r="B164" s="28" t="s">
        <v>93</v>
      </c>
      <c r="C164" s="28" t="s">
        <v>265</v>
      </c>
      <c r="D164" s="28" t="s">
        <v>206</v>
      </c>
      <c r="E164" s="28" t="s">
        <v>271</v>
      </c>
      <c r="F164" s="29">
        <v>3</v>
      </c>
      <c r="G164" s="28">
        <v>1</v>
      </c>
      <c r="H164" s="28">
        <v>0</v>
      </c>
      <c r="I164" s="28"/>
      <c r="J164" s="30">
        <v>0.04</v>
      </c>
      <c r="K164" s="28">
        <v>4</v>
      </c>
      <c r="L164" s="28" t="s">
        <v>271</v>
      </c>
      <c r="M164" s="28"/>
      <c r="N164" s="28"/>
      <c r="O164" s="28"/>
      <c r="P164" s="31">
        <v>0</v>
      </c>
      <c r="Q164" s="31">
        <v>0</v>
      </c>
      <c r="R164" s="31">
        <v>0</v>
      </c>
      <c r="S164" s="28"/>
      <c r="T164" s="28"/>
      <c r="U164" s="28"/>
      <c r="V164" s="31">
        <v>0</v>
      </c>
      <c r="W164" s="31">
        <v>0</v>
      </c>
      <c r="X164" s="31">
        <v>0</v>
      </c>
      <c r="Y164" s="28" t="s">
        <v>508</v>
      </c>
    </row>
    <row r="165" spans="1:25" x14ac:dyDescent="0.3">
      <c r="A165" s="28" t="s">
        <v>509</v>
      </c>
      <c r="B165" s="28" t="s">
        <v>93</v>
      </c>
      <c r="C165" s="28" t="s">
        <v>270</v>
      </c>
      <c r="D165" s="28" t="s">
        <v>202</v>
      </c>
      <c r="E165" s="28" t="s">
        <v>271</v>
      </c>
      <c r="F165" s="29">
        <v>3</v>
      </c>
      <c r="G165" s="28">
        <v>1</v>
      </c>
      <c r="H165" s="28">
        <v>0</v>
      </c>
      <c r="I165" s="28"/>
      <c r="J165" s="30">
        <v>2.7E-2</v>
      </c>
      <c r="K165" s="28">
        <v>0</v>
      </c>
      <c r="L165" s="28"/>
      <c r="M165" s="28" t="s">
        <v>261</v>
      </c>
      <c r="N165" s="28" t="s">
        <v>271</v>
      </c>
      <c r="O165" s="28">
        <v>2026</v>
      </c>
      <c r="P165" s="31">
        <v>876</v>
      </c>
      <c r="Q165" s="31">
        <v>0</v>
      </c>
      <c r="R165" s="31">
        <v>89</v>
      </c>
      <c r="S165" s="28"/>
      <c r="T165" s="28"/>
      <c r="U165" s="28"/>
      <c r="V165" s="31">
        <v>0</v>
      </c>
      <c r="W165" s="31">
        <v>0</v>
      </c>
      <c r="X165" s="31">
        <v>0</v>
      </c>
      <c r="Y165" s="28" t="s">
        <v>510</v>
      </c>
    </row>
    <row r="166" spans="1:25" x14ac:dyDescent="0.3">
      <c r="A166" s="28" t="s">
        <v>511</v>
      </c>
      <c r="B166" s="28" t="s">
        <v>93</v>
      </c>
      <c r="C166" s="28" t="s">
        <v>270</v>
      </c>
      <c r="D166" s="28" t="s">
        <v>206</v>
      </c>
      <c r="E166" s="28" t="s">
        <v>271</v>
      </c>
      <c r="F166" s="29">
        <v>3</v>
      </c>
      <c r="G166" s="28">
        <v>1</v>
      </c>
      <c r="H166" s="28">
        <v>0</v>
      </c>
      <c r="I166" s="28"/>
      <c r="J166" s="30">
        <v>0.04</v>
      </c>
      <c r="K166" s="28">
        <v>0</v>
      </c>
      <c r="L166" s="28"/>
      <c r="M166" s="28" t="s">
        <v>261</v>
      </c>
      <c r="N166" s="28" t="s">
        <v>271</v>
      </c>
      <c r="O166" s="28">
        <v>2026</v>
      </c>
      <c r="P166" s="31">
        <v>876</v>
      </c>
      <c r="Q166" s="31">
        <v>0</v>
      </c>
      <c r="R166" s="31">
        <v>89</v>
      </c>
      <c r="S166" s="28"/>
      <c r="T166" s="28"/>
      <c r="U166" s="28"/>
      <c r="V166" s="31">
        <v>0</v>
      </c>
      <c r="W166" s="31">
        <v>0</v>
      </c>
      <c r="X166" s="31">
        <v>0</v>
      </c>
      <c r="Y166" s="28" t="s">
        <v>510</v>
      </c>
    </row>
    <row r="167" spans="1:25" x14ac:dyDescent="0.3">
      <c r="A167" s="28" t="s">
        <v>512</v>
      </c>
      <c r="B167" s="28" t="s">
        <v>93</v>
      </c>
      <c r="C167" s="28" t="s">
        <v>275</v>
      </c>
      <c r="D167" s="28" t="s">
        <v>202</v>
      </c>
      <c r="E167" s="28" t="s">
        <v>271</v>
      </c>
      <c r="F167" s="29">
        <v>0</v>
      </c>
      <c r="G167" s="28">
        <v>0</v>
      </c>
      <c r="H167" s="28">
        <v>0</v>
      </c>
      <c r="I167" s="28"/>
      <c r="J167" s="30">
        <v>2.7E-2</v>
      </c>
      <c r="K167" s="28">
        <v>0</v>
      </c>
      <c r="L167" s="28"/>
      <c r="M167" s="28" t="s">
        <v>276</v>
      </c>
      <c r="N167" s="28" t="s">
        <v>271</v>
      </c>
      <c r="O167" s="28">
        <v>2026</v>
      </c>
      <c r="P167" s="31">
        <v>0</v>
      </c>
      <c r="Q167" s="31">
        <v>0</v>
      </c>
      <c r="R167" s="31">
        <v>0</v>
      </c>
      <c r="S167" s="28"/>
      <c r="T167" s="28"/>
      <c r="U167" s="28"/>
      <c r="V167" s="31">
        <v>0</v>
      </c>
      <c r="W167" s="31">
        <v>0</v>
      </c>
      <c r="X167" s="31">
        <v>0</v>
      </c>
      <c r="Y167" s="28" t="s">
        <v>277</v>
      </c>
    </row>
    <row r="168" spans="1:25" x14ac:dyDescent="0.3">
      <c r="A168" s="28" t="s">
        <v>513</v>
      </c>
      <c r="B168" s="28" t="s">
        <v>93</v>
      </c>
      <c r="C168" s="28" t="s">
        <v>275</v>
      </c>
      <c r="D168" s="28" t="s">
        <v>206</v>
      </c>
      <c r="E168" s="28" t="s">
        <v>271</v>
      </c>
      <c r="F168" s="29">
        <v>0</v>
      </c>
      <c r="G168" s="28">
        <v>0</v>
      </c>
      <c r="H168" s="28">
        <v>0</v>
      </c>
      <c r="I168" s="28"/>
      <c r="J168" s="30">
        <v>0.04</v>
      </c>
      <c r="K168" s="28">
        <v>0</v>
      </c>
      <c r="L168" s="28"/>
      <c r="M168" s="28" t="s">
        <v>276</v>
      </c>
      <c r="N168" s="28" t="s">
        <v>271</v>
      </c>
      <c r="O168" s="28">
        <v>2026</v>
      </c>
      <c r="P168" s="31">
        <v>0</v>
      </c>
      <c r="Q168" s="31">
        <v>0</v>
      </c>
      <c r="R168" s="31">
        <v>0</v>
      </c>
      <c r="S168" s="28"/>
      <c r="T168" s="28"/>
      <c r="U168" s="28"/>
      <c r="V168" s="31">
        <v>0</v>
      </c>
      <c r="W168" s="31">
        <v>0</v>
      </c>
      <c r="X168" s="31">
        <v>0</v>
      </c>
      <c r="Y168" s="28" t="s">
        <v>277</v>
      </c>
    </row>
    <row r="169" spans="1:25" x14ac:dyDescent="0.3">
      <c r="A169" s="28" t="s">
        <v>514</v>
      </c>
      <c r="B169" s="28" t="s">
        <v>93</v>
      </c>
      <c r="C169" s="28" t="s">
        <v>280</v>
      </c>
      <c r="D169" s="28" t="s">
        <v>202</v>
      </c>
      <c r="E169" s="28" t="s">
        <v>271</v>
      </c>
      <c r="F169" s="29">
        <v>3</v>
      </c>
      <c r="G169" s="28">
        <v>1</v>
      </c>
      <c r="H169" s="28">
        <v>0</v>
      </c>
      <c r="I169" s="28"/>
      <c r="J169" s="30">
        <v>2.7E-2</v>
      </c>
      <c r="K169" s="28">
        <v>0</v>
      </c>
      <c r="L169" s="28"/>
      <c r="M169" s="28" t="s">
        <v>261</v>
      </c>
      <c r="N169" s="28" t="s">
        <v>271</v>
      </c>
      <c r="O169" s="28">
        <v>2026</v>
      </c>
      <c r="P169" s="31">
        <v>926</v>
      </c>
      <c r="Q169" s="31">
        <v>0</v>
      </c>
      <c r="R169" s="31">
        <v>0</v>
      </c>
      <c r="S169" s="28"/>
      <c r="T169" s="28"/>
      <c r="U169" s="28"/>
      <c r="V169" s="31">
        <v>0</v>
      </c>
      <c r="W169" s="31">
        <v>0</v>
      </c>
      <c r="X169" s="31">
        <v>0</v>
      </c>
      <c r="Y169" s="28" t="s">
        <v>515</v>
      </c>
    </row>
    <row r="170" spans="1:25" x14ac:dyDescent="0.3">
      <c r="A170" s="28" t="s">
        <v>516</v>
      </c>
      <c r="B170" s="28" t="s">
        <v>93</v>
      </c>
      <c r="C170" s="28" t="s">
        <v>280</v>
      </c>
      <c r="D170" s="28" t="s">
        <v>206</v>
      </c>
      <c r="E170" s="28" t="s">
        <v>271</v>
      </c>
      <c r="F170" s="29">
        <v>3</v>
      </c>
      <c r="G170" s="28">
        <v>1</v>
      </c>
      <c r="H170" s="28">
        <v>0</v>
      </c>
      <c r="I170" s="28"/>
      <c r="J170" s="30">
        <v>0.04</v>
      </c>
      <c r="K170" s="28">
        <v>0</v>
      </c>
      <c r="L170" s="28"/>
      <c r="M170" s="28" t="s">
        <v>261</v>
      </c>
      <c r="N170" s="28" t="s">
        <v>271</v>
      </c>
      <c r="O170" s="28">
        <v>2026</v>
      </c>
      <c r="P170" s="31">
        <v>926</v>
      </c>
      <c r="Q170" s="31">
        <v>0</v>
      </c>
      <c r="R170" s="31">
        <v>0</v>
      </c>
      <c r="S170" s="28"/>
      <c r="T170" s="28"/>
      <c r="U170" s="28"/>
      <c r="V170" s="31">
        <v>0</v>
      </c>
      <c r="W170" s="31">
        <v>0</v>
      </c>
      <c r="X170" s="31">
        <v>0</v>
      </c>
      <c r="Y170" s="28" t="s">
        <v>515</v>
      </c>
    </row>
    <row r="171" spans="1:25" x14ac:dyDescent="0.3">
      <c r="A171" s="28" t="s">
        <v>517</v>
      </c>
      <c r="B171" s="28" t="s">
        <v>93</v>
      </c>
      <c r="C171" s="28" t="s">
        <v>284</v>
      </c>
      <c r="D171" s="28" t="s">
        <v>202</v>
      </c>
      <c r="E171" s="28" t="s">
        <v>271</v>
      </c>
      <c r="F171" s="29">
        <v>3</v>
      </c>
      <c r="G171" s="28">
        <v>1</v>
      </c>
      <c r="H171" s="28">
        <v>0</v>
      </c>
      <c r="I171" s="28"/>
      <c r="J171" s="30">
        <v>2.7E-2</v>
      </c>
      <c r="K171" s="28">
        <v>1</v>
      </c>
      <c r="L171" s="28" t="s">
        <v>271</v>
      </c>
      <c r="M171" s="28"/>
      <c r="N171" s="28"/>
      <c r="O171" s="28"/>
      <c r="P171" s="31">
        <v>0</v>
      </c>
      <c r="Q171" s="31">
        <v>0</v>
      </c>
      <c r="R171" s="31">
        <v>0</v>
      </c>
      <c r="S171" s="28"/>
      <c r="T171" s="28"/>
      <c r="U171" s="28"/>
      <c r="V171" s="31">
        <v>0</v>
      </c>
      <c r="W171" s="31">
        <v>0</v>
      </c>
      <c r="X171" s="31">
        <v>0</v>
      </c>
      <c r="Y171" s="28" t="s">
        <v>518</v>
      </c>
    </row>
    <row r="172" spans="1:25" x14ac:dyDescent="0.3">
      <c r="A172" s="28" t="s">
        <v>519</v>
      </c>
      <c r="B172" s="28" t="s">
        <v>93</v>
      </c>
      <c r="C172" s="28" t="s">
        <v>284</v>
      </c>
      <c r="D172" s="28" t="s">
        <v>206</v>
      </c>
      <c r="E172" s="28" t="s">
        <v>271</v>
      </c>
      <c r="F172" s="29">
        <v>3</v>
      </c>
      <c r="G172" s="28">
        <v>1</v>
      </c>
      <c r="H172" s="28">
        <v>0</v>
      </c>
      <c r="I172" s="28"/>
      <c r="J172" s="30">
        <v>0.04</v>
      </c>
      <c r="K172" s="28">
        <v>4</v>
      </c>
      <c r="L172" s="28" t="s">
        <v>271</v>
      </c>
      <c r="M172" s="28"/>
      <c r="N172" s="28"/>
      <c r="O172" s="28"/>
      <c r="P172" s="31">
        <v>0</v>
      </c>
      <c r="Q172" s="31">
        <v>0</v>
      </c>
      <c r="R172" s="31">
        <v>0</v>
      </c>
      <c r="S172" s="28"/>
      <c r="T172" s="28"/>
      <c r="U172" s="28"/>
      <c r="V172" s="31">
        <v>0</v>
      </c>
      <c r="W172" s="31">
        <v>0</v>
      </c>
      <c r="X172" s="31">
        <v>0</v>
      </c>
      <c r="Y172" s="28" t="s">
        <v>520</v>
      </c>
    </row>
    <row r="173" spans="1:25" x14ac:dyDescent="0.3">
      <c r="A173" s="28" t="s">
        <v>521</v>
      </c>
      <c r="B173" s="28" t="s">
        <v>93</v>
      </c>
      <c r="C173" s="28" t="s">
        <v>288</v>
      </c>
      <c r="D173" s="28" t="s">
        <v>202</v>
      </c>
      <c r="E173" s="28" t="s">
        <v>271</v>
      </c>
      <c r="F173" s="29">
        <v>3</v>
      </c>
      <c r="G173" s="28">
        <v>1</v>
      </c>
      <c r="H173" s="28">
        <v>0</v>
      </c>
      <c r="I173" s="28"/>
      <c r="J173" s="30">
        <v>2.7E-2</v>
      </c>
      <c r="K173" s="28">
        <v>1</v>
      </c>
      <c r="L173" s="28" t="s">
        <v>271</v>
      </c>
      <c r="M173" s="28"/>
      <c r="N173" s="28"/>
      <c r="O173" s="28"/>
      <c r="P173" s="31">
        <v>0</v>
      </c>
      <c r="Q173" s="31">
        <v>0</v>
      </c>
      <c r="R173" s="31">
        <v>0</v>
      </c>
      <c r="S173" s="28"/>
      <c r="T173" s="28"/>
      <c r="U173" s="28"/>
      <c r="V173" s="31">
        <v>0</v>
      </c>
      <c r="W173" s="31">
        <v>0</v>
      </c>
      <c r="X173" s="31">
        <v>0</v>
      </c>
      <c r="Y173" s="28" t="s">
        <v>522</v>
      </c>
    </row>
    <row r="174" spans="1:25" x14ac:dyDescent="0.3">
      <c r="A174" s="28" t="s">
        <v>523</v>
      </c>
      <c r="B174" s="28" t="s">
        <v>93</v>
      </c>
      <c r="C174" s="28" t="s">
        <v>288</v>
      </c>
      <c r="D174" s="28" t="s">
        <v>206</v>
      </c>
      <c r="E174" s="28" t="s">
        <v>271</v>
      </c>
      <c r="F174" s="29">
        <v>3</v>
      </c>
      <c r="G174" s="28">
        <v>1</v>
      </c>
      <c r="H174" s="28">
        <v>0</v>
      </c>
      <c r="I174" s="28"/>
      <c r="J174" s="30">
        <v>0.04</v>
      </c>
      <c r="K174" s="28">
        <v>2</v>
      </c>
      <c r="L174" s="28" t="s">
        <v>271</v>
      </c>
      <c r="M174" s="28"/>
      <c r="N174" s="28"/>
      <c r="O174" s="28"/>
      <c r="P174" s="31">
        <v>0</v>
      </c>
      <c r="Q174" s="31">
        <v>0</v>
      </c>
      <c r="R174" s="31">
        <v>0</v>
      </c>
      <c r="S174" s="28"/>
      <c r="T174" s="28"/>
      <c r="U174" s="28"/>
      <c r="V174" s="31">
        <v>0</v>
      </c>
      <c r="W174" s="31">
        <v>0</v>
      </c>
      <c r="X174" s="31">
        <v>0</v>
      </c>
      <c r="Y174" s="28" t="s">
        <v>524</v>
      </c>
    </row>
    <row r="175" spans="1:25" x14ac:dyDescent="0.3">
      <c r="A175" s="28" t="s">
        <v>525</v>
      </c>
      <c r="B175" s="28" t="s">
        <v>93</v>
      </c>
      <c r="C175" s="28" t="s">
        <v>292</v>
      </c>
      <c r="D175" s="28" t="s">
        <v>202</v>
      </c>
      <c r="E175" s="28" t="s">
        <v>271</v>
      </c>
      <c r="F175" s="29">
        <v>3</v>
      </c>
      <c r="G175" s="28">
        <v>1</v>
      </c>
      <c r="H175" s="28">
        <v>0</v>
      </c>
      <c r="I175" s="28"/>
      <c r="J175" s="30">
        <v>2.7E-2</v>
      </c>
      <c r="K175" s="28">
        <v>1</v>
      </c>
      <c r="L175" s="28" t="s">
        <v>271</v>
      </c>
      <c r="M175" s="28"/>
      <c r="N175" s="28"/>
      <c r="O175" s="28"/>
      <c r="P175" s="31">
        <v>0</v>
      </c>
      <c r="Q175" s="31">
        <v>0</v>
      </c>
      <c r="R175" s="31">
        <v>0</v>
      </c>
      <c r="S175" s="28"/>
      <c r="T175" s="28"/>
      <c r="U175" s="28"/>
      <c r="V175" s="31">
        <v>0</v>
      </c>
      <c r="W175" s="31">
        <v>0</v>
      </c>
      <c r="X175" s="31">
        <v>0</v>
      </c>
      <c r="Y175" s="28" t="s">
        <v>526</v>
      </c>
    </row>
    <row r="176" spans="1:25" x14ac:dyDescent="0.3">
      <c r="A176" s="28" t="s">
        <v>527</v>
      </c>
      <c r="B176" s="28" t="s">
        <v>93</v>
      </c>
      <c r="C176" s="28" t="s">
        <v>292</v>
      </c>
      <c r="D176" s="28" t="s">
        <v>206</v>
      </c>
      <c r="E176" s="28" t="s">
        <v>271</v>
      </c>
      <c r="F176" s="29">
        <v>3</v>
      </c>
      <c r="G176" s="28">
        <v>1</v>
      </c>
      <c r="H176" s="28">
        <v>0</v>
      </c>
      <c r="I176" s="28"/>
      <c r="J176" s="30">
        <v>0.04</v>
      </c>
      <c r="K176" s="28">
        <v>4</v>
      </c>
      <c r="L176" s="28" t="s">
        <v>271</v>
      </c>
      <c r="M176" s="28"/>
      <c r="N176" s="28"/>
      <c r="O176" s="28"/>
      <c r="P176" s="31">
        <v>0</v>
      </c>
      <c r="Q176" s="31">
        <v>0</v>
      </c>
      <c r="R176" s="31">
        <v>0</v>
      </c>
      <c r="S176" s="28"/>
      <c r="T176" s="28"/>
      <c r="U176" s="28"/>
      <c r="V176" s="31">
        <v>0</v>
      </c>
      <c r="W176" s="31">
        <v>0</v>
      </c>
      <c r="X176" s="31">
        <v>0</v>
      </c>
      <c r="Y176" s="28" t="s">
        <v>528</v>
      </c>
    </row>
    <row r="177" spans="1:25" x14ac:dyDescent="0.3">
      <c r="A177" s="28" t="s">
        <v>529</v>
      </c>
      <c r="B177" s="28" t="s">
        <v>93</v>
      </c>
      <c r="C177" s="28" t="s">
        <v>296</v>
      </c>
      <c r="D177" s="28" t="s">
        <v>202</v>
      </c>
      <c r="E177" s="28" t="s">
        <v>271</v>
      </c>
      <c r="F177" s="29">
        <v>3</v>
      </c>
      <c r="G177" s="28">
        <v>1</v>
      </c>
      <c r="H177" s="28">
        <v>0</v>
      </c>
      <c r="I177" s="28"/>
      <c r="J177" s="30">
        <v>2.7E-2</v>
      </c>
      <c r="K177" s="28">
        <v>1</v>
      </c>
      <c r="L177" s="28" t="s">
        <v>271</v>
      </c>
      <c r="M177" s="28"/>
      <c r="N177" s="28"/>
      <c r="O177" s="28"/>
      <c r="P177" s="31">
        <v>0</v>
      </c>
      <c r="Q177" s="31">
        <v>0</v>
      </c>
      <c r="R177" s="31">
        <v>0</v>
      </c>
      <c r="S177" s="28"/>
      <c r="T177" s="28"/>
      <c r="U177" s="28"/>
      <c r="V177" s="31">
        <v>0</v>
      </c>
      <c r="W177" s="31">
        <v>0</v>
      </c>
      <c r="X177" s="31">
        <v>0</v>
      </c>
      <c r="Y177" s="28" t="s">
        <v>481</v>
      </c>
    </row>
    <row r="178" spans="1:25" x14ac:dyDescent="0.3">
      <c r="A178" s="28" t="s">
        <v>530</v>
      </c>
      <c r="B178" s="28" t="s">
        <v>93</v>
      </c>
      <c r="C178" s="28" t="s">
        <v>296</v>
      </c>
      <c r="D178" s="28" t="s">
        <v>206</v>
      </c>
      <c r="E178" s="28" t="s">
        <v>271</v>
      </c>
      <c r="F178" s="29">
        <v>3</v>
      </c>
      <c r="G178" s="28">
        <v>1</v>
      </c>
      <c r="H178" s="28">
        <v>0</v>
      </c>
      <c r="I178" s="28"/>
      <c r="J178" s="30">
        <v>0.04</v>
      </c>
      <c r="K178" s="28">
        <v>2</v>
      </c>
      <c r="L178" s="28" t="s">
        <v>271</v>
      </c>
      <c r="M178" s="28"/>
      <c r="N178" s="28"/>
      <c r="O178" s="28"/>
      <c r="P178" s="31">
        <v>0</v>
      </c>
      <c r="Q178" s="31">
        <v>0</v>
      </c>
      <c r="R178" s="31">
        <v>0</v>
      </c>
      <c r="S178" s="28"/>
      <c r="T178" s="28"/>
      <c r="U178" s="28"/>
      <c r="V178" s="31">
        <v>0</v>
      </c>
      <c r="W178" s="31">
        <v>0</v>
      </c>
      <c r="X178" s="31">
        <v>0</v>
      </c>
      <c r="Y178" s="28" t="s">
        <v>494</v>
      </c>
    </row>
    <row r="179" spans="1:25" x14ac:dyDescent="0.3">
      <c r="A179" s="28" t="s">
        <v>531</v>
      </c>
      <c r="B179" s="28" t="s">
        <v>93</v>
      </c>
      <c r="C179" s="28" t="s">
        <v>300</v>
      </c>
      <c r="D179" s="28" t="s">
        <v>202</v>
      </c>
      <c r="E179" s="28" t="s">
        <v>271</v>
      </c>
      <c r="F179" s="29">
        <v>3</v>
      </c>
      <c r="G179" s="28">
        <v>1</v>
      </c>
      <c r="H179" s="28">
        <v>0</v>
      </c>
      <c r="I179" s="28"/>
      <c r="J179" s="30">
        <v>2.7E-2</v>
      </c>
      <c r="K179" s="28">
        <v>0</v>
      </c>
      <c r="L179" s="28"/>
      <c r="M179" s="28" t="s">
        <v>261</v>
      </c>
      <c r="N179" s="28" t="s">
        <v>271</v>
      </c>
      <c r="O179" s="28">
        <v>2026</v>
      </c>
      <c r="P179" s="31">
        <v>9789.4729795520943</v>
      </c>
      <c r="Q179" s="31">
        <v>7.5</v>
      </c>
      <c r="R179" s="31">
        <v>150</v>
      </c>
      <c r="S179" s="28"/>
      <c r="T179" s="28"/>
      <c r="U179" s="28"/>
      <c r="V179" s="31">
        <v>0</v>
      </c>
      <c r="W179" s="31">
        <v>0</v>
      </c>
      <c r="X179" s="31">
        <v>0</v>
      </c>
      <c r="Y179" s="28" t="s">
        <v>532</v>
      </c>
    </row>
    <row r="180" spans="1:25" x14ac:dyDescent="0.3">
      <c r="A180" s="28" t="s">
        <v>533</v>
      </c>
      <c r="B180" s="28" t="s">
        <v>93</v>
      </c>
      <c r="C180" s="28" t="s">
        <v>300</v>
      </c>
      <c r="D180" s="28" t="s">
        <v>206</v>
      </c>
      <c r="E180" s="28" t="s">
        <v>271</v>
      </c>
      <c r="F180" s="29">
        <v>3</v>
      </c>
      <c r="G180" s="28">
        <v>1</v>
      </c>
      <c r="H180" s="28">
        <v>0</v>
      </c>
      <c r="I180" s="28"/>
      <c r="J180" s="30">
        <v>0.04</v>
      </c>
      <c r="K180" s="28">
        <v>0</v>
      </c>
      <c r="L180" s="28"/>
      <c r="M180" s="28" t="s">
        <v>261</v>
      </c>
      <c r="N180" s="28" t="s">
        <v>271</v>
      </c>
      <c r="O180" s="28">
        <v>2026</v>
      </c>
      <c r="P180" s="31">
        <v>31430.460737179481</v>
      </c>
      <c r="Q180" s="31">
        <v>4.9519230769230766</v>
      </c>
      <c r="R180" s="31">
        <v>75</v>
      </c>
      <c r="S180" s="28"/>
      <c r="T180" s="28"/>
      <c r="U180" s="28"/>
      <c r="V180" s="31">
        <v>0</v>
      </c>
      <c r="W180" s="31">
        <v>0</v>
      </c>
      <c r="X180" s="31">
        <v>0</v>
      </c>
      <c r="Y180" s="28" t="s">
        <v>532</v>
      </c>
    </row>
    <row r="181" spans="1:25" x14ac:dyDescent="0.3">
      <c r="A181" s="28" t="s">
        <v>534</v>
      </c>
      <c r="B181" s="28" t="s">
        <v>94</v>
      </c>
      <c r="C181" s="28" t="s">
        <v>201</v>
      </c>
      <c r="D181" s="28" t="s">
        <v>202</v>
      </c>
      <c r="E181" s="28" t="s">
        <v>535</v>
      </c>
      <c r="F181" s="29">
        <v>6</v>
      </c>
      <c r="G181" s="28">
        <v>1</v>
      </c>
      <c r="H181" s="28">
        <v>0</v>
      </c>
      <c r="I181" s="28"/>
      <c r="J181" s="30">
        <v>3.5999999999999997E-2</v>
      </c>
      <c r="K181" s="28">
        <v>1</v>
      </c>
      <c r="L181" s="28" t="s">
        <v>535</v>
      </c>
      <c r="M181" s="28"/>
      <c r="N181" s="28"/>
      <c r="O181" s="28"/>
      <c r="P181" s="31">
        <v>0</v>
      </c>
      <c r="Q181" s="31">
        <v>0</v>
      </c>
      <c r="R181" s="31">
        <v>0</v>
      </c>
      <c r="S181" s="28"/>
      <c r="T181" s="28"/>
      <c r="U181" s="28"/>
      <c r="V181" s="31">
        <v>0</v>
      </c>
      <c r="W181" s="31">
        <v>0</v>
      </c>
      <c r="X181" s="31">
        <v>0</v>
      </c>
      <c r="Y181" s="28" t="s">
        <v>536</v>
      </c>
    </row>
    <row r="182" spans="1:25" x14ac:dyDescent="0.3">
      <c r="A182" s="28" t="s">
        <v>537</v>
      </c>
      <c r="B182" s="28" t="s">
        <v>94</v>
      </c>
      <c r="C182" s="28" t="s">
        <v>201</v>
      </c>
      <c r="D182" s="28" t="s">
        <v>206</v>
      </c>
      <c r="E182" s="28" t="s">
        <v>535</v>
      </c>
      <c r="F182" s="29">
        <v>6</v>
      </c>
      <c r="G182" s="28">
        <v>1</v>
      </c>
      <c r="H182" s="28">
        <v>0</v>
      </c>
      <c r="I182" s="28"/>
      <c r="J182" s="30">
        <v>0.05</v>
      </c>
      <c r="K182" s="28">
        <v>1</v>
      </c>
      <c r="L182" s="28" t="s">
        <v>535</v>
      </c>
      <c r="M182" s="28"/>
      <c r="N182" s="28"/>
      <c r="O182" s="28"/>
      <c r="P182" s="31">
        <v>0</v>
      </c>
      <c r="Q182" s="31">
        <v>0</v>
      </c>
      <c r="R182" s="31">
        <v>0</v>
      </c>
      <c r="S182" s="28"/>
      <c r="T182" s="28"/>
      <c r="U182" s="28"/>
      <c r="V182" s="31">
        <v>0</v>
      </c>
      <c r="W182" s="31">
        <v>0</v>
      </c>
      <c r="X182" s="31">
        <v>0</v>
      </c>
      <c r="Y182" s="28" t="s">
        <v>536</v>
      </c>
    </row>
    <row r="183" spans="1:25" x14ac:dyDescent="0.3">
      <c r="A183" s="28" t="s">
        <v>538</v>
      </c>
      <c r="B183" s="28" t="s">
        <v>94</v>
      </c>
      <c r="C183" s="28" t="s">
        <v>209</v>
      </c>
      <c r="D183" s="28" t="s">
        <v>202</v>
      </c>
      <c r="E183" s="28" t="s">
        <v>535</v>
      </c>
      <c r="F183" s="29">
        <v>5</v>
      </c>
      <c r="G183" s="28">
        <v>1</v>
      </c>
      <c r="H183" s="28">
        <v>0</v>
      </c>
      <c r="I183" s="28"/>
      <c r="J183" s="30">
        <v>3.5999999999999997E-2</v>
      </c>
      <c r="K183" s="28">
        <v>1</v>
      </c>
      <c r="L183" s="28" t="s">
        <v>535</v>
      </c>
      <c r="M183" s="28"/>
      <c r="N183" s="28"/>
      <c r="O183" s="28"/>
      <c r="P183" s="31">
        <v>0</v>
      </c>
      <c r="Q183" s="31">
        <v>0</v>
      </c>
      <c r="R183" s="31">
        <v>0</v>
      </c>
      <c r="S183" s="28"/>
      <c r="T183" s="28"/>
      <c r="U183" s="28"/>
      <c r="V183" s="31">
        <v>0</v>
      </c>
      <c r="W183" s="31">
        <v>0</v>
      </c>
      <c r="X183" s="31">
        <v>0</v>
      </c>
      <c r="Y183" s="28" t="s">
        <v>539</v>
      </c>
    </row>
    <row r="184" spans="1:25" x14ac:dyDescent="0.3">
      <c r="A184" s="28" t="s">
        <v>540</v>
      </c>
      <c r="B184" s="28" t="s">
        <v>94</v>
      </c>
      <c r="C184" s="28" t="s">
        <v>209</v>
      </c>
      <c r="D184" s="28" t="s">
        <v>206</v>
      </c>
      <c r="E184" s="28" t="s">
        <v>535</v>
      </c>
      <c r="F184" s="29">
        <v>5</v>
      </c>
      <c r="G184" s="28">
        <v>1</v>
      </c>
      <c r="H184" s="28">
        <v>0</v>
      </c>
      <c r="I184" s="28"/>
      <c r="J184" s="30">
        <v>0.05</v>
      </c>
      <c r="K184" s="28">
        <v>1</v>
      </c>
      <c r="L184" s="28" t="s">
        <v>535</v>
      </c>
      <c r="M184" s="28"/>
      <c r="N184" s="28"/>
      <c r="O184" s="28"/>
      <c r="P184" s="31">
        <v>0</v>
      </c>
      <c r="Q184" s="31">
        <v>0</v>
      </c>
      <c r="R184" s="31">
        <v>0</v>
      </c>
      <c r="S184" s="28"/>
      <c r="T184" s="28"/>
      <c r="U184" s="28"/>
      <c r="V184" s="31">
        <v>0</v>
      </c>
      <c r="W184" s="31">
        <v>0</v>
      </c>
      <c r="X184" s="31">
        <v>0</v>
      </c>
      <c r="Y184" s="28" t="s">
        <v>539</v>
      </c>
    </row>
    <row r="185" spans="1:25" x14ac:dyDescent="0.3">
      <c r="A185" s="28" t="s">
        <v>541</v>
      </c>
      <c r="B185" s="28" t="s">
        <v>94</v>
      </c>
      <c r="C185" s="28" t="s">
        <v>213</v>
      </c>
      <c r="D185" s="28" t="s">
        <v>202</v>
      </c>
      <c r="E185" s="28" t="s">
        <v>535</v>
      </c>
      <c r="F185" s="29">
        <v>4</v>
      </c>
      <c r="G185" s="28">
        <v>1</v>
      </c>
      <c r="H185" s="28">
        <v>0</v>
      </c>
      <c r="I185" s="28"/>
      <c r="J185" s="30">
        <v>3.5999999999999997E-2</v>
      </c>
      <c r="K185" s="28">
        <v>1</v>
      </c>
      <c r="L185" s="28" t="s">
        <v>535</v>
      </c>
      <c r="M185" s="28"/>
      <c r="N185" s="28"/>
      <c r="O185" s="28"/>
      <c r="P185" s="31">
        <v>0</v>
      </c>
      <c r="Q185" s="31">
        <v>0</v>
      </c>
      <c r="R185" s="31">
        <v>0</v>
      </c>
      <c r="S185" s="28"/>
      <c r="T185" s="28"/>
      <c r="U185" s="28"/>
      <c r="V185" s="31">
        <v>0</v>
      </c>
      <c r="W185" s="31">
        <v>0</v>
      </c>
      <c r="X185" s="31">
        <v>0</v>
      </c>
      <c r="Y185" s="28" t="s">
        <v>542</v>
      </c>
    </row>
    <row r="186" spans="1:25" x14ac:dyDescent="0.3">
      <c r="A186" s="28" t="s">
        <v>543</v>
      </c>
      <c r="B186" s="28" t="s">
        <v>94</v>
      </c>
      <c r="C186" s="28" t="s">
        <v>213</v>
      </c>
      <c r="D186" s="28" t="s">
        <v>206</v>
      </c>
      <c r="E186" s="28" t="s">
        <v>535</v>
      </c>
      <c r="F186" s="29">
        <v>4</v>
      </c>
      <c r="G186" s="28">
        <v>1</v>
      </c>
      <c r="H186" s="28">
        <v>0</v>
      </c>
      <c r="I186" s="28"/>
      <c r="J186" s="30">
        <v>0.05</v>
      </c>
      <c r="K186" s="28">
        <v>1</v>
      </c>
      <c r="L186" s="28" t="s">
        <v>535</v>
      </c>
      <c r="M186" s="28"/>
      <c r="N186" s="28"/>
      <c r="O186" s="28"/>
      <c r="P186" s="31">
        <v>0</v>
      </c>
      <c r="Q186" s="31">
        <v>0</v>
      </c>
      <c r="R186" s="31">
        <v>0</v>
      </c>
      <c r="S186" s="28"/>
      <c r="T186" s="28"/>
      <c r="U186" s="28"/>
      <c r="V186" s="31">
        <v>0</v>
      </c>
      <c r="W186" s="31">
        <v>0</v>
      </c>
      <c r="X186" s="31">
        <v>0</v>
      </c>
      <c r="Y186" s="28" t="s">
        <v>542</v>
      </c>
    </row>
    <row r="187" spans="1:25" x14ac:dyDescent="0.3">
      <c r="A187" s="28" t="s">
        <v>544</v>
      </c>
      <c r="B187" s="28" t="s">
        <v>94</v>
      </c>
      <c r="C187" s="28" t="s">
        <v>217</v>
      </c>
      <c r="D187" s="28" t="s">
        <v>202</v>
      </c>
      <c r="E187" s="28" t="s">
        <v>535</v>
      </c>
      <c r="F187" s="29">
        <v>3</v>
      </c>
      <c r="G187" s="28">
        <v>1</v>
      </c>
      <c r="H187" s="28">
        <v>0</v>
      </c>
      <c r="I187" s="28"/>
      <c r="J187" s="30">
        <v>3.5999999999999997E-2</v>
      </c>
      <c r="K187" s="28">
        <v>1</v>
      </c>
      <c r="L187" s="28" t="s">
        <v>535</v>
      </c>
      <c r="M187" s="28"/>
      <c r="N187" s="28"/>
      <c r="O187" s="28"/>
      <c r="P187" s="31">
        <v>0</v>
      </c>
      <c r="Q187" s="31">
        <v>0</v>
      </c>
      <c r="R187" s="31">
        <v>0</v>
      </c>
      <c r="S187" s="28"/>
      <c r="T187" s="28"/>
      <c r="U187" s="28"/>
      <c r="V187" s="31">
        <v>0</v>
      </c>
      <c r="W187" s="31">
        <v>0</v>
      </c>
      <c r="X187" s="31">
        <v>0</v>
      </c>
      <c r="Y187" s="28" t="s">
        <v>545</v>
      </c>
    </row>
    <row r="188" spans="1:25" x14ac:dyDescent="0.3">
      <c r="A188" s="28" t="s">
        <v>546</v>
      </c>
      <c r="B188" s="28" t="s">
        <v>94</v>
      </c>
      <c r="C188" s="28" t="s">
        <v>217</v>
      </c>
      <c r="D188" s="28" t="s">
        <v>206</v>
      </c>
      <c r="E188" s="28" t="s">
        <v>535</v>
      </c>
      <c r="F188" s="29">
        <v>3</v>
      </c>
      <c r="G188" s="28">
        <v>1</v>
      </c>
      <c r="H188" s="28">
        <v>0</v>
      </c>
      <c r="I188" s="28"/>
      <c r="J188" s="30">
        <v>0.05</v>
      </c>
      <c r="K188" s="28">
        <v>1</v>
      </c>
      <c r="L188" s="28" t="s">
        <v>535</v>
      </c>
      <c r="M188" s="28"/>
      <c r="N188" s="28"/>
      <c r="O188" s="28"/>
      <c r="P188" s="31">
        <v>0</v>
      </c>
      <c r="Q188" s="31">
        <v>0</v>
      </c>
      <c r="R188" s="31">
        <v>0</v>
      </c>
      <c r="S188" s="28"/>
      <c r="T188" s="28"/>
      <c r="U188" s="28"/>
      <c r="V188" s="31">
        <v>0</v>
      </c>
      <c r="W188" s="31">
        <v>0</v>
      </c>
      <c r="X188" s="31">
        <v>0</v>
      </c>
      <c r="Y188" s="28" t="s">
        <v>545</v>
      </c>
    </row>
    <row r="189" spans="1:25" x14ac:dyDescent="0.3">
      <c r="A189" s="28" t="s">
        <v>547</v>
      </c>
      <c r="B189" s="28" t="s">
        <v>94</v>
      </c>
      <c r="C189" s="28" t="s">
        <v>221</v>
      </c>
      <c r="D189" s="28" t="s">
        <v>202</v>
      </c>
      <c r="E189" s="28" t="s">
        <v>535</v>
      </c>
      <c r="F189" s="29">
        <v>4</v>
      </c>
      <c r="G189" s="28">
        <v>1</v>
      </c>
      <c r="H189" s="28">
        <v>0</v>
      </c>
      <c r="I189" s="28"/>
      <c r="J189" s="30">
        <v>3.5999999999999997E-2</v>
      </c>
      <c r="K189" s="28">
        <v>1</v>
      </c>
      <c r="L189" s="28" t="s">
        <v>535</v>
      </c>
      <c r="M189" s="28"/>
      <c r="N189" s="28"/>
      <c r="O189" s="28"/>
      <c r="P189" s="31">
        <v>0</v>
      </c>
      <c r="Q189" s="31">
        <v>0</v>
      </c>
      <c r="R189" s="31">
        <v>0</v>
      </c>
      <c r="S189" s="28"/>
      <c r="T189" s="28"/>
      <c r="U189" s="28"/>
      <c r="V189" s="31">
        <v>0</v>
      </c>
      <c r="W189" s="31">
        <v>0</v>
      </c>
      <c r="X189" s="31">
        <v>0</v>
      </c>
      <c r="Y189" s="28" t="s">
        <v>548</v>
      </c>
    </row>
    <row r="190" spans="1:25" x14ac:dyDescent="0.3">
      <c r="A190" s="28" t="s">
        <v>549</v>
      </c>
      <c r="B190" s="28" t="s">
        <v>94</v>
      </c>
      <c r="C190" s="28" t="s">
        <v>221</v>
      </c>
      <c r="D190" s="28" t="s">
        <v>206</v>
      </c>
      <c r="E190" s="28" t="s">
        <v>535</v>
      </c>
      <c r="F190" s="29">
        <v>4</v>
      </c>
      <c r="G190" s="28">
        <v>1</v>
      </c>
      <c r="H190" s="28">
        <v>0</v>
      </c>
      <c r="I190" s="28"/>
      <c r="J190" s="30">
        <v>0.05</v>
      </c>
      <c r="K190" s="28">
        <v>1</v>
      </c>
      <c r="L190" s="28" t="s">
        <v>535</v>
      </c>
      <c r="M190" s="28"/>
      <c r="N190" s="28"/>
      <c r="O190" s="28"/>
      <c r="P190" s="31">
        <v>0</v>
      </c>
      <c r="Q190" s="31">
        <v>0</v>
      </c>
      <c r="R190" s="31">
        <v>0</v>
      </c>
      <c r="S190" s="28"/>
      <c r="T190" s="28"/>
      <c r="U190" s="28"/>
      <c r="V190" s="31">
        <v>0</v>
      </c>
      <c r="W190" s="31">
        <v>0</v>
      </c>
      <c r="X190" s="31">
        <v>0</v>
      </c>
      <c r="Y190" s="28" t="s">
        <v>548</v>
      </c>
    </row>
    <row r="191" spans="1:25" x14ac:dyDescent="0.3">
      <c r="A191" s="28" t="s">
        <v>550</v>
      </c>
      <c r="B191" s="28" t="s">
        <v>94</v>
      </c>
      <c r="C191" s="28" t="s">
        <v>225</v>
      </c>
      <c r="D191" s="28" t="s">
        <v>202</v>
      </c>
      <c r="E191" s="28" t="s">
        <v>535</v>
      </c>
      <c r="F191" s="29">
        <v>4</v>
      </c>
      <c r="G191" s="28">
        <v>1</v>
      </c>
      <c r="H191" s="28">
        <v>0</v>
      </c>
      <c r="I191" s="28"/>
      <c r="J191" s="30">
        <v>3.5999999999999997E-2</v>
      </c>
      <c r="K191" s="28">
        <v>1</v>
      </c>
      <c r="L191" s="28" t="s">
        <v>535</v>
      </c>
      <c r="M191" s="28"/>
      <c r="N191" s="28"/>
      <c r="O191" s="28"/>
      <c r="P191" s="31">
        <v>0</v>
      </c>
      <c r="Q191" s="31">
        <v>0</v>
      </c>
      <c r="R191" s="31">
        <v>0</v>
      </c>
      <c r="S191" s="28"/>
      <c r="T191" s="28"/>
      <c r="U191" s="28"/>
      <c r="V191" s="31">
        <v>0</v>
      </c>
      <c r="W191" s="31">
        <v>0</v>
      </c>
      <c r="X191" s="31">
        <v>0</v>
      </c>
      <c r="Y191" s="28" t="s">
        <v>551</v>
      </c>
    </row>
    <row r="192" spans="1:25" x14ac:dyDescent="0.3">
      <c r="A192" s="28" t="s">
        <v>552</v>
      </c>
      <c r="B192" s="28" t="s">
        <v>94</v>
      </c>
      <c r="C192" s="28" t="s">
        <v>225</v>
      </c>
      <c r="D192" s="28" t="s">
        <v>206</v>
      </c>
      <c r="E192" s="28" t="s">
        <v>535</v>
      </c>
      <c r="F192" s="29">
        <v>4</v>
      </c>
      <c r="G192" s="28">
        <v>1</v>
      </c>
      <c r="H192" s="28">
        <v>0</v>
      </c>
      <c r="I192" s="28"/>
      <c r="J192" s="30">
        <v>0.05</v>
      </c>
      <c r="K192" s="28">
        <v>2</v>
      </c>
      <c r="L192" s="28" t="s">
        <v>535</v>
      </c>
      <c r="M192" s="28"/>
      <c r="N192" s="28"/>
      <c r="O192" s="28"/>
      <c r="P192" s="31">
        <v>0</v>
      </c>
      <c r="Q192" s="31">
        <v>0</v>
      </c>
      <c r="R192" s="31">
        <v>0</v>
      </c>
      <c r="S192" s="28"/>
      <c r="T192" s="28"/>
      <c r="U192" s="28"/>
      <c r="V192" s="31">
        <v>0</v>
      </c>
      <c r="W192" s="31">
        <v>0</v>
      </c>
      <c r="X192" s="31">
        <v>0</v>
      </c>
      <c r="Y192" s="28" t="s">
        <v>553</v>
      </c>
    </row>
    <row r="193" spans="1:25" x14ac:dyDescent="0.3">
      <c r="A193" s="28" t="s">
        <v>554</v>
      </c>
      <c r="B193" s="28" t="s">
        <v>94</v>
      </c>
      <c r="C193" s="28" t="s">
        <v>230</v>
      </c>
      <c r="D193" s="28" t="s">
        <v>202</v>
      </c>
      <c r="E193" s="28" t="s">
        <v>535</v>
      </c>
      <c r="F193" s="29">
        <v>3</v>
      </c>
      <c r="G193" s="28">
        <v>1</v>
      </c>
      <c r="H193" s="28">
        <v>0</v>
      </c>
      <c r="I193" s="28"/>
      <c r="J193" s="30">
        <v>3.5999999999999997E-2</v>
      </c>
      <c r="K193" s="28">
        <v>1</v>
      </c>
      <c r="L193" s="28" t="s">
        <v>535</v>
      </c>
      <c r="M193" s="28"/>
      <c r="N193" s="28"/>
      <c r="O193" s="28"/>
      <c r="P193" s="31">
        <v>0</v>
      </c>
      <c r="Q193" s="31">
        <v>0</v>
      </c>
      <c r="R193" s="31">
        <v>0</v>
      </c>
      <c r="S193" s="28"/>
      <c r="T193" s="28"/>
      <c r="U193" s="28"/>
      <c r="V193" s="31">
        <v>0</v>
      </c>
      <c r="W193" s="31">
        <v>0</v>
      </c>
      <c r="X193" s="31">
        <v>0</v>
      </c>
      <c r="Y193" s="28" t="s">
        <v>555</v>
      </c>
    </row>
    <row r="194" spans="1:25" x14ac:dyDescent="0.3">
      <c r="A194" s="28" t="s">
        <v>556</v>
      </c>
      <c r="B194" s="28" t="s">
        <v>94</v>
      </c>
      <c r="C194" s="28" t="s">
        <v>230</v>
      </c>
      <c r="D194" s="28" t="s">
        <v>206</v>
      </c>
      <c r="E194" s="28" t="s">
        <v>535</v>
      </c>
      <c r="F194" s="29">
        <v>3</v>
      </c>
      <c r="G194" s="28">
        <v>1</v>
      </c>
      <c r="H194" s="28">
        <v>0</v>
      </c>
      <c r="I194" s="28"/>
      <c r="J194" s="30">
        <v>0.05</v>
      </c>
      <c r="K194" s="28">
        <v>2</v>
      </c>
      <c r="L194" s="28" t="s">
        <v>535</v>
      </c>
      <c r="M194" s="28"/>
      <c r="N194" s="28"/>
      <c r="O194" s="28"/>
      <c r="P194" s="31">
        <v>0</v>
      </c>
      <c r="Q194" s="31">
        <v>0</v>
      </c>
      <c r="R194" s="31">
        <v>0</v>
      </c>
      <c r="S194" s="28"/>
      <c r="T194" s="28"/>
      <c r="U194" s="28"/>
      <c r="V194" s="31">
        <v>0</v>
      </c>
      <c r="W194" s="31">
        <v>0</v>
      </c>
      <c r="X194" s="31">
        <v>0</v>
      </c>
      <c r="Y194" s="28" t="s">
        <v>557</v>
      </c>
    </row>
    <row r="195" spans="1:25" x14ac:dyDescent="0.3">
      <c r="A195" s="28" t="s">
        <v>558</v>
      </c>
      <c r="B195" s="28" t="s">
        <v>94</v>
      </c>
      <c r="C195" s="28" t="s">
        <v>235</v>
      </c>
      <c r="D195" s="28" t="s">
        <v>202</v>
      </c>
      <c r="E195" s="28" t="s">
        <v>535</v>
      </c>
      <c r="F195" s="29">
        <v>4</v>
      </c>
      <c r="G195" s="28">
        <v>1</v>
      </c>
      <c r="H195" s="28">
        <v>0</v>
      </c>
      <c r="I195" s="28"/>
      <c r="J195" s="30">
        <v>3.5999999999999997E-2</v>
      </c>
      <c r="K195" s="28">
        <v>1</v>
      </c>
      <c r="L195" s="28" t="s">
        <v>535</v>
      </c>
      <c r="M195" s="28"/>
      <c r="N195" s="28"/>
      <c r="O195" s="28"/>
      <c r="P195" s="31">
        <v>0</v>
      </c>
      <c r="Q195" s="31">
        <v>0</v>
      </c>
      <c r="R195" s="31">
        <v>0</v>
      </c>
      <c r="S195" s="28"/>
      <c r="T195" s="28"/>
      <c r="U195" s="28"/>
      <c r="V195" s="31">
        <v>0</v>
      </c>
      <c r="W195" s="31">
        <v>0</v>
      </c>
      <c r="X195" s="31">
        <v>0</v>
      </c>
      <c r="Y195" s="28" t="s">
        <v>559</v>
      </c>
    </row>
    <row r="196" spans="1:25" x14ac:dyDescent="0.3">
      <c r="A196" s="28" t="s">
        <v>560</v>
      </c>
      <c r="B196" s="28" t="s">
        <v>94</v>
      </c>
      <c r="C196" s="28" t="s">
        <v>235</v>
      </c>
      <c r="D196" s="28" t="s">
        <v>206</v>
      </c>
      <c r="E196" s="28" t="s">
        <v>535</v>
      </c>
      <c r="F196" s="29">
        <v>4</v>
      </c>
      <c r="G196" s="28">
        <v>1</v>
      </c>
      <c r="H196" s="28">
        <v>0</v>
      </c>
      <c r="I196" s="28"/>
      <c r="J196" s="30">
        <v>0.05</v>
      </c>
      <c r="K196" s="28">
        <v>1</v>
      </c>
      <c r="L196" s="28" t="s">
        <v>535</v>
      </c>
      <c r="M196" s="28"/>
      <c r="N196" s="28"/>
      <c r="O196" s="28"/>
      <c r="P196" s="31">
        <v>0</v>
      </c>
      <c r="Q196" s="31">
        <v>0</v>
      </c>
      <c r="R196" s="31">
        <v>0</v>
      </c>
      <c r="S196" s="28"/>
      <c r="T196" s="28"/>
      <c r="U196" s="28"/>
      <c r="V196" s="31">
        <v>0</v>
      </c>
      <c r="W196" s="31">
        <v>0</v>
      </c>
      <c r="X196" s="31">
        <v>0</v>
      </c>
      <c r="Y196" s="28" t="s">
        <v>559</v>
      </c>
    </row>
    <row r="197" spans="1:25" x14ac:dyDescent="0.3">
      <c r="A197" s="28" t="s">
        <v>561</v>
      </c>
      <c r="B197" s="28" t="s">
        <v>94</v>
      </c>
      <c r="C197" s="28" t="s">
        <v>240</v>
      </c>
      <c r="D197" s="28" t="s">
        <v>202</v>
      </c>
      <c r="E197" s="28" t="s">
        <v>535</v>
      </c>
      <c r="F197" s="29">
        <v>3</v>
      </c>
      <c r="G197" s="28">
        <v>1</v>
      </c>
      <c r="H197" s="28">
        <v>0</v>
      </c>
      <c r="I197" s="28"/>
      <c r="J197" s="30">
        <v>3.5999999999999997E-2</v>
      </c>
      <c r="K197" s="28">
        <v>1</v>
      </c>
      <c r="L197" s="28" t="s">
        <v>535</v>
      </c>
      <c r="M197" s="28"/>
      <c r="N197" s="28"/>
      <c r="O197" s="28"/>
      <c r="P197" s="31">
        <v>0</v>
      </c>
      <c r="Q197" s="31">
        <v>0</v>
      </c>
      <c r="R197" s="31">
        <v>0</v>
      </c>
      <c r="S197" s="28"/>
      <c r="T197" s="28"/>
      <c r="U197" s="28"/>
      <c r="V197" s="31">
        <v>0</v>
      </c>
      <c r="W197" s="31">
        <v>0</v>
      </c>
      <c r="X197" s="31">
        <v>0</v>
      </c>
      <c r="Y197" s="28" t="s">
        <v>562</v>
      </c>
    </row>
    <row r="198" spans="1:25" x14ac:dyDescent="0.3">
      <c r="A198" s="28" t="s">
        <v>563</v>
      </c>
      <c r="B198" s="28" t="s">
        <v>94</v>
      </c>
      <c r="C198" s="28" t="s">
        <v>240</v>
      </c>
      <c r="D198" s="28" t="s">
        <v>206</v>
      </c>
      <c r="E198" s="28" t="s">
        <v>535</v>
      </c>
      <c r="F198" s="29">
        <v>3</v>
      </c>
      <c r="G198" s="28">
        <v>1</v>
      </c>
      <c r="H198" s="28">
        <v>0</v>
      </c>
      <c r="I198" s="28"/>
      <c r="J198" s="30">
        <v>0.05</v>
      </c>
      <c r="K198" s="28">
        <v>1</v>
      </c>
      <c r="L198" s="28" t="s">
        <v>535</v>
      </c>
      <c r="M198" s="28"/>
      <c r="N198" s="28"/>
      <c r="O198" s="28"/>
      <c r="P198" s="31">
        <v>0</v>
      </c>
      <c r="Q198" s="31">
        <v>0</v>
      </c>
      <c r="R198" s="31">
        <v>0</v>
      </c>
      <c r="S198" s="28"/>
      <c r="T198" s="28"/>
      <c r="U198" s="28"/>
      <c r="V198" s="31">
        <v>0</v>
      </c>
      <c r="W198" s="31">
        <v>0</v>
      </c>
      <c r="X198" s="31">
        <v>0</v>
      </c>
      <c r="Y198" s="28" t="s">
        <v>562</v>
      </c>
    </row>
    <row r="199" spans="1:25" x14ac:dyDescent="0.3">
      <c r="A199" s="28" t="s">
        <v>564</v>
      </c>
      <c r="B199" s="28" t="s">
        <v>94</v>
      </c>
      <c r="C199" s="28" t="s">
        <v>245</v>
      </c>
      <c r="D199" s="28" t="s">
        <v>202</v>
      </c>
      <c r="E199" s="28" t="s">
        <v>535</v>
      </c>
      <c r="F199" s="29">
        <v>3</v>
      </c>
      <c r="G199" s="28">
        <v>1</v>
      </c>
      <c r="H199" s="28">
        <v>0</v>
      </c>
      <c r="I199" s="28"/>
      <c r="J199" s="30">
        <v>3.5999999999999997E-2</v>
      </c>
      <c r="K199" s="28">
        <v>1</v>
      </c>
      <c r="L199" s="28" t="s">
        <v>535</v>
      </c>
      <c r="M199" s="28"/>
      <c r="N199" s="28"/>
      <c r="O199" s="28"/>
      <c r="P199" s="31">
        <v>0</v>
      </c>
      <c r="Q199" s="31">
        <v>0</v>
      </c>
      <c r="R199" s="31">
        <v>0</v>
      </c>
      <c r="S199" s="28"/>
      <c r="T199" s="28"/>
      <c r="U199" s="28"/>
      <c r="V199" s="31">
        <v>0</v>
      </c>
      <c r="W199" s="31">
        <v>0</v>
      </c>
      <c r="X199" s="31">
        <v>0</v>
      </c>
      <c r="Y199" s="28" t="s">
        <v>562</v>
      </c>
    </row>
    <row r="200" spans="1:25" x14ac:dyDescent="0.3">
      <c r="A200" s="28" t="s">
        <v>565</v>
      </c>
      <c r="B200" s="28" t="s">
        <v>94</v>
      </c>
      <c r="C200" s="28" t="s">
        <v>245</v>
      </c>
      <c r="D200" s="28" t="s">
        <v>206</v>
      </c>
      <c r="E200" s="28" t="s">
        <v>535</v>
      </c>
      <c r="F200" s="29">
        <v>3</v>
      </c>
      <c r="G200" s="28">
        <v>1</v>
      </c>
      <c r="H200" s="28">
        <v>0</v>
      </c>
      <c r="I200" s="28"/>
      <c r="J200" s="30">
        <v>0.05</v>
      </c>
      <c r="K200" s="28">
        <v>1</v>
      </c>
      <c r="L200" s="28" t="s">
        <v>535</v>
      </c>
      <c r="M200" s="28"/>
      <c r="N200" s="28"/>
      <c r="O200" s="28"/>
      <c r="P200" s="31">
        <v>0</v>
      </c>
      <c r="Q200" s="31">
        <v>0</v>
      </c>
      <c r="R200" s="31">
        <v>0</v>
      </c>
      <c r="S200" s="28"/>
      <c r="T200" s="28"/>
      <c r="U200" s="28"/>
      <c r="V200" s="31">
        <v>0</v>
      </c>
      <c r="W200" s="31">
        <v>0</v>
      </c>
      <c r="X200" s="31">
        <v>0</v>
      </c>
      <c r="Y200" s="28" t="s">
        <v>562</v>
      </c>
    </row>
    <row r="201" spans="1:25" x14ac:dyDescent="0.3">
      <c r="A201" s="28" t="s">
        <v>566</v>
      </c>
      <c r="B201" s="28" t="s">
        <v>94</v>
      </c>
      <c r="C201" s="28" t="s">
        <v>250</v>
      </c>
      <c r="D201" s="28" t="s">
        <v>202</v>
      </c>
      <c r="E201" s="28" t="s">
        <v>535</v>
      </c>
      <c r="F201" s="29">
        <v>3</v>
      </c>
      <c r="G201" s="28">
        <v>1</v>
      </c>
      <c r="H201" s="28">
        <v>0</v>
      </c>
      <c r="I201" s="28"/>
      <c r="J201" s="30">
        <v>3.5999999999999997E-2</v>
      </c>
      <c r="K201" s="28">
        <v>1</v>
      </c>
      <c r="L201" s="28" t="s">
        <v>535</v>
      </c>
      <c r="M201" s="28"/>
      <c r="N201" s="28"/>
      <c r="O201" s="28"/>
      <c r="P201" s="31">
        <v>0</v>
      </c>
      <c r="Q201" s="31">
        <v>0</v>
      </c>
      <c r="R201" s="31">
        <v>0</v>
      </c>
      <c r="S201" s="28"/>
      <c r="T201" s="28"/>
      <c r="U201" s="28"/>
      <c r="V201" s="31">
        <v>0</v>
      </c>
      <c r="W201" s="31">
        <v>0</v>
      </c>
      <c r="X201" s="31">
        <v>0</v>
      </c>
      <c r="Y201" s="28" t="s">
        <v>562</v>
      </c>
    </row>
    <row r="202" spans="1:25" x14ac:dyDescent="0.3">
      <c r="A202" s="28" t="s">
        <v>567</v>
      </c>
      <c r="B202" s="28" t="s">
        <v>94</v>
      </c>
      <c r="C202" s="28" t="s">
        <v>250</v>
      </c>
      <c r="D202" s="28" t="s">
        <v>206</v>
      </c>
      <c r="E202" s="28" t="s">
        <v>535</v>
      </c>
      <c r="F202" s="29">
        <v>3</v>
      </c>
      <c r="G202" s="28">
        <v>1</v>
      </c>
      <c r="H202" s="28">
        <v>0</v>
      </c>
      <c r="I202" s="28"/>
      <c r="J202" s="30">
        <v>0.05</v>
      </c>
      <c r="K202" s="28">
        <v>1</v>
      </c>
      <c r="L202" s="28" t="s">
        <v>535</v>
      </c>
      <c r="M202" s="28"/>
      <c r="N202" s="28"/>
      <c r="O202" s="28"/>
      <c r="P202" s="31">
        <v>0</v>
      </c>
      <c r="Q202" s="31">
        <v>0</v>
      </c>
      <c r="R202" s="31">
        <v>0</v>
      </c>
      <c r="S202" s="28"/>
      <c r="T202" s="28"/>
      <c r="U202" s="28"/>
      <c r="V202" s="31">
        <v>0</v>
      </c>
      <c r="W202" s="31">
        <v>0</v>
      </c>
      <c r="X202" s="31">
        <v>0</v>
      </c>
      <c r="Y202" s="28" t="s">
        <v>562</v>
      </c>
    </row>
    <row r="203" spans="1:25" x14ac:dyDescent="0.3">
      <c r="A203" s="28" t="s">
        <v>568</v>
      </c>
      <c r="B203" s="28" t="s">
        <v>94</v>
      </c>
      <c r="C203" s="28" t="s">
        <v>255</v>
      </c>
      <c r="D203" s="28" t="s">
        <v>202</v>
      </c>
      <c r="E203" s="28" t="s">
        <v>535</v>
      </c>
      <c r="F203" s="29">
        <v>3</v>
      </c>
      <c r="G203" s="28">
        <v>1</v>
      </c>
      <c r="H203" s="28">
        <v>0</v>
      </c>
      <c r="I203" s="28"/>
      <c r="J203" s="30">
        <v>3.5999999999999997E-2</v>
      </c>
      <c r="K203" s="28">
        <v>1</v>
      </c>
      <c r="L203" s="28" t="s">
        <v>535</v>
      </c>
      <c r="M203" s="28"/>
      <c r="N203" s="28"/>
      <c r="O203" s="28"/>
      <c r="P203" s="31">
        <v>0</v>
      </c>
      <c r="Q203" s="31">
        <v>0</v>
      </c>
      <c r="R203" s="31">
        <v>0</v>
      </c>
      <c r="S203" s="28"/>
      <c r="T203" s="28"/>
      <c r="U203" s="28"/>
      <c r="V203" s="31">
        <v>0</v>
      </c>
      <c r="W203" s="31">
        <v>0</v>
      </c>
      <c r="X203" s="31">
        <v>0</v>
      </c>
      <c r="Y203" s="28" t="s">
        <v>569</v>
      </c>
    </row>
    <row r="204" spans="1:25" x14ac:dyDescent="0.3">
      <c r="A204" s="28" t="s">
        <v>570</v>
      </c>
      <c r="B204" s="28" t="s">
        <v>94</v>
      </c>
      <c r="C204" s="28" t="s">
        <v>255</v>
      </c>
      <c r="D204" s="28" t="s">
        <v>206</v>
      </c>
      <c r="E204" s="28" t="s">
        <v>535</v>
      </c>
      <c r="F204" s="29">
        <v>3</v>
      </c>
      <c r="G204" s="28">
        <v>1</v>
      </c>
      <c r="H204" s="28">
        <v>0</v>
      </c>
      <c r="I204" s="28"/>
      <c r="J204" s="30">
        <v>0.05</v>
      </c>
      <c r="K204" s="28">
        <v>2</v>
      </c>
      <c r="L204" s="28" t="s">
        <v>535</v>
      </c>
      <c r="M204" s="28"/>
      <c r="N204" s="28"/>
      <c r="O204" s="28"/>
      <c r="P204" s="31">
        <v>0</v>
      </c>
      <c r="Q204" s="31">
        <v>0</v>
      </c>
      <c r="R204" s="31">
        <v>0</v>
      </c>
      <c r="S204" s="28"/>
      <c r="T204" s="28"/>
      <c r="U204" s="28"/>
      <c r="V204" s="31">
        <v>0</v>
      </c>
      <c r="W204" s="31">
        <v>0</v>
      </c>
      <c r="X204" s="31">
        <v>0</v>
      </c>
      <c r="Y204" s="28" t="s">
        <v>571</v>
      </c>
    </row>
    <row r="205" spans="1:25" x14ac:dyDescent="0.3">
      <c r="A205" s="28" t="s">
        <v>572</v>
      </c>
      <c r="B205" s="28" t="s">
        <v>94</v>
      </c>
      <c r="C205" s="28" t="s">
        <v>260</v>
      </c>
      <c r="D205" s="28" t="s">
        <v>202</v>
      </c>
      <c r="E205" s="28" t="s">
        <v>535</v>
      </c>
      <c r="F205" s="29">
        <v>3</v>
      </c>
      <c r="G205" s="28">
        <v>1</v>
      </c>
      <c r="H205" s="28">
        <v>0</v>
      </c>
      <c r="I205" s="28"/>
      <c r="J205" s="30">
        <v>3.5999999999999997E-2</v>
      </c>
      <c r="K205" s="28">
        <v>1</v>
      </c>
      <c r="L205" s="28" t="s">
        <v>535</v>
      </c>
      <c r="M205" s="28"/>
      <c r="N205" s="28"/>
      <c r="O205" s="28"/>
      <c r="P205" s="31">
        <v>0</v>
      </c>
      <c r="Q205" s="31">
        <v>0</v>
      </c>
      <c r="R205" s="31">
        <v>0</v>
      </c>
      <c r="S205" s="28"/>
      <c r="T205" s="28"/>
      <c r="U205" s="28"/>
      <c r="V205" s="31">
        <v>0</v>
      </c>
      <c r="W205" s="31">
        <v>0</v>
      </c>
      <c r="X205" s="31">
        <v>0</v>
      </c>
      <c r="Y205" s="28" t="s">
        <v>573</v>
      </c>
    </row>
    <row r="206" spans="1:25" x14ac:dyDescent="0.3">
      <c r="A206" s="28" t="s">
        <v>574</v>
      </c>
      <c r="B206" s="28" t="s">
        <v>94</v>
      </c>
      <c r="C206" s="28" t="s">
        <v>260</v>
      </c>
      <c r="D206" s="28" t="s">
        <v>206</v>
      </c>
      <c r="E206" s="28" t="s">
        <v>535</v>
      </c>
      <c r="F206" s="29">
        <v>3</v>
      </c>
      <c r="G206" s="28">
        <v>1</v>
      </c>
      <c r="H206" s="28">
        <v>0</v>
      </c>
      <c r="I206" s="28"/>
      <c r="J206" s="30">
        <v>0.05</v>
      </c>
      <c r="K206" s="28">
        <v>1</v>
      </c>
      <c r="L206" s="28" t="s">
        <v>535</v>
      </c>
      <c r="M206" s="28"/>
      <c r="N206" s="28"/>
      <c r="O206" s="28"/>
      <c r="P206" s="31">
        <v>0</v>
      </c>
      <c r="Q206" s="31">
        <v>0</v>
      </c>
      <c r="R206" s="31">
        <v>0</v>
      </c>
      <c r="S206" s="28"/>
      <c r="T206" s="28"/>
      <c r="U206" s="28"/>
      <c r="V206" s="31">
        <v>0</v>
      </c>
      <c r="W206" s="31">
        <v>0</v>
      </c>
      <c r="X206" s="31">
        <v>0</v>
      </c>
      <c r="Y206" s="28" t="s">
        <v>573</v>
      </c>
    </row>
    <row r="207" spans="1:25" x14ac:dyDescent="0.3">
      <c r="A207" s="28" t="s">
        <v>575</v>
      </c>
      <c r="B207" s="28" t="s">
        <v>94</v>
      </c>
      <c r="C207" s="28" t="s">
        <v>265</v>
      </c>
      <c r="D207" s="28" t="s">
        <v>202</v>
      </c>
      <c r="E207" s="28" t="s">
        <v>535</v>
      </c>
      <c r="F207" s="29">
        <v>3</v>
      </c>
      <c r="G207" s="28">
        <v>1</v>
      </c>
      <c r="H207" s="28">
        <v>0</v>
      </c>
      <c r="I207" s="28"/>
      <c r="J207" s="30">
        <v>3.5999999999999997E-2</v>
      </c>
      <c r="K207" s="28">
        <v>1</v>
      </c>
      <c r="L207" s="28" t="s">
        <v>535</v>
      </c>
      <c r="M207" s="28"/>
      <c r="N207" s="28"/>
      <c r="O207" s="28"/>
      <c r="P207" s="31">
        <v>0</v>
      </c>
      <c r="Q207" s="31">
        <v>0</v>
      </c>
      <c r="R207" s="31">
        <v>0</v>
      </c>
      <c r="S207" s="28"/>
      <c r="T207" s="28"/>
      <c r="U207" s="28"/>
      <c r="V207" s="31">
        <v>0</v>
      </c>
      <c r="W207" s="31">
        <v>0</v>
      </c>
      <c r="X207" s="31">
        <v>0</v>
      </c>
      <c r="Y207" s="28" t="s">
        <v>576</v>
      </c>
    </row>
    <row r="208" spans="1:25" x14ac:dyDescent="0.3">
      <c r="A208" s="28" t="s">
        <v>577</v>
      </c>
      <c r="B208" s="28" t="s">
        <v>94</v>
      </c>
      <c r="C208" s="28" t="s">
        <v>265</v>
      </c>
      <c r="D208" s="28" t="s">
        <v>206</v>
      </c>
      <c r="E208" s="28" t="s">
        <v>535</v>
      </c>
      <c r="F208" s="29">
        <v>3</v>
      </c>
      <c r="G208" s="28">
        <v>1</v>
      </c>
      <c r="H208" s="28">
        <v>0</v>
      </c>
      <c r="I208" s="28"/>
      <c r="J208" s="30">
        <v>0.05</v>
      </c>
      <c r="K208" s="28">
        <v>2</v>
      </c>
      <c r="L208" s="28" t="s">
        <v>535</v>
      </c>
      <c r="M208" s="28"/>
      <c r="N208" s="28"/>
      <c r="O208" s="28"/>
      <c r="P208" s="31">
        <v>0</v>
      </c>
      <c r="Q208" s="31">
        <v>0</v>
      </c>
      <c r="R208" s="31">
        <v>0</v>
      </c>
      <c r="S208" s="28"/>
      <c r="T208" s="28"/>
      <c r="U208" s="28"/>
      <c r="V208" s="31">
        <v>0</v>
      </c>
      <c r="W208" s="31">
        <v>0</v>
      </c>
      <c r="X208" s="31">
        <v>0</v>
      </c>
      <c r="Y208" s="28" t="s">
        <v>578</v>
      </c>
    </row>
    <row r="209" spans="1:25" x14ac:dyDescent="0.3">
      <c r="A209" s="28" t="s">
        <v>579</v>
      </c>
      <c r="B209" s="28" t="s">
        <v>94</v>
      </c>
      <c r="C209" s="28" t="s">
        <v>270</v>
      </c>
      <c r="D209" s="28" t="s">
        <v>202</v>
      </c>
      <c r="E209" s="28" t="s">
        <v>535</v>
      </c>
      <c r="F209" s="29">
        <v>3</v>
      </c>
      <c r="G209" s="28">
        <v>1</v>
      </c>
      <c r="H209" s="28">
        <v>0</v>
      </c>
      <c r="I209" s="28"/>
      <c r="J209" s="30">
        <v>3.5999999999999997E-2</v>
      </c>
      <c r="K209" s="28">
        <v>0</v>
      </c>
      <c r="L209" s="28"/>
      <c r="M209" s="28" t="s">
        <v>261</v>
      </c>
      <c r="N209" s="28" t="s">
        <v>271</v>
      </c>
      <c r="O209" s="28">
        <v>2026</v>
      </c>
      <c r="P209" s="31">
        <v>876</v>
      </c>
      <c r="Q209" s="31">
        <v>0</v>
      </c>
      <c r="R209" s="31">
        <v>89</v>
      </c>
      <c r="S209" s="28"/>
      <c r="T209" s="28"/>
      <c r="U209" s="28"/>
      <c r="V209" s="31">
        <v>0</v>
      </c>
      <c r="W209" s="31">
        <v>0</v>
      </c>
      <c r="X209" s="31">
        <v>0</v>
      </c>
      <c r="Y209" s="28" t="s">
        <v>580</v>
      </c>
    </row>
    <row r="210" spans="1:25" x14ac:dyDescent="0.3">
      <c r="A210" s="28" t="s">
        <v>581</v>
      </c>
      <c r="B210" s="28" t="s">
        <v>94</v>
      </c>
      <c r="C210" s="28" t="s">
        <v>270</v>
      </c>
      <c r="D210" s="28" t="s">
        <v>206</v>
      </c>
      <c r="E210" s="28" t="s">
        <v>535</v>
      </c>
      <c r="F210" s="29">
        <v>3</v>
      </c>
      <c r="G210" s="28">
        <v>1</v>
      </c>
      <c r="H210" s="28">
        <v>0</v>
      </c>
      <c r="I210" s="28"/>
      <c r="J210" s="30">
        <v>0.05</v>
      </c>
      <c r="K210" s="28">
        <v>0</v>
      </c>
      <c r="L210" s="28"/>
      <c r="M210" s="28" t="s">
        <v>261</v>
      </c>
      <c r="N210" s="28" t="s">
        <v>271</v>
      </c>
      <c r="O210" s="28">
        <v>2026</v>
      </c>
      <c r="P210" s="31">
        <v>876</v>
      </c>
      <c r="Q210" s="31">
        <v>0</v>
      </c>
      <c r="R210" s="31">
        <v>89</v>
      </c>
      <c r="S210" s="28"/>
      <c r="T210" s="28"/>
      <c r="U210" s="28"/>
      <c r="V210" s="31">
        <v>0</v>
      </c>
      <c r="W210" s="31">
        <v>0</v>
      </c>
      <c r="X210" s="31">
        <v>0</v>
      </c>
      <c r="Y210" s="28" t="s">
        <v>580</v>
      </c>
    </row>
    <row r="211" spans="1:25" x14ac:dyDescent="0.3">
      <c r="A211" s="28" t="s">
        <v>582</v>
      </c>
      <c r="B211" s="28" t="s">
        <v>94</v>
      </c>
      <c r="C211" s="28" t="s">
        <v>275</v>
      </c>
      <c r="D211" s="28" t="s">
        <v>202</v>
      </c>
      <c r="E211" s="28" t="s">
        <v>535</v>
      </c>
      <c r="F211" s="29">
        <v>5</v>
      </c>
      <c r="G211" s="28">
        <v>1</v>
      </c>
      <c r="H211" s="28">
        <v>3</v>
      </c>
      <c r="I211" s="28" t="s">
        <v>265</v>
      </c>
      <c r="J211" s="30">
        <v>3.5999999999999997E-2</v>
      </c>
      <c r="K211" s="28">
        <v>0</v>
      </c>
      <c r="L211" s="28"/>
      <c r="M211" s="28" t="s">
        <v>261</v>
      </c>
      <c r="N211" s="28" t="s">
        <v>535</v>
      </c>
      <c r="O211" s="28">
        <v>2026</v>
      </c>
      <c r="P211" s="31">
        <v>5191</v>
      </c>
      <c r="Q211" s="31">
        <v>0</v>
      </c>
      <c r="R211" s="31">
        <v>226</v>
      </c>
      <c r="S211" s="28" t="s">
        <v>389</v>
      </c>
      <c r="T211" s="28" t="s">
        <v>535</v>
      </c>
      <c r="U211" s="28">
        <v>2026</v>
      </c>
      <c r="V211" s="31">
        <v>16030</v>
      </c>
      <c r="W211" s="31">
        <v>0</v>
      </c>
      <c r="X211" s="31">
        <v>0</v>
      </c>
      <c r="Y211" s="28" t="s">
        <v>583</v>
      </c>
    </row>
    <row r="212" spans="1:25" x14ac:dyDescent="0.3">
      <c r="A212" s="28" t="s">
        <v>584</v>
      </c>
      <c r="B212" s="28" t="s">
        <v>94</v>
      </c>
      <c r="C212" s="28" t="s">
        <v>275</v>
      </c>
      <c r="D212" s="28" t="s">
        <v>206</v>
      </c>
      <c r="E212" s="28" t="s">
        <v>535</v>
      </c>
      <c r="F212" s="29">
        <v>5</v>
      </c>
      <c r="G212" s="28">
        <v>1</v>
      </c>
      <c r="H212" s="28">
        <v>3</v>
      </c>
      <c r="I212" s="28" t="s">
        <v>265</v>
      </c>
      <c r="J212" s="30">
        <v>0.05</v>
      </c>
      <c r="K212" s="28">
        <v>0</v>
      </c>
      <c r="L212" s="28"/>
      <c r="M212" s="28" t="s">
        <v>261</v>
      </c>
      <c r="N212" s="28" t="s">
        <v>535</v>
      </c>
      <c r="O212" s="28">
        <v>2026</v>
      </c>
      <c r="P212" s="31">
        <v>5191</v>
      </c>
      <c r="Q212" s="31">
        <v>0</v>
      </c>
      <c r="R212" s="31">
        <v>226</v>
      </c>
      <c r="S212" s="28" t="s">
        <v>389</v>
      </c>
      <c r="T212" s="28" t="s">
        <v>535</v>
      </c>
      <c r="U212" s="28">
        <v>2026</v>
      </c>
      <c r="V212" s="31">
        <v>55297.619047619053</v>
      </c>
      <c r="W212" s="31">
        <v>0</v>
      </c>
      <c r="X212" s="31">
        <v>0</v>
      </c>
      <c r="Y212" s="28" t="s">
        <v>583</v>
      </c>
    </row>
    <row r="213" spans="1:25" x14ac:dyDescent="0.3">
      <c r="A213" s="28" t="s">
        <v>585</v>
      </c>
      <c r="B213" s="28" t="s">
        <v>94</v>
      </c>
      <c r="C213" s="28" t="s">
        <v>280</v>
      </c>
      <c r="D213" s="28" t="s">
        <v>202</v>
      </c>
      <c r="E213" s="28" t="s">
        <v>535</v>
      </c>
      <c r="F213" s="29">
        <v>6</v>
      </c>
      <c r="G213" s="28">
        <v>1</v>
      </c>
      <c r="H213" s="28">
        <v>3</v>
      </c>
      <c r="I213" s="28" t="s">
        <v>265</v>
      </c>
      <c r="J213" s="30">
        <v>3.5999999999999997E-2</v>
      </c>
      <c r="K213" s="28">
        <v>0</v>
      </c>
      <c r="L213" s="28"/>
      <c r="M213" s="28" t="s">
        <v>261</v>
      </c>
      <c r="N213" s="28" t="s">
        <v>535</v>
      </c>
      <c r="O213" s="28">
        <v>2026</v>
      </c>
      <c r="P213" s="31">
        <v>3301</v>
      </c>
      <c r="Q213" s="31">
        <v>0</v>
      </c>
      <c r="R213" s="31">
        <v>0</v>
      </c>
      <c r="S213" s="28" t="s">
        <v>389</v>
      </c>
      <c r="T213" s="28" t="s">
        <v>535</v>
      </c>
      <c r="U213" s="28">
        <v>2026</v>
      </c>
      <c r="V213" s="31">
        <v>16030</v>
      </c>
      <c r="W213" s="31">
        <v>0</v>
      </c>
      <c r="X213" s="31">
        <v>0</v>
      </c>
      <c r="Y213" s="28" t="s">
        <v>586</v>
      </c>
    </row>
    <row r="214" spans="1:25" x14ac:dyDescent="0.3">
      <c r="A214" s="28" t="s">
        <v>587</v>
      </c>
      <c r="B214" s="28" t="s">
        <v>94</v>
      </c>
      <c r="C214" s="28" t="s">
        <v>280</v>
      </c>
      <c r="D214" s="28" t="s">
        <v>206</v>
      </c>
      <c r="E214" s="28" t="s">
        <v>535</v>
      </c>
      <c r="F214" s="29">
        <v>6</v>
      </c>
      <c r="G214" s="28">
        <v>1</v>
      </c>
      <c r="H214" s="28">
        <v>3</v>
      </c>
      <c r="I214" s="28" t="s">
        <v>265</v>
      </c>
      <c r="J214" s="30">
        <v>0.05</v>
      </c>
      <c r="K214" s="28">
        <v>0</v>
      </c>
      <c r="L214" s="28"/>
      <c r="M214" s="28" t="s">
        <v>261</v>
      </c>
      <c r="N214" s="28" t="s">
        <v>535</v>
      </c>
      <c r="O214" s="28">
        <v>2026</v>
      </c>
      <c r="P214" s="31">
        <v>3301</v>
      </c>
      <c r="Q214" s="31">
        <v>0</v>
      </c>
      <c r="R214" s="31">
        <v>0</v>
      </c>
      <c r="S214" s="28" t="s">
        <v>389</v>
      </c>
      <c r="T214" s="28" t="s">
        <v>535</v>
      </c>
      <c r="U214" s="28">
        <v>2026</v>
      </c>
      <c r="V214" s="31">
        <v>55297.619047619053</v>
      </c>
      <c r="W214" s="31">
        <v>0</v>
      </c>
      <c r="X214" s="31">
        <v>0</v>
      </c>
      <c r="Y214" s="28" t="s">
        <v>586</v>
      </c>
    </row>
    <row r="215" spans="1:25" x14ac:dyDescent="0.3">
      <c r="A215" s="28" t="s">
        <v>588</v>
      </c>
      <c r="B215" s="28" t="s">
        <v>94</v>
      </c>
      <c r="C215" s="28" t="s">
        <v>284</v>
      </c>
      <c r="D215" s="28" t="s">
        <v>202</v>
      </c>
      <c r="E215" s="28" t="s">
        <v>535</v>
      </c>
      <c r="F215" s="29">
        <v>4</v>
      </c>
      <c r="G215" s="28">
        <v>1</v>
      </c>
      <c r="H215" s="28">
        <v>0</v>
      </c>
      <c r="I215" s="28"/>
      <c r="J215" s="30">
        <v>3.5999999999999997E-2</v>
      </c>
      <c r="K215" s="28">
        <v>1</v>
      </c>
      <c r="L215" s="28" t="s">
        <v>535</v>
      </c>
      <c r="M215" s="28"/>
      <c r="N215" s="28"/>
      <c r="O215" s="28"/>
      <c r="P215" s="31">
        <v>0</v>
      </c>
      <c r="Q215" s="31">
        <v>0</v>
      </c>
      <c r="R215" s="31">
        <v>0</v>
      </c>
      <c r="S215" s="28"/>
      <c r="T215" s="28"/>
      <c r="U215" s="28"/>
      <c r="V215" s="31">
        <v>0</v>
      </c>
      <c r="W215" s="31">
        <v>0</v>
      </c>
      <c r="X215" s="31">
        <v>0</v>
      </c>
      <c r="Y215" s="28" t="s">
        <v>589</v>
      </c>
    </row>
    <row r="216" spans="1:25" x14ac:dyDescent="0.3">
      <c r="A216" s="28" t="s">
        <v>590</v>
      </c>
      <c r="B216" s="28" t="s">
        <v>94</v>
      </c>
      <c r="C216" s="28" t="s">
        <v>284</v>
      </c>
      <c r="D216" s="28" t="s">
        <v>206</v>
      </c>
      <c r="E216" s="28" t="s">
        <v>535</v>
      </c>
      <c r="F216" s="29">
        <v>4</v>
      </c>
      <c r="G216" s="28">
        <v>1</v>
      </c>
      <c r="H216" s="28">
        <v>0</v>
      </c>
      <c r="I216" s="28"/>
      <c r="J216" s="30">
        <v>0.05</v>
      </c>
      <c r="K216" s="28">
        <v>1</v>
      </c>
      <c r="L216" s="28" t="s">
        <v>535</v>
      </c>
      <c r="M216" s="28"/>
      <c r="N216" s="28"/>
      <c r="O216" s="28"/>
      <c r="P216" s="31">
        <v>0</v>
      </c>
      <c r="Q216" s="31">
        <v>0</v>
      </c>
      <c r="R216" s="31">
        <v>0</v>
      </c>
      <c r="S216" s="28"/>
      <c r="T216" s="28"/>
      <c r="U216" s="28"/>
      <c r="V216" s="31">
        <v>0</v>
      </c>
      <c r="W216" s="31">
        <v>0</v>
      </c>
      <c r="X216" s="31">
        <v>0</v>
      </c>
      <c r="Y216" s="28" t="s">
        <v>589</v>
      </c>
    </row>
    <row r="217" spans="1:25" x14ac:dyDescent="0.3">
      <c r="A217" s="28" t="s">
        <v>591</v>
      </c>
      <c r="B217" s="28" t="s">
        <v>94</v>
      </c>
      <c r="C217" s="28" t="s">
        <v>288</v>
      </c>
      <c r="D217" s="28" t="s">
        <v>202</v>
      </c>
      <c r="E217" s="28" t="s">
        <v>535</v>
      </c>
      <c r="F217" s="29">
        <v>5</v>
      </c>
      <c r="G217" s="28">
        <v>1</v>
      </c>
      <c r="H217" s="28">
        <v>0</v>
      </c>
      <c r="I217" s="28"/>
      <c r="J217" s="30">
        <v>3.5999999999999997E-2</v>
      </c>
      <c r="K217" s="28">
        <v>1</v>
      </c>
      <c r="L217" s="28" t="s">
        <v>535</v>
      </c>
      <c r="M217" s="28"/>
      <c r="N217" s="28"/>
      <c r="O217" s="28"/>
      <c r="P217" s="31">
        <v>0</v>
      </c>
      <c r="Q217" s="31">
        <v>0</v>
      </c>
      <c r="R217" s="31">
        <v>0</v>
      </c>
      <c r="S217" s="28"/>
      <c r="T217" s="28"/>
      <c r="U217" s="28"/>
      <c r="V217" s="31">
        <v>0</v>
      </c>
      <c r="W217" s="31">
        <v>0</v>
      </c>
      <c r="X217" s="31">
        <v>0</v>
      </c>
      <c r="Y217" s="28" t="s">
        <v>592</v>
      </c>
    </row>
    <row r="218" spans="1:25" x14ac:dyDescent="0.3">
      <c r="A218" s="28" t="s">
        <v>593</v>
      </c>
      <c r="B218" s="28" t="s">
        <v>94</v>
      </c>
      <c r="C218" s="28" t="s">
        <v>288</v>
      </c>
      <c r="D218" s="28" t="s">
        <v>206</v>
      </c>
      <c r="E218" s="28" t="s">
        <v>535</v>
      </c>
      <c r="F218" s="29">
        <v>5</v>
      </c>
      <c r="G218" s="28">
        <v>1</v>
      </c>
      <c r="H218" s="28">
        <v>0</v>
      </c>
      <c r="I218" s="28"/>
      <c r="J218" s="30">
        <v>0.05</v>
      </c>
      <c r="K218" s="28">
        <v>1</v>
      </c>
      <c r="L218" s="28" t="s">
        <v>535</v>
      </c>
      <c r="M218" s="28"/>
      <c r="N218" s="28"/>
      <c r="O218" s="28"/>
      <c r="P218" s="31">
        <v>0</v>
      </c>
      <c r="Q218" s="31">
        <v>0</v>
      </c>
      <c r="R218" s="31">
        <v>0</v>
      </c>
      <c r="S218" s="28"/>
      <c r="T218" s="28"/>
      <c r="U218" s="28"/>
      <c r="V218" s="31">
        <v>0</v>
      </c>
      <c r="W218" s="31">
        <v>0</v>
      </c>
      <c r="X218" s="31">
        <v>0</v>
      </c>
      <c r="Y218" s="28" t="s">
        <v>592</v>
      </c>
    </row>
    <row r="219" spans="1:25" x14ac:dyDescent="0.3">
      <c r="A219" s="28" t="s">
        <v>594</v>
      </c>
      <c r="B219" s="28" t="s">
        <v>94</v>
      </c>
      <c r="C219" s="28" t="s">
        <v>292</v>
      </c>
      <c r="D219" s="28" t="s">
        <v>202</v>
      </c>
      <c r="E219" s="28" t="s">
        <v>535</v>
      </c>
      <c r="F219" s="29">
        <v>4</v>
      </c>
      <c r="G219" s="28">
        <v>1</v>
      </c>
      <c r="H219" s="28">
        <v>0</v>
      </c>
      <c r="I219" s="28"/>
      <c r="J219" s="30">
        <v>3.5999999999999997E-2</v>
      </c>
      <c r="K219" s="28">
        <v>1</v>
      </c>
      <c r="L219" s="28" t="s">
        <v>535</v>
      </c>
      <c r="M219" s="28"/>
      <c r="N219" s="28"/>
      <c r="O219" s="28"/>
      <c r="P219" s="31">
        <v>0</v>
      </c>
      <c r="Q219" s="31">
        <v>0</v>
      </c>
      <c r="R219" s="31">
        <v>0</v>
      </c>
      <c r="S219" s="28"/>
      <c r="T219" s="28"/>
      <c r="U219" s="28"/>
      <c r="V219" s="31">
        <v>0</v>
      </c>
      <c r="W219" s="31">
        <v>0</v>
      </c>
      <c r="X219" s="31">
        <v>0</v>
      </c>
      <c r="Y219" s="28" t="s">
        <v>595</v>
      </c>
    </row>
    <row r="220" spans="1:25" x14ac:dyDescent="0.3">
      <c r="A220" s="28" t="s">
        <v>596</v>
      </c>
      <c r="B220" s="28" t="s">
        <v>94</v>
      </c>
      <c r="C220" s="28" t="s">
        <v>292</v>
      </c>
      <c r="D220" s="28" t="s">
        <v>206</v>
      </c>
      <c r="E220" s="28" t="s">
        <v>535</v>
      </c>
      <c r="F220" s="29">
        <v>4</v>
      </c>
      <c r="G220" s="28">
        <v>1</v>
      </c>
      <c r="H220" s="28">
        <v>0</v>
      </c>
      <c r="I220" s="28"/>
      <c r="J220" s="30">
        <v>0.05</v>
      </c>
      <c r="K220" s="28">
        <v>1</v>
      </c>
      <c r="L220" s="28" t="s">
        <v>535</v>
      </c>
      <c r="M220" s="28"/>
      <c r="N220" s="28"/>
      <c r="O220" s="28"/>
      <c r="P220" s="31">
        <v>0</v>
      </c>
      <c r="Q220" s="31">
        <v>0</v>
      </c>
      <c r="R220" s="31">
        <v>0</v>
      </c>
      <c r="S220" s="28"/>
      <c r="T220" s="28"/>
      <c r="U220" s="28"/>
      <c r="V220" s="31">
        <v>0</v>
      </c>
      <c r="W220" s="31">
        <v>0</v>
      </c>
      <c r="X220" s="31">
        <v>0</v>
      </c>
      <c r="Y220" s="28" t="s">
        <v>595</v>
      </c>
    </row>
    <row r="221" spans="1:25" x14ac:dyDescent="0.3">
      <c r="A221" s="28" t="s">
        <v>597</v>
      </c>
      <c r="B221" s="28" t="s">
        <v>94</v>
      </c>
      <c r="C221" s="28" t="s">
        <v>296</v>
      </c>
      <c r="D221" s="28" t="s">
        <v>202</v>
      </c>
      <c r="E221" s="28" t="s">
        <v>535</v>
      </c>
      <c r="F221" s="29">
        <v>3</v>
      </c>
      <c r="G221" s="28">
        <v>1</v>
      </c>
      <c r="H221" s="28">
        <v>0</v>
      </c>
      <c r="I221" s="28"/>
      <c r="J221" s="30">
        <v>3.5999999999999997E-2</v>
      </c>
      <c r="K221" s="28">
        <v>1</v>
      </c>
      <c r="L221" s="28" t="s">
        <v>535</v>
      </c>
      <c r="M221" s="28"/>
      <c r="N221" s="28"/>
      <c r="O221" s="28"/>
      <c r="P221" s="31">
        <v>0</v>
      </c>
      <c r="Q221" s="31">
        <v>0</v>
      </c>
      <c r="R221" s="31">
        <v>0</v>
      </c>
      <c r="S221" s="28"/>
      <c r="T221" s="28"/>
      <c r="U221" s="28"/>
      <c r="V221" s="31">
        <v>0</v>
      </c>
      <c r="W221" s="31">
        <v>0</v>
      </c>
      <c r="X221" s="31">
        <v>0</v>
      </c>
      <c r="Y221" s="28" t="s">
        <v>562</v>
      </c>
    </row>
    <row r="222" spans="1:25" x14ac:dyDescent="0.3">
      <c r="A222" s="28" t="s">
        <v>598</v>
      </c>
      <c r="B222" s="28" t="s">
        <v>94</v>
      </c>
      <c r="C222" s="28" t="s">
        <v>296</v>
      </c>
      <c r="D222" s="28" t="s">
        <v>206</v>
      </c>
      <c r="E222" s="28" t="s">
        <v>535</v>
      </c>
      <c r="F222" s="29">
        <v>3</v>
      </c>
      <c r="G222" s="28">
        <v>1</v>
      </c>
      <c r="H222" s="28">
        <v>0</v>
      </c>
      <c r="I222" s="28"/>
      <c r="J222" s="30">
        <v>0.05</v>
      </c>
      <c r="K222" s="28">
        <v>1</v>
      </c>
      <c r="L222" s="28" t="s">
        <v>535</v>
      </c>
      <c r="M222" s="28"/>
      <c r="N222" s="28"/>
      <c r="O222" s="28"/>
      <c r="P222" s="31">
        <v>0</v>
      </c>
      <c r="Q222" s="31">
        <v>0</v>
      </c>
      <c r="R222" s="31">
        <v>0</v>
      </c>
      <c r="S222" s="28"/>
      <c r="T222" s="28"/>
      <c r="U222" s="28"/>
      <c r="V222" s="31">
        <v>0</v>
      </c>
      <c r="W222" s="31">
        <v>0</v>
      </c>
      <c r="X222" s="31">
        <v>0</v>
      </c>
      <c r="Y222" s="28" t="s">
        <v>562</v>
      </c>
    </row>
    <row r="223" spans="1:25" x14ac:dyDescent="0.3">
      <c r="A223" s="28" t="s">
        <v>599</v>
      </c>
      <c r="B223" s="28" t="s">
        <v>94</v>
      </c>
      <c r="C223" s="28" t="s">
        <v>300</v>
      </c>
      <c r="D223" s="28" t="s">
        <v>202</v>
      </c>
      <c r="E223" s="28" t="s">
        <v>535</v>
      </c>
      <c r="F223" s="29">
        <v>3</v>
      </c>
      <c r="G223" s="28">
        <v>1</v>
      </c>
      <c r="H223" s="28">
        <v>0</v>
      </c>
      <c r="I223" s="28"/>
      <c r="J223" s="30">
        <v>3.5999999999999997E-2</v>
      </c>
      <c r="K223" s="28">
        <v>0</v>
      </c>
      <c r="L223" s="28"/>
      <c r="M223" s="28" t="s">
        <v>261</v>
      </c>
      <c r="N223" s="28" t="s">
        <v>535</v>
      </c>
      <c r="O223" s="28">
        <v>2026</v>
      </c>
      <c r="P223" s="31">
        <v>10705.625</v>
      </c>
      <c r="Q223" s="31">
        <v>0</v>
      </c>
      <c r="R223" s="31">
        <v>0</v>
      </c>
      <c r="S223" s="28"/>
      <c r="T223" s="28"/>
      <c r="U223" s="28"/>
      <c r="V223" s="31">
        <v>0</v>
      </c>
      <c r="W223" s="31">
        <v>0</v>
      </c>
      <c r="X223" s="31">
        <v>0</v>
      </c>
      <c r="Y223" s="28" t="s">
        <v>600</v>
      </c>
    </row>
    <row r="224" spans="1:25" x14ac:dyDescent="0.3">
      <c r="A224" s="28" t="s">
        <v>601</v>
      </c>
      <c r="B224" s="28" t="s">
        <v>94</v>
      </c>
      <c r="C224" s="28" t="s">
        <v>300</v>
      </c>
      <c r="D224" s="28" t="s">
        <v>206</v>
      </c>
      <c r="E224" s="28" t="s">
        <v>535</v>
      </c>
      <c r="F224" s="29">
        <v>3</v>
      </c>
      <c r="G224" s="28">
        <v>1</v>
      </c>
      <c r="H224" s="28">
        <v>0</v>
      </c>
      <c r="I224" s="28"/>
      <c r="J224" s="30">
        <v>0.05</v>
      </c>
      <c r="K224" s="28">
        <v>0</v>
      </c>
      <c r="L224" s="28"/>
      <c r="M224" s="28" t="s">
        <v>261</v>
      </c>
      <c r="N224" s="28" t="s">
        <v>535</v>
      </c>
      <c r="O224" s="28">
        <v>2026</v>
      </c>
      <c r="P224" s="31">
        <v>55642.232142857138</v>
      </c>
      <c r="Q224" s="31">
        <v>0</v>
      </c>
      <c r="R224" s="31">
        <v>0</v>
      </c>
      <c r="S224" s="28"/>
      <c r="T224" s="28"/>
      <c r="U224" s="28"/>
      <c r="V224" s="31">
        <v>0</v>
      </c>
      <c r="W224" s="31">
        <v>0</v>
      </c>
      <c r="X224" s="31">
        <v>0</v>
      </c>
      <c r="Y224" s="28" t="s">
        <v>600</v>
      </c>
    </row>
    <row r="225" spans="1:25" x14ac:dyDescent="0.3">
      <c r="A225" s="28" t="s">
        <v>602</v>
      </c>
      <c r="B225" s="28" t="s">
        <v>95</v>
      </c>
      <c r="C225" s="28" t="s">
        <v>201</v>
      </c>
      <c r="D225" s="28" t="s">
        <v>202</v>
      </c>
      <c r="E225" s="28" t="s">
        <v>603</v>
      </c>
      <c r="F225" s="29">
        <v>6</v>
      </c>
      <c r="G225" s="28">
        <v>1</v>
      </c>
      <c r="H225" s="28">
        <v>0</v>
      </c>
      <c r="I225" s="28"/>
      <c r="J225" s="30">
        <v>0.02</v>
      </c>
      <c r="K225" s="28">
        <v>1</v>
      </c>
      <c r="L225" s="28" t="s">
        <v>603</v>
      </c>
      <c r="M225" s="28"/>
      <c r="N225" s="28"/>
      <c r="O225" s="28"/>
      <c r="P225" s="31">
        <v>0</v>
      </c>
      <c r="Q225" s="31">
        <v>0</v>
      </c>
      <c r="R225" s="31">
        <v>0</v>
      </c>
      <c r="S225" s="28"/>
      <c r="T225" s="28"/>
      <c r="U225" s="28"/>
      <c r="V225" s="31">
        <v>0</v>
      </c>
      <c r="W225" s="31">
        <v>0</v>
      </c>
      <c r="X225" s="31">
        <v>0</v>
      </c>
      <c r="Y225" s="28" t="s">
        <v>604</v>
      </c>
    </row>
    <row r="226" spans="1:25" x14ac:dyDescent="0.3">
      <c r="A226" s="28" t="s">
        <v>605</v>
      </c>
      <c r="B226" s="28" t="s">
        <v>95</v>
      </c>
      <c r="C226" s="28" t="s">
        <v>201</v>
      </c>
      <c r="D226" s="28" t="s">
        <v>206</v>
      </c>
      <c r="E226" s="28" t="s">
        <v>603</v>
      </c>
      <c r="F226" s="29">
        <v>6</v>
      </c>
      <c r="G226" s="28">
        <v>1</v>
      </c>
      <c r="H226" s="28">
        <v>0</v>
      </c>
      <c r="I226" s="28"/>
      <c r="J226" s="30">
        <v>0.02</v>
      </c>
      <c r="K226" s="28">
        <v>1</v>
      </c>
      <c r="L226" s="28" t="s">
        <v>603</v>
      </c>
      <c r="M226" s="28"/>
      <c r="N226" s="28"/>
      <c r="O226" s="28"/>
      <c r="P226" s="31">
        <v>0</v>
      </c>
      <c r="Q226" s="31">
        <v>0</v>
      </c>
      <c r="R226" s="31">
        <v>0</v>
      </c>
      <c r="S226" s="28"/>
      <c r="T226" s="28"/>
      <c r="U226" s="28"/>
      <c r="V226" s="31">
        <v>0</v>
      </c>
      <c r="W226" s="31">
        <v>0</v>
      </c>
      <c r="X226" s="31">
        <v>0</v>
      </c>
      <c r="Y226" s="28" t="s">
        <v>604</v>
      </c>
    </row>
    <row r="227" spans="1:25" x14ac:dyDescent="0.3">
      <c r="A227" s="28" t="s">
        <v>606</v>
      </c>
      <c r="B227" s="28" t="s">
        <v>95</v>
      </c>
      <c r="C227" s="28" t="s">
        <v>209</v>
      </c>
      <c r="D227" s="28" t="s">
        <v>202</v>
      </c>
      <c r="E227" s="28" t="s">
        <v>603</v>
      </c>
      <c r="F227" s="29">
        <v>5</v>
      </c>
      <c r="G227" s="28">
        <v>1</v>
      </c>
      <c r="H227" s="28">
        <v>0</v>
      </c>
      <c r="I227" s="28"/>
      <c r="J227" s="30">
        <v>0.02</v>
      </c>
      <c r="K227" s="28">
        <v>1</v>
      </c>
      <c r="L227" s="28" t="s">
        <v>603</v>
      </c>
      <c r="M227" s="28"/>
      <c r="N227" s="28"/>
      <c r="O227" s="28"/>
      <c r="P227" s="31">
        <v>0</v>
      </c>
      <c r="Q227" s="31">
        <v>0</v>
      </c>
      <c r="R227" s="31">
        <v>0</v>
      </c>
      <c r="S227" s="28"/>
      <c r="T227" s="28"/>
      <c r="U227" s="28"/>
      <c r="V227" s="31">
        <v>0</v>
      </c>
      <c r="W227" s="31">
        <v>0</v>
      </c>
      <c r="X227" s="31">
        <v>0</v>
      </c>
      <c r="Y227" s="28" t="s">
        <v>607</v>
      </c>
    </row>
    <row r="228" spans="1:25" x14ac:dyDescent="0.3">
      <c r="A228" s="28" t="s">
        <v>608</v>
      </c>
      <c r="B228" s="28" t="s">
        <v>95</v>
      </c>
      <c r="C228" s="28" t="s">
        <v>209</v>
      </c>
      <c r="D228" s="28" t="s">
        <v>206</v>
      </c>
      <c r="E228" s="28" t="s">
        <v>603</v>
      </c>
      <c r="F228" s="29">
        <v>5</v>
      </c>
      <c r="G228" s="28">
        <v>1</v>
      </c>
      <c r="H228" s="28">
        <v>0</v>
      </c>
      <c r="I228" s="28"/>
      <c r="J228" s="30">
        <v>0.02</v>
      </c>
      <c r="K228" s="28">
        <v>1</v>
      </c>
      <c r="L228" s="28" t="s">
        <v>603</v>
      </c>
      <c r="M228" s="28"/>
      <c r="N228" s="28"/>
      <c r="O228" s="28"/>
      <c r="P228" s="31">
        <v>0</v>
      </c>
      <c r="Q228" s="31">
        <v>0</v>
      </c>
      <c r="R228" s="31">
        <v>0</v>
      </c>
      <c r="S228" s="28"/>
      <c r="T228" s="28"/>
      <c r="U228" s="28"/>
      <c r="V228" s="31">
        <v>0</v>
      </c>
      <c r="W228" s="31">
        <v>0</v>
      </c>
      <c r="X228" s="31">
        <v>0</v>
      </c>
      <c r="Y228" s="28" t="s">
        <v>607</v>
      </c>
    </row>
    <row r="229" spans="1:25" x14ac:dyDescent="0.3">
      <c r="A229" s="28" t="s">
        <v>609</v>
      </c>
      <c r="B229" s="28" t="s">
        <v>95</v>
      </c>
      <c r="C229" s="28" t="s">
        <v>213</v>
      </c>
      <c r="D229" s="28" t="s">
        <v>202</v>
      </c>
      <c r="E229" s="28" t="s">
        <v>603</v>
      </c>
      <c r="F229" s="29">
        <v>4</v>
      </c>
      <c r="G229" s="28">
        <v>1</v>
      </c>
      <c r="H229" s="28">
        <v>0</v>
      </c>
      <c r="I229" s="28"/>
      <c r="J229" s="30">
        <v>0.02</v>
      </c>
      <c r="K229" s="28">
        <v>1</v>
      </c>
      <c r="L229" s="28" t="s">
        <v>603</v>
      </c>
      <c r="M229" s="28"/>
      <c r="N229" s="28"/>
      <c r="O229" s="28"/>
      <c r="P229" s="31">
        <v>0</v>
      </c>
      <c r="Q229" s="31">
        <v>0</v>
      </c>
      <c r="R229" s="31">
        <v>0</v>
      </c>
      <c r="S229" s="28"/>
      <c r="T229" s="28"/>
      <c r="U229" s="28"/>
      <c r="V229" s="31">
        <v>0</v>
      </c>
      <c r="W229" s="31">
        <v>0</v>
      </c>
      <c r="X229" s="31">
        <v>0</v>
      </c>
      <c r="Y229" s="28" t="s">
        <v>610</v>
      </c>
    </row>
    <row r="230" spans="1:25" x14ac:dyDescent="0.3">
      <c r="A230" s="28" t="s">
        <v>611</v>
      </c>
      <c r="B230" s="28" t="s">
        <v>95</v>
      </c>
      <c r="C230" s="28" t="s">
        <v>213</v>
      </c>
      <c r="D230" s="28" t="s">
        <v>206</v>
      </c>
      <c r="E230" s="28" t="s">
        <v>603</v>
      </c>
      <c r="F230" s="29">
        <v>4</v>
      </c>
      <c r="G230" s="28">
        <v>1</v>
      </c>
      <c r="H230" s="28">
        <v>0</v>
      </c>
      <c r="I230" s="28"/>
      <c r="J230" s="30">
        <v>0.02</v>
      </c>
      <c r="K230" s="28">
        <v>1</v>
      </c>
      <c r="L230" s="28" t="s">
        <v>603</v>
      </c>
      <c r="M230" s="28"/>
      <c r="N230" s="28"/>
      <c r="O230" s="28"/>
      <c r="P230" s="31">
        <v>0</v>
      </c>
      <c r="Q230" s="31">
        <v>0</v>
      </c>
      <c r="R230" s="31">
        <v>0</v>
      </c>
      <c r="S230" s="28"/>
      <c r="T230" s="28"/>
      <c r="U230" s="28"/>
      <c r="V230" s="31">
        <v>0</v>
      </c>
      <c r="W230" s="31">
        <v>0</v>
      </c>
      <c r="X230" s="31">
        <v>0</v>
      </c>
      <c r="Y230" s="28" t="s">
        <v>610</v>
      </c>
    </row>
    <row r="231" spans="1:25" x14ac:dyDescent="0.3">
      <c r="A231" s="28" t="s">
        <v>612</v>
      </c>
      <c r="B231" s="28" t="s">
        <v>95</v>
      </c>
      <c r="C231" s="28" t="s">
        <v>217</v>
      </c>
      <c r="D231" s="28" t="s">
        <v>202</v>
      </c>
      <c r="E231" s="28" t="s">
        <v>603</v>
      </c>
      <c r="F231" s="29">
        <v>3</v>
      </c>
      <c r="G231" s="28">
        <v>1</v>
      </c>
      <c r="H231" s="28">
        <v>0</v>
      </c>
      <c r="I231" s="28"/>
      <c r="J231" s="30">
        <v>0.02</v>
      </c>
      <c r="K231" s="28">
        <v>0</v>
      </c>
      <c r="L231" s="28"/>
      <c r="M231" s="28" t="s">
        <v>261</v>
      </c>
      <c r="N231" s="28" t="s">
        <v>603</v>
      </c>
      <c r="O231" s="28">
        <v>2026</v>
      </c>
      <c r="P231" s="31">
        <v>0</v>
      </c>
      <c r="Q231" s="31">
        <v>379.6</v>
      </c>
      <c r="R231" s="31">
        <v>0</v>
      </c>
      <c r="S231" s="28"/>
      <c r="T231" s="28"/>
      <c r="U231" s="28"/>
      <c r="V231" s="31">
        <v>0</v>
      </c>
      <c r="W231" s="31">
        <v>0</v>
      </c>
      <c r="X231" s="31">
        <v>0</v>
      </c>
      <c r="Y231" s="28" t="s">
        <v>613</v>
      </c>
    </row>
    <row r="232" spans="1:25" x14ac:dyDescent="0.3">
      <c r="A232" s="28" t="s">
        <v>614</v>
      </c>
      <c r="B232" s="28" t="s">
        <v>95</v>
      </c>
      <c r="C232" s="28" t="s">
        <v>217</v>
      </c>
      <c r="D232" s="28" t="s">
        <v>206</v>
      </c>
      <c r="E232" s="28" t="s">
        <v>603</v>
      </c>
      <c r="F232" s="29">
        <v>3</v>
      </c>
      <c r="G232" s="28">
        <v>1</v>
      </c>
      <c r="H232" s="28">
        <v>0</v>
      </c>
      <c r="I232" s="28"/>
      <c r="J232" s="30">
        <v>0.02</v>
      </c>
      <c r="K232" s="28">
        <v>0</v>
      </c>
      <c r="L232" s="28"/>
      <c r="M232" s="28" t="s">
        <v>261</v>
      </c>
      <c r="N232" s="28" t="s">
        <v>603</v>
      </c>
      <c r="O232" s="28">
        <v>2026</v>
      </c>
      <c r="P232" s="31">
        <v>3000</v>
      </c>
      <c r="Q232" s="31">
        <v>379.6</v>
      </c>
      <c r="R232" s="31">
        <v>0</v>
      </c>
      <c r="S232" s="28"/>
      <c r="T232" s="28"/>
      <c r="U232" s="28"/>
      <c r="V232" s="31">
        <v>0</v>
      </c>
      <c r="W232" s="31">
        <v>0</v>
      </c>
      <c r="X232" s="31">
        <v>0</v>
      </c>
      <c r="Y232" s="28" t="s">
        <v>613</v>
      </c>
    </row>
    <row r="233" spans="1:25" x14ac:dyDescent="0.3">
      <c r="A233" s="28" t="s">
        <v>615</v>
      </c>
      <c r="B233" s="28" t="s">
        <v>95</v>
      </c>
      <c r="C233" s="28" t="s">
        <v>221</v>
      </c>
      <c r="D233" s="28" t="s">
        <v>202</v>
      </c>
      <c r="E233" s="28" t="s">
        <v>603</v>
      </c>
      <c r="F233" s="29">
        <v>3</v>
      </c>
      <c r="G233" s="28">
        <v>1</v>
      </c>
      <c r="H233" s="28">
        <v>0</v>
      </c>
      <c r="I233" s="28"/>
      <c r="J233" s="30">
        <v>0.02</v>
      </c>
      <c r="K233" s="28">
        <v>1</v>
      </c>
      <c r="L233" s="28" t="s">
        <v>603</v>
      </c>
      <c r="M233" s="28"/>
      <c r="N233" s="28"/>
      <c r="O233" s="28"/>
      <c r="P233" s="31">
        <v>0</v>
      </c>
      <c r="Q233" s="31">
        <v>0</v>
      </c>
      <c r="R233" s="31">
        <v>0</v>
      </c>
      <c r="S233" s="28"/>
      <c r="T233" s="28"/>
      <c r="U233" s="28"/>
      <c r="V233" s="31">
        <v>0</v>
      </c>
      <c r="W233" s="31">
        <v>0</v>
      </c>
      <c r="X233" s="31">
        <v>0</v>
      </c>
      <c r="Y233" s="28" t="s">
        <v>616</v>
      </c>
    </row>
    <row r="234" spans="1:25" x14ac:dyDescent="0.3">
      <c r="A234" s="28" t="s">
        <v>617</v>
      </c>
      <c r="B234" s="28" t="s">
        <v>95</v>
      </c>
      <c r="C234" s="28" t="s">
        <v>221</v>
      </c>
      <c r="D234" s="28" t="s">
        <v>206</v>
      </c>
      <c r="E234" s="28" t="s">
        <v>603</v>
      </c>
      <c r="F234" s="29">
        <v>3</v>
      </c>
      <c r="G234" s="28">
        <v>1</v>
      </c>
      <c r="H234" s="28">
        <v>0</v>
      </c>
      <c r="I234" s="28"/>
      <c r="J234" s="30">
        <v>0.02</v>
      </c>
      <c r="K234" s="28">
        <v>1</v>
      </c>
      <c r="L234" s="28" t="s">
        <v>603</v>
      </c>
      <c r="M234" s="28"/>
      <c r="N234" s="28"/>
      <c r="O234" s="28"/>
      <c r="P234" s="31">
        <v>0</v>
      </c>
      <c r="Q234" s="31">
        <v>0</v>
      </c>
      <c r="R234" s="31">
        <v>0</v>
      </c>
      <c r="S234" s="28"/>
      <c r="T234" s="28"/>
      <c r="U234" s="28"/>
      <c r="V234" s="31">
        <v>0</v>
      </c>
      <c r="W234" s="31">
        <v>0</v>
      </c>
      <c r="X234" s="31">
        <v>0</v>
      </c>
      <c r="Y234" s="28" t="s">
        <v>616</v>
      </c>
    </row>
    <row r="235" spans="1:25" x14ac:dyDescent="0.3">
      <c r="A235" s="28" t="s">
        <v>618</v>
      </c>
      <c r="B235" s="28" t="s">
        <v>95</v>
      </c>
      <c r="C235" s="28" t="s">
        <v>225</v>
      </c>
      <c r="D235" s="28" t="s">
        <v>202</v>
      </c>
      <c r="E235" s="28" t="s">
        <v>603</v>
      </c>
      <c r="F235" s="29">
        <v>3</v>
      </c>
      <c r="G235" s="28">
        <v>1</v>
      </c>
      <c r="H235" s="28">
        <v>0</v>
      </c>
      <c r="I235" s="28"/>
      <c r="J235" s="30">
        <v>0.02</v>
      </c>
      <c r="K235" s="28">
        <v>1</v>
      </c>
      <c r="L235" s="28" t="s">
        <v>603</v>
      </c>
      <c r="M235" s="28"/>
      <c r="N235" s="28"/>
      <c r="O235" s="28"/>
      <c r="P235" s="31">
        <v>0</v>
      </c>
      <c r="Q235" s="31">
        <v>0</v>
      </c>
      <c r="R235" s="31">
        <v>0</v>
      </c>
      <c r="S235" s="28"/>
      <c r="T235" s="28"/>
      <c r="U235" s="28"/>
      <c r="V235" s="31">
        <v>0</v>
      </c>
      <c r="W235" s="31">
        <v>0</v>
      </c>
      <c r="X235" s="31">
        <v>0</v>
      </c>
      <c r="Y235" s="28" t="s">
        <v>619</v>
      </c>
    </row>
    <row r="236" spans="1:25" x14ac:dyDescent="0.3">
      <c r="A236" s="28" t="s">
        <v>620</v>
      </c>
      <c r="B236" s="28" t="s">
        <v>95</v>
      </c>
      <c r="C236" s="28" t="s">
        <v>225</v>
      </c>
      <c r="D236" s="28" t="s">
        <v>206</v>
      </c>
      <c r="E236" s="28" t="s">
        <v>603</v>
      </c>
      <c r="F236" s="29">
        <v>3</v>
      </c>
      <c r="G236" s="28">
        <v>1</v>
      </c>
      <c r="H236" s="28">
        <v>0</v>
      </c>
      <c r="I236" s="28"/>
      <c r="J236" s="30">
        <v>0.02</v>
      </c>
      <c r="K236" s="28">
        <v>2</v>
      </c>
      <c r="L236" s="28" t="s">
        <v>603</v>
      </c>
      <c r="M236" s="28"/>
      <c r="N236" s="28"/>
      <c r="O236" s="28"/>
      <c r="P236" s="31">
        <v>0</v>
      </c>
      <c r="Q236" s="31">
        <v>0</v>
      </c>
      <c r="R236" s="31">
        <v>0</v>
      </c>
      <c r="S236" s="28"/>
      <c r="T236" s="28"/>
      <c r="U236" s="28"/>
      <c r="V236" s="31">
        <v>0</v>
      </c>
      <c r="W236" s="31">
        <v>0</v>
      </c>
      <c r="X236" s="31">
        <v>0</v>
      </c>
      <c r="Y236" s="28" t="s">
        <v>621</v>
      </c>
    </row>
    <row r="237" spans="1:25" x14ac:dyDescent="0.3">
      <c r="A237" s="28" t="s">
        <v>622</v>
      </c>
      <c r="B237" s="28" t="s">
        <v>95</v>
      </c>
      <c r="C237" s="28" t="s">
        <v>230</v>
      </c>
      <c r="D237" s="28" t="s">
        <v>202</v>
      </c>
      <c r="E237" s="28" t="s">
        <v>603</v>
      </c>
      <c r="F237" s="29">
        <v>3</v>
      </c>
      <c r="G237" s="28">
        <v>1</v>
      </c>
      <c r="H237" s="28">
        <v>0</v>
      </c>
      <c r="I237" s="28"/>
      <c r="J237" s="30">
        <v>0.02</v>
      </c>
      <c r="K237" s="28">
        <v>2</v>
      </c>
      <c r="L237" s="28" t="s">
        <v>603</v>
      </c>
      <c r="M237" s="28"/>
      <c r="N237" s="28"/>
      <c r="O237" s="28"/>
      <c r="P237" s="31">
        <v>0</v>
      </c>
      <c r="Q237" s="31">
        <v>0</v>
      </c>
      <c r="R237" s="31">
        <v>0</v>
      </c>
      <c r="S237" s="28"/>
      <c r="T237" s="28"/>
      <c r="U237" s="28"/>
      <c r="V237" s="31">
        <v>0</v>
      </c>
      <c r="W237" s="31">
        <v>0</v>
      </c>
      <c r="X237" s="31">
        <v>0</v>
      </c>
      <c r="Y237" s="28" t="s">
        <v>623</v>
      </c>
    </row>
    <row r="238" spans="1:25" x14ac:dyDescent="0.3">
      <c r="A238" s="28" t="s">
        <v>624</v>
      </c>
      <c r="B238" s="28" t="s">
        <v>95</v>
      </c>
      <c r="C238" s="28" t="s">
        <v>230</v>
      </c>
      <c r="D238" s="28" t="s">
        <v>206</v>
      </c>
      <c r="E238" s="28" t="s">
        <v>603</v>
      </c>
      <c r="F238" s="29">
        <v>3</v>
      </c>
      <c r="G238" s="28">
        <v>1</v>
      </c>
      <c r="H238" s="28">
        <v>0</v>
      </c>
      <c r="I238" s="28"/>
      <c r="J238" s="30">
        <v>0.02</v>
      </c>
      <c r="K238" s="28">
        <v>3</v>
      </c>
      <c r="L238" s="28" t="s">
        <v>603</v>
      </c>
      <c r="M238" s="28"/>
      <c r="N238" s="28"/>
      <c r="O238" s="28"/>
      <c r="P238" s="31">
        <v>0</v>
      </c>
      <c r="Q238" s="31">
        <v>0</v>
      </c>
      <c r="R238" s="31">
        <v>0</v>
      </c>
      <c r="S238" s="28"/>
      <c r="T238" s="28"/>
      <c r="U238" s="28"/>
      <c r="V238" s="31">
        <v>0</v>
      </c>
      <c r="W238" s="31">
        <v>0</v>
      </c>
      <c r="X238" s="31">
        <v>0</v>
      </c>
      <c r="Y238" s="28" t="s">
        <v>625</v>
      </c>
    </row>
    <row r="239" spans="1:25" x14ac:dyDescent="0.3">
      <c r="A239" s="28" t="s">
        <v>626</v>
      </c>
      <c r="B239" s="28" t="s">
        <v>95</v>
      </c>
      <c r="C239" s="28" t="s">
        <v>235</v>
      </c>
      <c r="D239" s="28" t="s">
        <v>202</v>
      </c>
      <c r="E239" s="28" t="s">
        <v>603</v>
      </c>
      <c r="F239" s="29">
        <v>3</v>
      </c>
      <c r="G239" s="28">
        <v>1</v>
      </c>
      <c r="H239" s="28">
        <v>0</v>
      </c>
      <c r="I239" s="28"/>
      <c r="J239" s="30">
        <v>0.02</v>
      </c>
      <c r="K239" s="28">
        <v>1</v>
      </c>
      <c r="L239" s="28" t="s">
        <v>603</v>
      </c>
      <c r="M239" s="28"/>
      <c r="N239" s="28"/>
      <c r="O239" s="28"/>
      <c r="P239" s="31">
        <v>0</v>
      </c>
      <c r="Q239" s="31">
        <v>0</v>
      </c>
      <c r="R239" s="31">
        <v>0</v>
      </c>
      <c r="S239" s="28"/>
      <c r="T239" s="28"/>
      <c r="U239" s="28"/>
      <c r="V239" s="31">
        <v>0</v>
      </c>
      <c r="W239" s="31">
        <v>0</v>
      </c>
      <c r="X239" s="31">
        <v>0</v>
      </c>
      <c r="Y239" s="28" t="s">
        <v>627</v>
      </c>
    </row>
    <row r="240" spans="1:25" x14ac:dyDescent="0.3">
      <c r="A240" s="28" t="s">
        <v>628</v>
      </c>
      <c r="B240" s="28" t="s">
        <v>95</v>
      </c>
      <c r="C240" s="28" t="s">
        <v>235</v>
      </c>
      <c r="D240" s="28" t="s">
        <v>206</v>
      </c>
      <c r="E240" s="28" t="s">
        <v>603</v>
      </c>
      <c r="F240" s="29">
        <v>3</v>
      </c>
      <c r="G240" s="28">
        <v>1</v>
      </c>
      <c r="H240" s="28">
        <v>0</v>
      </c>
      <c r="I240" s="28"/>
      <c r="J240" s="30">
        <v>0.02</v>
      </c>
      <c r="K240" s="28">
        <v>1</v>
      </c>
      <c r="L240" s="28" t="s">
        <v>603</v>
      </c>
      <c r="M240" s="28"/>
      <c r="N240" s="28"/>
      <c r="O240" s="28"/>
      <c r="P240" s="31">
        <v>0</v>
      </c>
      <c r="Q240" s="31">
        <v>0</v>
      </c>
      <c r="R240" s="31">
        <v>0</v>
      </c>
      <c r="S240" s="28"/>
      <c r="T240" s="28"/>
      <c r="U240" s="28"/>
      <c r="V240" s="31">
        <v>0</v>
      </c>
      <c r="W240" s="31">
        <v>0</v>
      </c>
      <c r="X240" s="31">
        <v>0</v>
      </c>
      <c r="Y240" s="28" t="s">
        <v>627</v>
      </c>
    </row>
    <row r="241" spans="1:25" x14ac:dyDescent="0.3">
      <c r="A241" s="28" t="s">
        <v>629</v>
      </c>
      <c r="B241" s="28" t="s">
        <v>95</v>
      </c>
      <c r="C241" s="28" t="s">
        <v>240</v>
      </c>
      <c r="D241" s="28" t="s">
        <v>202</v>
      </c>
      <c r="E241" s="28" t="s">
        <v>603</v>
      </c>
      <c r="F241" s="29">
        <v>3</v>
      </c>
      <c r="G241" s="28">
        <v>1</v>
      </c>
      <c r="H241" s="28">
        <v>0</v>
      </c>
      <c r="I241" s="28"/>
      <c r="J241" s="30">
        <v>0.02</v>
      </c>
      <c r="K241" s="28">
        <v>1</v>
      </c>
      <c r="L241" s="28" t="s">
        <v>603</v>
      </c>
      <c r="M241" s="28"/>
      <c r="N241" s="28"/>
      <c r="O241" s="28"/>
      <c r="P241" s="31">
        <v>0</v>
      </c>
      <c r="Q241" s="31">
        <v>0</v>
      </c>
      <c r="R241" s="31">
        <v>0</v>
      </c>
      <c r="S241" s="28"/>
      <c r="T241" s="28"/>
      <c r="U241" s="28"/>
      <c r="V241" s="31">
        <v>0</v>
      </c>
      <c r="W241" s="31">
        <v>0</v>
      </c>
      <c r="X241" s="31">
        <v>0</v>
      </c>
      <c r="Y241" s="28" t="s">
        <v>627</v>
      </c>
    </row>
    <row r="242" spans="1:25" x14ac:dyDescent="0.3">
      <c r="A242" s="28" t="s">
        <v>630</v>
      </c>
      <c r="B242" s="28" t="s">
        <v>95</v>
      </c>
      <c r="C242" s="28" t="s">
        <v>240</v>
      </c>
      <c r="D242" s="28" t="s">
        <v>206</v>
      </c>
      <c r="E242" s="28" t="s">
        <v>603</v>
      </c>
      <c r="F242" s="29">
        <v>3</v>
      </c>
      <c r="G242" s="28">
        <v>1</v>
      </c>
      <c r="H242" s="28">
        <v>0</v>
      </c>
      <c r="I242" s="28"/>
      <c r="J242" s="30">
        <v>0.02</v>
      </c>
      <c r="K242" s="28">
        <v>1</v>
      </c>
      <c r="L242" s="28" t="s">
        <v>603</v>
      </c>
      <c r="M242" s="28"/>
      <c r="N242" s="28"/>
      <c r="O242" s="28"/>
      <c r="P242" s="31">
        <v>0</v>
      </c>
      <c r="Q242" s="31">
        <v>0</v>
      </c>
      <c r="R242" s="31">
        <v>0</v>
      </c>
      <c r="S242" s="28"/>
      <c r="T242" s="28"/>
      <c r="U242" s="28"/>
      <c r="V242" s="31">
        <v>0</v>
      </c>
      <c r="W242" s="31">
        <v>0</v>
      </c>
      <c r="X242" s="31">
        <v>0</v>
      </c>
      <c r="Y242" s="28" t="s">
        <v>627</v>
      </c>
    </row>
    <row r="243" spans="1:25" x14ac:dyDescent="0.3">
      <c r="A243" s="28" t="s">
        <v>631</v>
      </c>
      <c r="B243" s="28" t="s">
        <v>95</v>
      </c>
      <c r="C243" s="28" t="s">
        <v>245</v>
      </c>
      <c r="D243" s="28" t="s">
        <v>202</v>
      </c>
      <c r="E243" s="28" t="s">
        <v>603</v>
      </c>
      <c r="F243" s="29">
        <v>3</v>
      </c>
      <c r="G243" s="28">
        <v>1</v>
      </c>
      <c r="H243" s="28">
        <v>0</v>
      </c>
      <c r="I243" s="28"/>
      <c r="J243" s="30">
        <v>0.02</v>
      </c>
      <c r="K243" s="28">
        <v>0</v>
      </c>
      <c r="L243" s="28"/>
      <c r="M243" s="28" t="s">
        <v>261</v>
      </c>
      <c r="N243" s="28" t="s">
        <v>603</v>
      </c>
      <c r="O243" s="28">
        <v>2026</v>
      </c>
      <c r="P243" s="31">
        <v>0</v>
      </c>
      <c r="Q243" s="31">
        <v>506.57058799999999</v>
      </c>
      <c r="R243" s="31">
        <v>0</v>
      </c>
      <c r="S243" s="28"/>
      <c r="T243" s="28"/>
      <c r="U243" s="28"/>
      <c r="V243" s="31">
        <v>0</v>
      </c>
      <c r="W243" s="31">
        <v>0</v>
      </c>
      <c r="X243" s="31">
        <v>0</v>
      </c>
      <c r="Y243" s="28" t="s">
        <v>632</v>
      </c>
    </row>
    <row r="244" spans="1:25" x14ac:dyDescent="0.3">
      <c r="A244" s="28" t="s">
        <v>633</v>
      </c>
      <c r="B244" s="28" t="s">
        <v>95</v>
      </c>
      <c r="C244" s="28" t="s">
        <v>245</v>
      </c>
      <c r="D244" s="28" t="s">
        <v>206</v>
      </c>
      <c r="E244" s="28" t="s">
        <v>603</v>
      </c>
      <c r="F244" s="29">
        <v>3</v>
      </c>
      <c r="G244" s="28">
        <v>1</v>
      </c>
      <c r="H244" s="28">
        <v>0</v>
      </c>
      <c r="I244" s="28"/>
      <c r="J244" s="30">
        <v>0.02</v>
      </c>
      <c r="K244" s="28">
        <v>0</v>
      </c>
      <c r="L244" s="28"/>
      <c r="M244" s="28" t="s">
        <v>261</v>
      </c>
      <c r="N244" s="28" t="s">
        <v>603</v>
      </c>
      <c r="O244" s="28">
        <v>2026</v>
      </c>
      <c r="P244" s="31">
        <v>2000</v>
      </c>
      <c r="Q244" s="31">
        <v>337.71372533333329</v>
      </c>
      <c r="R244" s="31">
        <v>0</v>
      </c>
      <c r="S244" s="28"/>
      <c r="T244" s="28"/>
      <c r="U244" s="28"/>
      <c r="V244" s="31">
        <v>0</v>
      </c>
      <c r="W244" s="31">
        <v>0</v>
      </c>
      <c r="X244" s="31">
        <v>0</v>
      </c>
      <c r="Y244" s="28" t="s">
        <v>632</v>
      </c>
    </row>
    <row r="245" spans="1:25" x14ac:dyDescent="0.3">
      <c r="A245" s="28" t="s">
        <v>634</v>
      </c>
      <c r="B245" s="28" t="s">
        <v>95</v>
      </c>
      <c r="C245" s="28" t="s">
        <v>250</v>
      </c>
      <c r="D245" s="28" t="s">
        <v>202</v>
      </c>
      <c r="E245" s="28" t="s">
        <v>603</v>
      </c>
      <c r="F245" s="29">
        <v>3</v>
      </c>
      <c r="G245" s="28">
        <v>1</v>
      </c>
      <c r="H245" s="28">
        <v>0</v>
      </c>
      <c r="I245" s="28"/>
      <c r="J245" s="30">
        <v>0.02</v>
      </c>
      <c r="K245" s="28">
        <v>1</v>
      </c>
      <c r="L245" s="28" t="s">
        <v>603</v>
      </c>
      <c r="M245" s="28"/>
      <c r="N245" s="28"/>
      <c r="O245" s="28"/>
      <c r="P245" s="31">
        <v>0</v>
      </c>
      <c r="Q245" s="31">
        <v>0</v>
      </c>
      <c r="R245" s="31">
        <v>0</v>
      </c>
      <c r="S245" s="28"/>
      <c r="T245" s="28"/>
      <c r="U245" s="28"/>
      <c r="V245" s="31">
        <v>0</v>
      </c>
      <c r="W245" s="31">
        <v>0</v>
      </c>
      <c r="X245" s="31">
        <v>0</v>
      </c>
      <c r="Y245" s="28" t="s">
        <v>627</v>
      </c>
    </row>
    <row r="246" spans="1:25" x14ac:dyDescent="0.3">
      <c r="A246" s="28" t="s">
        <v>635</v>
      </c>
      <c r="B246" s="28" t="s">
        <v>95</v>
      </c>
      <c r="C246" s="28" t="s">
        <v>250</v>
      </c>
      <c r="D246" s="28" t="s">
        <v>206</v>
      </c>
      <c r="E246" s="28" t="s">
        <v>603</v>
      </c>
      <c r="F246" s="29">
        <v>3</v>
      </c>
      <c r="G246" s="28">
        <v>1</v>
      </c>
      <c r="H246" s="28">
        <v>0</v>
      </c>
      <c r="I246" s="28"/>
      <c r="J246" s="30">
        <v>0.02</v>
      </c>
      <c r="K246" s="28">
        <v>1</v>
      </c>
      <c r="L246" s="28" t="s">
        <v>603</v>
      </c>
      <c r="M246" s="28"/>
      <c r="N246" s="28"/>
      <c r="O246" s="28"/>
      <c r="P246" s="31">
        <v>0</v>
      </c>
      <c r="Q246" s="31">
        <v>0</v>
      </c>
      <c r="R246" s="31">
        <v>0</v>
      </c>
      <c r="S246" s="28"/>
      <c r="T246" s="28"/>
      <c r="U246" s="28"/>
      <c r="V246" s="31">
        <v>0</v>
      </c>
      <c r="W246" s="31">
        <v>0</v>
      </c>
      <c r="X246" s="31">
        <v>0</v>
      </c>
      <c r="Y246" s="28" t="s">
        <v>627</v>
      </c>
    </row>
    <row r="247" spans="1:25" x14ac:dyDescent="0.3">
      <c r="A247" s="28" t="s">
        <v>636</v>
      </c>
      <c r="B247" s="28" t="s">
        <v>95</v>
      </c>
      <c r="C247" s="28" t="s">
        <v>255</v>
      </c>
      <c r="D247" s="28" t="s">
        <v>202</v>
      </c>
      <c r="E247" s="28" t="s">
        <v>603</v>
      </c>
      <c r="F247" s="29">
        <v>3</v>
      </c>
      <c r="G247" s="28">
        <v>1</v>
      </c>
      <c r="H247" s="28">
        <v>0</v>
      </c>
      <c r="I247" s="28"/>
      <c r="J247" s="30">
        <v>0.02</v>
      </c>
      <c r="K247" s="28">
        <v>2</v>
      </c>
      <c r="L247" s="28" t="s">
        <v>603</v>
      </c>
      <c r="M247" s="28"/>
      <c r="N247" s="28"/>
      <c r="O247" s="28"/>
      <c r="P247" s="31">
        <v>0</v>
      </c>
      <c r="Q247" s="31">
        <v>0</v>
      </c>
      <c r="R247" s="31">
        <v>0</v>
      </c>
      <c r="S247" s="28"/>
      <c r="T247" s="28"/>
      <c r="U247" s="28"/>
      <c r="V247" s="31">
        <v>0</v>
      </c>
      <c r="W247" s="31">
        <v>0</v>
      </c>
      <c r="X247" s="31">
        <v>0</v>
      </c>
      <c r="Y247" s="28" t="s">
        <v>637</v>
      </c>
    </row>
    <row r="248" spans="1:25" x14ac:dyDescent="0.3">
      <c r="A248" s="28" t="s">
        <v>638</v>
      </c>
      <c r="B248" s="28" t="s">
        <v>95</v>
      </c>
      <c r="C248" s="28" t="s">
        <v>255</v>
      </c>
      <c r="D248" s="28" t="s">
        <v>206</v>
      </c>
      <c r="E248" s="28" t="s">
        <v>603</v>
      </c>
      <c r="F248" s="29">
        <v>3</v>
      </c>
      <c r="G248" s="28">
        <v>1</v>
      </c>
      <c r="H248" s="28">
        <v>0</v>
      </c>
      <c r="I248" s="28"/>
      <c r="J248" s="30">
        <v>0.02</v>
      </c>
      <c r="K248" s="28">
        <v>2</v>
      </c>
      <c r="L248" s="28" t="s">
        <v>603</v>
      </c>
      <c r="M248" s="28"/>
      <c r="N248" s="28"/>
      <c r="O248" s="28"/>
      <c r="P248" s="31">
        <v>0</v>
      </c>
      <c r="Q248" s="31">
        <v>0</v>
      </c>
      <c r="R248" s="31">
        <v>0</v>
      </c>
      <c r="S248" s="28"/>
      <c r="T248" s="28"/>
      <c r="U248" s="28"/>
      <c r="V248" s="31">
        <v>0</v>
      </c>
      <c r="W248" s="31">
        <v>0</v>
      </c>
      <c r="X248" s="31">
        <v>0</v>
      </c>
      <c r="Y248" s="28" t="s">
        <v>637</v>
      </c>
    </row>
    <row r="249" spans="1:25" x14ac:dyDescent="0.3">
      <c r="A249" s="28" t="s">
        <v>639</v>
      </c>
      <c r="B249" s="28" t="s">
        <v>95</v>
      </c>
      <c r="C249" s="28" t="s">
        <v>260</v>
      </c>
      <c r="D249" s="28" t="s">
        <v>202</v>
      </c>
      <c r="E249" s="28" t="s">
        <v>603</v>
      </c>
      <c r="F249" s="29">
        <v>3</v>
      </c>
      <c r="G249" s="28">
        <v>1</v>
      </c>
      <c r="H249" s="28">
        <v>0</v>
      </c>
      <c r="I249" s="28"/>
      <c r="J249" s="30">
        <v>0.02</v>
      </c>
      <c r="K249" s="28">
        <v>0</v>
      </c>
      <c r="L249" s="28"/>
      <c r="M249" s="28" t="s">
        <v>261</v>
      </c>
      <c r="N249" s="28" t="s">
        <v>603</v>
      </c>
      <c r="O249" s="28">
        <v>2026</v>
      </c>
      <c r="P249" s="31">
        <v>0</v>
      </c>
      <c r="Q249" s="31">
        <v>510.77058799999998</v>
      </c>
      <c r="R249" s="31">
        <v>0</v>
      </c>
      <c r="S249" s="28"/>
      <c r="T249" s="28"/>
      <c r="U249" s="28"/>
      <c r="V249" s="31">
        <v>0</v>
      </c>
      <c r="W249" s="31">
        <v>0</v>
      </c>
      <c r="X249" s="31">
        <v>0</v>
      </c>
      <c r="Y249" s="28" t="s">
        <v>640</v>
      </c>
    </row>
    <row r="250" spans="1:25" x14ac:dyDescent="0.3">
      <c r="A250" s="28" t="s">
        <v>641</v>
      </c>
      <c r="B250" s="28" t="s">
        <v>95</v>
      </c>
      <c r="C250" s="28" t="s">
        <v>260</v>
      </c>
      <c r="D250" s="28" t="s">
        <v>206</v>
      </c>
      <c r="E250" s="28" t="s">
        <v>603</v>
      </c>
      <c r="F250" s="29">
        <v>3</v>
      </c>
      <c r="G250" s="28">
        <v>1</v>
      </c>
      <c r="H250" s="28">
        <v>0</v>
      </c>
      <c r="I250" s="28"/>
      <c r="J250" s="30">
        <v>0.02</v>
      </c>
      <c r="K250" s="28">
        <v>0</v>
      </c>
      <c r="L250" s="28"/>
      <c r="M250" s="28" t="s">
        <v>261</v>
      </c>
      <c r="N250" s="28" t="s">
        <v>603</v>
      </c>
      <c r="O250" s="28">
        <v>2026</v>
      </c>
      <c r="P250" s="31">
        <v>1500</v>
      </c>
      <c r="Q250" s="31">
        <v>510.77058799999998</v>
      </c>
      <c r="R250" s="31">
        <v>0</v>
      </c>
      <c r="S250" s="28"/>
      <c r="T250" s="28"/>
      <c r="U250" s="28"/>
      <c r="V250" s="31">
        <v>0</v>
      </c>
      <c r="W250" s="31">
        <v>0</v>
      </c>
      <c r="X250" s="31">
        <v>0</v>
      </c>
      <c r="Y250" s="28" t="s">
        <v>640</v>
      </c>
    </row>
    <row r="251" spans="1:25" x14ac:dyDescent="0.3">
      <c r="A251" s="28" t="s">
        <v>642</v>
      </c>
      <c r="B251" s="28" t="s">
        <v>95</v>
      </c>
      <c r="C251" s="28" t="s">
        <v>265</v>
      </c>
      <c r="D251" s="28" t="s">
        <v>202</v>
      </c>
      <c r="E251" s="28" t="s">
        <v>603</v>
      </c>
      <c r="F251" s="29">
        <v>3</v>
      </c>
      <c r="G251" s="28">
        <v>1</v>
      </c>
      <c r="H251" s="28">
        <v>0</v>
      </c>
      <c r="I251" s="28"/>
      <c r="J251" s="30">
        <v>0.02</v>
      </c>
      <c r="K251" s="28">
        <v>0</v>
      </c>
      <c r="L251" s="28"/>
      <c r="M251" s="28" t="s">
        <v>261</v>
      </c>
      <c r="N251" s="28" t="s">
        <v>603</v>
      </c>
      <c r="O251" s="28">
        <v>2026</v>
      </c>
      <c r="P251" s="31">
        <v>0</v>
      </c>
      <c r="Q251" s="31">
        <v>510.77058799999998</v>
      </c>
      <c r="R251" s="31">
        <v>0</v>
      </c>
      <c r="S251" s="28"/>
      <c r="T251" s="28"/>
      <c r="U251" s="28"/>
      <c r="V251" s="31">
        <v>0</v>
      </c>
      <c r="W251" s="31">
        <v>0</v>
      </c>
      <c r="X251" s="31">
        <v>0</v>
      </c>
      <c r="Y251" s="28" t="s">
        <v>640</v>
      </c>
    </row>
    <row r="252" spans="1:25" x14ac:dyDescent="0.3">
      <c r="A252" s="28" t="s">
        <v>643</v>
      </c>
      <c r="B252" s="28" t="s">
        <v>95</v>
      </c>
      <c r="C252" s="28" t="s">
        <v>265</v>
      </c>
      <c r="D252" s="28" t="s">
        <v>206</v>
      </c>
      <c r="E252" s="28" t="s">
        <v>603</v>
      </c>
      <c r="F252" s="29">
        <v>3</v>
      </c>
      <c r="G252" s="28">
        <v>1</v>
      </c>
      <c r="H252" s="28">
        <v>0</v>
      </c>
      <c r="I252" s="28"/>
      <c r="J252" s="30">
        <v>0.02</v>
      </c>
      <c r="K252" s="28">
        <v>0</v>
      </c>
      <c r="L252" s="28"/>
      <c r="M252" s="28" t="s">
        <v>261</v>
      </c>
      <c r="N252" s="28" t="s">
        <v>603</v>
      </c>
      <c r="O252" s="28">
        <v>2026</v>
      </c>
      <c r="P252" s="31">
        <v>1500</v>
      </c>
      <c r="Q252" s="31">
        <v>510.77058799999998</v>
      </c>
      <c r="R252" s="31">
        <v>0</v>
      </c>
      <c r="S252" s="28"/>
      <c r="T252" s="28"/>
      <c r="U252" s="28"/>
      <c r="V252" s="31">
        <v>0</v>
      </c>
      <c r="W252" s="31">
        <v>0</v>
      </c>
      <c r="X252" s="31">
        <v>0</v>
      </c>
      <c r="Y252" s="28" t="s">
        <v>640</v>
      </c>
    </row>
    <row r="253" spans="1:25" x14ac:dyDescent="0.3">
      <c r="A253" s="28" t="s">
        <v>644</v>
      </c>
      <c r="B253" s="28" t="s">
        <v>95</v>
      </c>
      <c r="C253" s="28" t="s">
        <v>270</v>
      </c>
      <c r="D253" s="28" t="s">
        <v>202</v>
      </c>
      <c r="E253" s="28" t="s">
        <v>603</v>
      </c>
      <c r="F253" s="29">
        <v>3</v>
      </c>
      <c r="G253" s="28">
        <v>1</v>
      </c>
      <c r="H253" s="28">
        <v>0</v>
      </c>
      <c r="I253" s="28"/>
      <c r="J253" s="30">
        <v>0.02</v>
      </c>
      <c r="K253" s="28">
        <v>0</v>
      </c>
      <c r="L253" s="28"/>
      <c r="M253" s="28" t="s">
        <v>261</v>
      </c>
      <c r="N253" s="28" t="s">
        <v>271</v>
      </c>
      <c r="O253" s="28">
        <v>2026</v>
      </c>
      <c r="P253" s="31">
        <v>876</v>
      </c>
      <c r="Q253" s="31">
        <v>0</v>
      </c>
      <c r="R253" s="31">
        <v>89</v>
      </c>
      <c r="S253" s="28"/>
      <c r="T253" s="28"/>
      <c r="U253" s="28"/>
      <c r="V253" s="31">
        <v>0</v>
      </c>
      <c r="W253" s="31">
        <v>0</v>
      </c>
      <c r="X253" s="31">
        <v>0</v>
      </c>
      <c r="Y253" s="28" t="s">
        <v>580</v>
      </c>
    </row>
    <row r="254" spans="1:25" x14ac:dyDescent="0.3">
      <c r="A254" s="28" t="s">
        <v>645</v>
      </c>
      <c r="B254" s="28" t="s">
        <v>95</v>
      </c>
      <c r="C254" s="28" t="s">
        <v>270</v>
      </c>
      <c r="D254" s="28" t="s">
        <v>206</v>
      </c>
      <c r="E254" s="28" t="s">
        <v>603</v>
      </c>
      <c r="F254" s="29">
        <v>3</v>
      </c>
      <c r="G254" s="28">
        <v>1</v>
      </c>
      <c r="H254" s="28">
        <v>0</v>
      </c>
      <c r="I254" s="28"/>
      <c r="J254" s="30">
        <v>0.02</v>
      </c>
      <c r="K254" s="28">
        <v>0</v>
      </c>
      <c r="L254" s="28"/>
      <c r="M254" s="28" t="s">
        <v>261</v>
      </c>
      <c r="N254" s="28" t="s">
        <v>271</v>
      </c>
      <c r="O254" s="28">
        <v>2026</v>
      </c>
      <c r="P254" s="31">
        <v>876</v>
      </c>
      <c r="Q254" s="31">
        <v>0</v>
      </c>
      <c r="R254" s="31">
        <v>89</v>
      </c>
      <c r="S254" s="28"/>
      <c r="T254" s="28"/>
      <c r="U254" s="28"/>
      <c r="V254" s="31">
        <v>0</v>
      </c>
      <c r="W254" s="31">
        <v>0</v>
      </c>
      <c r="X254" s="31">
        <v>0</v>
      </c>
      <c r="Y254" s="28" t="s">
        <v>580</v>
      </c>
    </row>
    <row r="255" spans="1:25" x14ac:dyDescent="0.3">
      <c r="A255" s="28" t="s">
        <v>646</v>
      </c>
      <c r="B255" s="28" t="s">
        <v>95</v>
      </c>
      <c r="C255" s="28" t="s">
        <v>275</v>
      </c>
      <c r="D255" s="28" t="s">
        <v>202</v>
      </c>
      <c r="E255" s="28" t="s">
        <v>603</v>
      </c>
      <c r="F255" s="29">
        <v>0</v>
      </c>
      <c r="G255" s="28">
        <v>0</v>
      </c>
      <c r="H255" s="28">
        <v>0</v>
      </c>
      <c r="I255" s="28"/>
      <c r="J255" s="30">
        <v>0.02</v>
      </c>
      <c r="K255" s="28">
        <v>0</v>
      </c>
      <c r="L255" s="28"/>
      <c r="M255" s="28" t="s">
        <v>276</v>
      </c>
      <c r="N255" s="28" t="s">
        <v>603</v>
      </c>
      <c r="O255" s="28">
        <v>2026</v>
      </c>
      <c r="P255" s="31">
        <v>0</v>
      </c>
      <c r="Q255" s="31">
        <v>0</v>
      </c>
      <c r="R255" s="31">
        <v>0</v>
      </c>
      <c r="S255" s="28"/>
      <c r="T255" s="28"/>
      <c r="U255" s="28"/>
      <c r="V255" s="31">
        <v>0</v>
      </c>
      <c r="W255" s="31">
        <v>0</v>
      </c>
      <c r="X255" s="31">
        <v>0</v>
      </c>
      <c r="Y255" s="28" t="s">
        <v>277</v>
      </c>
    </row>
    <row r="256" spans="1:25" x14ac:dyDescent="0.3">
      <c r="A256" s="28" t="s">
        <v>647</v>
      </c>
      <c r="B256" s="28" t="s">
        <v>95</v>
      </c>
      <c r="C256" s="28" t="s">
        <v>275</v>
      </c>
      <c r="D256" s="28" t="s">
        <v>206</v>
      </c>
      <c r="E256" s="28" t="s">
        <v>603</v>
      </c>
      <c r="F256" s="29">
        <v>0</v>
      </c>
      <c r="G256" s="28">
        <v>0</v>
      </c>
      <c r="H256" s="28">
        <v>0</v>
      </c>
      <c r="I256" s="28"/>
      <c r="J256" s="30">
        <v>0.02</v>
      </c>
      <c r="K256" s="28">
        <v>0</v>
      </c>
      <c r="L256" s="28"/>
      <c r="M256" s="28" t="s">
        <v>276</v>
      </c>
      <c r="N256" s="28" t="s">
        <v>603</v>
      </c>
      <c r="O256" s="28">
        <v>2026</v>
      </c>
      <c r="P256" s="31">
        <v>0</v>
      </c>
      <c r="Q256" s="31">
        <v>0</v>
      </c>
      <c r="R256" s="31">
        <v>0</v>
      </c>
      <c r="S256" s="28"/>
      <c r="T256" s="28"/>
      <c r="U256" s="28"/>
      <c r="V256" s="31">
        <v>0</v>
      </c>
      <c r="W256" s="31">
        <v>0</v>
      </c>
      <c r="X256" s="31">
        <v>0</v>
      </c>
      <c r="Y256" s="28" t="s">
        <v>277</v>
      </c>
    </row>
    <row r="257" spans="1:25" x14ac:dyDescent="0.3">
      <c r="A257" s="28" t="s">
        <v>648</v>
      </c>
      <c r="B257" s="28" t="s">
        <v>95</v>
      </c>
      <c r="C257" s="28" t="s">
        <v>280</v>
      </c>
      <c r="D257" s="28" t="s">
        <v>202</v>
      </c>
      <c r="E257" s="28" t="s">
        <v>603</v>
      </c>
      <c r="F257" s="29">
        <v>0</v>
      </c>
      <c r="G257" s="28">
        <v>0</v>
      </c>
      <c r="H257" s="28">
        <v>0</v>
      </c>
      <c r="I257" s="28"/>
      <c r="J257" s="30">
        <v>0.02</v>
      </c>
      <c r="K257" s="28">
        <v>0</v>
      </c>
      <c r="L257" s="28"/>
      <c r="M257" s="28" t="s">
        <v>276</v>
      </c>
      <c r="N257" s="28" t="s">
        <v>603</v>
      </c>
      <c r="O257" s="28">
        <v>2026</v>
      </c>
      <c r="P257" s="31">
        <v>0</v>
      </c>
      <c r="Q257" s="31">
        <v>0</v>
      </c>
      <c r="R257" s="31">
        <v>0</v>
      </c>
      <c r="S257" s="28"/>
      <c r="T257" s="28"/>
      <c r="U257" s="28"/>
      <c r="V257" s="31">
        <v>0</v>
      </c>
      <c r="W257" s="31">
        <v>0</v>
      </c>
      <c r="X257" s="31">
        <v>0</v>
      </c>
      <c r="Y257" s="28" t="s">
        <v>649</v>
      </c>
    </row>
    <row r="258" spans="1:25" x14ac:dyDescent="0.3">
      <c r="A258" s="28" t="s">
        <v>650</v>
      </c>
      <c r="B258" s="28" t="s">
        <v>95</v>
      </c>
      <c r="C258" s="28" t="s">
        <v>280</v>
      </c>
      <c r="D258" s="28" t="s">
        <v>206</v>
      </c>
      <c r="E258" s="28" t="s">
        <v>603</v>
      </c>
      <c r="F258" s="29">
        <v>0</v>
      </c>
      <c r="G258" s="28">
        <v>0</v>
      </c>
      <c r="H258" s="28">
        <v>0</v>
      </c>
      <c r="I258" s="28"/>
      <c r="J258" s="30">
        <v>0.02</v>
      </c>
      <c r="K258" s="28">
        <v>0</v>
      </c>
      <c r="L258" s="28"/>
      <c r="M258" s="28" t="s">
        <v>276</v>
      </c>
      <c r="N258" s="28" t="s">
        <v>603</v>
      </c>
      <c r="O258" s="28">
        <v>2026</v>
      </c>
      <c r="P258" s="31">
        <v>0</v>
      </c>
      <c r="Q258" s="31">
        <v>0</v>
      </c>
      <c r="R258" s="31">
        <v>0</v>
      </c>
      <c r="S258" s="28"/>
      <c r="T258" s="28"/>
      <c r="U258" s="28"/>
      <c r="V258" s="31">
        <v>0</v>
      </c>
      <c r="W258" s="31">
        <v>0</v>
      </c>
      <c r="X258" s="31">
        <v>0</v>
      </c>
      <c r="Y258" s="28" t="s">
        <v>649</v>
      </c>
    </row>
    <row r="259" spans="1:25" x14ac:dyDescent="0.3">
      <c r="A259" s="28" t="s">
        <v>651</v>
      </c>
      <c r="B259" s="28" t="s">
        <v>95</v>
      </c>
      <c r="C259" s="28" t="s">
        <v>284</v>
      </c>
      <c r="D259" s="28" t="s">
        <v>202</v>
      </c>
      <c r="E259" s="28" t="s">
        <v>603</v>
      </c>
      <c r="F259" s="29">
        <v>5</v>
      </c>
      <c r="G259" s="28">
        <v>1</v>
      </c>
      <c r="H259" s="28">
        <v>0</v>
      </c>
      <c r="I259" s="28"/>
      <c r="J259" s="30">
        <v>0.02</v>
      </c>
      <c r="K259" s="28">
        <v>1</v>
      </c>
      <c r="L259" s="28" t="s">
        <v>603</v>
      </c>
      <c r="M259" s="28"/>
      <c r="N259" s="28"/>
      <c r="O259" s="28"/>
      <c r="P259" s="31">
        <v>0</v>
      </c>
      <c r="Q259" s="31">
        <v>0</v>
      </c>
      <c r="R259" s="31">
        <v>0</v>
      </c>
      <c r="S259" s="28"/>
      <c r="T259" s="28"/>
      <c r="U259" s="28"/>
      <c r="V259" s="31">
        <v>0</v>
      </c>
      <c r="W259" s="31">
        <v>0</v>
      </c>
      <c r="X259" s="31">
        <v>0</v>
      </c>
      <c r="Y259" s="28" t="s">
        <v>652</v>
      </c>
    </row>
    <row r="260" spans="1:25" x14ac:dyDescent="0.3">
      <c r="A260" s="28" t="s">
        <v>653</v>
      </c>
      <c r="B260" s="28" t="s">
        <v>95</v>
      </c>
      <c r="C260" s="28" t="s">
        <v>284</v>
      </c>
      <c r="D260" s="28" t="s">
        <v>206</v>
      </c>
      <c r="E260" s="28" t="s">
        <v>603</v>
      </c>
      <c r="F260" s="29">
        <v>5</v>
      </c>
      <c r="G260" s="28">
        <v>1</v>
      </c>
      <c r="H260" s="28">
        <v>0</v>
      </c>
      <c r="I260" s="28"/>
      <c r="J260" s="30">
        <v>0.02</v>
      </c>
      <c r="K260" s="28">
        <v>1</v>
      </c>
      <c r="L260" s="28" t="s">
        <v>603</v>
      </c>
      <c r="M260" s="28"/>
      <c r="N260" s="28"/>
      <c r="O260" s="28"/>
      <c r="P260" s="31">
        <v>0</v>
      </c>
      <c r="Q260" s="31">
        <v>0</v>
      </c>
      <c r="R260" s="31">
        <v>0</v>
      </c>
      <c r="S260" s="28"/>
      <c r="T260" s="28"/>
      <c r="U260" s="28"/>
      <c r="V260" s="31">
        <v>0</v>
      </c>
      <c r="W260" s="31">
        <v>0</v>
      </c>
      <c r="X260" s="31">
        <v>0</v>
      </c>
      <c r="Y260" s="28" t="s">
        <v>652</v>
      </c>
    </row>
    <row r="261" spans="1:25" x14ac:dyDescent="0.3">
      <c r="A261" s="28" t="s">
        <v>654</v>
      </c>
      <c r="B261" s="28" t="s">
        <v>95</v>
      </c>
      <c r="C261" s="28" t="s">
        <v>288</v>
      </c>
      <c r="D261" s="28" t="s">
        <v>202</v>
      </c>
      <c r="E261" s="28" t="s">
        <v>603</v>
      </c>
      <c r="F261" s="29">
        <v>3</v>
      </c>
      <c r="G261" s="28">
        <v>1</v>
      </c>
      <c r="H261" s="28">
        <v>0</v>
      </c>
      <c r="I261" s="28"/>
      <c r="J261" s="30">
        <v>0.02</v>
      </c>
      <c r="K261" s="28">
        <v>1</v>
      </c>
      <c r="L261" s="28" t="s">
        <v>603</v>
      </c>
      <c r="M261" s="28"/>
      <c r="N261" s="28"/>
      <c r="O261" s="28"/>
      <c r="P261" s="31">
        <v>0</v>
      </c>
      <c r="Q261" s="31">
        <v>0</v>
      </c>
      <c r="R261" s="31">
        <v>0</v>
      </c>
      <c r="S261" s="28"/>
      <c r="T261" s="28"/>
      <c r="U261" s="28"/>
      <c r="V261" s="31">
        <v>0</v>
      </c>
      <c r="W261" s="31">
        <v>0</v>
      </c>
      <c r="X261" s="31">
        <v>0</v>
      </c>
      <c r="Y261" s="28" t="s">
        <v>655</v>
      </c>
    </row>
    <row r="262" spans="1:25" x14ac:dyDescent="0.3">
      <c r="A262" s="28" t="s">
        <v>656</v>
      </c>
      <c r="B262" s="28" t="s">
        <v>95</v>
      </c>
      <c r="C262" s="28" t="s">
        <v>288</v>
      </c>
      <c r="D262" s="28" t="s">
        <v>206</v>
      </c>
      <c r="E262" s="28" t="s">
        <v>603</v>
      </c>
      <c r="F262" s="29">
        <v>3</v>
      </c>
      <c r="G262" s="28">
        <v>1</v>
      </c>
      <c r="H262" s="28">
        <v>0</v>
      </c>
      <c r="I262" s="28"/>
      <c r="J262" s="30">
        <v>0.02</v>
      </c>
      <c r="K262" s="28">
        <v>1</v>
      </c>
      <c r="L262" s="28" t="s">
        <v>603</v>
      </c>
      <c r="M262" s="28"/>
      <c r="N262" s="28"/>
      <c r="O262" s="28"/>
      <c r="P262" s="31">
        <v>0</v>
      </c>
      <c r="Q262" s="31">
        <v>0</v>
      </c>
      <c r="R262" s="31">
        <v>0</v>
      </c>
      <c r="S262" s="28"/>
      <c r="T262" s="28"/>
      <c r="U262" s="28"/>
      <c r="V262" s="31">
        <v>0</v>
      </c>
      <c r="W262" s="31">
        <v>0</v>
      </c>
      <c r="X262" s="31">
        <v>0</v>
      </c>
      <c r="Y262" s="28" t="s">
        <v>655</v>
      </c>
    </row>
    <row r="263" spans="1:25" x14ac:dyDescent="0.3">
      <c r="A263" s="28" t="s">
        <v>657</v>
      </c>
      <c r="B263" s="28" t="s">
        <v>95</v>
      </c>
      <c r="C263" s="28" t="s">
        <v>292</v>
      </c>
      <c r="D263" s="28" t="s">
        <v>202</v>
      </c>
      <c r="E263" s="28" t="s">
        <v>603</v>
      </c>
      <c r="F263" s="29">
        <v>3</v>
      </c>
      <c r="G263" s="28">
        <v>1</v>
      </c>
      <c r="H263" s="28">
        <v>0</v>
      </c>
      <c r="I263" s="28"/>
      <c r="J263" s="30">
        <v>0.02</v>
      </c>
      <c r="K263" s="28">
        <v>1</v>
      </c>
      <c r="L263" s="28" t="s">
        <v>603</v>
      </c>
      <c r="M263" s="28"/>
      <c r="N263" s="28"/>
      <c r="O263" s="28"/>
      <c r="P263" s="31">
        <v>0</v>
      </c>
      <c r="Q263" s="31">
        <v>0</v>
      </c>
      <c r="R263" s="31">
        <v>0</v>
      </c>
      <c r="S263" s="28"/>
      <c r="T263" s="28"/>
      <c r="U263" s="28"/>
      <c r="V263" s="31">
        <v>0</v>
      </c>
      <c r="W263" s="31">
        <v>0</v>
      </c>
      <c r="X263" s="31">
        <v>0</v>
      </c>
      <c r="Y263" s="28" t="s">
        <v>627</v>
      </c>
    </row>
    <row r="264" spans="1:25" x14ac:dyDescent="0.3">
      <c r="A264" s="28" t="s">
        <v>658</v>
      </c>
      <c r="B264" s="28" t="s">
        <v>95</v>
      </c>
      <c r="C264" s="28" t="s">
        <v>292</v>
      </c>
      <c r="D264" s="28" t="s">
        <v>206</v>
      </c>
      <c r="E264" s="28" t="s">
        <v>603</v>
      </c>
      <c r="F264" s="29">
        <v>3</v>
      </c>
      <c r="G264" s="28">
        <v>1</v>
      </c>
      <c r="H264" s="28">
        <v>0</v>
      </c>
      <c r="I264" s="28"/>
      <c r="J264" s="30">
        <v>0.02</v>
      </c>
      <c r="K264" s="28">
        <v>1</v>
      </c>
      <c r="L264" s="28" t="s">
        <v>603</v>
      </c>
      <c r="M264" s="28"/>
      <c r="N264" s="28"/>
      <c r="O264" s="28"/>
      <c r="P264" s="31">
        <v>0</v>
      </c>
      <c r="Q264" s="31">
        <v>0</v>
      </c>
      <c r="R264" s="31">
        <v>0</v>
      </c>
      <c r="S264" s="28"/>
      <c r="T264" s="28"/>
      <c r="U264" s="28"/>
      <c r="V264" s="31">
        <v>0</v>
      </c>
      <c r="W264" s="31">
        <v>0</v>
      </c>
      <c r="X264" s="31">
        <v>0</v>
      </c>
      <c r="Y264" s="28" t="s">
        <v>627</v>
      </c>
    </row>
    <row r="265" spans="1:25" x14ac:dyDescent="0.3">
      <c r="A265" s="28" t="s">
        <v>659</v>
      </c>
      <c r="B265" s="28" t="s">
        <v>95</v>
      </c>
      <c r="C265" s="28" t="s">
        <v>296</v>
      </c>
      <c r="D265" s="28" t="s">
        <v>202</v>
      </c>
      <c r="E265" s="28" t="s">
        <v>603</v>
      </c>
      <c r="F265" s="29">
        <v>3</v>
      </c>
      <c r="G265" s="28">
        <v>1</v>
      </c>
      <c r="H265" s="28">
        <v>0</v>
      </c>
      <c r="I265" s="28"/>
      <c r="J265" s="30">
        <v>0.02</v>
      </c>
      <c r="K265" s="28">
        <v>2</v>
      </c>
      <c r="L265" s="28" t="s">
        <v>603</v>
      </c>
      <c r="M265" s="28"/>
      <c r="N265" s="28"/>
      <c r="O265" s="28"/>
      <c r="P265" s="31">
        <v>0</v>
      </c>
      <c r="Q265" s="31">
        <v>0</v>
      </c>
      <c r="R265" s="31">
        <v>0</v>
      </c>
      <c r="S265" s="28"/>
      <c r="T265" s="28"/>
      <c r="U265" s="28"/>
      <c r="V265" s="31">
        <v>0</v>
      </c>
      <c r="W265" s="31">
        <v>0</v>
      </c>
      <c r="X265" s="31">
        <v>0</v>
      </c>
      <c r="Y265" s="28" t="s">
        <v>623</v>
      </c>
    </row>
    <row r="266" spans="1:25" x14ac:dyDescent="0.3">
      <c r="A266" s="28" t="s">
        <v>660</v>
      </c>
      <c r="B266" s="28" t="s">
        <v>95</v>
      </c>
      <c r="C266" s="28" t="s">
        <v>296</v>
      </c>
      <c r="D266" s="28" t="s">
        <v>206</v>
      </c>
      <c r="E266" s="28" t="s">
        <v>603</v>
      </c>
      <c r="F266" s="29">
        <v>3</v>
      </c>
      <c r="G266" s="28">
        <v>1</v>
      </c>
      <c r="H266" s="28">
        <v>0</v>
      </c>
      <c r="I266" s="28"/>
      <c r="J266" s="30">
        <v>0.02</v>
      </c>
      <c r="K266" s="28">
        <v>2</v>
      </c>
      <c r="L266" s="28" t="s">
        <v>603</v>
      </c>
      <c r="M266" s="28"/>
      <c r="N266" s="28"/>
      <c r="O266" s="28"/>
      <c r="P266" s="31">
        <v>0</v>
      </c>
      <c r="Q266" s="31">
        <v>0</v>
      </c>
      <c r="R266" s="31">
        <v>0</v>
      </c>
      <c r="S266" s="28"/>
      <c r="T266" s="28"/>
      <c r="U266" s="28"/>
      <c r="V266" s="31">
        <v>0</v>
      </c>
      <c r="W266" s="31">
        <v>0</v>
      </c>
      <c r="X266" s="31">
        <v>0</v>
      </c>
      <c r="Y266" s="28" t="s">
        <v>623</v>
      </c>
    </row>
    <row r="267" spans="1:25" x14ac:dyDescent="0.3">
      <c r="A267" s="28" t="s">
        <v>661</v>
      </c>
      <c r="B267" s="28" t="s">
        <v>95</v>
      </c>
      <c r="C267" s="28" t="s">
        <v>300</v>
      </c>
      <c r="D267" s="28" t="s">
        <v>202</v>
      </c>
      <c r="E267" s="28" t="s">
        <v>603</v>
      </c>
      <c r="F267" s="29">
        <v>3</v>
      </c>
      <c r="G267" s="28">
        <v>1</v>
      </c>
      <c r="H267" s="28">
        <v>0</v>
      </c>
      <c r="I267" s="28"/>
      <c r="J267" s="30">
        <v>0.02</v>
      </c>
      <c r="K267" s="28">
        <v>0</v>
      </c>
      <c r="L267" s="28"/>
      <c r="M267" s="28" t="s">
        <v>261</v>
      </c>
      <c r="N267" s="28" t="s">
        <v>603</v>
      </c>
      <c r="O267" s="28">
        <v>2026</v>
      </c>
      <c r="P267" s="31">
        <v>0</v>
      </c>
      <c r="Q267" s="31">
        <v>479.64950966666669</v>
      </c>
      <c r="R267" s="31">
        <v>0</v>
      </c>
      <c r="S267" s="28"/>
      <c r="T267" s="28"/>
      <c r="U267" s="28"/>
      <c r="V267" s="31">
        <v>0</v>
      </c>
      <c r="W267" s="31">
        <v>0</v>
      </c>
      <c r="X267" s="31">
        <v>0</v>
      </c>
      <c r="Y267" s="28" t="s">
        <v>662</v>
      </c>
    </row>
    <row r="268" spans="1:25" x14ac:dyDescent="0.3">
      <c r="A268" s="28" t="s">
        <v>663</v>
      </c>
      <c r="B268" s="28" t="s">
        <v>95</v>
      </c>
      <c r="C268" s="28" t="s">
        <v>300</v>
      </c>
      <c r="D268" s="28" t="s">
        <v>206</v>
      </c>
      <c r="E268" s="28" t="s">
        <v>603</v>
      </c>
      <c r="F268" s="29">
        <v>3</v>
      </c>
      <c r="G268" s="28">
        <v>1</v>
      </c>
      <c r="H268" s="28">
        <v>0</v>
      </c>
      <c r="I268" s="28"/>
      <c r="J268" s="30">
        <v>0.02</v>
      </c>
      <c r="K268" s="28">
        <v>0</v>
      </c>
      <c r="L268" s="28"/>
      <c r="M268" s="28" t="s">
        <v>261</v>
      </c>
      <c r="N268" s="28" t="s">
        <v>603</v>
      </c>
      <c r="O268" s="28">
        <v>2026</v>
      </c>
      <c r="P268" s="31">
        <v>1791.666666666667</v>
      </c>
      <c r="Q268" s="31">
        <v>439.18055544444451</v>
      </c>
      <c r="R268" s="31">
        <v>0</v>
      </c>
      <c r="S268" s="28"/>
      <c r="T268" s="28"/>
      <c r="U268" s="28"/>
      <c r="V268" s="31">
        <v>0</v>
      </c>
      <c r="W268" s="31">
        <v>0</v>
      </c>
      <c r="X268" s="31">
        <v>0</v>
      </c>
      <c r="Y268" s="28" t="s">
        <v>662</v>
      </c>
    </row>
    <row r="269" spans="1:25" x14ac:dyDescent="0.3">
      <c r="A269" s="28" t="s">
        <v>664</v>
      </c>
      <c r="B269" s="28" t="s">
        <v>96</v>
      </c>
      <c r="C269" s="28" t="s">
        <v>201</v>
      </c>
      <c r="D269" s="28" t="s">
        <v>202</v>
      </c>
      <c r="E269" s="28" t="s">
        <v>665</v>
      </c>
      <c r="F269" s="29">
        <v>5</v>
      </c>
      <c r="G269" s="28">
        <v>1</v>
      </c>
      <c r="H269" s="28">
        <v>0</v>
      </c>
      <c r="I269" s="28"/>
      <c r="J269" s="30">
        <v>0.01</v>
      </c>
      <c r="K269" s="28">
        <v>2</v>
      </c>
      <c r="L269" s="28" t="s">
        <v>665</v>
      </c>
      <c r="M269" s="28"/>
      <c r="N269" s="28"/>
      <c r="O269" s="28"/>
      <c r="P269" s="31">
        <v>0</v>
      </c>
      <c r="Q269" s="31">
        <v>0</v>
      </c>
      <c r="R269" s="31">
        <v>0</v>
      </c>
      <c r="S269" s="28"/>
      <c r="T269" s="28"/>
      <c r="U269" s="28"/>
      <c r="V269" s="31">
        <v>0</v>
      </c>
      <c r="W269" s="31">
        <v>0</v>
      </c>
      <c r="X269" s="31">
        <v>0</v>
      </c>
      <c r="Y269" s="28" t="s">
        <v>666</v>
      </c>
    </row>
    <row r="270" spans="1:25" x14ac:dyDescent="0.3">
      <c r="A270" s="28" t="s">
        <v>667</v>
      </c>
      <c r="B270" s="28" t="s">
        <v>96</v>
      </c>
      <c r="C270" s="28" t="s">
        <v>201</v>
      </c>
      <c r="D270" s="28" t="s">
        <v>206</v>
      </c>
      <c r="E270" s="28" t="s">
        <v>665</v>
      </c>
      <c r="F270" s="29">
        <v>5</v>
      </c>
      <c r="G270" s="28">
        <v>1</v>
      </c>
      <c r="H270" s="28">
        <v>0</v>
      </c>
      <c r="I270" s="28"/>
      <c r="J270" s="30">
        <v>4.4999999999999998E-2</v>
      </c>
      <c r="K270" s="28">
        <v>2</v>
      </c>
      <c r="L270" s="28" t="s">
        <v>665</v>
      </c>
      <c r="M270" s="28"/>
      <c r="N270" s="28"/>
      <c r="O270" s="28"/>
      <c r="P270" s="31">
        <v>0</v>
      </c>
      <c r="Q270" s="31">
        <v>0</v>
      </c>
      <c r="R270" s="31">
        <v>0</v>
      </c>
      <c r="S270" s="28"/>
      <c r="T270" s="28"/>
      <c r="U270" s="28"/>
      <c r="V270" s="31">
        <v>0</v>
      </c>
      <c r="W270" s="31">
        <v>0</v>
      </c>
      <c r="X270" s="31">
        <v>0</v>
      </c>
      <c r="Y270" s="28" t="s">
        <v>666</v>
      </c>
    </row>
    <row r="271" spans="1:25" x14ac:dyDescent="0.3">
      <c r="A271" s="28" t="s">
        <v>668</v>
      </c>
      <c r="B271" s="28" t="s">
        <v>96</v>
      </c>
      <c r="C271" s="28" t="s">
        <v>209</v>
      </c>
      <c r="D271" s="28" t="s">
        <v>202</v>
      </c>
      <c r="E271" s="28" t="s">
        <v>665</v>
      </c>
      <c r="F271" s="29">
        <v>4</v>
      </c>
      <c r="G271" s="28">
        <v>1</v>
      </c>
      <c r="H271" s="28">
        <v>0</v>
      </c>
      <c r="I271" s="28"/>
      <c r="J271" s="30">
        <v>0.01</v>
      </c>
      <c r="K271" s="28">
        <v>1</v>
      </c>
      <c r="L271" s="28" t="s">
        <v>665</v>
      </c>
      <c r="M271" s="28"/>
      <c r="N271" s="28"/>
      <c r="O271" s="28"/>
      <c r="P271" s="31">
        <v>0</v>
      </c>
      <c r="Q271" s="31">
        <v>0</v>
      </c>
      <c r="R271" s="31">
        <v>0</v>
      </c>
      <c r="S271" s="28"/>
      <c r="T271" s="28"/>
      <c r="U271" s="28"/>
      <c r="V271" s="31">
        <v>0</v>
      </c>
      <c r="W271" s="31">
        <v>0</v>
      </c>
      <c r="X271" s="31">
        <v>0</v>
      </c>
      <c r="Y271" s="28" t="s">
        <v>669</v>
      </c>
    </row>
    <row r="272" spans="1:25" x14ac:dyDescent="0.3">
      <c r="A272" s="28" t="s">
        <v>670</v>
      </c>
      <c r="B272" s="28" t="s">
        <v>96</v>
      </c>
      <c r="C272" s="28" t="s">
        <v>209</v>
      </c>
      <c r="D272" s="28" t="s">
        <v>206</v>
      </c>
      <c r="E272" s="28" t="s">
        <v>665</v>
      </c>
      <c r="F272" s="29">
        <v>4</v>
      </c>
      <c r="G272" s="28">
        <v>1</v>
      </c>
      <c r="H272" s="28">
        <v>0</v>
      </c>
      <c r="I272" s="28"/>
      <c r="J272" s="30">
        <v>4.4999999999999998E-2</v>
      </c>
      <c r="K272" s="28">
        <v>1</v>
      </c>
      <c r="L272" s="28" t="s">
        <v>665</v>
      </c>
      <c r="M272" s="28"/>
      <c r="N272" s="28"/>
      <c r="O272" s="28"/>
      <c r="P272" s="31">
        <v>0</v>
      </c>
      <c r="Q272" s="31">
        <v>0</v>
      </c>
      <c r="R272" s="31">
        <v>0</v>
      </c>
      <c r="S272" s="28"/>
      <c r="T272" s="28"/>
      <c r="U272" s="28"/>
      <c r="V272" s="31">
        <v>0</v>
      </c>
      <c r="W272" s="31">
        <v>0</v>
      </c>
      <c r="X272" s="31">
        <v>0</v>
      </c>
      <c r="Y272" s="28" t="s">
        <v>669</v>
      </c>
    </row>
    <row r="273" spans="1:25" x14ac:dyDescent="0.3">
      <c r="A273" s="28" t="s">
        <v>671</v>
      </c>
      <c r="B273" s="28" t="s">
        <v>96</v>
      </c>
      <c r="C273" s="28" t="s">
        <v>213</v>
      </c>
      <c r="D273" s="28" t="s">
        <v>202</v>
      </c>
      <c r="E273" s="28" t="s">
        <v>665</v>
      </c>
      <c r="F273" s="29">
        <v>4</v>
      </c>
      <c r="G273" s="28">
        <v>1</v>
      </c>
      <c r="H273" s="28">
        <v>0</v>
      </c>
      <c r="I273" s="28"/>
      <c r="J273" s="30">
        <v>0.01</v>
      </c>
      <c r="K273" s="28">
        <v>1</v>
      </c>
      <c r="L273" s="28" t="s">
        <v>665</v>
      </c>
      <c r="M273" s="28"/>
      <c r="N273" s="28"/>
      <c r="O273" s="28"/>
      <c r="P273" s="31">
        <v>0</v>
      </c>
      <c r="Q273" s="31">
        <v>0</v>
      </c>
      <c r="R273" s="31">
        <v>0</v>
      </c>
      <c r="S273" s="28"/>
      <c r="T273" s="28"/>
      <c r="U273" s="28"/>
      <c r="V273" s="31">
        <v>0</v>
      </c>
      <c r="W273" s="31">
        <v>0</v>
      </c>
      <c r="X273" s="31">
        <v>0</v>
      </c>
      <c r="Y273" s="28" t="s">
        <v>672</v>
      </c>
    </row>
    <row r="274" spans="1:25" x14ac:dyDescent="0.3">
      <c r="A274" s="28" t="s">
        <v>673</v>
      </c>
      <c r="B274" s="28" t="s">
        <v>96</v>
      </c>
      <c r="C274" s="28" t="s">
        <v>213</v>
      </c>
      <c r="D274" s="28" t="s">
        <v>206</v>
      </c>
      <c r="E274" s="28" t="s">
        <v>665</v>
      </c>
      <c r="F274" s="29">
        <v>4</v>
      </c>
      <c r="G274" s="28">
        <v>1</v>
      </c>
      <c r="H274" s="28">
        <v>0</v>
      </c>
      <c r="I274" s="28"/>
      <c r="J274" s="30">
        <v>4.4999999999999998E-2</v>
      </c>
      <c r="K274" s="28">
        <v>1</v>
      </c>
      <c r="L274" s="28" t="s">
        <v>665</v>
      </c>
      <c r="M274" s="28"/>
      <c r="N274" s="28"/>
      <c r="O274" s="28"/>
      <c r="P274" s="31">
        <v>0</v>
      </c>
      <c r="Q274" s="31">
        <v>0</v>
      </c>
      <c r="R274" s="31">
        <v>0</v>
      </c>
      <c r="S274" s="28"/>
      <c r="T274" s="28"/>
      <c r="U274" s="28"/>
      <c r="V274" s="31">
        <v>0</v>
      </c>
      <c r="W274" s="31">
        <v>0</v>
      </c>
      <c r="X274" s="31">
        <v>0</v>
      </c>
      <c r="Y274" s="28" t="s">
        <v>672</v>
      </c>
    </row>
    <row r="275" spans="1:25" x14ac:dyDescent="0.3">
      <c r="A275" s="28" t="s">
        <v>674</v>
      </c>
      <c r="B275" s="28" t="s">
        <v>96</v>
      </c>
      <c r="C275" s="28" t="s">
        <v>217</v>
      </c>
      <c r="D275" s="28" t="s">
        <v>202</v>
      </c>
      <c r="E275" s="28" t="s">
        <v>665</v>
      </c>
      <c r="F275" s="29">
        <v>3</v>
      </c>
      <c r="G275" s="28">
        <v>1</v>
      </c>
      <c r="H275" s="28">
        <v>0</v>
      </c>
      <c r="I275" s="28"/>
      <c r="J275" s="30">
        <v>0.01</v>
      </c>
      <c r="K275" s="28">
        <v>1</v>
      </c>
      <c r="L275" s="28" t="s">
        <v>665</v>
      </c>
      <c r="M275" s="28"/>
      <c r="N275" s="28"/>
      <c r="O275" s="28"/>
      <c r="P275" s="31">
        <v>0</v>
      </c>
      <c r="Q275" s="31">
        <v>0</v>
      </c>
      <c r="R275" s="31">
        <v>0</v>
      </c>
      <c r="S275" s="28"/>
      <c r="T275" s="28"/>
      <c r="U275" s="28"/>
      <c r="V275" s="31">
        <v>0</v>
      </c>
      <c r="W275" s="31">
        <v>0</v>
      </c>
      <c r="X275" s="31">
        <v>0</v>
      </c>
      <c r="Y275" s="28" t="s">
        <v>675</v>
      </c>
    </row>
    <row r="276" spans="1:25" x14ac:dyDescent="0.3">
      <c r="A276" s="28" t="s">
        <v>676</v>
      </c>
      <c r="B276" s="28" t="s">
        <v>96</v>
      </c>
      <c r="C276" s="28" t="s">
        <v>217</v>
      </c>
      <c r="D276" s="28" t="s">
        <v>206</v>
      </c>
      <c r="E276" s="28" t="s">
        <v>665</v>
      </c>
      <c r="F276" s="29">
        <v>3</v>
      </c>
      <c r="G276" s="28">
        <v>1</v>
      </c>
      <c r="H276" s="28">
        <v>0</v>
      </c>
      <c r="I276" s="28"/>
      <c r="J276" s="30">
        <v>4.4999999999999998E-2</v>
      </c>
      <c r="K276" s="28">
        <v>1</v>
      </c>
      <c r="L276" s="28" t="s">
        <v>665</v>
      </c>
      <c r="M276" s="28"/>
      <c r="N276" s="28"/>
      <c r="O276" s="28"/>
      <c r="P276" s="31">
        <v>0</v>
      </c>
      <c r="Q276" s="31">
        <v>0</v>
      </c>
      <c r="R276" s="31">
        <v>0</v>
      </c>
      <c r="S276" s="28"/>
      <c r="T276" s="28"/>
      <c r="U276" s="28"/>
      <c r="V276" s="31">
        <v>0</v>
      </c>
      <c r="W276" s="31">
        <v>0</v>
      </c>
      <c r="X276" s="31">
        <v>0</v>
      </c>
      <c r="Y276" s="28" t="s">
        <v>675</v>
      </c>
    </row>
    <row r="277" spans="1:25" x14ac:dyDescent="0.3">
      <c r="A277" s="28" t="s">
        <v>677</v>
      </c>
      <c r="B277" s="28" t="s">
        <v>96</v>
      </c>
      <c r="C277" s="28" t="s">
        <v>221</v>
      </c>
      <c r="D277" s="28" t="s">
        <v>202</v>
      </c>
      <c r="E277" s="28" t="s">
        <v>665</v>
      </c>
      <c r="F277" s="29">
        <v>4</v>
      </c>
      <c r="G277" s="28">
        <v>1</v>
      </c>
      <c r="H277" s="28">
        <v>0</v>
      </c>
      <c r="I277" s="28"/>
      <c r="J277" s="30">
        <v>0.01</v>
      </c>
      <c r="K277" s="28">
        <v>0</v>
      </c>
      <c r="L277" s="28"/>
      <c r="M277" s="28" t="s">
        <v>261</v>
      </c>
      <c r="N277" s="28" t="s">
        <v>665</v>
      </c>
      <c r="O277" s="28">
        <v>2026</v>
      </c>
      <c r="P277" s="31">
        <v>9050</v>
      </c>
      <c r="Q277" s="31">
        <v>0</v>
      </c>
      <c r="R277" s="31">
        <v>0</v>
      </c>
      <c r="S277" s="28"/>
      <c r="T277" s="28"/>
      <c r="U277" s="28"/>
      <c r="V277" s="31">
        <v>0</v>
      </c>
      <c r="W277" s="31">
        <v>0</v>
      </c>
      <c r="X277" s="31">
        <v>0</v>
      </c>
      <c r="Y277" s="28" t="s">
        <v>678</v>
      </c>
    </row>
    <row r="278" spans="1:25" x14ac:dyDescent="0.3">
      <c r="A278" s="28" t="s">
        <v>679</v>
      </c>
      <c r="B278" s="28" t="s">
        <v>96</v>
      </c>
      <c r="C278" s="28" t="s">
        <v>221</v>
      </c>
      <c r="D278" s="28" t="s">
        <v>206</v>
      </c>
      <c r="E278" s="28" t="s">
        <v>665</v>
      </c>
      <c r="F278" s="29">
        <v>4</v>
      </c>
      <c r="G278" s="28">
        <v>1</v>
      </c>
      <c r="H278" s="28">
        <v>0</v>
      </c>
      <c r="I278" s="28"/>
      <c r="J278" s="30">
        <v>4.4999999999999998E-2</v>
      </c>
      <c r="K278" s="28">
        <v>0</v>
      </c>
      <c r="L278" s="28"/>
      <c r="M278" s="28" t="s">
        <v>261</v>
      </c>
      <c r="N278" s="28" t="s">
        <v>665</v>
      </c>
      <c r="O278" s="28">
        <v>2026</v>
      </c>
      <c r="P278" s="31">
        <v>22500</v>
      </c>
      <c r="Q278" s="31">
        <v>0</v>
      </c>
      <c r="R278" s="31">
        <v>0</v>
      </c>
      <c r="S278" s="28"/>
      <c r="T278" s="28"/>
      <c r="U278" s="28"/>
      <c r="V278" s="31">
        <v>0</v>
      </c>
      <c r="W278" s="31">
        <v>0</v>
      </c>
      <c r="X278" s="31">
        <v>0</v>
      </c>
      <c r="Y278" s="28" t="s">
        <v>678</v>
      </c>
    </row>
    <row r="279" spans="1:25" x14ac:dyDescent="0.3">
      <c r="A279" s="28" t="s">
        <v>680</v>
      </c>
      <c r="B279" s="28" t="s">
        <v>96</v>
      </c>
      <c r="C279" s="28" t="s">
        <v>225</v>
      </c>
      <c r="D279" s="28" t="s">
        <v>202</v>
      </c>
      <c r="E279" s="28" t="s">
        <v>665</v>
      </c>
      <c r="F279" s="29">
        <v>4</v>
      </c>
      <c r="G279" s="28">
        <v>1</v>
      </c>
      <c r="H279" s="28">
        <v>0</v>
      </c>
      <c r="I279" s="28"/>
      <c r="J279" s="30">
        <v>0.01</v>
      </c>
      <c r="K279" s="28">
        <v>2</v>
      </c>
      <c r="L279" s="28" t="s">
        <v>665</v>
      </c>
      <c r="M279" s="28"/>
      <c r="N279" s="28"/>
      <c r="O279" s="28"/>
      <c r="P279" s="31">
        <v>0</v>
      </c>
      <c r="Q279" s="31">
        <v>0</v>
      </c>
      <c r="R279" s="31">
        <v>0</v>
      </c>
      <c r="S279" s="28"/>
      <c r="T279" s="28"/>
      <c r="U279" s="28"/>
      <c r="V279" s="31">
        <v>0</v>
      </c>
      <c r="W279" s="31">
        <v>0</v>
      </c>
      <c r="X279" s="31">
        <v>0</v>
      </c>
      <c r="Y279" s="28" t="s">
        <v>681</v>
      </c>
    </row>
    <row r="280" spans="1:25" x14ac:dyDescent="0.3">
      <c r="A280" s="28" t="s">
        <v>682</v>
      </c>
      <c r="B280" s="28" t="s">
        <v>96</v>
      </c>
      <c r="C280" s="28" t="s">
        <v>225</v>
      </c>
      <c r="D280" s="28" t="s">
        <v>206</v>
      </c>
      <c r="E280" s="28" t="s">
        <v>665</v>
      </c>
      <c r="F280" s="29">
        <v>4</v>
      </c>
      <c r="G280" s="28">
        <v>1</v>
      </c>
      <c r="H280" s="28">
        <v>0</v>
      </c>
      <c r="I280" s="28"/>
      <c r="J280" s="30">
        <v>4.4999999999999998E-2</v>
      </c>
      <c r="K280" s="28">
        <v>2</v>
      </c>
      <c r="L280" s="28" t="s">
        <v>665</v>
      </c>
      <c r="M280" s="28"/>
      <c r="N280" s="28"/>
      <c r="O280" s="28"/>
      <c r="P280" s="31">
        <v>0</v>
      </c>
      <c r="Q280" s="31">
        <v>0</v>
      </c>
      <c r="R280" s="31">
        <v>0</v>
      </c>
      <c r="S280" s="28"/>
      <c r="T280" s="28"/>
      <c r="U280" s="28"/>
      <c r="V280" s="31">
        <v>0</v>
      </c>
      <c r="W280" s="31">
        <v>0</v>
      </c>
      <c r="X280" s="31">
        <v>0</v>
      </c>
      <c r="Y280" s="28" t="s">
        <v>681</v>
      </c>
    </row>
    <row r="281" spans="1:25" x14ac:dyDescent="0.3">
      <c r="A281" s="28" t="s">
        <v>683</v>
      </c>
      <c r="B281" s="28" t="s">
        <v>96</v>
      </c>
      <c r="C281" s="28" t="s">
        <v>230</v>
      </c>
      <c r="D281" s="28" t="s">
        <v>202</v>
      </c>
      <c r="E281" s="28" t="s">
        <v>665</v>
      </c>
      <c r="F281" s="29">
        <v>4</v>
      </c>
      <c r="G281" s="28">
        <v>1</v>
      </c>
      <c r="H281" s="28">
        <v>0</v>
      </c>
      <c r="I281" s="28"/>
      <c r="J281" s="30">
        <v>0.01</v>
      </c>
      <c r="K281" s="28">
        <v>2</v>
      </c>
      <c r="L281" s="28" t="s">
        <v>665</v>
      </c>
      <c r="M281" s="28"/>
      <c r="N281" s="28"/>
      <c r="O281" s="28"/>
      <c r="P281" s="31">
        <v>0</v>
      </c>
      <c r="Q281" s="31">
        <v>0</v>
      </c>
      <c r="R281" s="31">
        <v>0</v>
      </c>
      <c r="S281" s="28"/>
      <c r="T281" s="28"/>
      <c r="U281" s="28"/>
      <c r="V281" s="31">
        <v>0</v>
      </c>
      <c r="W281" s="31">
        <v>0</v>
      </c>
      <c r="X281" s="31">
        <v>0</v>
      </c>
      <c r="Y281" s="28" t="s">
        <v>684</v>
      </c>
    </row>
    <row r="282" spans="1:25" x14ac:dyDescent="0.3">
      <c r="A282" s="28" t="s">
        <v>685</v>
      </c>
      <c r="B282" s="28" t="s">
        <v>96</v>
      </c>
      <c r="C282" s="28" t="s">
        <v>230</v>
      </c>
      <c r="D282" s="28" t="s">
        <v>206</v>
      </c>
      <c r="E282" s="28" t="s">
        <v>665</v>
      </c>
      <c r="F282" s="29">
        <v>4</v>
      </c>
      <c r="G282" s="28">
        <v>1</v>
      </c>
      <c r="H282" s="28">
        <v>0</v>
      </c>
      <c r="I282" s="28"/>
      <c r="J282" s="30">
        <v>4.4999999999999998E-2</v>
      </c>
      <c r="K282" s="28">
        <v>2</v>
      </c>
      <c r="L282" s="28" t="s">
        <v>665</v>
      </c>
      <c r="M282" s="28"/>
      <c r="N282" s="28"/>
      <c r="O282" s="28"/>
      <c r="P282" s="31">
        <v>0</v>
      </c>
      <c r="Q282" s="31">
        <v>0</v>
      </c>
      <c r="R282" s="31">
        <v>0</v>
      </c>
      <c r="S282" s="28"/>
      <c r="T282" s="28"/>
      <c r="U282" s="28"/>
      <c r="V282" s="31">
        <v>0</v>
      </c>
      <c r="W282" s="31">
        <v>0</v>
      </c>
      <c r="X282" s="31">
        <v>0</v>
      </c>
      <c r="Y282" s="28" t="s">
        <v>684</v>
      </c>
    </row>
    <row r="283" spans="1:25" x14ac:dyDescent="0.3">
      <c r="A283" s="28" t="s">
        <v>686</v>
      </c>
      <c r="B283" s="28" t="s">
        <v>96</v>
      </c>
      <c r="C283" s="28" t="s">
        <v>235</v>
      </c>
      <c r="D283" s="28" t="s">
        <v>202</v>
      </c>
      <c r="E283" s="28" t="s">
        <v>665</v>
      </c>
      <c r="F283" s="29">
        <v>4</v>
      </c>
      <c r="G283" s="28">
        <v>1</v>
      </c>
      <c r="H283" s="28">
        <v>0</v>
      </c>
      <c r="I283" s="28"/>
      <c r="J283" s="30">
        <v>0.01</v>
      </c>
      <c r="K283" s="28">
        <v>1</v>
      </c>
      <c r="L283" s="28" t="s">
        <v>665</v>
      </c>
      <c r="M283" s="28"/>
      <c r="N283" s="28"/>
      <c r="O283" s="28"/>
      <c r="P283" s="31">
        <v>0</v>
      </c>
      <c r="Q283" s="31">
        <v>0</v>
      </c>
      <c r="R283" s="31">
        <v>0</v>
      </c>
      <c r="S283" s="28"/>
      <c r="T283" s="28"/>
      <c r="U283" s="28"/>
      <c r="V283" s="31">
        <v>0</v>
      </c>
      <c r="W283" s="31">
        <v>0</v>
      </c>
      <c r="X283" s="31">
        <v>0</v>
      </c>
      <c r="Y283" s="28" t="s">
        <v>687</v>
      </c>
    </row>
    <row r="284" spans="1:25" x14ac:dyDescent="0.3">
      <c r="A284" s="28" t="s">
        <v>688</v>
      </c>
      <c r="B284" s="28" t="s">
        <v>96</v>
      </c>
      <c r="C284" s="28" t="s">
        <v>235</v>
      </c>
      <c r="D284" s="28" t="s">
        <v>206</v>
      </c>
      <c r="E284" s="28" t="s">
        <v>665</v>
      </c>
      <c r="F284" s="29">
        <v>4</v>
      </c>
      <c r="G284" s="28">
        <v>1</v>
      </c>
      <c r="H284" s="28">
        <v>0</v>
      </c>
      <c r="I284" s="28"/>
      <c r="J284" s="30">
        <v>4.4999999999999998E-2</v>
      </c>
      <c r="K284" s="28">
        <v>1</v>
      </c>
      <c r="L284" s="28" t="s">
        <v>665</v>
      </c>
      <c r="M284" s="28"/>
      <c r="N284" s="28"/>
      <c r="O284" s="28"/>
      <c r="P284" s="31">
        <v>0</v>
      </c>
      <c r="Q284" s="31">
        <v>0</v>
      </c>
      <c r="R284" s="31">
        <v>0</v>
      </c>
      <c r="S284" s="28"/>
      <c r="T284" s="28"/>
      <c r="U284" s="28"/>
      <c r="V284" s="31">
        <v>0</v>
      </c>
      <c r="W284" s="31">
        <v>0</v>
      </c>
      <c r="X284" s="31">
        <v>0</v>
      </c>
      <c r="Y284" s="28" t="s">
        <v>687</v>
      </c>
    </row>
    <row r="285" spans="1:25" x14ac:dyDescent="0.3">
      <c r="A285" s="28" t="s">
        <v>689</v>
      </c>
      <c r="B285" s="28" t="s">
        <v>96</v>
      </c>
      <c r="C285" s="28" t="s">
        <v>240</v>
      </c>
      <c r="D285" s="28" t="s">
        <v>202</v>
      </c>
      <c r="E285" s="28" t="s">
        <v>665</v>
      </c>
      <c r="F285" s="29">
        <v>4</v>
      </c>
      <c r="G285" s="28">
        <v>1</v>
      </c>
      <c r="H285" s="28">
        <v>0</v>
      </c>
      <c r="I285" s="28"/>
      <c r="J285" s="30">
        <v>0.01</v>
      </c>
      <c r="K285" s="28">
        <v>1</v>
      </c>
      <c r="L285" s="28" t="s">
        <v>665</v>
      </c>
      <c r="M285" s="28"/>
      <c r="N285" s="28"/>
      <c r="O285" s="28"/>
      <c r="P285" s="31">
        <v>0</v>
      </c>
      <c r="Q285" s="31">
        <v>0</v>
      </c>
      <c r="R285" s="31">
        <v>0</v>
      </c>
      <c r="S285" s="28"/>
      <c r="T285" s="28"/>
      <c r="U285" s="28"/>
      <c r="V285" s="31">
        <v>0</v>
      </c>
      <c r="W285" s="31">
        <v>0</v>
      </c>
      <c r="X285" s="31">
        <v>0</v>
      </c>
      <c r="Y285" s="28" t="s">
        <v>687</v>
      </c>
    </row>
    <row r="286" spans="1:25" x14ac:dyDescent="0.3">
      <c r="A286" s="28" t="s">
        <v>690</v>
      </c>
      <c r="B286" s="28" t="s">
        <v>96</v>
      </c>
      <c r="C286" s="28" t="s">
        <v>240</v>
      </c>
      <c r="D286" s="28" t="s">
        <v>206</v>
      </c>
      <c r="E286" s="28" t="s">
        <v>665</v>
      </c>
      <c r="F286" s="29">
        <v>4</v>
      </c>
      <c r="G286" s="28">
        <v>1</v>
      </c>
      <c r="H286" s="28">
        <v>0</v>
      </c>
      <c r="I286" s="28"/>
      <c r="J286" s="30">
        <v>4.4999999999999998E-2</v>
      </c>
      <c r="K286" s="28">
        <v>1</v>
      </c>
      <c r="L286" s="28" t="s">
        <v>665</v>
      </c>
      <c r="M286" s="28"/>
      <c r="N286" s="28"/>
      <c r="O286" s="28"/>
      <c r="P286" s="31">
        <v>0</v>
      </c>
      <c r="Q286" s="31">
        <v>0</v>
      </c>
      <c r="R286" s="31">
        <v>0</v>
      </c>
      <c r="S286" s="28"/>
      <c r="T286" s="28"/>
      <c r="U286" s="28"/>
      <c r="V286" s="31">
        <v>0</v>
      </c>
      <c r="W286" s="31">
        <v>0</v>
      </c>
      <c r="X286" s="31">
        <v>0</v>
      </c>
      <c r="Y286" s="28" t="s">
        <v>687</v>
      </c>
    </row>
    <row r="287" spans="1:25" x14ac:dyDescent="0.3">
      <c r="A287" s="28" t="s">
        <v>691</v>
      </c>
      <c r="B287" s="28" t="s">
        <v>96</v>
      </c>
      <c r="C287" s="28" t="s">
        <v>245</v>
      </c>
      <c r="D287" s="28" t="s">
        <v>202</v>
      </c>
      <c r="E287" s="28" t="s">
        <v>665</v>
      </c>
      <c r="F287" s="29">
        <v>4</v>
      </c>
      <c r="G287" s="28">
        <v>1</v>
      </c>
      <c r="H287" s="28">
        <v>0</v>
      </c>
      <c r="I287" s="28"/>
      <c r="J287" s="30">
        <v>0.01</v>
      </c>
      <c r="K287" s="28">
        <v>2</v>
      </c>
      <c r="L287" s="28" t="s">
        <v>665</v>
      </c>
      <c r="M287" s="28"/>
      <c r="N287" s="28"/>
      <c r="O287" s="28"/>
      <c r="P287" s="31">
        <v>0</v>
      </c>
      <c r="Q287" s="31">
        <v>0</v>
      </c>
      <c r="R287" s="31">
        <v>0</v>
      </c>
      <c r="S287" s="28"/>
      <c r="T287" s="28"/>
      <c r="U287" s="28"/>
      <c r="V287" s="31">
        <v>0</v>
      </c>
      <c r="W287" s="31">
        <v>0</v>
      </c>
      <c r="X287" s="31">
        <v>0</v>
      </c>
      <c r="Y287" s="28" t="s">
        <v>692</v>
      </c>
    </row>
    <row r="288" spans="1:25" x14ac:dyDescent="0.3">
      <c r="A288" s="28" t="s">
        <v>693</v>
      </c>
      <c r="B288" s="28" t="s">
        <v>96</v>
      </c>
      <c r="C288" s="28" t="s">
        <v>245</v>
      </c>
      <c r="D288" s="28" t="s">
        <v>206</v>
      </c>
      <c r="E288" s="28" t="s">
        <v>665</v>
      </c>
      <c r="F288" s="29">
        <v>4</v>
      </c>
      <c r="G288" s="28">
        <v>1</v>
      </c>
      <c r="H288" s="28">
        <v>0</v>
      </c>
      <c r="I288" s="28"/>
      <c r="J288" s="30">
        <v>4.4999999999999998E-2</v>
      </c>
      <c r="K288" s="28">
        <v>2</v>
      </c>
      <c r="L288" s="28" t="s">
        <v>665</v>
      </c>
      <c r="M288" s="28"/>
      <c r="N288" s="28"/>
      <c r="O288" s="28"/>
      <c r="P288" s="31">
        <v>0</v>
      </c>
      <c r="Q288" s="31">
        <v>0</v>
      </c>
      <c r="R288" s="31">
        <v>0</v>
      </c>
      <c r="S288" s="28"/>
      <c r="T288" s="28"/>
      <c r="U288" s="28"/>
      <c r="V288" s="31">
        <v>0</v>
      </c>
      <c r="W288" s="31">
        <v>0</v>
      </c>
      <c r="X288" s="31">
        <v>0</v>
      </c>
      <c r="Y288" s="28" t="s">
        <v>692</v>
      </c>
    </row>
    <row r="289" spans="1:25" x14ac:dyDescent="0.3">
      <c r="A289" s="28" t="s">
        <v>694</v>
      </c>
      <c r="B289" s="28" t="s">
        <v>96</v>
      </c>
      <c r="C289" s="28" t="s">
        <v>250</v>
      </c>
      <c r="D289" s="28" t="s">
        <v>202</v>
      </c>
      <c r="E289" s="28" t="s">
        <v>665</v>
      </c>
      <c r="F289" s="29">
        <v>4</v>
      </c>
      <c r="G289" s="28">
        <v>1</v>
      </c>
      <c r="H289" s="28">
        <v>0</v>
      </c>
      <c r="I289" s="28"/>
      <c r="J289" s="30">
        <v>0.01</v>
      </c>
      <c r="K289" s="28">
        <v>1</v>
      </c>
      <c r="L289" s="28" t="s">
        <v>665</v>
      </c>
      <c r="M289" s="28"/>
      <c r="N289" s="28"/>
      <c r="O289" s="28"/>
      <c r="P289" s="31">
        <v>0</v>
      </c>
      <c r="Q289" s="31">
        <v>0</v>
      </c>
      <c r="R289" s="31">
        <v>0</v>
      </c>
      <c r="S289" s="28"/>
      <c r="T289" s="28"/>
      <c r="U289" s="28"/>
      <c r="V289" s="31">
        <v>0</v>
      </c>
      <c r="W289" s="31">
        <v>0</v>
      </c>
      <c r="X289" s="31">
        <v>0</v>
      </c>
      <c r="Y289" s="28" t="s">
        <v>695</v>
      </c>
    </row>
    <row r="290" spans="1:25" x14ac:dyDescent="0.3">
      <c r="A290" s="28" t="s">
        <v>696</v>
      </c>
      <c r="B290" s="28" t="s">
        <v>96</v>
      </c>
      <c r="C290" s="28" t="s">
        <v>250</v>
      </c>
      <c r="D290" s="28" t="s">
        <v>206</v>
      </c>
      <c r="E290" s="28" t="s">
        <v>665</v>
      </c>
      <c r="F290" s="29">
        <v>4</v>
      </c>
      <c r="G290" s="28">
        <v>1</v>
      </c>
      <c r="H290" s="28">
        <v>0</v>
      </c>
      <c r="I290" s="28"/>
      <c r="J290" s="30">
        <v>4.4999999999999998E-2</v>
      </c>
      <c r="K290" s="28">
        <v>1</v>
      </c>
      <c r="L290" s="28" t="s">
        <v>665</v>
      </c>
      <c r="M290" s="28"/>
      <c r="N290" s="28"/>
      <c r="O290" s="28"/>
      <c r="P290" s="31">
        <v>0</v>
      </c>
      <c r="Q290" s="31">
        <v>0</v>
      </c>
      <c r="R290" s="31">
        <v>0</v>
      </c>
      <c r="S290" s="28"/>
      <c r="T290" s="28"/>
      <c r="U290" s="28"/>
      <c r="V290" s="31">
        <v>0</v>
      </c>
      <c r="W290" s="31">
        <v>0</v>
      </c>
      <c r="X290" s="31">
        <v>0</v>
      </c>
      <c r="Y290" s="28" t="s">
        <v>695</v>
      </c>
    </row>
    <row r="291" spans="1:25" x14ac:dyDescent="0.3">
      <c r="A291" s="28" t="s">
        <v>697</v>
      </c>
      <c r="B291" s="28" t="s">
        <v>96</v>
      </c>
      <c r="C291" s="28" t="s">
        <v>255</v>
      </c>
      <c r="D291" s="28" t="s">
        <v>202</v>
      </c>
      <c r="E291" s="28" t="s">
        <v>665</v>
      </c>
      <c r="F291" s="29">
        <v>4</v>
      </c>
      <c r="G291" s="28">
        <v>1</v>
      </c>
      <c r="H291" s="28">
        <v>0</v>
      </c>
      <c r="I291" s="28"/>
      <c r="J291" s="30">
        <v>0.01</v>
      </c>
      <c r="K291" s="28">
        <v>2</v>
      </c>
      <c r="L291" s="28" t="s">
        <v>665</v>
      </c>
      <c r="M291" s="28"/>
      <c r="N291" s="28"/>
      <c r="O291" s="28"/>
      <c r="P291" s="31">
        <v>0</v>
      </c>
      <c r="Q291" s="31">
        <v>0</v>
      </c>
      <c r="R291" s="31">
        <v>0</v>
      </c>
      <c r="S291" s="28"/>
      <c r="T291" s="28"/>
      <c r="U291" s="28"/>
      <c r="V291" s="31">
        <v>0</v>
      </c>
      <c r="W291" s="31">
        <v>0</v>
      </c>
      <c r="X291" s="31">
        <v>0</v>
      </c>
      <c r="Y291" s="28" t="s">
        <v>692</v>
      </c>
    </row>
    <row r="292" spans="1:25" x14ac:dyDescent="0.3">
      <c r="A292" s="28" t="s">
        <v>698</v>
      </c>
      <c r="B292" s="28" t="s">
        <v>96</v>
      </c>
      <c r="C292" s="28" t="s">
        <v>255</v>
      </c>
      <c r="D292" s="28" t="s">
        <v>206</v>
      </c>
      <c r="E292" s="28" t="s">
        <v>665</v>
      </c>
      <c r="F292" s="29">
        <v>4</v>
      </c>
      <c r="G292" s="28">
        <v>1</v>
      </c>
      <c r="H292" s="28">
        <v>0</v>
      </c>
      <c r="I292" s="28"/>
      <c r="J292" s="30">
        <v>4.4999999999999998E-2</v>
      </c>
      <c r="K292" s="28">
        <v>2</v>
      </c>
      <c r="L292" s="28" t="s">
        <v>665</v>
      </c>
      <c r="M292" s="28"/>
      <c r="N292" s="28"/>
      <c r="O292" s="28"/>
      <c r="P292" s="31">
        <v>0</v>
      </c>
      <c r="Q292" s="31">
        <v>0</v>
      </c>
      <c r="R292" s="31">
        <v>0</v>
      </c>
      <c r="S292" s="28"/>
      <c r="T292" s="28"/>
      <c r="U292" s="28"/>
      <c r="V292" s="31">
        <v>0</v>
      </c>
      <c r="W292" s="31">
        <v>0</v>
      </c>
      <c r="X292" s="31">
        <v>0</v>
      </c>
      <c r="Y292" s="28" t="s">
        <v>692</v>
      </c>
    </row>
    <row r="293" spans="1:25" x14ac:dyDescent="0.3">
      <c r="A293" s="28" t="s">
        <v>699</v>
      </c>
      <c r="B293" s="28" t="s">
        <v>96</v>
      </c>
      <c r="C293" s="28" t="s">
        <v>260</v>
      </c>
      <c r="D293" s="28" t="s">
        <v>202</v>
      </c>
      <c r="E293" s="28" t="s">
        <v>665</v>
      </c>
      <c r="F293" s="29">
        <v>4</v>
      </c>
      <c r="G293" s="28">
        <v>1</v>
      </c>
      <c r="H293" s="28">
        <v>0</v>
      </c>
      <c r="I293" s="28"/>
      <c r="J293" s="30">
        <v>0.01</v>
      </c>
      <c r="K293" s="28">
        <v>2</v>
      </c>
      <c r="L293" s="28" t="s">
        <v>665</v>
      </c>
      <c r="M293" s="28"/>
      <c r="N293" s="28"/>
      <c r="O293" s="28"/>
      <c r="P293" s="31">
        <v>0</v>
      </c>
      <c r="Q293" s="31">
        <v>0</v>
      </c>
      <c r="R293" s="31">
        <v>0</v>
      </c>
      <c r="S293" s="28"/>
      <c r="T293" s="28"/>
      <c r="U293" s="28"/>
      <c r="V293" s="31">
        <v>0</v>
      </c>
      <c r="W293" s="31">
        <v>0</v>
      </c>
      <c r="X293" s="31">
        <v>0</v>
      </c>
      <c r="Y293" s="28" t="s">
        <v>692</v>
      </c>
    </row>
    <row r="294" spans="1:25" x14ac:dyDescent="0.3">
      <c r="A294" s="28" t="s">
        <v>700</v>
      </c>
      <c r="B294" s="28" t="s">
        <v>96</v>
      </c>
      <c r="C294" s="28" t="s">
        <v>260</v>
      </c>
      <c r="D294" s="28" t="s">
        <v>206</v>
      </c>
      <c r="E294" s="28" t="s">
        <v>665</v>
      </c>
      <c r="F294" s="29">
        <v>4</v>
      </c>
      <c r="G294" s="28">
        <v>1</v>
      </c>
      <c r="H294" s="28">
        <v>0</v>
      </c>
      <c r="I294" s="28"/>
      <c r="J294" s="30">
        <v>4.4999999999999998E-2</v>
      </c>
      <c r="K294" s="28">
        <v>2</v>
      </c>
      <c r="L294" s="28" t="s">
        <v>665</v>
      </c>
      <c r="M294" s="28"/>
      <c r="N294" s="28"/>
      <c r="O294" s="28"/>
      <c r="P294" s="31">
        <v>0</v>
      </c>
      <c r="Q294" s="31">
        <v>0</v>
      </c>
      <c r="R294" s="31">
        <v>0</v>
      </c>
      <c r="S294" s="28"/>
      <c r="T294" s="28"/>
      <c r="U294" s="28"/>
      <c r="V294" s="31">
        <v>0</v>
      </c>
      <c r="W294" s="31">
        <v>0</v>
      </c>
      <c r="X294" s="31">
        <v>0</v>
      </c>
      <c r="Y294" s="28" t="s">
        <v>692</v>
      </c>
    </row>
    <row r="295" spans="1:25" x14ac:dyDescent="0.3">
      <c r="A295" s="28" t="s">
        <v>701</v>
      </c>
      <c r="B295" s="28" t="s">
        <v>96</v>
      </c>
      <c r="C295" s="28" t="s">
        <v>265</v>
      </c>
      <c r="D295" s="28" t="s">
        <v>202</v>
      </c>
      <c r="E295" s="28" t="s">
        <v>665</v>
      </c>
      <c r="F295" s="29">
        <v>4</v>
      </c>
      <c r="G295" s="28">
        <v>1</v>
      </c>
      <c r="H295" s="28">
        <v>0</v>
      </c>
      <c r="I295" s="28"/>
      <c r="J295" s="30">
        <v>0.01</v>
      </c>
      <c r="K295" s="28">
        <v>2</v>
      </c>
      <c r="L295" s="28" t="s">
        <v>665</v>
      </c>
      <c r="M295" s="28"/>
      <c r="N295" s="28"/>
      <c r="O295" s="28"/>
      <c r="P295" s="31">
        <v>0</v>
      </c>
      <c r="Q295" s="31">
        <v>0</v>
      </c>
      <c r="R295" s="31">
        <v>0</v>
      </c>
      <c r="S295" s="28"/>
      <c r="T295" s="28"/>
      <c r="U295" s="28"/>
      <c r="V295" s="31">
        <v>0</v>
      </c>
      <c r="W295" s="31">
        <v>0</v>
      </c>
      <c r="X295" s="31">
        <v>0</v>
      </c>
      <c r="Y295" s="28" t="s">
        <v>702</v>
      </c>
    </row>
    <row r="296" spans="1:25" x14ac:dyDescent="0.3">
      <c r="A296" s="28" t="s">
        <v>703</v>
      </c>
      <c r="B296" s="28" t="s">
        <v>96</v>
      </c>
      <c r="C296" s="28" t="s">
        <v>265</v>
      </c>
      <c r="D296" s="28" t="s">
        <v>206</v>
      </c>
      <c r="E296" s="28" t="s">
        <v>665</v>
      </c>
      <c r="F296" s="29">
        <v>4</v>
      </c>
      <c r="G296" s="28">
        <v>1</v>
      </c>
      <c r="H296" s="28">
        <v>0</v>
      </c>
      <c r="I296" s="28"/>
      <c r="J296" s="30">
        <v>4.4999999999999998E-2</v>
      </c>
      <c r="K296" s="28">
        <v>2</v>
      </c>
      <c r="L296" s="28" t="s">
        <v>665</v>
      </c>
      <c r="M296" s="28"/>
      <c r="N296" s="28"/>
      <c r="O296" s="28"/>
      <c r="P296" s="31">
        <v>0</v>
      </c>
      <c r="Q296" s="31">
        <v>0</v>
      </c>
      <c r="R296" s="31">
        <v>0</v>
      </c>
      <c r="S296" s="28"/>
      <c r="T296" s="28"/>
      <c r="U296" s="28"/>
      <c r="V296" s="31">
        <v>0</v>
      </c>
      <c r="W296" s="31">
        <v>0</v>
      </c>
      <c r="X296" s="31">
        <v>0</v>
      </c>
      <c r="Y296" s="28" t="s">
        <v>702</v>
      </c>
    </row>
    <row r="297" spans="1:25" x14ac:dyDescent="0.3">
      <c r="A297" s="28" t="s">
        <v>704</v>
      </c>
      <c r="B297" s="28" t="s">
        <v>96</v>
      </c>
      <c r="C297" s="28" t="s">
        <v>270</v>
      </c>
      <c r="D297" s="28" t="s">
        <v>202</v>
      </c>
      <c r="E297" s="28" t="s">
        <v>665</v>
      </c>
      <c r="F297" s="29">
        <v>3</v>
      </c>
      <c r="G297" s="28">
        <v>1</v>
      </c>
      <c r="H297" s="28">
        <v>0</v>
      </c>
      <c r="I297" s="28"/>
      <c r="J297" s="30">
        <v>0.01</v>
      </c>
      <c r="K297" s="28">
        <v>0</v>
      </c>
      <c r="L297" s="28"/>
      <c r="M297" s="28" t="s">
        <v>261</v>
      </c>
      <c r="N297" s="28" t="s">
        <v>271</v>
      </c>
      <c r="O297" s="28">
        <v>2026</v>
      </c>
      <c r="P297" s="31">
        <v>876</v>
      </c>
      <c r="Q297" s="31">
        <v>0</v>
      </c>
      <c r="R297" s="31">
        <v>89</v>
      </c>
      <c r="S297" s="28"/>
      <c r="T297" s="28"/>
      <c r="U297" s="28"/>
      <c r="V297" s="31">
        <v>0</v>
      </c>
      <c r="W297" s="31">
        <v>0</v>
      </c>
      <c r="X297" s="31">
        <v>0</v>
      </c>
      <c r="Y297" s="28" t="s">
        <v>510</v>
      </c>
    </row>
    <row r="298" spans="1:25" x14ac:dyDescent="0.3">
      <c r="A298" s="28" t="s">
        <v>705</v>
      </c>
      <c r="B298" s="28" t="s">
        <v>96</v>
      </c>
      <c r="C298" s="28" t="s">
        <v>270</v>
      </c>
      <c r="D298" s="28" t="s">
        <v>206</v>
      </c>
      <c r="E298" s="28" t="s">
        <v>665</v>
      </c>
      <c r="F298" s="29">
        <v>3</v>
      </c>
      <c r="G298" s="28">
        <v>1</v>
      </c>
      <c r="H298" s="28">
        <v>0</v>
      </c>
      <c r="I298" s="28"/>
      <c r="J298" s="30">
        <v>4.4999999999999998E-2</v>
      </c>
      <c r="K298" s="28">
        <v>0</v>
      </c>
      <c r="L298" s="28"/>
      <c r="M298" s="28" t="s">
        <v>261</v>
      </c>
      <c r="N298" s="28" t="s">
        <v>271</v>
      </c>
      <c r="O298" s="28">
        <v>2026</v>
      </c>
      <c r="P298" s="31">
        <v>876</v>
      </c>
      <c r="Q298" s="31">
        <v>0</v>
      </c>
      <c r="R298" s="31">
        <v>89</v>
      </c>
      <c r="S298" s="28"/>
      <c r="T298" s="28"/>
      <c r="U298" s="28"/>
      <c r="V298" s="31">
        <v>0</v>
      </c>
      <c r="W298" s="31">
        <v>0</v>
      </c>
      <c r="X298" s="31">
        <v>0</v>
      </c>
      <c r="Y298" s="28" t="s">
        <v>510</v>
      </c>
    </row>
    <row r="299" spans="1:25" x14ac:dyDescent="0.3">
      <c r="A299" s="28" t="s">
        <v>706</v>
      </c>
      <c r="B299" s="28" t="s">
        <v>96</v>
      </c>
      <c r="C299" s="28" t="s">
        <v>275</v>
      </c>
      <c r="D299" s="28" t="s">
        <v>202</v>
      </c>
      <c r="E299" s="28" t="s">
        <v>665</v>
      </c>
      <c r="F299" s="29">
        <v>0</v>
      </c>
      <c r="G299" s="28">
        <v>0</v>
      </c>
      <c r="H299" s="28">
        <v>0</v>
      </c>
      <c r="I299" s="28"/>
      <c r="J299" s="30">
        <v>0.01</v>
      </c>
      <c r="K299" s="28">
        <v>0</v>
      </c>
      <c r="L299" s="28"/>
      <c r="M299" s="28" t="s">
        <v>276</v>
      </c>
      <c r="N299" s="28" t="s">
        <v>665</v>
      </c>
      <c r="O299" s="28">
        <v>2026</v>
      </c>
      <c r="P299" s="31">
        <v>0</v>
      </c>
      <c r="Q299" s="31">
        <v>0</v>
      </c>
      <c r="R299" s="31">
        <v>0</v>
      </c>
      <c r="S299" s="28"/>
      <c r="T299" s="28"/>
      <c r="U299" s="28"/>
      <c r="V299" s="31">
        <v>0</v>
      </c>
      <c r="W299" s="31">
        <v>0</v>
      </c>
      <c r="X299" s="31">
        <v>0</v>
      </c>
      <c r="Y299" s="28" t="s">
        <v>277</v>
      </c>
    </row>
    <row r="300" spans="1:25" x14ac:dyDescent="0.3">
      <c r="A300" s="28" t="s">
        <v>707</v>
      </c>
      <c r="B300" s="28" t="s">
        <v>96</v>
      </c>
      <c r="C300" s="28" t="s">
        <v>275</v>
      </c>
      <c r="D300" s="28" t="s">
        <v>206</v>
      </c>
      <c r="E300" s="28" t="s">
        <v>665</v>
      </c>
      <c r="F300" s="29">
        <v>0</v>
      </c>
      <c r="G300" s="28">
        <v>0</v>
      </c>
      <c r="H300" s="28">
        <v>0</v>
      </c>
      <c r="I300" s="28"/>
      <c r="J300" s="30">
        <v>4.4999999999999998E-2</v>
      </c>
      <c r="K300" s="28">
        <v>0</v>
      </c>
      <c r="L300" s="28"/>
      <c r="M300" s="28" t="s">
        <v>276</v>
      </c>
      <c r="N300" s="28" t="s">
        <v>665</v>
      </c>
      <c r="O300" s="28">
        <v>2026</v>
      </c>
      <c r="P300" s="31">
        <v>0</v>
      </c>
      <c r="Q300" s="31">
        <v>0</v>
      </c>
      <c r="R300" s="31">
        <v>0</v>
      </c>
      <c r="S300" s="28"/>
      <c r="T300" s="28"/>
      <c r="U300" s="28"/>
      <c r="V300" s="31">
        <v>0</v>
      </c>
      <c r="W300" s="31">
        <v>0</v>
      </c>
      <c r="X300" s="31">
        <v>0</v>
      </c>
      <c r="Y300" s="28" t="s">
        <v>277</v>
      </c>
    </row>
    <row r="301" spans="1:25" x14ac:dyDescent="0.3">
      <c r="A301" s="28" t="s">
        <v>708</v>
      </c>
      <c r="B301" s="28" t="s">
        <v>96</v>
      </c>
      <c r="C301" s="28" t="s">
        <v>280</v>
      </c>
      <c r="D301" s="28" t="s">
        <v>202</v>
      </c>
      <c r="E301" s="28" t="s">
        <v>665</v>
      </c>
      <c r="F301" s="29">
        <v>6</v>
      </c>
      <c r="G301" s="28">
        <v>1</v>
      </c>
      <c r="H301" s="28">
        <v>4</v>
      </c>
      <c r="I301" s="28" t="s">
        <v>265</v>
      </c>
      <c r="J301" s="30">
        <v>0.01</v>
      </c>
      <c r="K301" s="28">
        <v>0</v>
      </c>
      <c r="L301" s="28"/>
      <c r="M301" s="28" t="s">
        <v>261</v>
      </c>
      <c r="N301" s="28" t="s">
        <v>665</v>
      </c>
      <c r="O301" s="28">
        <v>2026</v>
      </c>
      <c r="P301" s="31">
        <v>2657</v>
      </c>
      <c r="Q301" s="31">
        <v>0</v>
      </c>
      <c r="R301" s="31">
        <v>0</v>
      </c>
      <c r="S301" s="28" t="s">
        <v>389</v>
      </c>
      <c r="T301" s="28" t="s">
        <v>665</v>
      </c>
      <c r="U301" s="28">
        <v>2026</v>
      </c>
      <c r="V301" s="31">
        <v>9600</v>
      </c>
      <c r="W301" s="31">
        <v>0</v>
      </c>
      <c r="X301" s="31">
        <v>0</v>
      </c>
      <c r="Y301" s="28" t="s">
        <v>709</v>
      </c>
    </row>
    <row r="302" spans="1:25" x14ac:dyDescent="0.3">
      <c r="A302" s="28" t="s">
        <v>710</v>
      </c>
      <c r="B302" s="28" t="s">
        <v>96</v>
      </c>
      <c r="C302" s="28" t="s">
        <v>280</v>
      </c>
      <c r="D302" s="28" t="s">
        <v>206</v>
      </c>
      <c r="E302" s="28" t="s">
        <v>665</v>
      </c>
      <c r="F302" s="29">
        <v>6</v>
      </c>
      <c r="G302" s="28">
        <v>1</v>
      </c>
      <c r="H302" s="28">
        <v>4</v>
      </c>
      <c r="I302" s="28" t="s">
        <v>265</v>
      </c>
      <c r="J302" s="30">
        <v>4.4999999999999998E-2</v>
      </c>
      <c r="K302" s="28">
        <v>0</v>
      </c>
      <c r="L302" s="28"/>
      <c r="M302" s="28" t="s">
        <v>261</v>
      </c>
      <c r="N302" s="28" t="s">
        <v>665</v>
      </c>
      <c r="O302" s="28">
        <v>2026</v>
      </c>
      <c r="P302" s="31">
        <v>2657</v>
      </c>
      <c r="Q302" s="31">
        <v>0</v>
      </c>
      <c r="R302" s="31">
        <v>0</v>
      </c>
      <c r="S302" s="28" t="s">
        <v>389</v>
      </c>
      <c r="T302" s="28" t="s">
        <v>665</v>
      </c>
      <c r="U302" s="28">
        <v>2026</v>
      </c>
      <c r="V302" s="31">
        <v>22000</v>
      </c>
      <c r="W302" s="31">
        <v>0</v>
      </c>
      <c r="X302" s="31">
        <v>0</v>
      </c>
      <c r="Y302" s="28" t="s">
        <v>709</v>
      </c>
    </row>
    <row r="303" spans="1:25" x14ac:dyDescent="0.3">
      <c r="A303" s="28" t="s">
        <v>711</v>
      </c>
      <c r="B303" s="28" t="s">
        <v>96</v>
      </c>
      <c r="C303" s="28" t="s">
        <v>284</v>
      </c>
      <c r="D303" s="28" t="s">
        <v>202</v>
      </c>
      <c r="E303" s="28" t="s">
        <v>665</v>
      </c>
      <c r="F303" s="29">
        <v>4</v>
      </c>
      <c r="G303" s="28">
        <v>1</v>
      </c>
      <c r="H303" s="28">
        <v>0</v>
      </c>
      <c r="I303" s="28"/>
      <c r="J303" s="30">
        <v>0.01</v>
      </c>
      <c r="K303" s="28">
        <v>1</v>
      </c>
      <c r="L303" s="28" t="s">
        <v>665</v>
      </c>
      <c r="M303" s="28"/>
      <c r="N303" s="28"/>
      <c r="O303" s="28"/>
      <c r="P303" s="31">
        <v>0</v>
      </c>
      <c r="Q303" s="31">
        <v>0</v>
      </c>
      <c r="R303" s="31">
        <v>0</v>
      </c>
      <c r="S303" s="28"/>
      <c r="T303" s="28"/>
      <c r="U303" s="28"/>
      <c r="V303" s="31">
        <v>0</v>
      </c>
      <c r="W303" s="31">
        <v>0</v>
      </c>
      <c r="X303" s="31">
        <v>0</v>
      </c>
      <c r="Y303" s="28" t="s">
        <v>712</v>
      </c>
    </row>
    <row r="304" spans="1:25" x14ac:dyDescent="0.3">
      <c r="A304" s="28" t="s">
        <v>713</v>
      </c>
      <c r="B304" s="28" t="s">
        <v>96</v>
      </c>
      <c r="C304" s="28" t="s">
        <v>284</v>
      </c>
      <c r="D304" s="28" t="s">
        <v>206</v>
      </c>
      <c r="E304" s="28" t="s">
        <v>665</v>
      </c>
      <c r="F304" s="29">
        <v>4</v>
      </c>
      <c r="G304" s="28">
        <v>1</v>
      </c>
      <c r="H304" s="28">
        <v>0</v>
      </c>
      <c r="I304" s="28"/>
      <c r="J304" s="30">
        <v>4.4999999999999998E-2</v>
      </c>
      <c r="K304" s="28">
        <v>1</v>
      </c>
      <c r="L304" s="28" t="s">
        <v>665</v>
      </c>
      <c r="M304" s="28"/>
      <c r="N304" s="28"/>
      <c r="O304" s="28"/>
      <c r="P304" s="31">
        <v>0</v>
      </c>
      <c r="Q304" s="31">
        <v>0</v>
      </c>
      <c r="R304" s="31">
        <v>0</v>
      </c>
      <c r="S304" s="28"/>
      <c r="T304" s="28"/>
      <c r="U304" s="28"/>
      <c r="V304" s="31">
        <v>0</v>
      </c>
      <c r="W304" s="31">
        <v>0</v>
      </c>
      <c r="X304" s="31">
        <v>0</v>
      </c>
      <c r="Y304" s="28" t="s">
        <v>712</v>
      </c>
    </row>
    <row r="305" spans="1:25" x14ac:dyDescent="0.3">
      <c r="A305" s="28" t="s">
        <v>714</v>
      </c>
      <c r="B305" s="28" t="s">
        <v>96</v>
      </c>
      <c r="C305" s="28" t="s">
        <v>288</v>
      </c>
      <c r="D305" s="28" t="s">
        <v>202</v>
      </c>
      <c r="E305" s="28" t="s">
        <v>665</v>
      </c>
      <c r="F305" s="29">
        <v>4</v>
      </c>
      <c r="G305" s="28">
        <v>1</v>
      </c>
      <c r="H305" s="28">
        <v>0</v>
      </c>
      <c r="I305" s="28"/>
      <c r="J305" s="30">
        <v>0.01</v>
      </c>
      <c r="K305" s="28">
        <v>1</v>
      </c>
      <c r="L305" s="28" t="s">
        <v>665</v>
      </c>
      <c r="M305" s="28"/>
      <c r="N305" s="28"/>
      <c r="O305" s="28"/>
      <c r="P305" s="31">
        <v>0</v>
      </c>
      <c r="Q305" s="31">
        <v>0</v>
      </c>
      <c r="R305" s="31">
        <v>0</v>
      </c>
      <c r="S305" s="28"/>
      <c r="T305" s="28"/>
      <c r="U305" s="28"/>
      <c r="V305" s="31">
        <v>0</v>
      </c>
      <c r="W305" s="31">
        <v>0</v>
      </c>
      <c r="X305" s="31">
        <v>0</v>
      </c>
      <c r="Y305" s="28" t="s">
        <v>715</v>
      </c>
    </row>
    <row r="306" spans="1:25" x14ac:dyDescent="0.3">
      <c r="A306" s="28" t="s">
        <v>716</v>
      </c>
      <c r="B306" s="28" t="s">
        <v>96</v>
      </c>
      <c r="C306" s="28" t="s">
        <v>288</v>
      </c>
      <c r="D306" s="28" t="s">
        <v>206</v>
      </c>
      <c r="E306" s="28" t="s">
        <v>665</v>
      </c>
      <c r="F306" s="29">
        <v>4</v>
      </c>
      <c r="G306" s="28">
        <v>1</v>
      </c>
      <c r="H306" s="28">
        <v>0</v>
      </c>
      <c r="I306" s="28"/>
      <c r="J306" s="30">
        <v>4.4999999999999998E-2</v>
      </c>
      <c r="K306" s="28">
        <v>1</v>
      </c>
      <c r="L306" s="28" t="s">
        <v>665</v>
      </c>
      <c r="M306" s="28"/>
      <c r="N306" s="28"/>
      <c r="O306" s="28"/>
      <c r="P306" s="31">
        <v>0</v>
      </c>
      <c r="Q306" s="31">
        <v>0</v>
      </c>
      <c r="R306" s="31">
        <v>0</v>
      </c>
      <c r="S306" s="28"/>
      <c r="T306" s="28"/>
      <c r="U306" s="28"/>
      <c r="V306" s="31">
        <v>0</v>
      </c>
      <c r="W306" s="31">
        <v>0</v>
      </c>
      <c r="X306" s="31">
        <v>0</v>
      </c>
      <c r="Y306" s="28" t="s">
        <v>715</v>
      </c>
    </row>
    <row r="307" spans="1:25" x14ac:dyDescent="0.3">
      <c r="A307" s="28" t="s">
        <v>717</v>
      </c>
      <c r="B307" s="28" t="s">
        <v>96</v>
      </c>
      <c r="C307" s="28" t="s">
        <v>292</v>
      </c>
      <c r="D307" s="28" t="s">
        <v>202</v>
      </c>
      <c r="E307" s="28" t="s">
        <v>665</v>
      </c>
      <c r="F307" s="29">
        <v>4</v>
      </c>
      <c r="G307" s="28">
        <v>1</v>
      </c>
      <c r="H307" s="28">
        <v>0</v>
      </c>
      <c r="I307" s="28"/>
      <c r="J307" s="30">
        <v>0.01</v>
      </c>
      <c r="K307" s="28">
        <v>2</v>
      </c>
      <c r="L307" s="28" t="s">
        <v>665</v>
      </c>
      <c r="M307" s="28"/>
      <c r="N307" s="28"/>
      <c r="O307" s="28"/>
      <c r="P307" s="31">
        <v>0</v>
      </c>
      <c r="Q307" s="31">
        <v>0</v>
      </c>
      <c r="R307" s="31">
        <v>0</v>
      </c>
      <c r="S307" s="28"/>
      <c r="T307" s="28"/>
      <c r="U307" s="28"/>
      <c r="V307" s="31">
        <v>0</v>
      </c>
      <c r="W307" s="31">
        <v>0</v>
      </c>
      <c r="X307" s="31">
        <v>0</v>
      </c>
      <c r="Y307" s="28" t="s">
        <v>718</v>
      </c>
    </row>
    <row r="308" spans="1:25" x14ac:dyDescent="0.3">
      <c r="A308" s="28" t="s">
        <v>719</v>
      </c>
      <c r="B308" s="28" t="s">
        <v>96</v>
      </c>
      <c r="C308" s="28" t="s">
        <v>292</v>
      </c>
      <c r="D308" s="28" t="s">
        <v>206</v>
      </c>
      <c r="E308" s="28" t="s">
        <v>665</v>
      </c>
      <c r="F308" s="29">
        <v>4</v>
      </c>
      <c r="G308" s="28">
        <v>1</v>
      </c>
      <c r="H308" s="28">
        <v>0</v>
      </c>
      <c r="I308" s="28"/>
      <c r="J308" s="30">
        <v>4.4999999999999998E-2</v>
      </c>
      <c r="K308" s="28">
        <v>2</v>
      </c>
      <c r="L308" s="28" t="s">
        <v>665</v>
      </c>
      <c r="M308" s="28"/>
      <c r="N308" s="28"/>
      <c r="O308" s="28"/>
      <c r="P308" s="31">
        <v>0</v>
      </c>
      <c r="Q308" s="31">
        <v>0</v>
      </c>
      <c r="R308" s="31">
        <v>0</v>
      </c>
      <c r="S308" s="28"/>
      <c r="T308" s="28"/>
      <c r="U308" s="28"/>
      <c r="V308" s="31">
        <v>0</v>
      </c>
      <c r="W308" s="31">
        <v>0</v>
      </c>
      <c r="X308" s="31">
        <v>0</v>
      </c>
      <c r="Y308" s="28" t="s">
        <v>718</v>
      </c>
    </row>
    <row r="309" spans="1:25" x14ac:dyDescent="0.3">
      <c r="A309" s="28" t="s">
        <v>720</v>
      </c>
      <c r="B309" s="28" t="s">
        <v>96</v>
      </c>
      <c r="C309" s="28" t="s">
        <v>296</v>
      </c>
      <c r="D309" s="28" t="s">
        <v>202</v>
      </c>
      <c r="E309" s="28" t="s">
        <v>665</v>
      </c>
      <c r="F309" s="29">
        <v>4</v>
      </c>
      <c r="G309" s="28">
        <v>1</v>
      </c>
      <c r="H309" s="28">
        <v>0</v>
      </c>
      <c r="I309" s="28"/>
      <c r="J309" s="30">
        <v>0.01</v>
      </c>
      <c r="K309" s="28">
        <v>2</v>
      </c>
      <c r="L309" s="28" t="s">
        <v>665</v>
      </c>
      <c r="M309" s="28"/>
      <c r="N309" s="28"/>
      <c r="O309" s="28"/>
      <c r="P309" s="31">
        <v>0</v>
      </c>
      <c r="Q309" s="31">
        <v>0</v>
      </c>
      <c r="R309" s="31">
        <v>0</v>
      </c>
      <c r="S309" s="28"/>
      <c r="T309" s="28"/>
      <c r="U309" s="28"/>
      <c r="V309" s="31">
        <v>0</v>
      </c>
      <c r="W309" s="31">
        <v>0</v>
      </c>
      <c r="X309" s="31">
        <v>0</v>
      </c>
      <c r="Y309" s="28" t="s">
        <v>692</v>
      </c>
    </row>
    <row r="310" spans="1:25" x14ac:dyDescent="0.3">
      <c r="A310" s="28" t="s">
        <v>721</v>
      </c>
      <c r="B310" s="28" t="s">
        <v>96</v>
      </c>
      <c r="C310" s="28" t="s">
        <v>296</v>
      </c>
      <c r="D310" s="28" t="s">
        <v>206</v>
      </c>
      <c r="E310" s="28" t="s">
        <v>665</v>
      </c>
      <c r="F310" s="29">
        <v>4</v>
      </c>
      <c r="G310" s="28">
        <v>1</v>
      </c>
      <c r="H310" s="28">
        <v>0</v>
      </c>
      <c r="I310" s="28"/>
      <c r="J310" s="30">
        <v>4.4999999999999998E-2</v>
      </c>
      <c r="K310" s="28">
        <v>2</v>
      </c>
      <c r="L310" s="28" t="s">
        <v>665</v>
      </c>
      <c r="M310" s="28"/>
      <c r="N310" s="28"/>
      <c r="O310" s="28"/>
      <c r="P310" s="31">
        <v>0</v>
      </c>
      <c r="Q310" s="31">
        <v>0</v>
      </c>
      <c r="R310" s="31">
        <v>0</v>
      </c>
      <c r="S310" s="28"/>
      <c r="T310" s="28"/>
      <c r="U310" s="28"/>
      <c r="V310" s="31">
        <v>0</v>
      </c>
      <c r="W310" s="31">
        <v>0</v>
      </c>
      <c r="X310" s="31">
        <v>0</v>
      </c>
      <c r="Y310" s="28" t="s">
        <v>692</v>
      </c>
    </row>
    <row r="311" spans="1:25" x14ac:dyDescent="0.3">
      <c r="A311" s="28" t="s">
        <v>722</v>
      </c>
      <c r="B311" s="28" t="s">
        <v>96</v>
      </c>
      <c r="C311" s="28" t="s">
        <v>300</v>
      </c>
      <c r="D311" s="28" t="s">
        <v>202</v>
      </c>
      <c r="E311" s="28" t="s">
        <v>665</v>
      </c>
      <c r="F311" s="29">
        <v>4</v>
      </c>
      <c r="G311" s="28">
        <v>1</v>
      </c>
      <c r="H311" s="28">
        <v>0</v>
      </c>
      <c r="I311" s="28"/>
      <c r="J311" s="30">
        <v>0.01</v>
      </c>
      <c r="K311" s="28">
        <v>0</v>
      </c>
      <c r="L311" s="28"/>
      <c r="M311" s="28" t="s">
        <v>261</v>
      </c>
      <c r="N311" s="28" t="s">
        <v>665</v>
      </c>
      <c r="O311" s="28">
        <v>2026</v>
      </c>
      <c r="P311" s="31">
        <v>9010</v>
      </c>
      <c r="Q311" s="31">
        <v>0</v>
      </c>
      <c r="R311" s="31">
        <v>0</v>
      </c>
      <c r="S311" s="28"/>
      <c r="T311" s="28"/>
      <c r="U311" s="28"/>
      <c r="V311" s="31">
        <v>0</v>
      </c>
      <c r="W311" s="31">
        <v>0</v>
      </c>
      <c r="X311" s="31">
        <v>0</v>
      </c>
      <c r="Y311" s="28" t="s">
        <v>723</v>
      </c>
    </row>
    <row r="312" spans="1:25" x14ac:dyDescent="0.3">
      <c r="A312" s="28" t="s">
        <v>724</v>
      </c>
      <c r="B312" s="28" t="s">
        <v>96</v>
      </c>
      <c r="C312" s="28" t="s">
        <v>300</v>
      </c>
      <c r="D312" s="28" t="s">
        <v>206</v>
      </c>
      <c r="E312" s="28" t="s">
        <v>665</v>
      </c>
      <c r="F312" s="29">
        <v>4</v>
      </c>
      <c r="G312" s="28">
        <v>1</v>
      </c>
      <c r="H312" s="28">
        <v>0</v>
      </c>
      <c r="I312" s="28"/>
      <c r="J312" s="30">
        <v>4.4999999999999998E-2</v>
      </c>
      <c r="K312" s="28">
        <v>0</v>
      </c>
      <c r="L312" s="28"/>
      <c r="M312" s="28" t="s">
        <v>261</v>
      </c>
      <c r="N312" s="28" t="s">
        <v>665</v>
      </c>
      <c r="O312" s="28">
        <v>2026</v>
      </c>
      <c r="P312" s="31">
        <v>22436.666666666672</v>
      </c>
      <c r="Q312" s="31">
        <v>0</v>
      </c>
      <c r="R312" s="31">
        <v>0</v>
      </c>
      <c r="S312" s="28"/>
      <c r="T312" s="28"/>
      <c r="U312" s="28"/>
      <c r="V312" s="31">
        <v>0</v>
      </c>
      <c r="W312" s="31">
        <v>0</v>
      </c>
      <c r="X312" s="31">
        <v>0</v>
      </c>
      <c r="Y312" s="28" t="s">
        <v>723</v>
      </c>
    </row>
    <row r="313" spans="1:25" x14ac:dyDescent="0.3">
      <c r="A313" s="28" t="s">
        <v>725</v>
      </c>
      <c r="B313" s="28" t="s">
        <v>97</v>
      </c>
      <c r="C313" s="28" t="s">
        <v>201</v>
      </c>
      <c r="D313" s="28" t="s">
        <v>202</v>
      </c>
      <c r="E313" s="28" t="s">
        <v>726</v>
      </c>
      <c r="F313" s="29">
        <v>5</v>
      </c>
      <c r="G313" s="28">
        <v>1</v>
      </c>
      <c r="H313" s="28">
        <v>0</v>
      </c>
      <c r="I313" s="28"/>
      <c r="J313" s="30">
        <v>0.04</v>
      </c>
      <c r="K313" s="28">
        <v>2</v>
      </c>
      <c r="L313" s="28" t="s">
        <v>726</v>
      </c>
      <c r="M313" s="28"/>
      <c r="N313" s="28"/>
      <c r="O313" s="28"/>
      <c r="P313" s="31">
        <v>0</v>
      </c>
      <c r="Q313" s="31">
        <v>0</v>
      </c>
      <c r="R313" s="31">
        <v>0</v>
      </c>
      <c r="S313" s="28"/>
      <c r="T313" s="28"/>
      <c r="U313" s="28"/>
      <c r="V313" s="31">
        <v>0</v>
      </c>
      <c r="W313" s="31">
        <v>0</v>
      </c>
      <c r="X313" s="31">
        <v>0</v>
      </c>
      <c r="Y313" s="28" t="s">
        <v>727</v>
      </c>
    </row>
    <row r="314" spans="1:25" x14ac:dyDescent="0.3">
      <c r="A314" s="28" t="s">
        <v>728</v>
      </c>
      <c r="B314" s="28" t="s">
        <v>97</v>
      </c>
      <c r="C314" s="28" t="s">
        <v>201</v>
      </c>
      <c r="D314" s="28" t="s">
        <v>206</v>
      </c>
      <c r="E314" s="28" t="s">
        <v>726</v>
      </c>
      <c r="F314" s="29">
        <v>5</v>
      </c>
      <c r="G314" s="28">
        <v>1</v>
      </c>
      <c r="H314" s="28">
        <v>0</v>
      </c>
      <c r="I314" s="28"/>
      <c r="J314" s="30">
        <v>0.04</v>
      </c>
      <c r="K314" s="28">
        <v>2</v>
      </c>
      <c r="L314" s="28" t="s">
        <v>726</v>
      </c>
      <c r="M314" s="28"/>
      <c r="N314" s="28"/>
      <c r="O314" s="28"/>
      <c r="P314" s="31">
        <v>0</v>
      </c>
      <c r="Q314" s="31">
        <v>0</v>
      </c>
      <c r="R314" s="31">
        <v>0</v>
      </c>
      <c r="S314" s="28"/>
      <c r="T314" s="28"/>
      <c r="U314" s="28"/>
      <c r="V314" s="31">
        <v>0</v>
      </c>
      <c r="W314" s="31">
        <v>0</v>
      </c>
      <c r="X314" s="31">
        <v>0</v>
      </c>
      <c r="Y314" s="28" t="s">
        <v>727</v>
      </c>
    </row>
    <row r="315" spans="1:25" x14ac:dyDescent="0.3">
      <c r="A315" s="28" t="s">
        <v>729</v>
      </c>
      <c r="B315" s="28" t="s">
        <v>97</v>
      </c>
      <c r="C315" s="28" t="s">
        <v>209</v>
      </c>
      <c r="D315" s="28" t="s">
        <v>202</v>
      </c>
      <c r="E315" s="28" t="s">
        <v>726</v>
      </c>
      <c r="F315" s="29">
        <v>5</v>
      </c>
      <c r="G315" s="28">
        <v>1</v>
      </c>
      <c r="H315" s="28">
        <v>0</v>
      </c>
      <c r="I315" s="28"/>
      <c r="J315" s="30">
        <v>0.04</v>
      </c>
      <c r="K315" s="28">
        <v>0</v>
      </c>
      <c r="L315" s="28"/>
      <c r="M315" s="28" t="s">
        <v>261</v>
      </c>
      <c r="N315" s="28" t="s">
        <v>726</v>
      </c>
      <c r="O315" s="28">
        <v>2026</v>
      </c>
      <c r="P315" s="31">
        <v>103404</v>
      </c>
      <c r="Q315" s="31">
        <v>100</v>
      </c>
      <c r="R315" s="31">
        <v>475</v>
      </c>
      <c r="S315" s="28"/>
      <c r="T315" s="28"/>
      <c r="U315" s="28"/>
      <c r="V315" s="31">
        <v>0</v>
      </c>
      <c r="W315" s="31">
        <v>0</v>
      </c>
      <c r="X315" s="31">
        <v>0</v>
      </c>
      <c r="Y315" s="28" t="s">
        <v>730</v>
      </c>
    </row>
    <row r="316" spans="1:25" x14ac:dyDescent="0.3">
      <c r="A316" s="28" t="s">
        <v>731</v>
      </c>
      <c r="B316" s="28" t="s">
        <v>97</v>
      </c>
      <c r="C316" s="28" t="s">
        <v>209</v>
      </c>
      <c r="D316" s="28" t="s">
        <v>206</v>
      </c>
      <c r="E316" s="28" t="s">
        <v>726</v>
      </c>
      <c r="F316" s="29">
        <v>5</v>
      </c>
      <c r="G316" s="28">
        <v>1</v>
      </c>
      <c r="H316" s="28">
        <v>0</v>
      </c>
      <c r="I316" s="28"/>
      <c r="J316" s="30">
        <v>0.04</v>
      </c>
      <c r="K316" s="28">
        <v>0</v>
      </c>
      <c r="L316" s="28"/>
      <c r="M316" s="28" t="s">
        <v>261</v>
      </c>
      <c r="N316" s="28" t="s">
        <v>726</v>
      </c>
      <c r="O316" s="28">
        <v>2026</v>
      </c>
      <c r="P316" s="31">
        <v>115224</v>
      </c>
      <c r="Q316" s="31">
        <v>8344.5</v>
      </c>
      <c r="R316" s="31">
        <v>3233</v>
      </c>
      <c r="S316" s="28"/>
      <c r="T316" s="28"/>
      <c r="U316" s="28"/>
      <c r="V316" s="31">
        <v>0</v>
      </c>
      <c r="W316" s="31">
        <v>0</v>
      </c>
      <c r="X316" s="31">
        <v>0</v>
      </c>
      <c r="Y316" s="28" t="s">
        <v>730</v>
      </c>
    </row>
    <row r="317" spans="1:25" x14ac:dyDescent="0.3">
      <c r="A317" s="28" t="s">
        <v>732</v>
      </c>
      <c r="B317" s="28" t="s">
        <v>97</v>
      </c>
      <c r="C317" s="28" t="s">
        <v>213</v>
      </c>
      <c r="D317" s="28" t="s">
        <v>202</v>
      </c>
      <c r="E317" s="28" t="s">
        <v>726</v>
      </c>
      <c r="F317" s="29">
        <v>4</v>
      </c>
      <c r="G317" s="28">
        <v>1</v>
      </c>
      <c r="H317" s="28">
        <v>0</v>
      </c>
      <c r="I317" s="28"/>
      <c r="J317" s="30">
        <v>0.04</v>
      </c>
      <c r="K317" s="28">
        <v>2</v>
      </c>
      <c r="L317" s="28" t="s">
        <v>726</v>
      </c>
      <c r="M317" s="28"/>
      <c r="N317" s="28"/>
      <c r="O317" s="28"/>
      <c r="P317" s="31">
        <v>0</v>
      </c>
      <c r="Q317" s="31">
        <v>0</v>
      </c>
      <c r="R317" s="31">
        <v>0</v>
      </c>
      <c r="S317" s="28"/>
      <c r="T317" s="28"/>
      <c r="U317" s="28"/>
      <c r="V317" s="31">
        <v>0</v>
      </c>
      <c r="W317" s="31">
        <v>0</v>
      </c>
      <c r="X317" s="31">
        <v>0</v>
      </c>
      <c r="Y317" s="28" t="s">
        <v>733</v>
      </c>
    </row>
    <row r="318" spans="1:25" x14ac:dyDescent="0.3">
      <c r="A318" s="28" t="s">
        <v>734</v>
      </c>
      <c r="B318" s="28" t="s">
        <v>97</v>
      </c>
      <c r="C318" s="28" t="s">
        <v>213</v>
      </c>
      <c r="D318" s="28" t="s">
        <v>206</v>
      </c>
      <c r="E318" s="28" t="s">
        <v>726</v>
      </c>
      <c r="F318" s="29">
        <v>4</v>
      </c>
      <c r="G318" s="28">
        <v>1</v>
      </c>
      <c r="H318" s="28">
        <v>0</v>
      </c>
      <c r="I318" s="28"/>
      <c r="J318" s="30">
        <v>0.04</v>
      </c>
      <c r="K318" s="28">
        <v>2</v>
      </c>
      <c r="L318" s="28" t="s">
        <v>726</v>
      </c>
      <c r="M318" s="28"/>
      <c r="N318" s="28"/>
      <c r="O318" s="28"/>
      <c r="P318" s="31">
        <v>0</v>
      </c>
      <c r="Q318" s="31">
        <v>0</v>
      </c>
      <c r="R318" s="31">
        <v>0</v>
      </c>
      <c r="S318" s="28"/>
      <c r="T318" s="28"/>
      <c r="U318" s="28"/>
      <c r="V318" s="31">
        <v>0</v>
      </c>
      <c r="W318" s="31">
        <v>0</v>
      </c>
      <c r="X318" s="31">
        <v>0</v>
      </c>
      <c r="Y318" s="28" t="s">
        <v>733</v>
      </c>
    </row>
    <row r="319" spans="1:25" x14ac:dyDescent="0.3">
      <c r="A319" s="28" t="s">
        <v>735</v>
      </c>
      <c r="B319" s="28" t="s">
        <v>97</v>
      </c>
      <c r="C319" s="28" t="s">
        <v>217</v>
      </c>
      <c r="D319" s="28" t="s">
        <v>202</v>
      </c>
      <c r="E319" s="28" t="s">
        <v>726</v>
      </c>
      <c r="F319" s="29">
        <v>4</v>
      </c>
      <c r="G319" s="28">
        <v>1</v>
      </c>
      <c r="H319" s="28">
        <v>0</v>
      </c>
      <c r="I319" s="28"/>
      <c r="J319" s="30">
        <v>0.04</v>
      </c>
      <c r="K319" s="28">
        <v>0</v>
      </c>
      <c r="L319" s="28"/>
      <c r="M319" s="28" t="s">
        <v>261</v>
      </c>
      <c r="N319" s="28" t="s">
        <v>726</v>
      </c>
      <c r="O319" s="28">
        <v>2026</v>
      </c>
      <c r="P319" s="31">
        <v>22000</v>
      </c>
      <c r="Q319" s="31">
        <v>0</v>
      </c>
      <c r="R319" s="31">
        <v>0</v>
      </c>
      <c r="S319" s="28"/>
      <c r="T319" s="28"/>
      <c r="U319" s="28"/>
      <c r="V319" s="31">
        <v>0</v>
      </c>
      <c r="W319" s="31">
        <v>0</v>
      </c>
      <c r="X319" s="31">
        <v>0</v>
      </c>
      <c r="Y319" s="28" t="s">
        <v>736</v>
      </c>
    </row>
    <row r="320" spans="1:25" x14ac:dyDescent="0.3">
      <c r="A320" s="28" t="s">
        <v>737</v>
      </c>
      <c r="B320" s="28" t="s">
        <v>97</v>
      </c>
      <c r="C320" s="28" t="s">
        <v>217</v>
      </c>
      <c r="D320" s="28" t="s">
        <v>206</v>
      </c>
      <c r="E320" s="28" t="s">
        <v>726</v>
      </c>
      <c r="F320" s="29">
        <v>4</v>
      </c>
      <c r="G320" s="28">
        <v>1</v>
      </c>
      <c r="H320" s="28">
        <v>0</v>
      </c>
      <c r="I320" s="28"/>
      <c r="J320" s="30">
        <v>0.04</v>
      </c>
      <c r="K320" s="28">
        <v>0</v>
      </c>
      <c r="L320" s="28"/>
      <c r="M320" s="28" t="s">
        <v>261</v>
      </c>
      <c r="N320" s="28" t="s">
        <v>726</v>
      </c>
      <c r="O320" s="28">
        <v>2026</v>
      </c>
      <c r="P320" s="31">
        <v>24750</v>
      </c>
      <c r="Q320" s="31">
        <v>0</v>
      </c>
      <c r="R320" s="31">
        <v>0</v>
      </c>
      <c r="S320" s="28"/>
      <c r="T320" s="28"/>
      <c r="U320" s="28"/>
      <c r="V320" s="31">
        <v>0</v>
      </c>
      <c r="W320" s="31">
        <v>0</v>
      </c>
      <c r="X320" s="31">
        <v>0</v>
      </c>
      <c r="Y320" s="28" t="s">
        <v>738</v>
      </c>
    </row>
    <row r="321" spans="1:25" x14ac:dyDescent="0.3">
      <c r="A321" s="28" t="s">
        <v>739</v>
      </c>
      <c r="B321" s="28" t="s">
        <v>97</v>
      </c>
      <c r="C321" s="28" t="s">
        <v>221</v>
      </c>
      <c r="D321" s="28" t="s">
        <v>202</v>
      </c>
      <c r="E321" s="28" t="s">
        <v>726</v>
      </c>
      <c r="F321" s="29">
        <v>4</v>
      </c>
      <c r="G321" s="28">
        <v>1</v>
      </c>
      <c r="H321" s="28">
        <v>0</v>
      </c>
      <c r="I321" s="28"/>
      <c r="J321" s="30">
        <v>0.04</v>
      </c>
      <c r="K321" s="28">
        <v>0</v>
      </c>
      <c r="L321" s="28"/>
      <c r="M321" s="28" t="s">
        <v>261</v>
      </c>
      <c r="N321" s="28" t="s">
        <v>726</v>
      </c>
      <c r="O321" s="28">
        <v>2026</v>
      </c>
      <c r="P321" s="31">
        <v>46276</v>
      </c>
      <c r="Q321" s="31">
        <v>100</v>
      </c>
      <c r="R321" s="31">
        <v>475</v>
      </c>
      <c r="S321" s="28"/>
      <c r="T321" s="28"/>
      <c r="U321" s="28"/>
      <c r="V321" s="31">
        <v>0</v>
      </c>
      <c r="W321" s="31">
        <v>0</v>
      </c>
      <c r="X321" s="31">
        <v>0</v>
      </c>
      <c r="Y321" s="28" t="s">
        <v>740</v>
      </c>
    </row>
    <row r="322" spans="1:25" x14ac:dyDescent="0.3">
      <c r="A322" s="28" t="s">
        <v>741</v>
      </c>
      <c r="B322" s="28" t="s">
        <v>97</v>
      </c>
      <c r="C322" s="28" t="s">
        <v>221</v>
      </c>
      <c r="D322" s="28" t="s">
        <v>206</v>
      </c>
      <c r="E322" s="28" t="s">
        <v>726</v>
      </c>
      <c r="F322" s="29">
        <v>4</v>
      </c>
      <c r="G322" s="28">
        <v>1</v>
      </c>
      <c r="H322" s="28">
        <v>0</v>
      </c>
      <c r="I322" s="28"/>
      <c r="J322" s="30">
        <v>0.04</v>
      </c>
      <c r="K322" s="28">
        <v>0</v>
      </c>
      <c r="L322" s="28"/>
      <c r="M322" s="28" t="s">
        <v>261</v>
      </c>
      <c r="N322" s="28" t="s">
        <v>726</v>
      </c>
      <c r="O322" s="28">
        <v>2026</v>
      </c>
      <c r="P322" s="31">
        <v>60480</v>
      </c>
      <c r="Q322" s="31">
        <v>3841</v>
      </c>
      <c r="R322" s="31">
        <v>318</v>
      </c>
      <c r="S322" s="28"/>
      <c r="T322" s="28"/>
      <c r="U322" s="28"/>
      <c r="V322" s="31">
        <v>0</v>
      </c>
      <c r="W322" s="31">
        <v>0</v>
      </c>
      <c r="X322" s="31">
        <v>0</v>
      </c>
      <c r="Y322" s="28" t="s">
        <v>740</v>
      </c>
    </row>
    <row r="323" spans="1:25" x14ac:dyDescent="0.3">
      <c r="A323" s="28" t="s">
        <v>742</v>
      </c>
      <c r="B323" s="28" t="s">
        <v>97</v>
      </c>
      <c r="C323" s="28" t="s">
        <v>225</v>
      </c>
      <c r="D323" s="28" t="s">
        <v>202</v>
      </c>
      <c r="E323" s="28" t="s">
        <v>726</v>
      </c>
      <c r="F323" s="29">
        <v>4</v>
      </c>
      <c r="G323" s="28">
        <v>1</v>
      </c>
      <c r="H323" s="28">
        <v>0</v>
      </c>
      <c r="I323" s="28"/>
      <c r="J323" s="30">
        <v>0.04</v>
      </c>
      <c r="K323" s="28">
        <v>2</v>
      </c>
      <c r="L323" s="28" t="s">
        <v>726</v>
      </c>
      <c r="M323" s="28"/>
      <c r="N323" s="28"/>
      <c r="O323" s="28"/>
      <c r="P323" s="31">
        <v>0</v>
      </c>
      <c r="Q323" s="31">
        <v>0</v>
      </c>
      <c r="R323" s="31">
        <v>0</v>
      </c>
      <c r="S323" s="28"/>
      <c r="T323" s="28"/>
      <c r="U323" s="28"/>
      <c r="V323" s="31">
        <v>0</v>
      </c>
      <c r="W323" s="31">
        <v>0</v>
      </c>
      <c r="X323" s="31">
        <v>0</v>
      </c>
      <c r="Y323" s="28" t="s">
        <v>743</v>
      </c>
    </row>
    <row r="324" spans="1:25" x14ac:dyDescent="0.3">
      <c r="A324" s="28" t="s">
        <v>744</v>
      </c>
      <c r="B324" s="28" t="s">
        <v>97</v>
      </c>
      <c r="C324" s="28" t="s">
        <v>225</v>
      </c>
      <c r="D324" s="28" t="s">
        <v>206</v>
      </c>
      <c r="E324" s="28" t="s">
        <v>726</v>
      </c>
      <c r="F324" s="29">
        <v>4</v>
      </c>
      <c r="G324" s="28">
        <v>1</v>
      </c>
      <c r="H324" s="28">
        <v>0</v>
      </c>
      <c r="I324" s="28"/>
      <c r="J324" s="30">
        <v>0.04</v>
      </c>
      <c r="K324" s="28">
        <v>2</v>
      </c>
      <c r="L324" s="28" t="s">
        <v>726</v>
      </c>
      <c r="M324" s="28"/>
      <c r="N324" s="28"/>
      <c r="O324" s="28"/>
      <c r="P324" s="31">
        <v>0</v>
      </c>
      <c r="Q324" s="31">
        <v>0</v>
      </c>
      <c r="R324" s="31">
        <v>0</v>
      </c>
      <c r="S324" s="28"/>
      <c r="T324" s="28"/>
      <c r="U324" s="28"/>
      <c r="V324" s="31">
        <v>0</v>
      </c>
      <c r="W324" s="31">
        <v>0</v>
      </c>
      <c r="X324" s="31">
        <v>0</v>
      </c>
      <c r="Y324" s="28" t="s">
        <v>743</v>
      </c>
    </row>
    <row r="325" spans="1:25" x14ac:dyDescent="0.3">
      <c r="A325" s="28" t="s">
        <v>745</v>
      </c>
      <c r="B325" s="28" t="s">
        <v>97</v>
      </c>
      <c r="C325" s="28" t="s">
        <v>230</v>
      </c>
      <c r="D325" s="28" t="s">
        <v>202</v>
      </c>
      <c r="E325" s="28" t="s">
        <v>726</v>
      </c>
      <c r="F325" s="29">
        <v>3</v>
      </c>
      <c r="G325" s="28">
        <v>1</v>
      </c>
      <c r="H325" s="28">
        <v>0</v>
      </c>
      <c r="I325" s="28"/>
      <c r="J325" s="30">
        <v>0.04</v>
      </c>
      <c r="K325" s="28">
        <v>2</v>
      </c>
      <c r="L325" s="28" t="s">
        <v>726</v>
      </c>
      <c r="M325" s="28"/>
      <c r="N325" s="28"/>
      <c r="O325" s="28"/>
      <c r="P325" s="31">
        <v>0</v>
      </c>
      <c r="Q325" s="31">
        <v>0</v>
      </c>
      <c r="R325" s="31">
        <v>0</v>
      </c>
      <c r="S325" s="28"/>
      <c r="T325" s="28"/>
      <c r="U325" s="28"/>
      <c r="V325" s="31">
        <v>0</v>
      </c>
      <c r="W325" s="31">
        <v>0</v>
      </c>
      <c r="X325" s="31">
        <v>0</v>
      </c>
      <c r="Y325" s="28" t="s">
        <v>746</v>
      </c>
    </row>
    <row r="326" spans="1:25" x14ac:dyDescent="0.3">
      <c r="A326" s="28" t="s">
        <v>747</v>
      </c>
      <c r="B326" s="28" t="s">
        <v>97</v>
      </c>
      <c r="C326" s="28" t="s">
        <v>230</v>
      </c>
      <c r="D326" s="28" t="s">
        <v>206</v>
      </c>
      <c r="E326" s="28" t="s">
        <v>726</v>
      </c>
      <c r="F326" s="29">
        <v>3</v>
      </c>
      <c r="G326" s="28">
        <v>1</v>
      </c>
      <c r="H326" s="28">
        <v>0</v>
      </c>
      <c r="I326" s="28"/>
      <c r="J326" s="30">
        <v>0.04</v>
      </c>
      <c r="K326" s="28">
        <v>2</v>
      </c>
      <c r="L326" s="28" t="s">
        <v>726</v>
      </c>
      <c r="M326" s="28"/>
      <c r="N326" s="28"/>
      <c r="O326" s="28"/>
      <c r="P326" s="31">
        <v>0</v>
      </c>
      <c r="Q326" s="31">
        <v>0</v>
      </c>
      <c r="R326" s="31">
        <v>0</v>
      </c>
      <c r="S326" s="28"/>
      <c r="T326" s="28"/>
      <c r="U326" s="28"/>
      <c r="V326" s="31">
        <v>0</v>
      </c>
      <c r="W326" s="31">
        <v>0</v>
      </c>
      <c r="X326" s="31">
        <v>0</v>
      </c>
      <c r="Y326" s="28" t="s">
        <v>746</v>
      </c>
    </row>
    <row r="327" spans="1:25" x14ac:dyDescent="0.3">
      <c r="A327" s="28" t="s">
        <v>748</v>
      </c>
      <c r="B327" s="28" t="s">
        <v>97</v>
      </c>
      <c r="C327" s="28" t="s">
        <v>235</v>
      </c>
      <c r="D327" s="28" t="s">
        <v>202</v>
      </c>
      <c r="E327" s="28" t="s">
        <v>726</v>
      </c>
      <c r="F327" s="29">
        <v>3</v>
      </c>
      <c r="G327" s="28">
        <v>1</v>
      </c>
      <c r="H327" s="28">
        <v>0</v>
      </c>
      <c r="I327" s="28"/>
      <c r="J327" s="30">
        <v>0.04</v>
      </c>
      <c r="K327" s="28">
        <v>2</v>
      </c>
      <c r="L327" s="28" t="s">
        <v>726</v>
      </c>
      <c r="M327" s="28"/>
      <c r="N327" s="28"/>
      <c r="O327" s="28"/>
      <c r="P327" s="31">
        <v>0</v>
      </c>
      <c r="Q327" s="31">
        <v>0</v>
      </c>
      <c r="R327" s="31">
        <v>0</v>
      </c>
      <c r="S327" s="28"/>
      <c r="T327" s="28"/>
      <c r="U327" s="28"/>
      <c r="V327" s="31">
        <v>0</v>
      </c>
      <c r="W327" s="31">
        <v>0</v>
      </c>
      <c r="X327" s="31">
        <v>0</v>
      </c>
      <c r="Y327" s="28" t="s">
        <v>749</v>
      </c>
    </row>
    <row r="328" spans="1:25" x14ac:dyDescent="0.3">
      <c r="A328" s="28" t="s">
        <v>750</v>
      </c>
      <c r="B328" s="28" t="s">
        <v>97</v>
      </c>
      <c r="C328" s="28" t="s">
        <v>235</v>
      </c>
      <c r="D328" s="28" t="s">
        <v>206</v>
      </c>
      <c r="E328" s="28" t="s">
        <v>726</v>
      </c>
      <c r="F328" s="29">
        <v>3</v>
      </c>
      <c r="G328" s="28">
        <v>1</v>
      </c>
      <c r="H328" s="28">
        <v>0</v>
      </c>
      <c r="I328" s="28"/>
      <c r="J328" s="30">
        <v>0.04</v>
      </c>
      <c r="K328" s="28">
        <v>2</v>
      </c>
      <c r="L328" s="28" t="s">
        <v>726</v>
      </c>
      <c r="M328" s="28"/>
      <c r="N328" s="28"/>
      <c r="O328" s="28"/>
      <c r="P328" s="31">
        <v>0</v>
      </c>
      <c r="Q328" s="31">
        <v>0</v>
      </c>
      <c r="R328" s="31">
        <v>0</v>
      </c>
      <c r="S328" s="28"/>
      <c r="T328" s="28"/>
      <c r="U328" s="28"/>
      <c r="V328" s="31">
        <v>0</v>
      </c>
      <c r="W328" s="31">
        <v>0</v>
      </c>
      <c r="X328" s="31">
        <v>0</v>
      </c>
      <c r="Y328" s="28" t="s">
        <v>749</v>
      </c>
    </row>
    <row r="329" spans="1:25" x14ac:dyDescent="0.3">
      <c r="A329" s="28" t="s">
        <v>751</v>
      </c>
      <c r="B329" s="28" t="s">
        <v>97</v>
      </c>
      <c r="C329" s="28" t="s">
        <v>240</v>
      </c>
      <c r="D329" s="28" t="s">
        <v>202</v>
      </c>
      <c r="E329" s="28" t="s">
        <v>726</v>
      </c>
      <c r="F329" s="29">
        <v>3</v>
      </c>
      <c r="G329" s="28">
        <v>1</v>
      </c>
      <c r="H329" s="28">
        <v>0</v>
      </c>
      <c r="I329" s="28"/>
      <c r="J329" s="30">
        <v>0.04</v>
      </c>
      <c r="K329" s="28">
        <v>1</v>
      </c>
      <c r="L329" s="28" t="s">
        <v>726</v>
      </c>
      <c r="M329" s="28"/>
      <c r="N329" s="28"/>
      <c r="O329" s="28"/>
      <c r="P329" s="31">
        <v>0</v>
      </c>
      <c r="Q329" s="31">
        <v>0</v>
      </c>
      <c r="R329" s="31">
        <v>0</v>
      </c>
      <c r="S329" s="28"/>
      <c r="T329" s="28"/>
      <c r="U329" s="28"/>
      <c r="V329" s="31">
        <v>0</v>
      </c>
      <c r="W329" s="31">
        <v>0</v>
      </c>
      <c r="X329" s="31">
        <v>0</v>
      </c>
      <c r="Y329" s="28" t="s">
        <v>752</v>
      </c>
    </row>
    <row r="330" spans="1:25" x14ac:dyDescent="0.3">
      <c r="A330" s="28" t="s">
        <v>753</v>
      </c>
      <c r="B330" s="28" t="s">
        <v>97</v>
      </c>
      <c r="C330" s="28" t="s">
        <v>240</v>
      </c>
      <c r="D330" s="28" t="s">
        <v>206</v>
      </c>
      <c r="E330" s="28" t="s">
        <v>726</v>
      </c>
      <c r="F330" s="29">
        <v>3</v>
      </c>
      <c r="G330" s="28">
        <v>1</v>
      </c>
      <c r="H330" s="28">
        <v>0</v>
      </c>
      <c r="I330" s="28"/>
      <c r="J330" s="30">
        <v>0.04</v>
      </c>
      <c r="K330" s="28">
        <v>1</v>
      </c>
      <c r="L330" s="28" t="s">
        <v>726</v>
      </c>
      <c r="M330" s="28"/>
      <c r="N330" s="28"/>
      <c r="O330" s="28"/>
      <c r="P330" s="31">
        <v>0</v>
      </c>
      <c r="Q330" s="31">
        <v>0</v>
      </c>
      <c r="R330" s="31">
        <v>0</v>
      </c>
      <c r="S330" s="28"/>
      <c r="T330" s="28"/>
      <c r="U330" s="28"/>
      <c r="V330" s="31">
        <v>0</v>
      </c>
      <c r="W330" s="31">
        <v>0</v>
      </c>
      <c r="X330" s="31">
        <v>0</v>
      </c>
      <c r="Y330" s="28" t="s">
        <v>752</v>
      </c>
    </row>
    <row r="331" spans="1:25" x14ac:dyDescent="0.3">
      <c r="A331" s="28" t="s">
        <v>754</v>
      </c>
      <c r="B331" s="28" t="s">
        <v>97</v>
      </c>
      <c r="C331" s="28" t="s">
        <v>245</v>
      </c>
      <c r="D331" s="28" t="s">
        <v>202</v>
      </c>
      <c r="E331" s="28" t="s">
        <v>726</v>
      </c>
      <c r="F331" s="29">
        <v>3</v>
      </c>
      <c r="G331" s="28">
        <v>1</v>
      </c>
      <c r="H331" s="28">
        <v>0</v>
      </c>
      <c r="I331" s="28"/>
      <c r="J331" s="30">
        <v>0.04</v>
      </c>
      <c r="K331" s="28">
        <v>2</v>
      </c>
      <c r="L331" s="28" t="s">
        <v>726</v>
      </c>
      <c r="M331" s="28"/>
      <c r="N331" s="28"/>
      <c r="O331" s="28"/>
      <c r="P331" s="31">
        <v>0</v>
      </c>
      <c r="Q331" s="31">
        <v>0</v>
      </c>
      <c r="R331" s="31">
        <v>0</v>
      </c>
      <c r="S331" s="28"/>
      <c r="T331" s="28"/>
      <c r="U331" s="28"/>
      <c r="V331" s="31">
        <v>0</v>
      </c>
      <c r="W331" s="31">
        <v>0</v>
      </c>
      <c r="X331" s="31">
        <v>0</v>
      </c>
      <c r="Y331" s="28" t="s">
        <v>746</v>
      </c>
    </row>
    <row r="332" spans="1:25" x14ac:dyDescent="0.3">
      <c r="A332" s="28" t="s">
        <v>755</v>
      </c>
      <c r="B332" s="28" t="s">
        <v>97</v>
      </c>
      <c r="C332" s="28" t="s">
        <v>245</v>
      </c>
      <c r="D332" s="28" t="s">
        <v>206</v>
      </c>
      <c r="E332" s="28" t="s">
        <v>726</v>
      </c>
      <c r="F332" s="29">
        <v>3</v>
      </c>
      <c r="G332" s="28">
        <v>1</v>
      </c>
      <c r="H332" s="28">
        <v>0</v>
      </c>
      <c r="I332" s="28"/>
      <c r="J332" s="30">
        <v>0.04</v>
      </c>
      <c r="K332" s="28">
        <v>2</v>
      </c>
      <c r="L332" s="28" t="s">
        <v>726</v>
      </c>
      <c r="M332" s="28"/>
      <c r="N332" s="28"/>
      <c r="O332" s="28"/>
      <c r="P332" s="31">
        <v>0</v>
      </c>
      <c r="Q332" s="31">
        <v>0</v>
      </c>
      <c r="R332" s="31">
        <v>0</v>
      </c>
      <c r="S332" s="28"/>
      <c r="T332" s="28"/>
      <c r="U332" s="28"/>
      <c r="V332" s="31">
        <v>0</v>
      </c>
      <c r="W332" s="31">
        <v>0</v>
      </c>
      <c r="X332" s="31">
        <v>0</v>
      </c>
      <c r="Y332" s="28" t="s">
        <v>746</v>
      </c>
    </row>
    <row r="333" spans="1:25" x14ac:dyDescent="0.3">
      <c r="A333" s="28" t="s">
        <v>756</v>
      </c>
      <c r="B333" s="28" t="s">
        <v>97</v>
      </c>
      <c r="C333" s="28" t="s">
        <v>250</v>
      </c>
      <c r="D333" s="28" t="s">
        <v>202</v>
      </c>
      <c r="E333" s="28" t="s">
        <v>726</v>
      </c>
      <c r="F333" s="29">
        <v>3</v>
      </c>
      <c r="G333" s="28">
        <v>1</v>
      </c>
      <c r="H333" s="28">
        <v>0</v>
      </c>
      <c r="I333" s="28"/>
      <c r="J333" s="30">
        <v>0.04</v>
      </c>
      <c r="K333" s="28">
        <v>0</v>
      </c>
      <c r="L333" s="28"/>
      <c r="M333" s="28" t="s">
        <v>261</v>
      </c>
      <c r="N333" s="28" t="s">
        <v>726</v>
      </c>
      <c r="O333" s="28">
        <v>2026</v>
      </c>
      <c r="P333" s="31">
        <v>44314</v>
      </c>
      <c r="Q333" s="31">
        <v>100</v>
      </c>
      <c r="R333" s="31">
        <v>475</v>
      </c>
      <c r="S333" s="28"/>
      <c r="T333" s="28"/>
      <c r="U333" s="28"/>
      <c r="V333" s="31">
        <v>0</v>
      </c>
      <c r="W333" s="31">
        <v>0</v>
      </c>
      <c r="X333" s="31">
        <v>0</v>
      </c>
      <c r="Y333" s="28" t="s">
        <v>757</v>
      </c>
    </row>
    <row r="334" spans="1:25" x14ac:dyDescent="0.3">
      <c r="A334" s="28" t="s">
        <v>758</v>
      </c>
      <c r="B334" s="28" t="s">
        <v>97</v>
      </c>
      <c r="C334" s="28" t="s">
        <v>250</v>
      </c>
      <c r="D334" s="28" t="s">
        <v>206</v>
      </c>
      <c r="E334" s="28" t="s">
        <v>726</v>
      </c>
      <c r="F334" s="29">
        <v>3</v>
      </c>
      <c r="G334" s="28">
        <v>1</v>
      </c>
      <c r="H334" s="28">
        <v>0</v>
      </c>
      <c r="I334" s="28"/>
      <c r="J334" s="30">
        <v>0.04</v>
      </c>
      <c r="K334" s="28">
        <v>0</v>
      </c>
      <c r="L334" s="28"/>
      <c r="M334" s="28" t="s">
        <v>261</v>
      </c>
      <c r="N334" s="28" t="s">
        <v>726</v>
      </c>
      <c r="O334" s="28">
        <v>2026</v>
      </c>
      <c r="P334" s="31">
        <v>48656</v>
      </c>
      <c r="Q334" s="31">
        <v>4350.5</v>
      </c>
      <c r="R334" s="31">
        <v>3233</v>
      </c>
      <c r="S334" s="28"/>
      <c r="T334" s="28"/>
      <c r="U334" s="28"/>
      <c r="V334" s="31">
        <v>0</v>
      </c>
      <c r="W334" s="31">
        <v>0</v>
      </c>
      <c r="X334" s="31">
        <v>0</v>
      </c>
      <c r="Y334" s="28" t="s">
        <v>757</v>
      </c>
    </row>
    <row r="335" spans="1:25" x14ac:dyDescent="0.3">
      <c r="A335" s="28" t="s">
        <v>759</v>
      </c>
      <c r="B335" s="28" t="s">
        <v>97</v>
      </c>
      <c r="C335" s="28" t="s">
        <v>255</v>
      </c>
      <c r="D335" s="28" t="s">
        <v>202</v>
      </c>
      <c r="E335" s="28" t="s">
        <v>726</v>
      </c>
      <c r="F335" s="29">
        <v>3</v>
      </c>
      <c r="G335" s="28">
        <v>1</v>
      </c>
      <c r="H335" s="28">
        <v>0</v>
      </c>
      <c r="I335" s="28"/>
      <c r="J335" s="30">
        <v>0.04</v>
      </c>
      <c r="K335" s="28">
        <v>2</v>
      </c>
      <c r="L335" s="28" t="s">
        <v>726</v>
      </c>
      <c r="M335" s="28"/>
      <c r="N335" s="28"/>
      <c r="O335" s="28"/>
      <c r="P335" s="31">
        <v>0</v>
      </c>
      <c r="Q335" s="31">
        <v>0</v>
      </c>
      <c r="R335" s="31">
        <v>0</v>
      </c>
      <c r="S335" s="28"/>
      <c r="T335" s="28"/>
      <c r="U335" s="28"/>
      <c r="V335" s="31">
        <v>0</v>
      </c>
      <c r="W335" s="31">
        <v>0</v>
      </c>
      <c r="X335" s="31">
        <v>0</v>
      </c>
      <c r="Y335" s="28" t="s">
        <v>746</v>
      </c>
    </row>
    <row r="336" spans="1:25" x14ac:dyDescent="0.3">
      <c r="A336" s="28" t="s">
        <v>760</v>
      </c>
      <c r="B336" s="28" t="s">
        <v>97</v>
      </c>
      <c r="C336" s="28" t="s">
        <v>255</v>
      </c>
      <c r="D336" s="28" t="s">
        <v>206</v>
      </c>
      <c r="E336" s="28" t="s">
        <v>726</v>
      </c>
      <c r="F336" s="29">
        <v>3</v>
      </c>
      <c r="G336" s="28">
        <v>1</v>
      </c>
      <c r="H336" s="28">
        <v>0</v>
      </c>
      <c r="I336" s="28"/>
      <c r="J336" s="30">
        <v>0.04</v>
      </c>
      <c r="K336" s="28">
        <v>2</v>
      </c>
      <c r="L336" s="28" t="s">
        <v>726</v>
      </c>
      <c r="M336" s="28"/>
      <c r="N336" s="28"/>
      <c r="O336" s="28"/>
      <c r="P336" s="31">
        <v>0</v>
      </c>
      <c r="Q336" s="31">
        <v>0</v>
      </c>
      <c r="R336" s="31">
        <v>0</v>
      </c>
      <c r="S336" s="28"/>
      <c r="T336" s="28"/>
      <c r="U336" s="28"/>
      <c r="V336" s="31">
        <v>0</v>
      </c>
      <c r="W336" s="31">
        <v>0</v>
      </c>
      <c r="X336" s="31">
        <v>0</v>
      </c>
      <c r="Y336" s="28" t="s">
        <v>746</v>
      </c>
    </row>
    <row r="337" spans="1:25" x14ac:dyDescent="0.3">
      <c r="A337" s="28" t="s">
        <v>761</v>
      </c>
      <c r="B337" s="28" t="s">
        <v>97</v>
      </c>
      <c r="C337" s="28" t="s">
        <v>260</v>
      </c>
      <c r="D337" s="28" t="s">
        <v>202</v>
      </c>
      <c r="E337" s="28" t="s">
        <v>726</v>
      </c>
      <c r="F337" s="29">
        <v>3</v>
      </c>
      <c r="G337" s="28">
        <v>1</v>
      </c>
      <c r="H337" s="28">
        <v>0</v>
      </c>
      <c r="I337" s="28"/>
      <c r="J337" s="30">
        <v>0.04</v>
      </c>
      <c r="K337" s="28">
        <v>2</v>
      </c>
      <c r="L337" s="28" t="s">
        <v>726</v>
      </c>
      <c r="M337" s="28"/>
      <c r="N337" s="28"/>
      <c r="O337" s="28"/>
      <c r="P337" s="31">
        <v>0</v>
      </c>
      <c r="Q337" s="31">
        <v>0</v>
      </c>
      <c r="R337" s="31">
        <v>0</v>
      </c>
      <c r="S337" s="28"/>
      <c r="T337" s="28"/>
      <c r="U337" s="28"/>
      <c r="V337" s="31">
        <v>0</v>
      </c>
      <c r="W337" s="31">
        <v>0</v>
      </c>
      <c r="X337" s="31">
        <v>0</v>
      </c>
      <c r="Y337" s="28" t="s">
        <v>746</v>
      </c>
    </row>
    <row r="338" spans="1:25" x14ac:dyDescent="0.3">
      <c r="A338" s="28" t="s">
        <v>762</v>
      </c>
      <c r="B338" s="28" t="s">
        <v>97</v>
      </c>
      <c r="C338" s="28" t="s">
        <v>260</v>
      </c>
      <c r="D338" s="28" t="s">
        <v>206</v>
      </c>
      <c r="E338" s="28" t="s">
        <v>726</v>
      </c>
      <c r="F338" s="29">
        <v>3</v>
      </c>
      <c r="G338" s="28">
        <v>1</v>
      </c>
      <c r="H338" s="28">
        <v>0</v>
      </c>
      <c r="I338" s="28"/>
      <c r="J338" s="30">
        <v>0.04</v>
      </c>
      <c r="K338" s="28">
        <v>2</v>
      </c>
      <c r="L338" s="28" t="s">
        <v>726</v>
      </c>
      <c r="M338" s="28"/>
      <c r="N338" s="28"/>
      <c r="O338" s="28"/>
      <c r="P338" s="31">
        <v>0</v>
      </c>
      <c r="Q338" s="31">
        <v>0</v>
      </c>
      <c r="R338" s="31">
        <v>0</v>
      </c>
      <c r="S338" s="28"/>
      <c r="T338" s="28"/>
      <c r="U338" s="28"/>
      <c r="V338" s="31">
        <v>0</v>
      </c>
      <c r="W338" s="31">
        <v>0</v>
      </c>
      <c r="X338" s="31">
        <v>0</v>
      </c>
      <c r="Y338" s="28" t="s">
        <v>746</v>
      </c>
    </row>
    <row r="339" spans="1:25" x14ac:dyDescent="0.3">
      <c r="A339" s="28" t="s">
        <v>763</v>
      </c>
      <c r="B339" s="28" t="s">
        <v>97</v>
      </c>
      <c r="C339" s="28" t="s">
        <v>265</v>
      </c>
      <c r="D339" s="28" t="s">
        <v>202</v>
      </c>
      <c r="E339" s="28" t="s">
        <v>726</v>
      </c>
      <c r="F339" s="29">
        <v>3</v>
      </c>
      <c r="G339" s="28">
        <v>1</v>
      </c>
      <c r="H339" s="28">
        <v>0</v>
      </c>
      <c r="I339" s="28"/>
      <c r="J339" s="30">
        <v>0.04</v>
      </c>
      <c r="K339" s="28">
        <v>2</v>
      </c>
      <c r="L339" s="28" t="s">
        <v>726</v>
      </c>
      <c r="M339" s="28"/>
      <c r="N339" s="28"/>
      <c r="O339" s="28"/>
      <c r="P339" s="31">
        <v>0</v>
      </c>
      <c r="Q339" s="31">
        <v>0</v>
      </c>
      <c r="R339" s="31">
        <v>0</v>
      </c>
      <c r="S339" s="28"/>
      <c r="T339" s="28"/>
      <c r="U339" s="28"/>
      <c r="V339" s="31">
        <v>0</v>
      </c>
      <c r="W339" s="31">
        <v>0</v>
      </c>
      <c r="X339" s="31">
        <v>0</v>
      </c>
      <c r="Y339" s="28" t="s">
        <v>764</v>
      </c>
    </row>
    <row r="340" spans="1:25" x14ac:dyDescent="0.3">
      <c r="A340" s="28" t="s">
        <v>765</v>
      </c>
      <c r="B340" s="28" t="s">
        <v>97</v>
      </c>
      <c r="C340" s="28" t="s">
        <v>265</v>
      </c>
      <c r="D340" s="28" t="s">
        <v>206</v>
      </c>
      <c r="E340" s="28" t="s">
        <v>726</v>
      </c>
      <c r="F340" s="29">
        <v>3</v>
      </c>
      <c r="G340" s="28">
        <v>1</v>
      </c>
      <c r="H340" s="28">
        <v>0</v>
      </c>
      <c r="I340" s="28"/>
      <c r="J340" s="30">
        <v>0.04</v>
      </c>
      <c r="K340" s="28">
        <v>2</v>
      </c>
      <c r="L340" s="28" t="s">
        <v>726</v>
      </c>
      <c r="M340" s="28"/>
      <c r="N340" s="28"/>
      <c r="O340" s="28"/>
      <c r="P340" s="31">
        <v>0</v>
      </c>
      <c r="Q340" s="31">
        <v>0</v>
      </c>
      <c r="R340" s="31">
        <v>0</v>
      </c>
      <c r="S340" s="28"/>
      <c r="T340" s="28"/>
      <c r="U340" s="28"/>
      <c r="V340" s="31">
        <v>0</v>
      </c>
      <c r="W340" s="31">
        <v>0</v>
      </c>
      <c r="X340" s="31">
        <v>0</v>
      </c>
      <c r="Y340" s="28" t="s">
        <v>764</v>
      </c>
    </row>
    <row r="341" spans="1:25" x14ac:dyDescent="0.3">
      <c r="A341" s="28" t="s">
        <v>766</v>
      </c>
      <c r="B341" s="28" t="s">
        <v>97</v>
      </c>
      <c r="C341" s="28" t="s">
        <v>270</v>
      </c>
      <c r="D341" s="28" t="s">
        <v>202</v>
      </c>
      <c r="E341" s="28" t="s">
        <v>726</v>
      </c>
      <c r="F341" s="29">
        <v>3</v>
      </c>
      <c r="G341" s="28">
        <v>1</v>
      </c>
      <c r="H341" s="28">
        <v>0</v>
      </c>
      <c r="I341" s="28"/>
      <c r="J341" s="30">
        <v>0.04</v>
      </c>
      <c r="K341" s="28">
        <v>0</v>
      </c>
      <c r="L341" s="28"/>
      <c r="M341" s="28" t="s">
        <v>261</v>
      </c>
      <c r="N341" s="28" t="s">
        <v>271</v>
      </c>
      <c r="O341" s="28">
        <v>2026</v>
      </c>
      <c r="P341" s="31">
        <v>876</v>
      </c>
      <c r="Q341" s="31">
        <v>0</v>
      </c>
      <c r="R341" s="31">
        <v>89</v>
      </c>
      <c r="S341" s="28"/>
      <c r="T341" s="28"/>
      <c r="U341" s="28"/>
      <c r="V341" s="31">
        <v>0</v>
      </c>
      <c r="W341" s="31">
        <v>0</v>
      </c>
      <c r="X341" s="31">
        <v>0</v>
      </c>
      <c r="Y341" s="28" t="s">
        <v>510</v>
      </c>
    </row>
    <row r="342" spans="1:25" x14ac:dyDescent="0.3">
      <c r="A342" s="28" t="s">
        <v>767</v>
      </c>
      <c r="B342" s="28" t="s">
        <v>97</v>
      </c>
      <c r="C342" s="28" t="s">
        <v>270</v>
      </c>
      <c r="D342" s="28" t="s">
        <v>206</v>
      </c>
      <c r="E342" s="28" t="s">
        <v>726</v>
      </c>
      <c r="F342" s="29">
        <v>3</v>
      </c>
      <c r="G342" s="28">
        <v>1</v>
      </c>
      <c r="H342" s="28">
        <v>0</v>
      </c>
      <c r="I342" s="28"/>
      <c r="J342" s="30">
        <v>0.04</v>
      </c>
      <c r="K342" s="28">
        <v>0</v>
      </c>
      <c r="L342" s="28"/>
      <c r="M342" s="28" t="s">
        <v>261</v>
      </c>
      <c r="N342" s="28" t="s">
        <v>271</v>
      </c>
      <c r="O342" s="28">
        <v>2026</v>
      </c>
      <c r="P342" s="31">
        <v>876</v>
      </c>
      <c r="Q342" s="31">
        <v>0</v>
      </c>
      <c r="R342" s="31">
        <v>89</v>
      </c>
      <c r="S342" s="28"/>
      <c r="T342" s="28"/>
      <c r="U342" s="28"/>
      <c r="V342" s="31">
        <v>0</v>
      </c>
      <c r="W342" s="31">
        <v>0</v>
      </c>
      <c r="X342" s="31">
        <v>0</v>
      </c>
      <c r="Y342" s="28" t="s">
        <v>510</v>
      </c>
    </row>
    <row r="343" spans="1:25" x14ac:dyDescent="0.3">
      <c r="A343" s="28" t="s">
        <v>768</v>
      </c>
      <c r="B343" s="28" t="s">
        <v>97</v>
      </c>
      <c r="C343" s="28" t="s">
        <v>275</v>
      </c>
      <c r="D343" s="28" t="s">
        <v>202</v>
      </c>
      <c r="E343" s="28" t="s">
        <v>726</v>
      </c>
      <c r="F343" s="29">
        <v>0</v>
      </c>
      <c r="G343" s="28">
        <v>0</v>
      </c>
      <c r="H343" s="28">
        <v>0</v>
      </c>
      <c r="I343" s="28"/>
      <c r="J343" s="30">
        <v>0.04</v>
      </c>
      <c r="K343" s="28">
        <v>0</v>
      </c>
      <c r="L343" s="28"/>
      <c r="M343" s="28" t="s">
        <v>276</v>
      </c>
      <c r="N343" s="28" t="s">
        <v>726</v>
      </c>
      <c r="O343" s="28">
        <v>2026</v>
      </c>
      <c r="P343" s="31">
        <v>0</v>
      </c>
      <c r="Q343" s="31">
        <v>0</v>
      </c>
      <c r="R343" s="31">
        <v>0</v>
      </c>
      <c r="S343" s="28"/>
      <c r="T343" s="28"/>
      <c r="U343" s="28"/>
      <c r="V343" s="31">
        <v>0</v>
      </c>
      <c r="W343" s="31">
        <v>0</v>
      </c>
      <c r="X343" s="31">
        <v>0</v>
      </c>
      <c r="Y343" s="28" t="s">
        <v>277</v>
      </c>
    </row>
    <row r="344" spans="1:25" x14ac:dyDescent="0.3">
      <c r="A344" s="28" t="s">
        <v>769</v>
      </c>
      <c r="B344" s="28" t="s">
        <v>97</v>
      </c>
      <c r="C344" s="28" t="s">
        <v>275</v>
      </c>
      <c r="D344" s="28" t="s">
        <v>206</v>
      </c>
      <c r="E344" s="28" t="s">
        <v>726</v>
      </c>
      <c r="F344" s="29">
        <v>0</v>
      </c>
      <c r="G344" s="28">
        <v>0</v>
      </c>
      <c r="H344" s="28">
        <v>0</v>
      </c>
      <c r="I344" s="28"/>
      <c r="J344" s="30">
        <v>0.04</v>
      </c>
      <c r="K344" s="28">
        <v>0</v>
      </c>
      <c r="L344" s="28"/>
      <c r="M344" s="28" t="s">
        <v>276</v>
      </c>
      <c r="N344" s="28" t="s">
        <v>726</v>
      </c>
      <c r="O344" s="28">
        <v>2026</v>
      </c>
      <c r="P344" s="31">
        <v>0</v>
      </c>
      <c r="Q344" s="31">
        <v>0</v>
      </c>
      <c r="R344" s="31">
        <v>0</v>
      </c>
      <c r="S344" s="28"/>
      <c r="T344" s="28"/>
      <c r="U344" s="28"/>
      <c r="V344" s="31">
        <v>0</v>
      </c>
      <c r="W344" s="31">
        <v>0</v>
      </c>
      <c r="X344" s="31">
        <v>0</v>
      </c>
      <c r="Y344" s="28" t="s">
        <v>277</v>
      </c>
    </row>
    <row r="345" spans="1:25" x14ac:dyDescent="0.3">
      <c r="A345" s="28" t="s">
        <v>770</v>
      </c>
      <c r="B345" s="28" t="s">
        <v>97</v>
      </c>
      <c r="C345" s="28" t="s">
        <v>280</v>
      </c>
      <c r="D345" s="28" t="s">
        <v>202</v>
      </c>
      <c r="E345" s="28" t="s">
        <v>726</v>
      </c>
      <c r="F345" s="29">
        <v>0</v>
      </c>
      <c r="G345" s="28">
        <v>0</v>
      </c>
      <c r="H345" s="28">
        <v>0</v>
      </c>
      <c r="I345" s="28"/>
      <c r="J345" s="30">
        <v>0.04</v>
      </c>
      <c r="K345" s="28">
        <v>0</v>
      </c>
      <c r="L345" s="28"/>
      <c r="M345" s="28" t="s">
        <v>276</v>
      </c>
      <c r="N345" s="28" t="s">
        <v>726</v>
      </c>
      <c r="O345" s="28">
        <v>2026</v>
      </c>
      <c r="P345" s="31">
        <v>0</v>
      </c>
      <c r="Q345" s="31">
        <v>0</v>
      </c>
      <c r="R345" s="31">
        <v>0</v>
      </c>
      <c r="S345" s="28"/>
      <c r="T345" s="28"/>
      <c r="U345" s="28"/>
      <c r="V345" s="31">
        <v>0</v>
      </c>
      <c r="W345" s="31">
        <v>0</v>
      </c>
      <c r="X345" s="31">
        <v>0</v>
      </c>
      <c r="Y345" s="28" t="s">
        <v>771</v>
      </c>
    </row>
    <row r="346" spans="1:25" x14ac:dyDescent="0.3">
      <c r="A346" s="28" t="s">
        <v>772</v>
      </c>
      <c r="B346" s="28" t="s">
        <v>97</v>
      </c>
      <c r="C346" s="28" t="s">
        <v>280</v>
      </c>
      <c r="D346" s="28" t="s">
        <v>206</v>
      </c>
      <c r="E346" s="28" t="s">
        <v>726</v>
      </c>
      <c r="F346" s="29">
        <v>0</v>
      </c>
      <c r="G346" s="28">
        <v>0</v>
      </c>
      <c r="H346" s="28">
        <v>0</v>
      </c>
      <c r="I346" s="28"/>
      <c r="J346" s="30">
        <v>0.04</v>
      </c>
      <c r="K346" s="28">
        <v>0</v>
      </c>
      <c r="L346" s="28"/>
      <c r="M346" s="28" t="s">
        <v>276</v>
      </c>
      <c r="N346" s="28" t="s">
        <v>726</v>
      </c>
      <c r="O346" s="28">
        <v>2026</v>
      </c>
      <c r="P346" s="31">
        <v>0</v>
      </c>
      <c r="Q346" s="31">
        <v>0</v>
      </c>
      <c r="R346" s="31">
        <v>0</v>
      </c>
      <c r="S346" s="28"/>
      <c r="T346" s="28"/>
      <c r="U346" s="28"/>
      <c r="V346" s="31">
        <v>0</v>
      </c>
      <c r="W346" s="31">
        <v>0</v>
      </c>
      <c r="X346" s="31">
        <v>0</v>
      </c>
      <c r="Y346" s="28" t="s">
        <v>771</v>
      </c>
    </row>
    <row r="347" spans="1:25" x14ac:dyDescent="0.3">
      <c r="A347" s="28" t="s">
        <v>773</v>
      </c>
      <c r="B347" s="28" t="s">
        <v>97</v>
      </c>
      <c r="C347" s="28" t="s">
        <v>284</v>
      </c>
      <c r="D347" s="28" t="s">
        <v>202</v>
      </c>
      <c r="E347" s="28" t="s">
        <v>726</v>
      </c>
      <c r="F347" s="29">
        <v>3</v>
      </c>
      <c r="G347" s="28">
        <v>1</v>
      </c>
      <c r="H347" s="28">
        <v>0</v>
      </c>
      <c r="I347" s="28"/>
      <c r="J347" s="30">
        <v>0.04</v>
      </c>
      <c r="K347" s="28">
        <v>1</v>
      </c>
      <c r="L347" s="28" t="s">
        <v>726</v>
      </c>
      <c r="M347" s="28"/>
      <c r="N347" s="28"/>
      <c r="O347" s="28"/>
      <c r="P347" s="31">
        <v>0</v>
      </c>
      <c r="Q347" s="31">
        <v>0</v>
      </c>
      <c r="R347" s="31">
        <v>0</v>
      </c>
      <c r="S347" s="28"/>
      <c r="T347" s="28"/>
      <c r="U347" s="28"/>
      <c r="V347" s="31">
        <v>0</v>
      </c>
      <c r="W347" s="31">
        <v>0</v>
      </c>
      <c r="X347" s="31">
        <v>0</v>
      </c>
      <c r="Y347" s="28" t="s">
        <v>774</v>
      </c>
    </row>
    <row r="348" spans="1:25" x14ac:dyDescent="0.3">
      <c r="A348" s="28" t="s">
        <v>775</v>
      </c>
      <c r="B348" s="28" t="s">
        <v>97</v>
      </c>
      <c r="C348" s="28" t="s">
        <v>284</v>
      </c>
      <c r="D348" s="28" t="s">
        <v>206</v>
      </c>
      <c r="E348" s="28" t="s">
        <v>726</v>
      </c>
      <c r="F348" s="29">
        <v>3</v>
      </c>
      <c r="G348" s="28">
        <v>1</v>
      </c>
      <c r="H348" s="28">
        <v>0</v>
      </c>
      <c r="I348" s="28"/>
      <c r="J348" s="30">
        <v>0.04</v>
      </c>
      <c r="K348" s="28">
        <v>1</v>
      </c>
      <c r="L348" s="28" t="s">
        <v>726</v>
      </c>
      <c r="M348" s="28"/>
      <c r="N348" s="28"/>
      <c r="O348" s="28"/>
      <c r="P348" s="31">
        <v>0</v>
      </c>
      <c r="Q348" s="31">
        <v>0</v>
      </c>
      <c r="R348" s="31">
        <v>0</v>
      </c>
      <c r="S348" s="28"/>
      <c r="T348" s="28"/>
      <c r="U348" s="28"/>
      <c r="V348" s="31">
        <v>0</v>
      </c>
      <c r="W348" s="31">
        <v>0</v>
      </c>
      <c r="X348" s="31">
        <v>0</v>
      </c>
      <c r="Y348" s="28" t="s">
        <v>774</v>
      </c>
    </row>
    <row r="349" spans="1:25" x14ac:dyDescent="0.3">
      <c r="A349" s="28" t="s">
        <v>776</v>
      </c>
      <c r="B349" s="28" t="s">
        <v>97</v>
      </c>
      <c r="C349" s="28" t="s">
        <v>288</v>
      </c>
      <c r="D349" s="28" t="s">
        <v>202</v>
      </c>
      <c r="E349" s="28" t="s">
        <v>726</v>
      </c>
      <c r="F349" s="29">
        <v>3</v>
      </c>
      <c r="G349" s="28">
        <v>1</v>
      </c>
      <c r="H349" s="28">
        <v>0</v>
      </c>
      <c r="I349" s="28"/>
      <c r="J349" s="30">
        <v>0.04</v>
      </c>
      <c r="K349" s="28">
        <v>1</v>
      </c>
      <c r="L349" s="28" t="s">
        <v>726</v>
      </c>
      <c r="M349" s="28"/>
      <c r="N349" s="28"/>
      <c r="O349" s="28"/>
      <c r="P349" s="31">
        <v>0</v>
      </c>
      <c r="Q349" s="31">
        <v>0</v>
      </c>
      <c r="R349" s="31">
        <v>0</v>
      </c>
      <c r="S349" s="28"/>
      <c r="T349" s="28"/>
      <c r="U349" s="28"/>
      <c r="V349" s="31">
        <v>0</v>
      </c>
      <c r="W349" s="31">
        <v>0</v>
      </c>
      <c r="X349" s="31">
        <v>0</v>
      </c>
      <c r="Y349" s="28" t="s">
        <v>777</v>
      </c>
    </row>
    <row r="350" spans="1:25" x14ac:dyDescent="0.3">
      <c r="A350" s="28" t="s">
        <v>778</v>
      </c>
      <c r="B350" s="28" t="s">
        <v>97</v>
      </c>
      <c r="C350" s="28" t="s">
        <v>288</v>
      </c>
      <c r="D350" s="28" t="s">
        <v>206</v>
      </c>
      <c r="E350" s="28" t="s">
        <v>726</v>
      </c>
      <c r="F350" s="29">
        <v>3</v>
      </c>
      <c r="G350" s="28">
        <v>1</v>
      </c>
      <c r="H350" s="28">
        <v>0</v>
      </c>
      <c r="I350" s="28"/>
      <c r="J350" s="30">
        <v>0.04</v>
      </c>
      <c r="K350" s="28">
        <v>1</v>
      </c>
      <c r="L350" s="28" t="s">
        <v>726</v>
      </c>
      <c r="M350" s="28"/>
      <c r="N350" s="28"/>
      <c r="O350" s="28"/>
      <c r="P350" s="31">
        <v>0</v>
      </c>
      <c r="Q350" s="31">
        <v>0</v>
      </c>
      <c r="R350" s="31">
        <v>0</v>
      </c>
      <c r="S350" s="28"/>
      <c r="T350" s="28"/>
      <c r="U350" s="28"/>
      <c r="V350" s="31">
        <v>0</v>
      </c>
      <c r="W350" s="31">
        <v>0</v>
      </c>
      <c r="X350" s="31">
        <v>0</v>
      </c>
      <c r="Y350" s="28" t="s">
        <v>777</v>
      </c>
    </row>
    <row r="351" spans="1:25" x14ac:dyDescent="0.3">
      <c r="A351" s="28" t="s">
        <v>779</v>
      </c>
      <c r="B351" s="28" t="s">
        <v>97</v>
      </c>
      <c r="C351" s="28" t="s">
        <v>292</v>
      </c>
      <c r="D351" s="28" t="s">
        <v>202</v>
      </c>
      <c r="E351" s="28" t="s">
        <v>726</v>
      </c>
      <c r="F351" s="29">
        <v>3</v>
      </c>
      <c r="G351" s="28">
        <v>1</v>
      </c>
      <c r="H351" s="28">
        <v>0</v>
      </c>
      <c r="I351" s="28"/>
      <c r="J351" s="30">
        <v>0.04</v>
      </c>
      <c r="K351" s="28">
        <v>1</v>
      </c>
      <c r="L351" s="28" t="s">
        <v>726</v>
      </c>
      <c r="M351" s="28"/>
      <c r="N351" s="28"/>
      <c r="O351" s="28"/>
      <c r="P351" s="31">
        <v>0</v>
      </c>
      <c r="Q351" s="31">
        <v>0</v>
      </c>
      <c r="R351" s="31">
        <v>0</v>
      </c>
      <c r="S351" s="28"/>
      <c r="T351" s="28"/>
      <c r="U351" s="28"/>
      <c r="V351" s="31">
        <v>0</v>
      </c>
      <c r="W351" s="31">
        <v>0</v>
      </c>
      <c r="X351" s="31">
        <v>0</v>
      </c>
      <c r="Y351" s="28" t="s">
        <v>752</v>
      </c>
    </row>
    <row r="352" spans="1:25" x14ac:dyDescent="0.3">
      <c r="A352" s="28" t="s">
        <v>780</v>
      </c>
      <c r="B352" s="28" t="s">
        <v>97</v>
      </c>
      <c r="C352" s="28" t="s">
        <v>292</v>
      </c>
      <c r="D352" s="28" t="s">
        <v>206</v>
      </c>
      <c r="E352" s="28" t="s">
        <v>726</v>
      </c>
      <c r="F352" s="29">
        <v>3</v>
      </c>
      <c r="G352" s="28">
        <v>1</v>
      </c>
      <c r="H352" s="28">
        <v>0</v>
      </c>
      <c r="I352" s="28"/>
      <c r="J352" s="30">
        <v>0.04</v>
      </c>
      <c r="K352" s="28">
        <v>1</v>
      </c>
      <c r="L352" s="28" t="s">
        <v>726</v>
      </c>
      <c r="M352" s="28"/>
      <c r="N352" s="28"/>
      <c r="O352" s="28"/>
      <c r="P352" s="31">
        <v>0</v>
      </c>
      <c r="Q352" s="31">
        <v>0</v>
      </c>
      <c r="R352" s="31">
        <v>0</v>
      </c>
      <c r="S352" s="28"/>
      <c r="T352" s="28"/>
      <c r="U352" s="28"/>
      <c r="V352" s="31">
        <v>0</v>
      </c>
      <c r="W352" s="31">
        <v>0</v>
      </c>
      <c r="X352" s="31">
        <v>0</v>
      </c>
      <c r="Y352" s="28" t="s">
        <v>752</v>
      </c>
    </row>
    <row r="353" spans="1:25" x14ac:dyDescent="0.3">
      <c r="A353" s="28" t="s">
        <v>781</v>
      </c>
      <c r="B353" s="28" t="s">
        <v>97</v>
      </c>
      <c r="C353" s="28" t="s">
        <v>296</v>
      </c>
      <c r="D353" s="28" t="s">
        <v>202</v>
      </c>
      <c r="E353" s="28" t="s">
        <v>726</v>
      </c>
      <c r="F353" s="29">
        <v>3</v>
      </c>
      <c r="G353" s="28">
        <v>1</v>
      </c>
      <c r="H353" s="28">
        <v>0</v>
      </c>
      <c r="I353" s="28"/>
      <c r="J353" s="30">
        <v>0.04</v>
      </c>
      <c r="K353" s="28">
        <v>2</v>
      </c>
      <c r="L353" s="28" t="s">
        <v>726</v>
      </c>
      <c r="M353" s="28"/>
      <c r="N353" s="28"/>
      <c r="O353" s="28"/>
      <c r="P353" s="31">
        <v>0</v>
      </c>
      <c r="Q353" s="31">
        <v>0</v>
      </c>
      <c r="R353" s="31">
        <v>0</v>
      </c>
      <c r="S353" s="28"/>
      <c r="T353" s="28"/>
      <c r="U353" s="28"/>
      <c r="V353" s="31">
        <v>0</v>
      </c>
      <c r="W353" s="31">
        <v>0</v>
      </c>
      <c r="X353" s="31">
        <v>0</v>
      </c>
      <c r="Y353" s="28" t="s">
        <v>746</v>
      </c>
    </row>
    <row r="354" spans="1:25" x14ac:dyDescent="0.3">
      <c r="A354" s="28" t="s">
        <v>782</v>
      </c>
      <c r="B354" s="28" t="s">
        <v>97</v>
      </c>
      <c r="C354" s="28" t="s">
        <v>296</v>
      </c>
      <c r="D354" s="28" t="s">
        <v>206</v>
      </c>
      <c r="E354" s="28" t="s">
        <v>726</v>
      </c>
      <c r="F354" s="29">
        <v>3</v>
      </c>
      <c r="G354" s="28">
        <v>1</v>
      </c>
      <c r="H354" s="28">
        <v>0</v>
      </c>
      <c r="I354" s="28"/>
      <c r="J354" s="30">
        <v>0.04</v>
      </c>
      <c r="K354" s="28">
        <v>1</v>
      </c>
      <c r="L354" s="28" t="s">
        <v>726</v>
      </c>
      <c r="M354" s="28"/>
      <c r="N354" s="28"/>
      <c r="O354" s="28"/>
      <c r="P354" s="31">
        <v>0</v>
      </c>
      <c r="Q354" s="31">
        <v>0</v>
      </c>
      <c r="R354" s="31">
        <v>0</v>
      </c>
      <c r="S354" s="28"/>
      <c r="T354" s="28"/>
      <c r="U354" s="28"/>
      <c r="V354" s="31">
        <v>0</v>
      </c>
      <c r="W354" s="31">
        <v>0</v>
      </c>
      <c r="X354" s="31">
        <v>0</v>
      </c>
      <c r="Y354" s="28" t="s">
        <v>752</v>
      </c>
    </row>
    <row r="355" spans="1:25" x14ac:dyDescent="0.3">
      <c r="A355" s="28" t="s">
        <v>783</v>
      </c>
      <c r="B355" s="28" t="s">
        <v>97</v>
      </c>
      <c r="C355" s="28" t="s">
        <v>300</v>
      </c>
      <c r="D355" s="28" t="s">
        <v>202</v>
      </c>
      <c r="E355" s="28" t="s">
        <v>726</v>
      </c>
      <c r="F355" s="29">
        <v>3</v>
      </c>
      <c r="G355" s="28">
        <v>1</v>
      </c>
      <c r="H355" s="28">
        <v>0</v>
      </c>
      <c r="I355" s="28"/>
      <c r="J355" s="30">
        <v>0.04</v>
      </c>
      <c r="K355" s="28">
        <v>0</v>
      </c>
      <c r="L355" s="28"/>
      <c r="M355" s="28" t="s">
        <v>261</v>
      </c>
      <c r="N355" s="28" t="s">
        <v>726</v>
      </c>
      <c r="O355" s="28">
        <v>2026</v>
      </c>
      <c r="P355" s="31">
        <v>46185.653846153837</v>
      </c>
      <c r="Q355" s="31">
        <v>107.69230769230769</v>
      </c>
      <c r="R355" s="31">
        <v>461.53846153846149</v>
      </c>
      <c r="S355" s="28"/>
      <c r="T355" s="28"/>
      <c r="U355" s="28"/>
      <c r="V355" s="31">
        <v>0</v>
      </c>
      <c r="W355" s="31">
        <v>0</v>
      </c>
      <c r="X355" s="31">
        <v>0</v>
      </c>
      <c r="Y355" s="28" t="s">
        <v>784</v>
      </c>
    </row>
    <row r="356" spans="1:25" x14ac:dyDescent="0.3">
      <c r="A356" s="28" t="s">
        <v>785</v>
      </c>
      <c r="B356" s="28" t="s">
        <v>97</v>
      </c>
      <c r="C356" s="28" t="s">
        <v>300</v>
      </c>
      <c r="D356" s="28" t="s">
        <v>206</v>
      </c>
      <c r="E356" s="28" t="s">
        <v>726</v>
      </c>
      <c r="F356" s="29">
        <v>3</v>
      </c>
      <c r="G356" s="28">
        <v>1</v>
      </c>
      <c r="H356" s="28">
        <v>0</v>
      </c>
      <c r="I356" s="28"/>
      <c r="J356" s="30">
        <v>0.04</v>
      </c>
      <c r="K356" s="28">
        <v>0</v>
      </c>
      <c r="L356" s="28"/>
      <c r="M356" s="28" t="s">
        <v>261</v>
      </c>
      <c r="N356" s="28" t="s">
        <v>726</v>
      </c>
      <c r="O356" s="28">
        <v>2026</v>
      </c>
      <c r="P356" s="31">
        <v>51795.846153846163</v>
      </c>
      <c r="Q356" s="31">
        <v>4351.1538461538457</v>
      </c>
      <c r="R356" s="31">
        <v>2784.538461538461</v>
      </c>
      <c r="S356" s="28"/>
      <c r="T356" s="28"/>
      <c r="U356" s="28"/>
      <c r="V356" s="31">
        <v>0</v>
      </c>
      <c r="W356" s="31">
        <v>0</v>
      </c>
      <c r="X356" s="31">
        <v>0</v>
      </c>
      <c r="Y356" s="28" t="s">
        <v>784</v>
      </c>
    </row>
    <row r="357" spans="1:25" x14ac:dyDescent="0.3">
      <c r="A357" s="28" t="s">
        <v>786</v>
      </c>
      <c r="B357" s="28" t="s">
        <v>98</v>
      </c>
      <c r="C357" s="28" t="s">
        <v>201</v>
      </c>
      <c r="D357" s="28" t="s">
        <v>202</v>
      </c>
      <c r="E357" s="28" t="s">
        <v>603</v>
      </c>
      <c r="F357" s="29">
        <v>5</v>
      </c>
      <c r="G357" s="28">
        <v>1</v>
      </c>
      <c r="H357" s="28">
        <v>0</v>
      </c>
      <c r="I357" s="28"/>
      <c r="J357" s="30">
        <v>0</v>
      </c>
      <c r="K357" s="28">
        <v>1</v>
      </c>
      <c r="L357" s="28" t="s">
        <v>603</v>
      </c>
      <c r="M357" s="28"/>
      <c r="N357" s="28"/>
      <c r="O357" s="28"/>
      <c r="P357" s="31">
        <v>0</v>
      </c>
      <c r="Q357" s="31">
        <v>0</v>
      </c>
      <c r="R357" s="31">
        <v>0</v>
      </c>
      <c r="S357" s="28"/>
      <c r="T357" s="28"/>
      <c r="U357" s="28"/>
      <c r="V357" s="31">
        <v>0</v>
      </c>
      <c r="W357" s="31">
        <v>0</v>
      </c>
      <c r="X357" s="31">
        <v>0</v>
      </c>
      <c r="Y357" s="28" t="s">
        <v>787</v>
      </c>
    </row>
    <row r="358" spans="1:25" x14ac:dyDescent="0.3">
      <c r="A358" s="28" t="s">
        <v>788</v>
      </c>
      <c r="B358" s="28" t="s">
        <v>98</v>
      </c>
      <c r="C358" s="28" t="s">
        <v>201</v>
      </c>
      <c r="D358" s="28" t="s">
        <v>206</v>
      </c>
      <c r="E358" s="28" t="s">
        <v>603</v>
      </c>
      <c r="F358" s="29">
        <v>5</v>
      </c>
      <c r="G358" s="28">
        <v>1</v>
      </c>
      <c r="H358" s="28">
        <v>0</v>
      </c>
      <c r="I358" s="28"/>
      <c r="J358" s="30">
        <v>2.3300000000000001E-2</v>
      </c>
      <c r="K358" s="28">
        <v>2</v>
      </c>
      <c r="L358" s="28" t="s">
        <v>603</v>
      </c>
      <c r="M358" s="28"/>
      <c r="N358" s="28"/>
      <c r="O358" s="28"/>
      <c r="P358" s="31">
        <v>0</v>
      </c>
      <c r="Q358" s="31">
        <v>0</v>
      </c>
      <c r="R358" s="31">
        <v>0</v>
      </c>
      <c r="S358" s="28"/>
      <c r="T358" s="28"/>
      <c r="U358" s="28"/>
      <c r="V358" s="31">
        <v>0</v>
      </c>
      <c r="W358" s="31">
        <v>0</v>
      </c>
      <c r="X358" s="31">
        <v>0</v>
      </c>
      <c r="Y358" s="28" t="s">
        <v>789</v>
      </c>
    </row>
    <row r="359" spans="1:25" x14ac:dyDescent="0.3">
      <c r="A359" s="28" t="s">
        <v>790</v>
      </c>
      <c r="B359" s="28" t="s">
        <v>98</v>
      </c>
      <c r="C359" s="28" t="s">
        <v>209</v>
      </c>
      <c r="D359" s="28" t="s">
        <v>202</v>
      </c>
      <c r="E359" s="28" t="s">
        <v>603</v>
      </c>
      <c r="F359" s="29">
        <v>5</v>
      </c>
      <c r="G359" s="28">
        <v>1</v>
      </c>
      <c r="H359" s="28">
        <v>0</v>
      </c>
      <c r="I359" s="28"/>
      <c r="J359" s="30">
        <v>0</v>
      </c>
      <c r="K359" s="28">
        <v>1</v>
      </c>
      <c r="L359" s="28" t="s">
        <v>603</v>
      </c>
      <c r="M359" s="28"/>
      <c r="N359" s="28"/>
      <c r="O359" s="28"/>
      <c r="P359" s="31">
        <v>0</v>
      </c>
      <c r="Q359" s="31">
        <v>0</v>
      </c>
      <c r="R359" s="31">
        <v>0</v>
      </c>
      <c r="S359" s="28"/>
      <c r="T359" s="28"/>
      <c r="U359" s="28"/>
      <c r="V359" s="31">
        <v>0</v>
      </c>
      <c r="W359" s="31">
        <v>0</v>
      </c>
      <c r="X359" s="31">
        <v>0</v>
      </c>
      <c r="Y359" s="28" t="s">
        <v>791</v>
      </c>
    </row>
    <row r="360" spans="1:25" x14ac:dyDescent="0.3">
      <c r="A360" s="28" t="s">
        <v>792</v>
      </c>
      <c r="B360" s="28" t="s">
        <v>98</v>
      </c>
      <c r="C360" s="28" t="s">
        <v>209</v>
      </c>
      <c r="D360" s="28" t="s">
        <v>206</v>
      </c>
      <c r="E360" s="28" t="s">
        <v>603</v>
      </c>
      <c r="F360" s="29">
        <v>5</v>
      </c>
      <c r="G360" s="28">
        <v>1</v>
      </c>
      <c r="H360" s="28">
        <v>0</v>
      </c>
      <c r="I360" s="28"/>
      <c r="J360" s="30">
        <v>2.3300000000000001E-2</v>
      </c>
      <c r="K360" s="28">
        <v>1</v>
      </c>
      <c r="L360" s="28" t="s">
        <v>603</v>
      </c>
      <c r="M360" s="28"/>
      <c r="N360" s="28"/>
      <c r="O360" s="28"/>
      <c r="P360" s="31">
        <v>0</v>
      </c>
      <c r="Q360" s="31">
        <v>0</v>
      </c>
      <c r="R360" s="31">
        <v>0</v>
      </c>
      <c r="S360" s="28"/>
      <c r="T360" s="28"/>
      <c r="U360" s="28"/>
      <c r="V360" s="31">
        <v>0</v>
      </c>
      <c r="W360" s="31">
        <v>0</v>
      </c>
      <c r="X360" s="31">
        <v>0</v>
      </c>
      <c r="Y360" s="28" t="s">
        <v>791</v>
      </c>
    </row>
    <row r="361" spans="1:25" x14ac:dyDescent="0.3">
      <c r="A361" s="28" t="s">
        <v>793</v>
      </c>
      <c r="B361" s="28" t="s">
        <v>98</v>
      </c>
      <c r="C361" s="28" t="s">
        <v>213</v>
      </c>
      <c r="D361" s="28" t="s">
        <v>202</v>
      </c>
      <c r="E361" s="28" t="s">
        <v>603</v>
      </c>
      <c r="F361" s="29">
        <v>5</v>
      </c>
      <c r="G361" s="28">
        <v>1</v>
      </c>
      <c r="H361" s="28">
        <v>0</v>
      </c>
      <c r="I361" s="28"/>
      <c r="J361" s="30">
        <v>0</v>
      </c>
      <c r="K361" s="28">
        <v>1</v>
      </c>
      <c r="L361" s="28" t="s">
        <v>603</v>
      </c>
      <c r="M361" s="28"/>
      <c r="N361" s="28"/>
      <c r="O361" s="28"/>
      <c r="P361" s="31">
        <v>0</v>
      </c>
      <c r="Q361" s="31">
        <v>0</v>
      </c>
      <c r="R361" s="31">
        <v>0</v>
      </c>
      <c r="S361" s="28"/>
      <c r="T361" s="28"/>
      <c r="U361" s="28"/>
      <c r="V361" s="31">
        <v>0</v>
      </c>
      <c r="W361" s="31">
        <v>0</v>
      </c>
      <c r="X361" s="31">
        <v>0</v>
      </c>
      <c r="Y361" s="28" t="s">
        <v>794</v>
      </c>
    </row>
    <row r="362" spans="1:25" x14ac:dyDescent="0.3">
      <c r="A362" s="28" t="s">
        <v>795</v>
      </c>
      <c r="B362" s="28" t="s">
        <v>98</v>
      </c>
      <c r="C362" s="28" t="s">
        <v>213</v>
      </c>
      <c r="D362" s="28" t="s">
        <v>206</v>
      </c>
      <c r="E362" s="28" t="s">
        <v>603</v>
      </c>
      <c r="F362" s="29">
        <v>5</v>
      </c>
      <c r="G362" s="28">
        <v>1</v>
      </c>
      <c r="H362" s="28">
        <v>0</v>
      </c>
      <c r="I362" s="28"/>
      <c r="J362" s="30">
        <v>2.3300000000000001E-2</v>
      </c>
      <c r="K362" s="28">
        <v>1</v>
      </c>
      <c r="L362" s="28" t="s">
        <v>603</v>
      </c>
      <c r="M362" s="28"/>
      <c r="N362" s="28"/>
      <c r="O362" s="28"/>
      <c r="P362" s="31">
        <v>0</v>
      </c>
      <c r="Q362" s="31">
        <v>0</v>
      </c>
      <c r="R362" s="31">
        <v>0</v>
      </c>
      <c r="S362" s="28"/>
      <c r="T362" s="28"/>
      <c r="U362" s="28"/>
      <c r="V362" s="31">
        <v>0</v>
      </c>
      <c r="W362" s="31">
        <v>0</v>
      </c>
      <c r="X362" s="31">
        <v>0</v>
      </c>
      <c r="Y362" s="28" t="s">
        <v>794</v>
      </c>
    </row>
    <row r="363" spans="1:25" x14ac:dyDescent="0.3">
      <c r="A363" s="28" t="s">
        <v>796</v>
      </c>
      <c r="B363" s="28" t="s">
        <v>98</v>
      </c>
      <c r="C363" s="28" t="s">
        <v>217</v>
      </c>
      <c r="D363" s="28" t="s">
        <v>202</v>
      </c>
      <c r="E363" s="28" t="s">
        <v>603</v>
      </c>
      <c r="F363" s="29">
        <v>4</v>
      </c>
      <c r="G363" s="28">
        <v>1</v>
      </c>
      <c r="H363" s="28">
        <v>0</v>
      </c>
      <c r="I363" s="28"/>
      <c r="J363" s="30">
        <v>0</v>
      </c>
      <c r="K363" s="28">
        <v>1</v>
      </c>
      <c r="L363" s="28" t="s">
        <v>603</v>
      </c>
      <c r="M363" s="28"/>
      <c r="N363" s="28"/>
      <c r="O363" s="28"/>
      <c r="P363" s="31">
        <v>0</v>
      </c>
      <c r="Q363" s="31">
        <v>0</v>
      </c>
      <c r="R363" s="31">
        <v>0</v>
      </c>
      <c r="S363" s="28"/>
      <c r="T363" s="28"/>
      <c r="U363" s="28"/>
      <c r="V363" s="31">
        <v>0</v>
      </c>
      <c r="W363" s="31">
        <v>0</v>
      </c>
      <c r="X363" s="31">
        <v>0</v>
      </c>
      <c r="Y363" s="28" t="s">
        <v>797</v>
      </c>
    </row>
    <row r="364" spans="1:25" x14ac:dyDescent="0.3">
      <c r="A364" s="28" t="s">
        <v>798</v>
      </c>
      <c r="B364" s="28" t="s">
        <v>98</v>
      </c>
      <c r="C364" s="28" t="s">
        <v>217</v>
      </c>
      <c r="D364" s="28" t="s">
        <v>206</v>
      </c>
      <c r="E364" s="28" t="s">
        <v>603</v>
      </c>
      <c r="F364" s="29">
        <v>4</v>
      </c>
      <c r="G364" s="28">
        <v>1</v>
      </c>
      <c r="H364" s="28">
        <v>0</v>
      </c>
      <c r="I364" s="28"/>
      <c r="J364" s="30">
        <v>2.3300000000000001E-2</v>
      </c>
      <c r="K364" s="28">
        <v>2</v>
      </c>
      <c r="L364" s="28" t="s">
        <v>603</v>
      </c>
      <c r="M364" s="28"/>
      <c r="N364" s="28"/>
      <c r="O364" s="28"/>
      <c r="P364" s="31">
        <v>0</v>
      </c>
      <c r="Q364" s="31">
        <v>0</v>
      </c>
      <c r="R364" s="31">
        <v>0</v>
      </c>
      <c r="S364" s="28"/>
      <c r="T364" s="28"/>
      <c r="U364" s="28"/>
      <c r="V364" s="31">
        <v>0</v>
      </c>
      <c r="W364" s="31">
        <v>0</v>
      </c>
      <c r="X364" s="31">
        <v>0</v>
      </c>
      <c r="Y364" s="28" t="s">
        <v>799</v>
      </c>
    </row>
    <row r="365" spans="1:25" x14ac:dyDescent="0.3">
      <c r="A365" s="28" t="s">
        <v>800</v>
      </c>
      <c r="B365" s="28" t="s">
        <v>98</v>
      </c>
      <c r="C365" s="28" t="s">
        <v>221</v>
      </c>
      <c r="D365" s="28" t="s">
        <v>202</v>
      </c>
      <c r="E365" s="28" t="s">
        <v>603</v>
      </c>
      <c r="F365" s="29">
        <v>4</v>
      </c>
      <c r="G365" s="28">
        <v>1</v>
      </c>
      <c r="H365" s="28">
        <v>0</v>
      </c>
      <c r="I365" s="28"/>
      <c r="J365" s="30">
        <v>0</v>
      </c>
      <c r="K365" s="28">
        <v>1</v>
      </c>
      <c r="L365" s="28" t="s">
        <v>603</v>
      </c>
      <c r="M365" s="28"/>
      <c r="N365" s="28"/>
      <c r="O365" s="28"/>
      <c r="P365" s="31">
        <v>0</v>
      </c>
      <c r="Q365" s="31">
        <v>0</v>
      </c>
      <c r="R365" s="31">
        <v>0</v>
      </c>
      <c r="S365" s="28"/>
      <c r="T365" s="28"/>
      <c r="U365" s="28"/>
      <c r="V365" s="31">
        <v>0</v>
      </c>
      <c r="W365" s="31">
        <v>0</v>
      </c>
      <c r="X365" s="31">
        <v>0</v>
      </c>
      <c r="Y365" s="28" t="s">
        <v>687</v>
      </c>
    </row>
    <row r="366" spans="1:25" x14ac:dyDescent="0.3">
      <c r="A366" s="28" t="s">
        <v>801</v>
      </c>
      <c r="B366" s="28" t="s">
        <v>98</v>
      </c>
      <c r="C366" s="28" t="s">
        <v>221</v>
      </c>
      <c r="D366" s="28" t="s">
        <v>206</v>
      </c>
      <c r="E366" s="28" t="s">
        <v>603</v>
      </c>
      <c r="F366" s="29">
        <v>4</v>
      </c>
      <c r="G366" s="28">
        <v>1</v>
      </c>
      <c r="H366" s="28">
        <v>0</v>
      </c>
      <c r="I366" s="28"/>
      <c r="J366" s="30">
        <v>2.3300000000000001E-2</v>
      </c>
      <c r="K366" s="28">
        <v>2</v>
      </c>
      <c r="L366" s="28" t="s">
        <v>603</v>
      </c>
      <c r="M366" s="28"/>
      <c r="N366" s="28"/>
      <c r="O366" s="28"/>
      <c r="P366" s="31">
        <v>0</v>
      </c>
      <c r="Q366" s="31">
        <v>0</v>
      </c>
      <c r="R366" s="31">
        <v>0</v>
      </c>
      <c r="S366" s="28"/>
      <c r="T366" s="28"/>
      <c r="U366" s="28"/>
      <c r="V366" s="31">
        <v>0</v>
      </c>
      <c r="W366" s="31">
        <v>0</v>
      </c>
      <c r="X366" s="31">
        <v>0</v>
      </c>
      <c r="Y366" s="28" t="s">
        <v>692</v>
      </c>
    </row>
    <row r="367" spans="1:25" x14ac:dyDescent="0.3">
      <c r="A367" s="28" t="s">
        <v>802</v>
      </c>
      <c r="B367" s="28" t="s">
        <v>98</v>
      </c>
      <c r="C367" s="28" t="s">
        <v>225</v>
      </c>
      <c r="D367" s="28" t="s">
        <v>202</v>
      </c>
      <c r="E367" s="28" t="s">
        <v>603</v>
      </c>
      <c r="F367" s="29">
        <v>4</v>
      </c>
      <c r="G367" s="28">
        <v>1</v>
      </c>
      <c r="H367" s="28">
        <v>0</v>
      </c>
      <c r="I367" s="28"/>
      <c r="J367" s="30">
        <v>0</v>
      </c>
      <c r="K367" s="28">
        <v>1</v>
      </c>
      <c r="L367" s="28" t="s">
        <v>603</v>
      </c>
      <c r="M367" s="28"/>
      <c r="N367" s="28"/>
      <c r="O367" s="28"/>
      <c r="P367" s="31">
        <v>0</v>
      </c>
      <c r="Q367" s="31">
        <v>0</v>
      </c>
      <c r="R367" s="31">
        <v>0</v>
      </c>
      <c r="S367" s="28"/>
      <c r="T367" s="28"/>
      <c r="U367" s="28"/>
      <c r="V367" s="31">
        <v>0</v>
      </c>
      <c r="W367" s="31">
        <v>0</v>
      </c>
      <c r="X367" s="31">
        <v>0</v>
      </c>
      <c r="Y367" s="28" t="s">
        <v>803</v>
      </c>
    </row>
    <row r="368" spans="1:25" x14ac:dyDescent="0.3">
      <c r="A368" s="28" t="s">
        <v>804</v>
      </c>
      <c r="B368" s="28" t="s">
        <v>98</v>
      </c>
      <c r="C368" s="28" t="s">
        <v>225</v>
      </c>
      <c r="D368" s="28" t="s">
        <v>206</v>
      </c>
      <c r="E368" s="28" t="s">
        <v>603</v>
      </c>
      <c r="F368" s="29">
        <v>4</v>
      </c>
      <c r="G368" s="28">
        <v>1</v>
      </c>
      <c r="H368" s="28">
        <v>0</v>
      </c>
      <c r="I368" s="28"/>
      <c r="J368" s="30">
        <v>2.3300000000000001E-2</v>
      </c>
      <c r="K368" s="28">
        <v>2</v>
      </c>
      <c r="L368" s="28" t="s">
        <v>603</v>
      </c>
      <c r="M368" s="28"/>
      <c r="N368" s="28"/>
      <c r="O368" s="28"/>
      <c r="P368" s="31">
        <v>0</v>
      </c>
      <c r="Q368" s="31">
        <v>0</v>
      </c>
      <c r="R368" s="31">
        <v>0</v>
      </c>
      <c r="S368" s="28"/>
      <c r="T368" s="28"/>
      <c r="U368" s="28"/>
      <c r="V368" s="31">
        <v>0</v>
      </c>
      <c r="W368" s="31">
        <v>0</v>
      </c>
      <c r="X368" s="31">
        <v>0</v>
      </c>
      <c r="Y368" s="28" t="s">
        <v>805</v>
      </c>
    </row>
    <row r="369" spans="1:25" x14ac:dyDescent="0.3">
      <c r="A369" s="28" t="s">
        <v>806</v>
      </c>
      <c r="B369" s="28" t="s">
        <v>98</v>
      </c>
      <c r="C369" s="28" t="s">
        <v>230</v>
      </c>
      <c r="D369" s="28" t="s">
        <v>202</v>
      </c>
      <c r="E369" s="28" t="s">
        <v>603</v>
      </c>
      <c r="F369" s="29">
        <v>4</v>
      </c>
      <c r="G369" s="28">
        <v>1</v>
      </c>
      <c r="H369" s="28">
        <v>0</v>
      </c>
      <c r="I369" s="28"/>
      <c r="J369" s="30">
        <v>0</v>
      </c>
      <c r="K369" s="28">
        <v>1</v>
      </c>
      <c r="L369" s="28" t="s">
        <v>603</v>
      </c>
      <c r="M369" s="28"/>
      <c r="N369" s="28"/>
      <c r="O369" s="28"/>
      <c r="P369" s="31">
        <v>0</v>
      </c>
      <c r="Q369" s="31">
        <v>0</v>
      </c>
      <c r="R369" s="31">
        <v>0</v>
      </c>
      <c r="S369" s="28"/>
      <c r="T369" s="28"/>
      <c r="U369" s="28"/>
      <c r="V369" s="31">
        <v>0</v>
      </c>
      <c r="W369" s="31">
        <v>0</v>
      </c>
      <c r="X369" s="31">
        <v>0</v>
      </c>
      <c r="Y369" s="28" t="s">
        <v>807</v>
      </c>
    </row>
    <row r="370" spans="1:25" x14ac:dyDescent="0.3">
      <c r="A370" s="28" t="s">
        <v>808</v>
      </c>
      <c r="B370" s="28" t="s">
        <v>98</v>
      </c>
      <c r="C370" s="28" t="s">
        <v>230</v>
      </c>
      <c r="D370" s="28" t="s">
        <v>206</v>
      </c>
      <c r="E370" s="28" t="s">
        <v>603</v>
      </c>
      <c r="F370" s="29">
        <v>4</v>
      </c>
      <c r="G370" s="28">
        <v>1</v>
      </c>
      <c r="H370" s="28">
        <v>0</v>
      </c>
      <c r="I370" s="28"/>
      <c r="J370" s="30">
        <v>2.3300000000000001E-2</v>
      </c>
      <c r="K370" s="28">
        <v>2</v>
      </c>
      <c r="L370" s="28" t="s">
        <v>603</v>
      </c>
      <c r="M370" s="28"/>
      <c r="N370" s="28"/>
      <c r="O370" s="28"/>
      <c r="P370" s="31">
        <v>0</v>
      </c>
      <c r="Q370" s="31">
        <v>0</v>
      </c>
      <c r="R370" s="31">
        <v>0</v>
      </c>
      <c r="S370" s="28"/>
      <c r="T370" s="28"/>
      <c r="U370" s="28"/>
      <c r="V370" s="31">
        <v>0</v>
      </c>
      <c r="W370" s="31">
        <v>0</v>
      </c>
      <c r="X370" s="31">
        <v>0</v>
      </c>
      <c r="Y370" s="28" t="s">
        <v>809</v>
      </c>
    </row>
    <row r="371" spans="1:25" x14ac:dyDescent="0.3">
      <c r="A371" s="28" t="s">
        <v>810</v>
      </c>
      <c r="B371" s="28" t="s">
        <v>98</v>
      </c>
      <c r="C371" s="28" t="s">
        <v>235</v>
      </c>
      <c r="D371" s="28" t="s">
        <v>202</v>
      </c>
      <c r="E371" s="28" t="s">
        <v>603</v>
      </c>
      <c r="F371" s="29">
        <v>4</v>
      </c>
      <c r="G371" s="28">
        <v>1</v>
      </c>
      <c r="H371" s="28">
        <v>0</v>
      </c>
      <c r="I371" s="28"/>
      <c r="J371" s="30">
        <v>0</v>
      </c>
      <c r="K371" s="28">
        <v>0</v>
      </c>
      <c r="L371" s="28"/>
      <c r="M371" s="28" t="s">
        <v>261</v>
      </c>
      <c r="N371" s="28" t="s">
        <v>603</v>
      </c>
      <c r="O371" s="28">
        <v>2026</v>
      </c>
      <c r="P371" s="31">
        <v>2500</v>
      </c>
      <c r="Q371" s="31">
        <v>254</v>
      </c>
      <c r="R371" s="31">
        <v>0</v>
      </c>
      <c r="S371" s="28"/>
      <c r="T371" s="28"/>
      <c r="U371" s="28"/>
      <c r="V371" s="31">
        <v>0</v>
      </c>
      <c r="W371" s="31">
        <v>0</v>
      </c>
      <c r="X371" s="31">
        <v>0</v>
      </c>
      <c r="Y371" s="28" t="s">
        <v>811</v>
      </c>
    </row>
    <row r="372" spans="1:25" x14ac:dyDescent="0.3">
      <c r="A372" s="28" t="s">
        <v>812</v>
      </c>
      <c r="B372" s="28" t="s">
        <v>98</v>
      </c>
      <c r="C372" s="28" t="s">
        <v>235</v>
      </c>
      <c r="D372" s="28" t="s">
        <v>206</v>
      </c>
      <c r="E372" s="28" t="s">
        <v>603</v>
      </c>
      <c r="F372" s="29">
        <v>4</v>
      </c>
      <c r="G372" s="28">
        <v>1</v>
      </c>
      <c r="H372" s="28">
        <v>0</v>
      </c>
      <c r="I372" s="28"/>
      <c r="J372" s="30">
        <v>2.3300000000000001E-2</v>
      </c>
      <c r="K372" s="28">
        <v>0</v>
      </c>
      <c r="L372" s="28"/>
      <c r="M372" s="28" t="s">
        <v>261</v>
      </c>
      <c r="N372" s="28" t="s">
        <v>603</v>
      </c>
      <c r="O372" s="28">
        <v>2026</v>
      </c>
      <c r="P372" s="31">
        <v>29535</v>
      </c>
      <c r="Q372" s="31">
        <v>0</v>
      </c>
      <c r="R372" s="31">
        <v>0</v>
      </c>
      <c r="S372" s="28"/>
      <c r="T372" s="28"/>
      <c r="U372" s="28"/>
      <c r="V372" s="31">
        <v>0</v>
      </c>
      <c r="W372" s="31">
        <v>0</v>
      </c>
      <c r="X372" s="31">
        <v>0</v>
      </c>
      <c r="Y372" s="28" t="s">
        <v>811</v>
      </c>
    </row>
    <row r="373" spans="1:25" x14ac:dyDescent="0.3">
      <c r="A373" s="28" t="s">
        <v>813</v>
      </c>
      <c r="B373" s="28" t="s">
        <v>98</v>
      </c>
      <c r="C373" s="28" t="s">
        <v>240</v>
      </c>
      <c r="D373" s="28" t="s">
        <v>202</v>
      </c>
      <c r="E373" s="28" t="s">
        <v>603</v>
      </c>
      <c r="F373" s="29">
        <v>4</v>
      </c>
      <c r="G373" s="28">
        <v>1</v>
      </c>
      <c r="H373" s="28">
        <v>0</v>
      </c>
      <c r="I373" s="28"/>
      <c r="J373" s="30">
        <v>0</v>
      </c>
      <c r="K373" s="28">
        <v>0</v>
      </c>
      <c r="L373" s="28"/>
      <c r="M373" s="28" t="s">
        <v>261</v>
      </c>
      <c r="N373" s="28" t="s">
        <v>603</v>
      </c>
      <c r="O373" s="28">
        <v>2026</v>
      </c>
      <c r="P373" s="31">
        <v>2500</v>
      </c>
      <c r="Q373" s="31">
        <v>254</v>
      </c>
      <c r="R373" s="31">
        <v>0</v>
      </c>
      <c r="S373" s="28"/>
      <c r="T373" s="28"/>
      <c r="U373" s="28"/>
      <c r="V373" s="31">
        <v>0</v>
      </c>
      <c r="W373" s="31">
        <v>0</v>
      </c>
      <c r="X373" s="31">
        <v>0</v>
      </c>
      <c r="Y373" s="28" t="s">
        <v>811</v>
      </c>
    </row>
    <row r="374" spans="1:25" x14ac:dyDescent="0.3">
      <c r="A374" s="28" t="s">
        <v>814</v>
      </c>
      <c r="B374" s="28" t="s">
        <v>98</v>
      </c>
      <c r="C374" s="28" t="s">
        <v>240</v>
      </c>
      <c r="D374" s="28" t="s">
        <v>206</v>
      </c>
      <c r="E374" s="28" t="s">
        <v>603</v>
      </c>
      <c r="F374" s="29">
        <v>4</v>
      </c>
      <c r="G374" s="28">
        <v>1</v>
      </c>
      <c r="H374" s="28">
        <v>0</v>
      </c>
      <c r="I374" s="28"/>
      <c r="J374" s="30">
        <v>2.3300000000000001E-2</v>
      </c>
      <c r="K374" s="28">
        <v>0</v>
      </c>
      <c r="L374" s="28"/>
      <c r="M374" s="28" t="s">
        <v>261</v>
      </c>
      <c r="N374" s="28" t="s">
        <v>603</v>
      </c>
      <c r="O374" s="28">
        <v>2026</v>
      </c>
      <c r="P374" s="31">
        <v>29535</v>
      </c>
      <c r="Q374" s="31">
        <v>0</v>
      </c>
      <c r="R374" s="31">
        <v>0</v>
      </c>
      <c r="S374" s="28"/>
      <c r="T374" s="28"/>
      <c r="U374" s="28"/>
      <c r="V374" s="31">
        <v>0</v>
      </c>
      <c r="W374" s="31">
        <v>0</v>
      </c>
      <c r="X374" s="31">
        <v>0</v>
      </c>
      <c r="Y374" s="28" t="s">
        <v>811</v>
      </c>
    </row>
    <row r="375" spans="1:25" x14ac:dyDescent="0.3">
      <c r="A375" s="28" t="s">
        <v>815</v>
      </c>
      <c r="B375" s="28" t="s">
        <v>98</v>
      </c>
      <c r="C375" s="28" t="s">
        <v>245</v>
      </c>
      <c r="D375" s="28" t="s">
        <v>202</v>
      </c>
      <c r="E375" s="28" t="s">
        <v>603</v>
      </c>
      <c r="F375" s="29">
        <v>4</v>
      </c>
      <c r="G375" s="28">
        <v>1</v>
      </c>
      <c r="H375" s="28">
        <v>0</v>
      </c>
      <c r="I375" s="28"/>
      <c r="J375" s="30">
        <v>0</v>
      </c>
      <c r="K375" s="28">
        <v>0</v>
      </c>
      <c r="L375" s="28"/>
      <c r="M375" s="28" t="s">
        <v>261</v>
      </c>
      <c r="N375" s="28" t="s">
        <v>603</v>
      </c>
      <c r="O375" s="28">
        <v>2026</v>
      </c>
      <c r="P375" s="31">
        <v>2500</v>
      </c>
      <c r="Q375" s="31">
        <v>254</v>
      </c>
      <c r="R375" s="31">
        <v>0</v>
      </c>
      <c r="S375" s="28"/>
      <c r="T375" s="28"/>
      <c r="U375" s="28"/>
      <c r="V375" s="31">
        <v>0</v>
      </c>
      <c r="W375" s="31">
        <v>0</v>
      </c>
      <c r="X375" s="31">
        <v>0</v>
      </c>
      <c r="Y375" s="28" t="s">
        <v>811</v>
      </c>
    </row>
    <row r="376" spans="1:25" x14ac:dyDescent="0.3">
      <c r="A376" s="28" t="s">
        <v>816</v>
      </c>
      <c r="B376" s="28" t="s">
        <v>98</v>
      </c>
      <c r="C376" s="28" t="s">
        <v>245</v>
      </c>
      <c r="D376" s="28" t="s">
        <v>206</v>
      </c>
      <c r="E376" s="28" t="s">
        <v>603</v>
      </c>
      <c r="F376" s="29">
        <v>4</v>
      </c>
      <c r="G376" s="28">
        <v>1</v>
      </c>
      <c r="H376" s="28">
        <v>0</v>
      </c>
      <c r="I376" s="28"/>
      <c r="J376" s="30">
        <v>2.3300000000000001E-2</v>
      </c>
      <c r="K376" s="28">
        <v>0</v>
      </c>
      <c r="L376" s="28"/>
      <c r="M376" s="28" t="s">
        <v>261</v>
      </c>
      <c r="N376" s="28" t="s">
        <v>603</v>
      </c>
      <c r="O376" s="28">
        <v>2026</v>
      </c>
      <c r="P376" s="31">
        <v>29535</v>
      </c>
      <c r="Q376" s="31">
        <v>0</v>
      </c>
      <c r="R376" s="31">
        <v>0</v>
      </c>
      <c r="S376" s="28"/>
      <c r="T376" s="28"/>
      <c r="U376" s="28"/>
      <c r="V376" s="31">
        <v>0</v>
      </c>
      <c r="W376" s="31">
        <v>0</v>
      </c>
      <c r="X376" s="31">
        <v>0</v>
      </c>
      <c r="Y376" s="28" t="s">
        <v>811</v>
      </c>
    </row>
    <row r="377" spans="1:25" x14ac:dyDescent="0.3">
      <c r="A377" s="28" t="s">
        <v>817</v>
      </c>
      <c r="B377" s="28" t="s">
        <v>98</v>
      </c>
      <c r="C377" s="28" t="s">
        <v>250</v>
      </c>
      <c r="D377" s="28" t="s">
        <v>202</v>
      </c>
      <c r="E377" s="28" t="s">
        <v>603</v>
      </c>
      <c r="F377" s="29">
        <v>4</v>
      </c>
      <c r="G377" s="28">
        <v>1</v>
      </c>
      <c r="H377" s="28">
        <v>0</v>
      </c>
      <c r="I377" s="28"/>
      <c r="J377" s="30">
        <v>0</v>
      </c>
      <c r="K377" s="28">
        <v>0</v>
      </c>
      <c r="L377" s="28"/>
      <c r="M377" s="28" t="s">
        <v>261</v>
      </c>
      <c r="N377" s="28" t="s">
        <v>603</v>
      </c>
      <c r="O377" s="28">
        <v>2026</v>
      </c>
      <c r="P377" s="31">
        <v>2500</v>
      </c>
      <c r="Q377" s="31">
        <v>254</v>
      </c>
      <c r="R377" s="31">
        <v>0</v>
      </c>
      <c r="S377" s="28"/>
      <c r="T377" s="28"/>
      <c r="U377" s="28"/>
      <c r="V377" s="31">
        <v>0</v>
      </c>
      <c r="W377" s="31">
        <v>0</v>
      </c>
      <c r="X377" s="31">
        <v>0</v>
      </c>
      <c r="Y377" s="28" t="s">
        <v>811</v>
      </c>
    </row>
    <row r="378" spans="1:25" x14ac:dyDescent="0.3">
      <c r="A378" s="28" t="s">
        <v>818</v>
      </c>
      <c r="B378" s="28" t="s">
        <v>98</v>
      </c>
      <c r="C378" s="28" t="s">
        <v>250</v>
      </c>
      <c r="D378" s="28" t="s">
        <v>206</v>
      </c>
      <c r="E378" s="28" t="s">
        <v>603</v>
      </c>
      <c r="F378" s="29">
        <v>4</v>
      </c>
      <c r="G378" s="28">
        <v>1</v>
      </c>
      <c r="H378" s="28">
        <v>0</v>
      </c>
      <c r="I378" s="28"/>
      <c r="J378" s="30">
        <v>2.3300000000000001E-2</v>
      </c>
      <c r="K378" s="28">
        <v>0</v>
      </c>
      <c r="L378" s="28"/>
      <c r="M378" s="28" t="s">
        <v>261</v>
      </c>
      <c r="N378" s="28" t="s">
        <v>603</v>
      </c>
      <c r="O378" s="28">
        <v>2026</v>
      </c>
      <c r="P378" s="31">
        <v>29535</v>
      </c>
      <c r="Q378" s="31">
        <v>0</v>
      </c>
      <c r="R378" s="31">
        <v>0</v>
      </c>
      <c r="S378" s="28"/>
      <c r="T378" s="28"/>
      <c r="U378" s="28"/>
      <c r="V378" s="31">
        <v>0</v>
      </c>
      <c r="W378" s="31">
        <v>0</v>
      </c>
      <c r="X378" s="31">
        <v>0</v>
      </c>
      <c r="Y378" s="28" t="s">
        <v>811</v>
      </c>
    </row>
    <row r="379" spans="1:25" x14ac:dyDescent="0.3">
      <c r="A379" s="28" t="s">
        <v>819</v>
      </c>
      <c r="B379" s="28" t="s">
        <v>98</v>
      </c>
      <c r="C379" s="28" t="s">
        <v>255</v>
      </c>
      <c r="D379" s="28" t="s">
        <v>202</v>
      </c>
      <c r="E379" s="28" t="s">
        <v>603</v>
      </c>
      <c r="F379" s="29">
        <v>4</v>
      </c>
      <c r="G379" s="28">
        <v>1</v>
      </c>
      <c r="H379" s="28">
        <v>0</v>
      </c>
      <c r="I379" s="28"/>
      <c r="J379" s="30">
        <v>0</v>
      </c>
      <c r="K379" s="28">
        <v>1</v>
      </c>
      <c r="L379" s="28" t="s">
        <v>603</v>
      </c>
      <c r="M379" s="28"/>
      <c r="N379" s="28"/>
      <c r="O379" s="28"/>
      <c r="P379" s="31">
        <v>0</v>
      </c>
      <c r="Q379" s="31">
        <v>0</v>
      </c>
      <c r="R379" s="31">
        <v>0</v>
      </c>
      <c r="S379" s="28"/>
      <c r="T379" s="28"/>
      <c r="U379" s="28"/>
      <c r="V379" s="31">
        <v>0</v>
      </c>
      <c r="W379" s="31">
        <v>0</v>
      </c>
      <c r="X379" s="31">
        <v>0</v>
      </c>
      <c r="Y379" s="28" t="s">
        <v>820</v>
      </c>
    </row>
    <row r="380" spans="1:25" x14ac:dyDescent="0.3">
      <c r="A380" s="28" t="s">
        <v>821</v>
      </c>
      <c r="B380" s="28" t="s">
        <v>98</v>
      </c>
      <c r="C380" s="28" t="s">
        <v>255</v>
      </c>
      <c r="D380" s="28" t="s">
        <v>206</v>
      </c>
      <c r="E380" s="28" t="s">
        <v>603</v>
      </c>
      <c r="F380" s="29">
        <v>4</v>
      </c>
      <c r="G380" s="28">
        <v>1</v>
      </c>
      <c r="H380" s="28">
        <v>0</v>
      </c>
      <c r="I380" s="28"/>
      <c r="J380" s="30">
        <v>2.3300000000000001E-2</v>
      </c>
      <c r="K380" s="28">
        <v>2</v>
      </c>
      <c r="L380" s="28" t="s">
        <v>603</v>
      </c>
      <c r="M380" s="28"/>
      <c r="N380" s="28"/>
      <c r="O380" s="28"/>
      <c r="P380" s="31">
        <v>0</v>
      </c>
      <c r="Q380" s="31">
        <v>0</v>
      </c>
      <c r="R380" s="31">
        <v>0</v>
      </c>
      <c r="S380" s="28"/>
      <c r="T380" s="28"/>
      <c r="U380" s="28"/>
      <c r="V380" s="31">
        <v>0</v>
      </c>
      <c r="W380" s="31">
        <v>0</v>
      </c>
      <c r="X380" s="31">
        <v>0</v>
      </c>
      <c r="Y380" s="28" t="s">
        <v>822</v>
      </c>
    </row>
    <row r="381" spans="1:25" x14ac:dyDescent="0.3">
      <c r="A381" s="28" t="s">
        <v>823</v>
      </c>
      <c r="B381" s="28" t="s">
        <v>98</v>
      </c>
      <c r="C381" s="28" t="s">
        <v>260</v>
      </c>
      <c r="D381" s="28" t="s">
        <v>202</v>
      </c>
      <c r="E381" s="28" t="s">
        <v>603</v>
      </c>
      <c r="F381" s="29">
        <v>4</v>
      </c>
      <c r="G381" s="28">
        <v>1</v>
      </c>
      <c r="H381" s="28">
        <v>0</v>
      </c>
      <c r="I381" s="28"/>
      <c r="J381" s="30">
        <v>0</v>
      </c>
      <c r="K381" s="28">
        <v>1</v>
      </c>
      <c r="L381" s="28" t="s">
        <v>603</v>
      </c>
      <c r="M381" s="28"/>
      <c r="N381" s="28"/>
      <c r="O381" s="28"/>
      <c r="P381" s="31">
        <v>0</v>
      </c>
      <c r="Q381" s="31">
        <v>0</v>
      </c>
      <c r="R381" s="31">
        <v>0</v>
      </c>
      <c r="S381" s="28"/>
      <c r="T381" s="28"/>
      <c r="U381" s="28"/>
      <c r="V381" s="31">
        <v>0</v>
      </c>
      <c r="W381" s="31">
        <v>0</v>
      </c>
      <c r="X381" s="31">
        <v>0</v>
      </c>
      <c r="Y381" s="28" t="s">
        <v>687</v>
      </c>
    </row>
    <row r="382" spans="1:25" x14ac:dyDescent="0.3">
      <c r="A382" s="28" t="s">
        <v>824</v>
      </c>
      <c r="B382" s="28" t="s">
        <v>98</v>
      </c>
      <c r="C382" s="28" t="s">
        <v>260</v>
      </c>
      <c r="D382" s="28" t="s">
        <v>206</v>
      </c>
      <c r="E382" s="28" t="s">
        <v>603</v>
      </c>
      <c r="F382" s="29">
        <v>4</v>
      </c>
      <c r="G382" s="28">
        <v>1</v>
      </c>
      <c r="H382" s="28">
        <v>0</v>
      </c>
      <c r="I382" s="28"/>
      <c r="J382" s="30">
        <v>2.3300000000000001E-2</v>
      </c>
      <c r="K382" s="28">
        <v>1</v>
      </c>
      <c r="L382" s="28" t="s">
        <v>603</v>
      </c>
      <c r="M382" s="28"/>
      <c r="N382" s="28"/>
      <c r="O382" s="28"/>
      <c r="P382" s="31">
        <v>0</v>
      </c>
      <c r="Q382" s="31">
        <v>0</v>
      </c>
      <c r="R382" s="31">
        <v>0</v>
      </c>
      <c r="S382" s="28"/>
      <c r="T382" s="28"/>
      <c r="U382" s="28"/>
      <c r="V382" s="31">
        <v>0</v>
      </c>
      <c r="W382" s="31">
        <v>0</v>
      </c>
      <c r="X382" s="31">
        <v>0</v>
      </c>
      <c r="Y382" s="28" t="s">
        <v>687</v>
      </c>
    </row>
    <row r="383" spans="1:25" x14ac:dyDescent="0.3">
      <c r="A383" s="28" t="s">
        <v>825</v>
      </c>
      <c r="B383" s="28" t="s">
        <v>98</v>
      </c>
      <c r="C383" s="28" t="s">
        <v>265</v>
      </c>
      <c r="D383" s="28" t="s">
        <v>202</v>
      </c>
      <c r="E383" s="28" t="s">
        <v>603</v>
      </c>
      <c r="F383" s="29">
        <v>4</v>
      </c>
      <c r="G383" s="28">
        <v>1</v>
      </c>
      <c r="H383" s="28">
        <v>0</v>
      </c>
      <c r="I383" s="28"/>
      <c r="J383" s="30">
        <v>0</v>
      </c>
      <c r="K383" s="28">
        <v>0</v>
      </c>
      <c r="L383" s="28"/>
      <c r="M383" s="28" t="s">
        <v>261</v>
      </c>
      <c r="N383" s="28" t="s">
        <v>603</v>
      </c>
      <c r="O383" s="28">
        <v>2026</v>
      </c>
      <c r="P383" s="31">
        <v>2500</v>
      </c>
      <c r="Q383" s="31">
        <v>254</v>
      </c>
      <c r="R383" s="31">
        <v>0</v>
      </c>
      <c r="S383" s="28"/>
      <c r="T383" s="28"/>
      <c r="U383" s="28"/>
      <c r="V383" s="31">
        <v>0</v>
      </c>
      <c r="W383" s="31">
        <v>0</v>
      </c>
      <c r="X383" s="31">
        <v>0</v>
      </c>
      <c r="Y383" s="28" t="s">
        <v>826</v>
      </c>
    </row>
    <row r="384" spans="1:25" x14ac:dyDescent="0.3">
      <c r="A384" s="28" t="s">
        <v>827</v>
      </c>
      <c r="B384" s="28" t="s">
        <v>98</v>
      </c>
      <c r="C384" s="28" t="s">
        <v>265</v>
      </c>
      <c r="D384" s="28" t="s">
        <v>206</v>
      </c>
      <c r="E384" s="28" t="s">
        <v>603</v>
      </c>
      <c r="F384" s="29">
        <v>4</v>
      </c>
      <c r="G384" s="28">
        <v>1</v>
      </c>
      <c r="H384" s="28">
        <v>0</v>
      </c>
      <c r="I384" s="28"/>
      <c r="J384" s="30">
        <v>2.3300000000000001E-2</v>
      </c>
      <c r="K384" s="28">
        <v>0</v>
      </c>
      <c r="L384" s="28"/>
      <c r="M384" s="28" t="s">
        <v>261</v>
      </c>
      <c r="N384" s="28" t="s">
        <v>603</v>
      </c>
      <c r="O384" s="28">
        <v>2026</v>
      </c>
      <c r="P384" s="31">
        <v>22875</v>
      </c>
      <c r="Q384" s="31">
        <v>0</v>
      </c>
      <c r="R384" s="31">
        <v>0</v>
      </c>
      <c r="S384" s="28"/>
      <c r="T384" s="28"/>
      <c r="U384" s="28"/>
      <c r="V384" s="31">
        <v>0</v>
      </c>
      <c r="W384" s="31">
        <v>0</v>
      </c>
      <c r="X384" s="31">
        <v>0</v>
      </c>
      <c r="Y384" s="28" t="s">
        <v>826</v>
      </c>
    </row>
    <row r="385" spans="1:25" x14ac:dyDescent="0.3">
      <c r="A385" s="28" t="s">
        <v>828</v>
      </c>
      <c r="B385" s="28" t="s">
        <v>98</v>
      </c>
      <c r="C385" s="28" t="s">
        <v>270</v>
      </c>
      <c r="D385" s="28" t="s">
        <v>202</v>
      </c>
      <c r="E385" s="28" t="s">
        <v>603</v>
      </c>
      <c r="F385" s="29">
        <v>3</v>
      </c>
      <c r="G385" s="28">
        <v>1</v>
      </c>
      <c r="H385" s="28">
        <v>0</v>
      </c>
      <c r="I385" s="28"/>
      <c r="J385" s="30">
        <v>0</v>
      </c>
      <c r="K385" s="28">
        <v>0</v>
      </c>
      <c r="L385" s="28"/>
      <c r="M385" s="28" t="s">
        <v>261</v>
      </c>
      <c r="N385" s="28" t="s">
        <v>271</v>
      </c>
      <c r="O385" s="28">
        <v>2026</v>
      </c>
      <c r="P385" s="31">
        <v>876</v>
      </c>
      <c r="Q385" s="31">
        <v>0</v>
      </c>
      <c r="R385" s="31">
        <v>89</v>
      </c>
      <c r="S385" s="28"/>
      <c r="T385" s="28"/>
      <c r="U385" s="28"/>
      <c r="V385" s="31">
        <v>0</v>
      </c>
      <c r="W385" s="31">
        <v>0</v>
      </c>
      <c r="X385" s="31">
        <v>0</v>
      </c>
      <c r="Y385" s="28" t="s">
        <v>510</v>
      </c>
    </row>
    <row r="386" spans="1:25" x14ac:dyDescent="0.3">
      <c r="A386" s="28" t="s">
        <v>829</v>
      </c>
      <c r="B386" s="28" t="s">
        <v>98</v>
      </c>
      <c r="C386" s="28" t="s">
        <v>270</v>
      </c>
      <c r="D386" s="28" t="s">
        <v>206</v>
      </c>
      <c r="E386" s="28" t="s">
        <v>603</v>
      </c>
      <c r="F386" s="29">
        <v>3</v>
      </c>
      <c r="G386" s="28">
        <v>1</v>
      </c>
      <c r="H386" s="28">
        <v>0</v>
      </c>
      <c r="I386" s="28"/>
      <c r="J386" s="30">
        <v>2.3300000000000001E-2</v>
      </c>
      <c r="K386" s="28">
        <v>0</v>
      </c>
      <c r="L386" s="28"/>
      <c r="M386" s="28" t="s">
        <v>261</v>
      </c>
      <c r="N386" s="28" t="s">
        <v>271</v>
      </c>
      <c r="O386" s="28">
        <v>2026</v>
      </c>
      <c r="P386" s="31">
        <v>876</v>
      </c>
      <c r="Q386" s="31">
        <v>0</v>
      </c>
      <c r="R386" s="31">
        <v>89</v>
      </c>
      <c r="S386" s="28"/>
      <c r="T386" s="28"/>
      <c r="U386" s="28"/>
      <c r="V386" s="31">
        <v>0</v>
      </c>
      <c r="W386" s="31">
        <v>0</v>
      </c>
      <c r="X386" s="31">
        <v>0</v>
      </c>
      <c r="Y386" s="28" t="s">
        <v>510</v>
      </c>
    </row>
    <row r="387" spans="1:25" x14ac:dyDescent="0.3">
      <c r="A387" s="28" t="s">
        <v>830</v>
      </c>
      <c r="B387" s="28" t="s">
        <v>98</v>
      </c>
      <c r="C387" s="28" t="s">
        <v>275</v>
      </c>
      <c r="D387" s="28" t="s">
        <v>202</v>
      </c>
      <c r="E387" s="28" t="s">
        <v>603</v>
      </c>
      <c r="F387" s="29">
        <v>0</v>
      </c>
      <c r="G387" s="28">
        <v>0</v>
      </c>
      <c r="H387" s="28">
        <v>0</v>
      </c>
      <c r="I387" s="28"/>
      <c r="J387" s="30">
        <v>0</v>
      </c>
      <c r="K387" s="28">
        <v>0</v>
      </c>
      <c r="L387" s="28"/>
      <c r="M387" s="28" t="s">
        <v>276</v>
      </c>
      <c r="N387" s="28" t="s">
        <v>603</v>
      </c>
      <c r="O387" s="28">
        <v>2026</v>
      </c>
      <c r="P387" s="31">
        <v>0</v>
      </c>
      <c r="Q387" s="31">
        <v>0</v>
      </c>
      <c r="R387" s="31">
        <v>0</v>
      </c>
      <c r="S387" s="28"/>
      <c r="T387" s="28"/>
      <c r="U387" s="28"/>
      <c r="V387" s="31">
        <v>0</v>
      </c>
      <c r="W387" s="31">
        <v>0</v>
      </c>
      <c r="X387" s="31">
        <v>0</v>
      </c>
      <c r="Y387" s="28" t="s">
        <v>831</v>
      </c>
    </row>
    <row r="388" spans="1:25" x14ac:dyDescent="0.3">
      <c r="A388" s="28" t="s">
        <v>832</v>
      </c>
      <c r="B388" s="28" t="s">
        <v>98</v>
      </c>
      <c r="C388" s="28" t="s">
        <v>275</v>
      </c>
      <c r="D388" s="28" t="s">
        <v>206</v>
      </c>
      <c r="E388" s="28" t="s">
        <v>603</v>
      </c>
      <c r="F388" s="29">
        <v>0</v>
      </c>
      <c r="G388" s="28">
        <v>0</v>
      </c>
      <c r="H388" s="28">
        <v>0</v>
      </c>
      <c r="I388" s="28"/>
      <c r="J388" s="30">
        <v>2.3300000000000001E-2</v>
      </c>
      <c r="K388" s="28">
        <v>0</v>
      </c>
      <c r="L388" s="28"/>
      <c r="M388" s="28" t="s">
        <v>276</v>
      </c>
      <c r="N388" s="28" t="s">
        <v>603</v>
      </c>
      <c r="O388" s="28">
        <v>2026</v>
      </c>
      <c r="P388" s="31">
        <v>0</v>
      </c>
      <c r="Q388" s="31">
        <v>0</v>
      </c>
      <c r="R388" s="31">
        <v>0</v>
      </c>
      <c r="S388" s="28"/>
      <c r="T388" s="28"/>
      <c r="U388" s="28"/>
      <c r="V388" s="31">
        <v>0</v>
      </c>
      <c r="W388" s="31">
        <v>0</v>
      </c>
      <c r="X388" s="31">
        <v>0</v>
      </c>
      <c r="Y388" s="28" t="s">
        <v>831</v>
      </c>
    </row>
    <row r="389" spans="1:25" x14ac:dyDescent="0.3">
      <c r="A389" s="28" t="s">
        <v>833</v>
      </c>
      <c r="B389" s="28" t="s">
        <v>98</v>
      </c>
      <c r="C389" s="28" t="s">
        <v>280</v>
      </c>
      <c r="D389" s="28" t="s">
        <v>202</v>
      </c>
      <c r="E389" s="28" t="s">
        <v>603</v>
      </c>
      <c r="F389" s="29">
        <v>3</v>
      </c>
      <c r="G389" s="28">
        <v>1</v>
      </c>
      <c r="H389" s="28">
        <v>0</v>
      </c>
      <c r="I389" s="28"/>
      <c r="J389" s="30">
        <v>0</v>
      </c>
      <c r="K389" s="28">
        <v>0</v>
      </c>
      <c r="L389" s="28"/>
      <c r="M389" s="28" t="s">
        <v>261</v>
      </c>
      <c r="N389" s="28" t="s">
        <v>603</v>
      </c>
      <c r="O389" s="28">
        <v>2026</v>
      </c>
      <c r="P389" s="31">
        <v>3407</v>
      </c>
      <c r="Q389" s="31">
        <v>0</v>
      </c>
      <c r="R389" s="31">
        <v>0</v>
      </c>
      <c r="S389" s="28"/>
      <c r="T389" s="28"/>
      <c r="U389" s="28"/>
      <c r="V389" s="31">
        <v>0</v>
      </c>
      <c r="W389" s="31">
        <v>0</v>
      </c>
      <c r="X389" s="31">
        <v>0</v>
      </c>
      <c r="Y389" s="28" t="s">
        <v>834</v>
      </c>
    </row>
    <row r="390" spans="1:25" x14ac:dyDescent="0.3">
      <c r="A390" s="28" t="s">
        <v>835</v>
      </c>
      <c r="B390" s="28" t="s">
        <v>98</v>
      </c>
      <c r="C390" s="28" t="s">
        <v>280</v>
      </c>
      <c r="D390" s="28" t="s">
        <v>206</v>
      </c>
      <c r="E390" s="28" t="s">
        <v>603</v>
      </c>
      <c r="F390" s="29">
        <v>3</v>
      </c>
      <c r="G390" s="28">
        <v>1</v>
      </c>
      <c r="H390" s="28">
        <v>0</v>
      </c>
      <c r="I390" s="28"/>
      <c r="J390" s="30">
        <v>2.3300000000000001E-2</v>
      </c>
      <c r="K390" s="28">
        <v>0</v>
      </c>
      <c r="L390" s="28"/>
      <c r="M390" s="28" t="s">
        <v>261</v>
      </c>
      <c r="N390" s="28" t="s">
        <v>603</v>
      </c>
      <c r="O390" s="28">
        <v>2026</v>
      </c>
      <c r="P390" s="31">
        <v>3407</v>
      </c>
      <c r="Q390" s="31">
        <v>0</v>
      </c>
      <c r="R390" s="31">
        <v>0</v>
      </c>
      <c r="S390" s="28"/>
      <c r="T390" s="28"/>
      <c r="U390" s="28"/>
      <c r="V390" s="31">
        <v>0</v>
      </c>
      <c r="W390" s="31">
        <v>0</v>
      </c>
      <c r="X390" s="31">
        <v>0</v>
      </c>
      <c r="Y390" s="28" t="s">
        <v>834</v>
      </c>
    </row>
    <row r="391" spans="1:25" x14ac:dyDescent="0.3">
      <c r="A391" s="28" t="s">
        <v>836</v>
      </c>
      <c r="B391" s="28" t="s">
        <v>98</v>
      </c>
      <c r="C391" s="28" t="s">
        <v>284</v>
      </c>
      <c r="D391" s="28" t="s">
        <v>202</v>
      </c>
      <c r="E391" s="28" t="s">
        <v>603</v>
      </c>
      <c r="F391" s="29">
        <v>4</v>
      </c>
      <c r="G391" s="28">
        <v>1</v>
      </c>
      <c r="H391" s="28">
        <v>0</v>
      </c>
      <c r="I391" s="28"/>
      <c r="J391" s="30">
        <v>0</v>
      </c>
      <c r="K391" s="28">
        <v>1</v>
      </c>
      <c r="L391" s="28" t="s">
        <v>603</v>
      </c>
      <c r="M391" s="28"/>
      <c r="N391" s="28"/>
      <c r="O391" s="28"/>
      <c r="P391" s="31">
        <v>0</v>
      </c>
      <c r="Q391" s="31">
        <v>0</v>
      </c>
      <c r="R391" s="31">
        <v>0</v>
      </c>
      <c r="S391" s="28"/>
      <c r="T391" s="28"/>
      <c r="U391" s="28"/>
      <c r="V391" s="31">
        <v>0</v>
      </c>
      <c r="W391" s="31">
        <v>0</v>
      </c>
      <c r="X391" s="31">
        <v>0</v>
      </c>
      <c r="Y391" s="28" t="s">
        <v>837</v>
      </c>
    </row>
    <row r="392" spans="1:25" x14ac:dyDescent="0.3">
      <c r="A392" s="28" t="s">
        <v>838</v>
      </c>
      <c r="B392" s="28" t="s">
        <v>98</v>
      </c>
      <c r="C392" s="28" t="s">
        <v>284</v>
      </c>
      <c r="D392" s="28" t="s">
        <v>206</v>
      </c>
      <c r="E392" s="28" t="s">
        <v>603</v>
      </c>
      <c r="F392" s="29">
        <v>4</v>
      </c>
      <c r="G392" s="28">
        <v>1</v>
      </c>
      <c r="H392" s="28">
        <v>0</v>
      </c>
      <c r="I392" s="28"/>
      <c r="J392" s="30">
        <v>2.3300000000000001E-2</v>
      </c>
      <c r="K392" s="28">
        <v>2</v>
      </c>
      <c r="L392" s="28" t="s">
        <v>603</v>
      </c>
      <c r="M392" s="28"/>
      <c r="N392" s="28"/>
      <c r="O392" s="28"/>
      <c r="P392" s="31">
        <v>0</v>
      </c>
      <c r="Q392" s="31">
        <v>0</v>
      </c>
      <c r="R392" s="31">
        <v>0</v>
      </c>
      <c r="S392" s="28"/>
      <c r="T392" s="28"/>
      <c r="U392" s="28"/>
      <c r="V392" s="31">
        <v>0</v>
      </c>
      <c r="W392" s="31">
        <v>0</v>
      </c>
      <c r="X392" s="31">
        <v>0</v>
      </c>
      <c r="Y392" s="28" t="s">
        <v>839</v>
      </c>
    </row>
    <row r="393" spans="1:25" x14ac:dyDescent="0.3">
      <c r="A393" s="28" t="s">
        <v>840</v>
      </c>
      <c r="B393" s="28" t="s">
        <v>98</v>
      </c>
      <c r="C393" s="28" t="s">
        <v>288</v>
      </c>
      <c r="D393" s="28" t="s">
        <v>202</v>
      </c>
      <c r="E393" s="28" t="s">
        <v>603</v>
      </c>
      <c r="F393" s="29">
        <v>4</v>
      </c>
      <c r="G393" s="28">
        <v>1</v>
      </c>
      <c r="H393" s="28">
        <v>0</v>
      </c>
      <c r="I393" s="28"/>
      <c r="J393" s="30">
        <v>0</v>
      </c>
      <c r="K393" s="28">
        <v>1</v>
      </c>
      <c r="L393" s="28" t="s">
        <v>603</v>
      </c>
      <c r="M393" s="28"/>
      <c r="N393" s="28"/>
      <c r="O393" s="28"/>
      <c r="P393" s="31">
        <v>0</v>
      </c>
      <c r="Q393" s="31">
        <v>0</v>
      </c>
      <c r="R393" s="31">
        <v>0</v>
      </c>
      <c r="S393" s="28"/>
      <c r="T393" s="28"/>
      <c r="U393" s="28"/>
      <c r="V393" s="31">
        <v>0</v>
      </c>
      <c r="W393" s="31">
        <v>0</v>
      </c>
      <c r="X393" s="31">
        <v>0</v>
      </c>
      <c r="Y393" s="28" t="s">
        <v>841</v>
      </c>
    </row>
    <row r="394" spans="1:25" x14ac:dyDescent="0.3">
      <c r="A394" s="28" t="s">
        <v>842</v>
      </c>
      <c r="B394" s="28" t="s">
        <v>98</v>
      </c>
      <c r="C394" s="28" t="s">
        <v>288</v>
      </c>
      <c r="D394" s="28" t="s">
        <v>206</v>
      </c>
      <c r="E394" s="28" t="s">
        <v>603</v>
      </c>
      <c r="F394" s="29">
        <v>4</v>
      </c>
      <c r="G394" s="28">
        <v>1</v>
      </c>
      <c r="H394" s="28">
        <v>0</v>
      </c>
      <c r="I394" s="28"/>
      <c r="J394" s="30">
        <v>2.3300000000000001E-2</v>
      </c>
      <c r="K394" s="28">
        <v>1</v>
      </c>
      <c r="L394" s="28" t="s">
        <v>603</v>
      </c>
      <c r="M394" s="28"/>
      <c r="N394" s="28"/>
      <c r="O394" s="28"/>
      <c r="P394" s="31">
        <v>0</v>
      </c>
      <c r="Q394" s="31">
        <v>0</v>
      </c>
      <c r="R394" s="31">
        <v>0</v>
      </c>
      <c r="S394" s="28"/>
      <c r="T394" s="28"/>
      <c r="U394" s="28"/>
      <c r="V394" s="31">
        <v>0</v>
      </c>
      <c r="W394" s="31">
        <v>0</v>
      </c>
      <c r="X394" s="31">
        <v>0</v>
      </c>
      <c r="Y394" s="28" t="s">
        <v>841</v>
      </c>
    </row>
    <row r="395" spans="1:25" x14ac:dyDescent="0.3">
      <c r="A395" s="28" t="s">
        <v>843</v>
      </c>
      <c r="B395" s="28" t="s">
        <v>98</v>
      </c>
      <c r="C395" s="28" t="s">
        <v>292</v>
      </c>
      <c r="D395" s="28" t="s">
        <v>202</v>
      </c>
      <c r="E395" s="28" t="s">
        <v>603</v>
      </c>
      <c r="F395" s="29">
        <v>4</v>
      </c>
      <c r="G395" s="28">
        <v>1</v>
      </c>
      <c r="H395" s="28">
        <v>0</v>
      </c>
      <c r="I395" s="28"/>
      <c r="J395" s="30">
        <v>0</v>
      </c>
      <c r="K395" s="28">
        <v>1</v>
      </c>
      <c r="L395" s="28" t="s">
        <v>603</v>
      </c>
      <c r="M395" s="28"/>
      <c r="N395" s="28"/>
      <c r="O395" s="28"/>
      <c r="P395" s="31">
        <v>0</v>
      </c>
      <c r="Q395" s="31">
        <v>0</v>
      </c>
      <c r="R395" s="31">
        <v>0</v>
      </c>
      <c r="S395" s="28"/>
      <c r="T395" s="28"/>
      <c r="U395" s="28"/>
      <c r="V395" s="31">
        <v>0</v>
      </c>
      <c r="W395" s="31">
        <v>0</v>
      </c>
      <c r="X395" s="31">
        <v>0</v>
      </c>
      <c r="Y395" s="28" t="s">
        <v>844</v>
      </c>
    </row>
    <row r="396" spans="1:25" x14ac:dyDescent="0.3">
      <c r="A396" s="28" t="s">
        <v>845</v>
      </c>
      <c r="B396" s="28" t="s">
        <v>98</v>
      </c>
      <c r="C396" s="28" t="s">
        <v>292</v>
      </c>
      <c r="D396" s="28" t="s">
        <v>206</v>
      </c>
      <c r="E396" s="28" t="s">
        <v>603</v>
      </c>
      <c r="F396" s="29">
        <v>4</v>
      </c>
      <c r="G396" s="28">
        <v>1</v>
      </c>
      <c r="H396" s="28">
        <v>0</v>
      </c>
      <c r="I396" s="28"/>
      <c r="J396" s="30">
        <v>2.3300000000000001E-2</v>
      </c>
      <c r="K396" s="28">
        <v>2</v>
      </c>
      <c r="L396" s="28" t="s">
        <v>603</v>
      </c>
      <c r="M396" s="28"/>
      <c r="N396" s="28"/>
      <c r="O396" s="28"/>
      <c r="P396" s="31">
        <v>0</v>
      </c>
      <c r="Q396" s="31">
        <v>0</v>
      </c>
      <c r="R396" s="31">
        <v>0</v>
      </c>
      <c r="S396" s="28"/>
      <c r="T396" s="28"/>
      <c r="U396" s="28"/>
      <c r="V396" s="31">
        <v>0</v>
      </c>
      <c r="W396" s="31">
        <v>0</v>
      </c>
      <c r="X396" s="31">
        <v>0</v>
      </c>
      <c r="Y396" s="28" t="s">
        <v>846</v>
      </c>
    </row>
    <row r="397" spans="1:25" x14ac:dyDescent="0.3">
      <c r="A397" s="28" t="s">
        <v>847</v>
      </c>
      <c r="B397" s="28" t="s">
        <v>98</v>
      </c>
      <c r="C397" s="28" t="s">
        <v>296</v>
      </c>
      <c r="D397" s="28" t="s">
        <v>202</v>
      </c>
      <c r="E397" s="28" t="s">
        <v>603</v>
      </c>
      <c r="F397" s="29">
        <v>4</v>
      </c>
      <c r="G397" s="28">
        <v>1</v>
      </c>
      <c r="H397" s="28">
        <v>0</v>
      </c>
      <c r="I397" s="28"/>
      <c r="J397" s="30">
        <v>0</v>
      </c>
      <c r="K397" s="28">
        <v>1</v>
      </c>
      <c r="L397" s="28" t="s">
        <v>603</v>
      </c>
      <c r="M397" s="28"/>
      <c r="N397" s="28"/>
      <c r="O397" s="28"/>
      <c r="P397" s="31">
        <v>0</v>
      </c>
      <c r="Q397" s="31">
        <v>0</v>
      </c>
      <c r="R397" s="31">
        <v>0</v>
      </c>
      <c r="S397" s="28"/>
      <c r="T397" s="28"/>
      <c r="U397" s="28"/>
      <c r="V397" s="31">
        <v>0</v>
      </c>
      <c r="W397" s="31">
        <v>0</v>
      </c>
      <c r="X397" s="31">
        <v>0</v>
      </c>
      <c r="Y397" s="28" t="s">
        <v>687</v>
      </c>
    </row>
    <row r="398" spans="1:25" x14ac:dyDescent="0.3">
      <c r="A398" s="28" t="s">
        <v>848</v>
      </c>
      <c r="B398" s="28" t="s">
        <v>98</v>
      </c>
      <c r="C398" s="28" t="s">
        <v>296</v>
      </c>
      <c r="D398" s="28" t="s">
        <v>206</v>
      </c>
      <c r="E398" s="28" t="s">
        <v>603</v>
      </c>
      <c r="F398" s="29">
        <v>4</v>
      </c>
      <c r="G398" s="28">
        <v>1</v>
      </c>
      <c r="H398" s="28">
        <v>0</v>
      </c>
      <c r="I398" s="28"/>
      <c r="J398" s="30">
        <v>2.3300000000000001E-2</v>
      </c>
      <c r="K398" s="28">
        <v>2</v>
      </c>
      <c r="L398" s="28" t="s">
        <v>603</v>
      </c>
      <c r="M398" s="28"/>
      <c r="N398" s="28"/>
      <c r="O398" s="28"/>
      <c r="P398" s="31">
        <v>0</v>
      </c>
      <c r="Q398" s="31">
        <v>0</v>
      </c>
      <c r="R398" s="31">
        <v>0</v>
      </c>
      <c r="S398" s="28"/>
      <c r="T398" s="28"/>
      <c r="U398" s="28"/>
      <c r="V398" s="31">
        <v>0</v>
      </c>
      <c r="W398" s="31">
        <v>0</v>
      </c>
      <c r="X398" s="31">
        <v>0</v>
      </c>
      <c r="Y398" s="28" t="s">
        <v>692</v>
      </c>
    </row>
    <row r="399" spans="1:25" x14ac:dyDescent="0.3">
      <c r="A399" s="28" t="s">
        <v>849</v>
      </c>
      <c r="B399" s="28" t="s">
        <v>98</v>
      </c>
      <c r="C399" s="28" t="s">
        <v>300</v>
      </c>
      <c r="D399" s="28" t="s">
        <v>202</v>
      </c>
      <c r="E399" s="28" t="s">
        <v>603</v>
      </c>
      <c r="F399" s="29">
        <v>4</v>
      </c>
      <c r="G399" s="28">
        <v>1</v>
      </c>
      <c r="H399" s="28">
        <v>0</v>
      </c>
      <c r="I399" s="28"/>
      <c r="J399" s="30">
        <v>0</v>
      </c>
      <c r="K399" s="28">
        <v>0</v>
      </c>
      <c r="L399" s="28"/>
      <c r="M399" s="28" t="s">
        <v>261</v>
      </c>
      <c r="N399" s="28" t="s">
        <v>603</v>
      </c>
      <c r="O399" s="28">
        <v>2026</v>
      </c>
      <c r="P399" s="31">
        <v>2500</v>
      </c>
      <c r="Q399" s="31">
        <v>230.90909090909091</v>
      </c>
      <c r="R399" s="31">
        <v>30</v>
      </c>
      <c r="S399" s="28"/>
      <c r="T399" s="28"/>
      <c r="U399" s="28"/>
      <c r="V399" s="31">
        <v>0</v>
      </c>
      <c r="W399" s="31">
        <v>0</v>
      </c>
      <c r="X399" s="31">
        <v>0</v>
      </c>
      <c r="Y399" s="28" t="s">
        <v>850</v>
      </c>
    </row>
    <row r="400" spans="1:25" x14ac:dyDescent="0.3">
      <c r="A400" s="28" t="s">
        <v>851</v>
      </c>
      <c r="B400" s="28" t="s">
        <v>98</v>
      </c>
      <c r="C400" s="28" t="s">
        <v>300</v>
      </c>
      <c r="D400" s="28" t="s">
        <v>206</v>
      </c>
      <c r="E400" s="28" t="s">
        <v>603</v>
      </c>
      <c r="F400" s="29">
        <v>4</v>
      </c>
      <c r="G400" s="28">
        <v>1</v>
      </c>
      <c r="H400" s="28">
        <v>0</v>
      </c>
      <c r="I400" s="28"/>
      <c r="J400" s="30">
        <v>2.3300000000000001E-2</v>
      </c>
      <c r="K400" s="28">
        <v>0</v>
      </c>
      <c r="L400" s="28"/>
      <c r="M400" s="28" t="s">
        <v>261</v>
      </c>
      <c r="N400" s="28" t="s">
        <v>603</v>
      </c>
      <c r="O400" s="28">
        <v>2026</v>
      </c>
      <c r="P400" s="31">
        <v>26020.909090909088</v>
      </c>
      <c r="Q400" s="31">
        <v>0</v>
      </c>
      <c r="R400" s="31">
        <v>15</v>
      </c>
      <c r="S400" s="28"/>
      <c r="T400" s="28"/>
      <c r="U400" s="28"/>
      <c r="V400" s="31">
        <v>0</v>
      </c>
      <c r="W400" s="31">
        <v>0</v>
      </c>
      <c r="X400" s="31">
        <v>0</v>
      </c>
      <c r="Y400" s="28" t="s">
        <v>850</v>
      </c>
    </row>
    <row r="401" spans="1:25" x14ac:dyDescent="0.3">
      <c r="A401" s="28" t="s">
        <v>852</v>
      </c>
      <c r="B401" s="28" t="s">
        <v>99</v>
      </c>
      <c r="C401" s="28" t="s">
        <v>201</v>
      </c>
      <c r="D401" s="28" t="s">
        <v>202</v>
      </c>
      <c r="E401" s="28" t="s">
        <v>853</v>
      </c>
      <c r="F401" s="29">
        <v>6</v>
      </c>
      <c r="G401" s="28">
        <v>1</v>
      </c>
      <c r="H401" s="28">
        <v>0</v>
      </c>
      <c r="I401" s="28"/>
      <c r="J401" s="30">
        <v>4.4999999999999998E-2</v>
      </c>
      <c r="K401" s="28">
        <v>0</v>
      </c>
      <c r="L401" s="28"/>
      <c r="M401" s="28" t="s">
        <v>261</v>
      </c>
      <c r="N401" s="28" t="s">
        <v>853</v>
      </c>
      <c r="O401" s="28">
        <v>2026</v>
      </c>
      <c r="P401" s="31">
        <v>0</v>
      </c>
      <c r="Q401" s="31">
        <v>0</v>
      </c>
      <c r="R401" s="31">
        <v>0</v>
      </c>
      <c r="S401" s="28"/>
      <c r="T401" s="28"/>
      <c r="U401" s="28"/>
      <c r="V401" s="31">
        <v>0</v>
      </c>
      <c r="W401" s="31">
        <v>0</v>
      </c>
      <c r="X401" s="31">
        <v>0</v>
      </c>
      <c r="Y401" s="28" t="s">
        <v>854</v>
      </c>
    </row>
    <row r="402" spans="1:25" x14ac:dyDescent="0.3">
      <c r="A402" s="28" t="s">
        <v>855</v>
      </c>
      <c r="B402" s="28" t="s">
        <v>99</v>
      </c>
      <c r="C402" s="28" t="s">
        <v>201</v>
      </c>
      <c r="D402" s="28" t="s">
        <v>206</v>
      </c>
      <c r="E402" s="28" t="s">
        <v>853</v>
      </c>
      <c r="F402" s="29">
        <v>6</v>
      </c>
      <c r="G402" s="28">
        <v>1</v>
      </c>
      <c r="H402" s="28">
        <v>0</v>
      </c>
      <c r="I402" s="28"/>
      <c r="J402" s="30">
        <v>4.4999999999999998E-2</v>
      </c>
      <c r="K402" s="28">
        <v>2</v>
      </c>
      <c r="L402" s="28" t="s">
        <v>853</v>
      </c>
      <c r="M402" s="28"/>
      <c r="N402" s="28"/>
      <c r="O402" s="28"/>
      <c r="P402" s="31">
        <v>0</v>
      </c>
      <c r="Q402" s="31">
        <v>0</v>
      </c>
      <c r="R402" s="31">
        <v>0</v>
      </c>
      <c r="S402" s="28"/>
      <c r="T402" s="28"/>
      <c r="U402" s="28"/>
      <c r="V402" s="31">
        <v>0</v>
      </c>
      <c r="W402" s="31">
        <v>0</v>
      </c>
      <c r="X402" s="31">
        <v>0</v>
      </c>
      <c r="Y402" s="28" t="s">
        <v>856</v>
      </c>
    </row>
    <row r="403" spans="1:25" x14ac:dyDescent="0.3">
      <c r="A403" s="28" t="s">
        <v>857</v>
      </c>
      <c r="B403" s="28" t="s">
        <v>99</v>
      </c>
      <c r="C403" s="28" t="s">
        <v>209</v>
      </c>
      <c r="D403" s="28" t="s">
        <v>202</v>
      </c>
      <c r="E403" s="28" t="s">
        <v>853</v>
      </c>
      <c r="F403" s="29">
        <v>6</v>
      </c>
      <c r="G403" s="28">
        <v>1</v>
      </c>
      <c r="H403" s="28">
        <v>0</v>
      </c>
      <c r="I403" s="28"/>
      <c r="J403" s="30">
        <v>4.4999999999999998E-2</v>
      </c>
      <c r="K403" s="28">
        <v>0</v>
      </c>
      <c r="L403" s="28"/>
      <c r="M403" s="28" t="s">
        <v>261</v>
      </c>
      <c r="N403" s="28" t="s">
        <v>853</v>
      </c>
      <c r="O403" s="28">
        <v>2026</v>
      </c>
      <c r="P403" s="31">
        <v>0</v>
      </c>
      <c r="Q403" s="31">
        <v>0</v>
      </c>
      <c r="R403" s="31">
        <v>0</v>
      </c>
      <c r="S403" s="28"/>
      <c r="T403" s="28"/>
      <c r="U403" s="28"/>
      <c r="V403" s="31">
        <v>0</v>
      </c>
      <c r="W403" s="31">
        <v>0</v>
      </c>
      <c r="X403" s="31">
        <v>0</v>
      </c>
      <c r="Y403" s="28" t="s">
        <v>858</v>
      </c>
    </row>
    <row r="404" spans="1:25" x14ac:dyDescent="0.3">
      <c r="A404" s="28" t="s">
        <v>859</v>
      </c>
      <c r="B404" s="28" t="s">
        <v>99</v>
      </c>
      <c r="C404" s="28" t="s">
        <v>209</v>
      </c>
      <c r="D404" s="28" t="s">
        <v>206</v>
      </c>
      <c r="E404" s="28" t="s">
        <v>853</v>
      </c>
      <c r="F404" s="29">
        <v>6</v>
      </c>
      <c r="G404" s="28">
        <v>1</v>
      </c>
      <c r="H404" s="28">
        <v>0</v>
      </c>
      <c r="I404" s="28"/>
      <c r="J404" s="30">
        <v>4.4999999999999998E-2</v>
      </c>
      <c r="K404" s="28">
        <v>1</v>
      </c>
      <c r="L404" s="28" t="s">
        <v>853</v>
      </c>
      <c r="M404" s="28"/>
      <c r="N404" s="28"/>
      <c r="O404" s="28"/>
      <c r="P404" s="31">
        <v>0</v>
      </c>
      <c r="Q404" s="31">
        <v>0</v>
      </c>
      <c r="R404" s="31">
        <v>0</v>
      </c>
      <c r="S404" s="28"/>
      <c r="T404" s="28"/>
      <c r="U404" s="28"/>
      <c r="V404" s="31">
        <v>0</v>
      </c>
      <c r="W404" s="31">
        <v>0</v>
      </c>
      <c r="X404" s="31">
        <v>0</v>
      </c>
      <c r="Y404" s="28" t="s">
        <v>860</v>
      </c>
    </row>
    <row r="405" spans="1:25" x14ac:dyDescent="0.3">
      <c r="A405" s="28" t="s">
        <v>861</v>
      </c>
      <c r="B405" s="28" t="s">
        <v>99</v>
      </c>
      <c r="C405" s="28" t="s">
        <v>213</v>
      </c>
      <c r="D405" s="28" t="s">
        <v>202</v>
      </c>
      <c r="E405" s="28" t="s">
        <v>853</v>
      </c>
      <c r="F405" s="29">
        <v>5</v>
      </c>
      <c r="G405" s="28">
        <v>1</v>
      </c>
      <c r="H405" s="28">
        <v>0</v>
      </c>
      <c r="I405" s="28"/>
      <c r="J405" s="30">
        <v>4.4999999999999998E-2</v>
      </c>
      <c r="K405" s="28">
        <v>0</v>
      </c>
      <c r="L405" s="28"/>
      <c r="M405" s="28" t="s">
        <v>261</v>
      </c>
      <c r="N405" s="28" t="s">
        <v>853</v>
      </c>
      <c r="O405" s="28">
        <v>2026</v>
      </c>
      <c r="P405" s="31">
        <v>0</v>
      </c>
      <c r="Q405" s="31">
        <v>0</v>
      </c>
      <c r="R405" s="31">
        <v>0</v>
      </c>
      <c r="S405" s="28"/>
      <c r="T405" s="28"/>
      <c r="U405" s="28"/>
      <c r="V405" s="31">
        <v>0</v>
      </c>
      <c r="W405" s="31">
        <v>0</v>
      </c>
      <c r="X405" s="31">
        <v>0</v>
      </c>
      <c r="Y405" s="28" t="s">
        <v>862</v>
      </c>
    </row>
    <row r="406" spans="1:25" x14ac:dyDescent="0.3">
      <c r="A406" s="28" t="s">
        <v>863</v>
      </c>
      <c r="B406" s="28" t="s">
        <v>99</v>
      </c>
      <c r="C406" s="28" t="s">
        <v>213</v>
      </c>
      <c r="D406" s="28" t="s">
        <v>206</v>
      </c>
      <c r="E406" s="28" t="s">
        <v>853</v>
      </c>
      <c r="F406" s="29">
        <v>5</v>
      </c>
      <c r="G406" s="28">
        <v>1</v>
      </c>
      <c r="H406" s="28">
        <v>0</v>
      </c>
      <c r="I406" s="28"/>
      <c r="J406" s="30">
        <v>4.4999999999999998E-2</v>
      </c>
      <c r="K406" s="28">
        <v>1</v>
      </c>
      <c r="L406" s="28" t="s">
        <v>853</v>
      </c>
      <c r="M406" s="28"/>
      <c r="N406" s="28"/>
      <c r="O406" s="28"/>
      <c r="P406" s="31">
        <v>0</v>
      </c>
      <c r="Q406" s="31">
        <v>0</v>
      </c>
      <c r="R406" s="31">
        <v>0</v>
      </c>
      <c r="S406" s="28"/>
      <c r="T406" s="28"/>
      <c r="U406" s="28"/>
      <c r="V406" s="31">
        <v>0</v>
      </c>
      <c r="W406" s="31">
        <v>0</v>
      </c>
      <c r="X406" s="31">
        <v>0</v>
      </c>
      <c r="Y406" s="28" t="s">
        <v>864</v>
      </c>
    </row>
    <row r="407" spans="1:25" x14ac:dyDescent="0.3">
      <c r="A407" s="28" t="s">
        <v>865</v>
      </c>
      <c r="B407" s="28" t="s">
        <v>99</v>
      </c>
      <c r="C407" s="28" t="s">
        <v>217</v>
      </c>
      <c r="D407" s="28" t="s">
        <v>202</v>
      </c>
      <c r="E407" s="28" t="s">
        <v>853</v>
      </c>
      <c r="F407" s="29">
        <v>4</v>
      </c>
      <c r="G407" s="28">
        <v>1</v>
      </c>
      <c r="H407" s="28">
        <v>0</v>
      </c>
      <c r="I407" s="28"/>
      <c r="J407" s="30">
        <v>4.4999999999999998E-2</v>
      </c>
      <c r="K407" s="28">
        <v>0</v>
      </c>
      <c r="L407" s="28"/>
      <c r="M407" s="28" t="s">
        <v>261</v>
      </c>
      <c r="N407" s="28" t="s">
        <v>853</v>
      </c>
      <c r="O407" s="28">
        <v>2026</v>
      </c>
      <c r="P407" s="31">
        <v>0</v>
      </c>
      <c r="Q407" s="31">
        <v>0</v>
      </c>
      <c r="R407" s="31">
        <v>0</v>
      </c>
      <c r="S407" s="28"/>
      <c r="T407" s="28"/>
      <c r="U407" s="28"/>
      <c r="V407" s="31">
        <v>0</v>
      </c>
      <c r="W407" s="31">
        <v>0</v>
      </c>
      <c r="X407" s="31">
        <v>0</v>
      </c>
      <c r="Y407" s="28" t="s">
        <v>866</v>
      </c>
    </row>
    <row r="408" spans="1:25" x14ac:dyDescent="0.3">
      <c r="A408" s="28" t="s">
        <v>867</v>
      </c>
      <c r="B408" s="28" t="s">
        <v>99</v>
      </c>
      <c r="C408" s="28" t="s">
        <v>217</v>
      </c>
      <c r="D408" s="28" t="s">
        <v>206</v>
      </c>
      <c r="E408" s="28" t="s">
        <v>853</v>
      </c>
      <c r="F408" s="29">
        <v>4</v>
      </c>
      <c r="G408" s="28">
        <v>1</v>
      </c>
      <c r="H408" s="28">
        <v>0</v>
      </c>
      <c r="I408" s="28"/>
      <c r="J408" s="30">
        <v>4.4999999999999998E-2</v>
      </c>
      <c r="K408" s="28">
        <v>1</v>
      </c>
      <c r="L408" s="28" t="s">
        <v>853</v>
      </c>
      <c r="M408" s="28"/>
      <c r="N408" s="28"/>
      <c r="O408" s="28"/>
      <c r="P408" s="31">
        <v>0</v>
      </c>
      <c r="Q408" s="31">
        <v>0</v>
      </c>
      <c r="R408" s="31">
        <v>0</v>
      </c>
      <c r="S408" s="28"/>
      <c r="T408" s="28"/>
      <c r="U408" s="28"/>
      <c r="V408" s="31">
        <v>0</v>
      </c>
      <c r="W408" s="31">
        <v>0</v>
      </c>
      <c r="X408" s="31">
        <v>0</v>
      </c>
      <c r="Y408" s="28" t="s">
        <v>687</v>
      </c>
    </row>
    <row r="409" spans="1:25" x14ac:dyDescent="0.3">
      <c r="A409" s="28" t="s">
        <v>868</v>
      </c>
      <c r="B409" s="28" t="s">
        <v>99</v>
      </c>
      <c r="C409" s="28" t="s">
        <v>221</v>
      </c>
      <c r="D409" s="28" t="s">
        <v>202</v>
      </c>
      <c r="E409" s="28" t="s">
        <v>853</v>
      </c>
      <c r="F409" s="29">
        <v>4</v>
      </c>
      <c r="G409" s="28">
        <v>1</v>
      </c>
      <c r="H409" s="28">
        <v>0</v>
      </c>
      <c r="I409" s="28"/>
      <c r="J409" s="30">
        <v>4.4999999999999998E-2</v>
      </c>
      <c r="K409" s="28">
        <v>0</v>
      </c>
      <c r="L409" s="28"/>
      <c r="M409" s="28" t="s">
        <v>261</v>
      </c>
      <c r="N409" s="28" t="s">
        <v>853</v>
      </c>
      <c r="O409" s="28">
        <v>2026</v>
      </c>
      <c r="P409" s="31">
        <v>0</v>
      </c>
      <c r="Q409" s="31">
        <v>0</v>
      </c>
      <c r="R409" s="31">
        <v>0</v>
      </c>
      <c r="S409" s="28"/>
      <c r="T409" s="28"/>
      <c r="U409" s="28"/>
      <c r="V409" s="31">
        <v>0</v>
      </c>
      <c r="W409" s="31">
        <v>0</v>
      </c>
      <c r="X409" s="31">
        <v>0</v>
      </c>
      <c r="Y409" s="28" t="s">
        <v>866</v>
      </c>
    </row>
    <row r="410" spans="1:25" x14ac:dyDescent="0.3">
      <c r="A410" s="28" t="s">
        <v>869</v>
      </c>
      <c r="B410" s="28" t="s">
        <v>99</v>
      </c>
      <c r="C410" s="28" t="s">
        <v>221</v>
      </c>
      <c r="D410" s="28" t="s">
        <v>206</v>
      </c>
      <c r="E410" s="28" t="s">
        <v>853</v>
      </c>
      <c r="F410" s="29">
        <v>4</v>
      </c>
      <c r="G410" s="28">
        <v>1</v>
      </c>
      <c r="H410" s="28">
        <v>0</v>
      </c>
      <c r="I410" s="28"/>
      <c r="J410" s="30">
        <v>4.4999999999999998E-2</v>
      </c>
      <c r="K410" s="28">
        <v>0</v>
      </c>
      <c r="L410" s="28"/>
      <c r="M410" s="28" t="s">
        <v>261</v>
      </c>
      <c r="N410" s="28" t="s">
        <v>853</v>
      </c>
      <c r="O410" s="28">
        <v>2026</v>
      </c>
      <c r="P410" s="31">
        <v>42000</v>
      </c>
      <c r="Q410" s="31">
        <v>0</v>
      </c>
      <c r="R410" s="31">
        <v>0</v>
      </c>
      <c r="S410" s="28"/>
      <c r="T410" s="28"/>
      <c r="U410" s="28"/>
      <c r="V410" s="31">
        <v>0</v>
      </c>
      <c r="W410" s="31">
        <v>0</v>
      </c>
      <c r="X410" s="31">
        <v>0</v>
      </c>
      <c r="Y410" s="28" t="s">
        <v>870</v>
      </c>
    </row>
    <row r="411" spans="1:25" x14ac:dyDescent="0.3">
      <c r="A411" s="28" t="s">
        <v>871</v>
      </c>
      <c r="B411" s="28" t="s">
        <v>99</v>
      </c>
      <c r="C411" s="28" t="s">
        <v>225</v>
      </c>
      <c r="D411" s="28" t="s">
        <v>202</v>
      </c>
      <c r="E411" s="28" t="s">
        <v>853</v>
      </c>
      <c r="F411" s="29">
        <v>4</v>
      </c>
      <c r="G411" s="28">
        <v>1</v>
      </c>
      <c r="H411" s="28">
        <v>0</v>
      </c>
      <c r="I411" s="28"/>
      <c r="J411" s="30">
        <v>4.4999999999999998E-2</v>
      </c>
      <c r="K411" s="28">
        <v>0</v>
      </c>
      <c r="L411" s="28"/>
      <c r="M411" s="28" t="s">
        <v>261</v>
      </c>
      <c r="N411" s="28" t="s">
        <v>853</v>
      </c>
      <c r="O411" s="28">
        <v>2026</v>
      </c>
      <c r="P411" s="31">
        <v>0</v>
      </c>
      <c r="Q411" s="31">
        <v>0</v>
      </c>
      <c r="R411" s="31">
        <v>0</v>
      </c>
      <c r="S411" s="28"/>
      <c r="T411" s="28"/>
      <c r="U411" s="28"/>
      <c r="V411" s="31">
        <v>0</v>
      </c>
      <c r="W411" s="31">
        <v>0</v>
      </c>
      <c r="X411" s="31">
        <v>0</v>
      </c>
      <c r="Y411" s="28" t="s">
        <v>866</v>
      </c>
    </row>
    <row r="412" spans="1:25" x14ac:dyDescent="0.3">
      <c r="A412" s="28" t="s">
        <v>872</v>
      </c>
      <c r="B412" s="28" t="s">
        <v>99</v>
      </c>
      <c r="C412" s="28" t="s">
        <v>225</v>
      </c>
      <c r="D412" s="28" t="s">
        <v>206</v>
      </c>
      <c r="E412" s="28" t="s">
        <v>853</v>
      </c>
      <c r="F412" s="29">
        <v>4</v>
      </c>
      <c r="G412" s="28">
        <v>1</v>
      </c>
      <c r="H412" s="28">
        <v>0</v>
      </c>
      <c r="I412" s="28"/>
      <c r="J412" s="30">
        <v>4.4999999999999998E-2</v>
      </c>
      <c r="K412" s="28">
        <v>1</v>
      </c>
      <c r="L412" s="28" t="s">
        <v>853</v>
      </c>
      <c r="M412" s="28"/>
      <c r="N412" s="28"/>
      <c r="O412" s="28"/>
      <c r="P412" s="31">
        <v>0</v>
      </c>
      <c r="Q412" s="31">
        <v>0</v>
      </c>
      <c r="R412" s="31">
        <v>0</v>
      </c>
      <c r="S412" s="28"/>
      <c r="T412" s="28"/>
      <c r="U412" s="28"/>
      <c r="V412" s="31">
        <v>0</v>
      </c>
      <c r="W412" s="31">
        <v>0</v>
      </c>
      <c r="X412" s="31">
        <v>0</v>
      </c>
      <c r="Y412" s="28" t="s">
        <v>687</v>
      </c>
    </row>
    <row r="413" spans="1:25" x14ac:dyDescent="0.3">
      <c r="A413" s="28" t="s">
        <v>873</v>
      </c>
      <c r="B413" s="28" t="s">
        <v>99</v>
      </c>
      <c r="C413" s="28" t="s">
        <v>230</v>
      </c>
      <c r="D413" s="28" t="s">
        <v>202</v>
      </c>
      <c r="E413" s="28" t="s">
        <v>853</v>
      </c>
      <c r="F413" s="29">
        <v>4</v>
      </c>
      <c r="G413" s="28">
        <v>1</v>
      </c>
      <c r="H413" s="28">
        <v>0</v>
      </c>
      <c r="I413" s="28"/>
      <c r="J413" s="30">
        <v>4.4999999999999998E-2</v>
      </c>
      <c r="K413" s="28">
        <v>0</v>
      </c>
      <c r="L413" s="28"/>
      <c r="M413" s="28" t="s">
        <v>261</v>
      </c>
      <c r="N413" s="28" t="s">
        <v>853</v>
      </c>
      <c r="O413" s="28">
        <v>2026</v>
      </c>
      <c r="P413" s="31">
        <v>0</v>
      </c>
      <c r="Q413" s="31">
        <v>0</v>
      </c>
      <c r="R413" s="31">
        <v>0</v>
      </c>
      <c r="S413" s="28"/>
      <c r="T413" s="28"/>
      <c r="U413" s="28"/>
      <c r="V413" s="31">
        <v>0</v>
      </c>
      <c r="W413" s="31">
        <v>0</v>
      </c>
      <c r="X413" s="31">
        <v>0</v>
      </c>
      <c r="Y413" s="28" t="s">
        <v>866</v>
      </c>
    </row>
    <row r="414" spans="1:25" x14ac:dyDescent="0.3">
      <c r="A414" s="28" t="s">
        <v>874</v>
      </c>
      <c r="B414" s="28" t="s">
        <v>99</v>
      </c>
      <c r="C414" s="28" t="s">
        <v>230</v>
      </c>
      <c r="D414" s="28" t="s">
        <v>206</v>
      </c>
      <c r="E414" s="28" t="s">
        <v>853</v>
      </c>
      <c r="F414" s="29">
        <v>4</v>
      </c>
      <c r="G414" s="28">
        <v>1</v>
      </c>
      <c r="H414" s="28">
        <v>0</v>
      </c>
      <c r="I414" s="28"/>
      <c r="J414" s="30">
        <v>4.4999999999999998E-2</v>
      </c>
      <c r="K414" s="28">
        <v>2</v>
      </c>
      <c r="L414" s="28" t="s">
        <v>853</v>
      </c>
      <c r="M414" s="28"/>
      <c r="N414" s="28"/>
      <c r="O414" s="28"/>
      <c r="P414" s="31">
        <v>0</v>
      </c>
      <c r="Q414" s="31">
        <v>0</v>
      </c>
      <c r="R414" s="31">
        <v>0</v>
      </c>
      <c r="S414" s="28"/>
      <c r="T414" s="28"/>
      <c r="U414" s="28"/>
      <c r="V414" s="31">
        <v>0</v>
      </c>
      <c r="W414" s="31">
        <v>0</v>
      </c>
      <c r="X414" s="31">
        <v>0</v>
      </c>
      <c r="Y414" s="28" t="s">
        <v>692</v>
      </c>
    </row>
    <row r="415" spans="1:25" x14ac:dyDescent="0.3">
      <c r="A415" s="28" t="s">
        <v>875</v>
      </c>
      <c r="B415" s="28" t="s">
        <v>99</v>
      </c>
      <c r="C415" s="28" t="s">
        <v>235</v>
      </c>
      <c r="D415" s="28" t="s">
        <v>202</v>
      </c>
      <c r="E415" s="28" t="s">
        <v>853</v>
      </c>
      <c r="F415" s="29">
        <v>4</v>
      </c>
      <c r="G415" s="28">
        <v>1</v>
      </c>
      <c r="H415" s="28">
        <v>0</v>
      </c>
      <c r="I415" s="28"/>
      <c r="J415" s="30">
        <v>4.4999999999999998E-2</v>
      </c>
      <c r="K415" s="28">
        <v>0</v>
      </c>
      <c r="L415" s="28"/>
      <c r="M415" s="28" t="s">
        <v>261</v>
      </c>
      <c r="N415" s="28" t="s">
        <v>853</v>
      </c>
      <c r="O415" s="28">
        <v>2026</v>
      </c>
      <c r="P415" s="31">
        <v>0</v>
      </c>
      <c r="Q415" s="31">
        <v>0</v>
      </c>
      <c r="R415" s="31">
        <v>0</v>
      </c>
      <c r="S415" s="28"/>
      <c r="T415" s="28"/>
      <c r="U415" s="28"/>
      <c r="V415" s="31">
        <v>0</v>
      </c>
      <c r="W415" s="31">
        <v>0</v>
      </c>
      <c r="X415" s="31">
        <v>0</v>
      </c>
      <c r="Y415" s="28" t="s">
        <v>876</v>
      </c>
    </row>
    <row r="416" spans="1:25" x14ac:dyDescent="0.3">
      <c r="A416" s="28" t="s">
        <v>877</v>
      </c>
      <c r="B416" s="28" t="s">
        <v>99</v>
      </c>
      <c r="C416" s="28" t="s">
        <v>235</v>
      </c>
      <c r="D416" s="28" t="s">
        <v>206</v>
      </c>
      <c r="E416" s="28" t="s">
        <v>853</v>
      </c>
      <c r="F416" s="29">
        <v>4</v>
      </c>
      <c r="G416" s="28">
        <v>1</v>
      </c>
      <c r="H416" s="28">
        <v>0</v>
      </c>
      <c r="I416" s="28"/>
      <c r="J416" s="30">
        <v>4.4999999999999998E-2</v>
      </c>
      <c r="K416" s="28">
        <v>0</v>
      </c>
      <c r="L416" s="28"/>
      <c r="M416" s="28" t="s">
        <v>261</v>
      </c>
      <c r="N416" s="28" t="s">
        <v>853</v>
      </c>
      <c r="O416" s="28">
        <v>2026</v>
      </c>
      <c r="P416" s="31">
        <v>151206</v>
      </c>
      <c r="Q416" s="31">
        <v>1482</v>
      </c>
      <c r="R416" s="31">
        <v>1365</v>
      </c>
      <c r="S416" s="28"/>
      <c r="T416" s="28"/>
      <c r="U416" s="28"/>
      <c r="V416" s="31">
        <v>0</v>
      </c>
      <c r="W416" s="31">
        <v>0</v>
      </c>
      <c r="X416" s="31">
        <v>0</v>
      </c>
      <c r="Y416" s="28" t="s">
        <v>878</v>
      </c>
    </row>
    <row r="417" spans="1:25" x14ac:dyDescent="0.3">
      <c r="A417" s="28" t="s">
        <v>879</v>
      </c>
      <c r="B417" s="28" t="s">
        <v>99</v>
      </c>
      <c r="C417" s="28" t="s">
        <v>240</v>
      </c>
      <c r="D417" s="28" t="s">
        <v>202</v>
      </c>
      <c r="E417" s="28" t="s">
        <v>853</v>
      </c>
      <c r="F417" s="29">
        <v>4</v>
      </c>
      <c r="G417" s="28">
        <v>1</v>
      </c>
      <c r="H417" s="28">
        <v>0</v>
      </c>
      <c r="I417" s="28"/>
      <c r="J417" s="30">
        <v>4.4999999999999998E-2</v>
      </c>
      <c r="K417" s="28">
        <v>0</v>
      </c>
      <c r="L417" s="28"/>
      <c r="M417" s="28" t="s">
        <v>261</v>
      </c>
      <c r="N417" s="28" t="s">
        <v>853</v>
      </c>
      <c r="O417" s="28">
        <v>2026</v>
      </c>
      <c r="P417" s="31">
        <v>0</v>
      </c>
      <c r="Q417" s="31">
        <v>0</v>
      </c>
      <c r="R417" s="31">
        <v>0</v>
      </c>
      <c r="S417" s="28"/>
      <c r="T417" s="28"/>
      <c r="U417" s="28"/>
      <c r="V417" s="31">
        <v>0</v>
      </c>
      <c r="W417" s="31">
        <v>0</v>
      </c>
      <c r="X417" s="31">
        <v>0</v>
      </c>
      <c r="Y417" s="28" t="s">
        <v>876</v>
      </c>
    </row>
    <row r="418" spans="1:25" x14ac:dyDescent="0.3">
      <c r="A418" s="28" t="s">
        <v>880</v>
      </c>
      <c r="B418" s="28" t="s">
        <v>99</v>
      </c>
      <c r="C418" s="28" t="s">
        <v>240</v>
      </c>
      <c r="D418" s="28" t="s">
        <v>206</v>
      </c>
      <c r="E418" s="28" t="s">
        <v>853</v>
      </c>
      <c r="F418" s="29">
        <v>4</v>
      </c>
      <c r="G418" s="28">
        <v>1</v>
      </c>
      <c r="H418" s="28">
        <v>0</v>
      </c>
      <c r="I418" s="28"/>
      <c r="J418" s="30">
        <v>4.4999999999999998E-2</v>
      </c>
      <c r="K418" s="28">
        <v>0</v>
      </c>
      <c r="L418" s="28"/>
      <c r="M418" s="28" t="s">
        <v>261</v>
      </c>
      <c r="N418" s="28" t="s">
        <v>853</v>
      </c>
      <c r="O418" s="28">
        <v>2026</v>
      </c>
      <c r="P418" s="31">
        <v>151206</v>
      </c>
      <c r="Q418" s="31">
        <v>1482</v>
      </c>
      <c r="R418" s="31">
        <v>1365</v>
      </c>
      <c r="S418" s="28"/>
      <c r="T418" s="28"/>
      <c r="U418" s="28"/>
      <c r="V418" s="31">
        <v>0</v>
      </c>
      <c r="W418" s="31">
        <v>0</v>
      </c>
      <c r="X418" s="31">
        <v>0</v>
      </c>
      <c r="Y418" s="28" t="s">
        <v>878</v>
      </c>
    </row>
    <row r="419" spans="1:25" x14ac:dyDescent="0.3">
      <c r="A419" s="28" t="s">
        <v>881</v>
      </c>
      <c r="B419" s="28" t="s">
        <v>99</v>
      </c>
      <c r="C419" s="28" t="s">
        <v>245</v>
      </c>
      <c r="D419" s="28" t="s">
        <v>202</v>
      </c>
      <c r="E419" s="28" t="s">
        <v>853</v>
      </c>
      <c r="F419" s="29">
        <v>4</v>
      </c>
      <c r="G419" s="28">
        <v>1</v>
      </c>
      <c r="H419" s="28">
        <v>0</v>
      </c>
      <c r="I419" s="28"/>
      <c r="J419" s="30">
        <v>4.4999999999999998E-2</v>
      </c>
      <c r="K419" s="28">
        <v>0</v>
      </c>
      <c r="L419" s="28"/>
      <c r="M419" s="28" t="s">
        <v>261</v>
      </c>
      <c r="N419" s="28" t="s">
        <v>853</v>
      </c>
      <c r="O419" s="28">
        <v>2026</v>
      </c>
      <c r="P419" s="31">
        <v>0</v>
      </c>
      <c r="Q419" s="31">
        <v>0</v>
      </c>
      <c r="R419" s="31">
        <v>0</v>
      </c>
      <c r="S419" s="28"/>
      <c r="T419" s="28"/>
      <c r="U419" s="28"/>
      <c r="V419" s="31">
        <v>0</v>
      </c>
      <c r="W419" s="31">
        <v>0</v>
      </c>
      <c r="X419" s="31">
        <v>0</v>
      </c>
      <c r="Y419" s="28" t="s">
        <v>876</v>
      </c>
    </row>
    <row r="420" spans="1:25" x14ac:dyDescent="0.3">
      <c r="A420" s="28" t="s">
        <v>882</v>
      </c>
      <c r="B420" s="28" t="s">
        <v>99</v>
      </c>
      <c r="C420" s="28" t="s">
        <v>245</v>
      </c>
      <c r="D420" s="28" t="s">
        <v>206</v>
      </c>
      <c r="E420" s="28" t="s">
        <v>853</v>
      </c>
      <c r="F420" s="29">
        <v>4</v>
      </c>
      <c r="G420" s="28">
        <v>1</v>
      </c>
      <c r="H420" s="28">
        <v>0</v>
      </c>
      <c r="I420" s="28"/>
      <c r="J420" s="30">
        <v>4.4999999999999998E-2</v>
      </c>
      <c r="K420" s="28">
        <v>0</v>
      </c>
      <c r="L420" s="28"/>
      <c r="M420" s="28" t="s">
        <v>261</v>
      </c>
      <c r="N420" s="28" t="s">
        <v>853</v>
      </c>
      <c r="O420" s="28">
        <v>2026</v>
      </c>
      <c r="P420" s="31">
        <v>151206</v>
      </c>
      <c r="Q420" s="31">
        <v>1482</v>
      </c>
      <c r="R420" s="31">
        <v>1365</v>
      </c>
      <c r="S420" s="28"/>
      <c r="T420" s="28"/>
      <c r="U420" s="28"/>
      <c r="V420" s="31">
        <v>0</v>
      </c>
      <c r="W420" s="31">
        <v>0</v>
      </c>
      <c r="X420" s="31">
        <v>0</v>
      </c>
      <c r="Y420" s="28" t="s">
        <v>878</v>
      </c>
    </row>
    <row r="421" spans="1:25" x14ac:dyDescent="0.3">
      <c r="A421" s="28" t="s">
        <v>883</v>
      </c>
      <c r="B421" s="28" t="s">
        <v>99</v>
      </c>
      <c r="C421" s="28" t="s">
        <v>250</v>
      </c>
      <c r="D421" s="28" t="s">
        <v>202</v>
      </c>
      <c r="E421" s="28" t="s">
        <v>853</v>
      </c>
      <c r="F421" s="29">
        <v>4</v>
      </c>
      <c r="G421" s="28">
        <v>1</v>
      </c>
      <c r="H421" s="28">
        <v>0</v>
      </c>
      <c r="I421" s="28"/>
      <c r="J421" s="30">
        <v>4.4999999999999998E-2</v>
      </c>
      <c r="K421" s="28">
        <v>0</v>
      </c>
      <c r="L421" s="28"/>
      <c r="M421" s="28" t="s">
        <v>261</v>
      </c>
      <c r="N421" s="28" t="s">
        <v>853</v>
      </c>
      <c r="O421" s="28">
        <v>2026</v>
      </c>
      <c r="P421" s="31">
        <v>0</v>
      </c>
      <c r="Q421" s="31">
        <v>0</v>
      </c>
      <c r="R421" s="31">
        <v>0</v>
      </c>
      <c r="S421" s="28"/>
      <c r="T421" s="28"/>
      <c r="U421" s="28"/>
      <c r="V421" s="31">
        <v>0</v>
      </c>
      <c r="W421" s="31">
        <v>0</v>
      </c>
      <c r="X421" s="31">
        <v>0</v>
      </c>
      <c r="Y421" s="28" t="s">
        <v>876</v>
      </c>
    </row>
    <row r="422" spans="1:25" x14ac:dyDescent="0.3">
      <c r="A422" s="28" t="s">
        <v>884</v>
      </c>
      <c r="B422" s="28" t="s">
        <v>99</v>
      </c>
      <c r="C422" s="28" t="s">
        <v>250</v>
      </c>
      <c r="D422" s="28" t="s">
        <v>206</v>
      </c>
      <c r="E422" s="28" t="s">
        <v>853</v>
      </c>
      <c r="F422" s="29">
        <v>4</v>
      </c>
      <c r="G422" s="28">
        <v>1</v>
      </c>
      <c r="H422" s="28">
        <v>0</v>
      </c>
      <c r="I422" s="28"/>
      <c r="J422" s="30">
        <v>4.4999999999999998E-2</v>
      </c>
      <c r="K422" s="28">
        <v>0</v>
      </c>
      <c r="L422" s="28"/>
      <c r="M422" s="28" t="s">
        <v>261</v>
      </c>
      <c r="N422" s="28" t="s">
        <v>853</v>
      </c>
      <c r="O422" s="28">
        <v>2026</v>
      </c>
      <c r="P422" s="31">
        <v>151206</v>
      </c>
      <c r="Q422" s="31">
        <v>1482</v>
      </c>
      <c r="R422" s="31">
        <v>1365</v>
      </c>
      <c r="S422" s="28"/>
      <c r="T422" s="28"/>
      <c r="U422" s="28"/>
      <c r="V422" s="31">
        <v>0</v>
      </c>
      <c r="W422" s="31">
        <v>0</v>
      </c>
      <c r="X422" s="31">
        <v>0</v>
      </c>
      <c r="Y422" s="28" t="s">
        <v>878</v>
      </c>
    </row>
    <row r="423" spans="1:25" x14ac:dyDescent="0.3">
      <c r="A423" s="28" t="s">
        <v>885</v>
      </c>
      <c r="B423" s="28" t="s">
        <v>99</v>
      </c>
      <c r="C423" s="28" t="s">
        <v>255</v>
      </c>
      <c r="D423" s="28" t="s">
        <v>202</v>
      </c>
      <c r="E423" s="28" t="s">
        <v>853</v>
      </c>
      <c r="F423" s="29">
        <v>4</v>
      </c>
      <c r="G423" s="28">
        <v>1</v>
      </c>
      <c r="H423" s="28">
        <v>0</v>
      </c>
      <c r="I423" s="28"/>
      <c r="J423" s="30">
        <v>4.4999999999999998E-2</v>
      </c>
      <c r="K423" s="28">
        <v>0</v>
      </c>
      <c r="L423" s="28"/>
      <c r="M423" s="28" t="s">
        <v>261</v>
      </c>
      <c r="N423" s="28" t="s">
        <v>853</v>
      </c>
      <c r="O423" s="28">
        <v>2026</v>
      </c>
      <c r="P423" s="31">
        <v>0</v>
      </c>
      <c r="Q423" s="31">
        <v>0</v>
      </c>
      <c r="R423" s="31">
        <v>0</v>
      </c>
      <c r="S423" s="28"/>
      <c r="T423" s="28"/>
      <c r="U423" s="28"/>
      <c r="V423" s="31">
        <v>0</v>
      </c>
      <c r="W423" s="31">
        <v>0</v>
      </c>
      <c r="X423" s="31">
        <v>0</v>
      </c>
      <c r="Y423" s="28" t="s">
        <v>866</v>
      </c>
    </row>
    <row r="424" spans="1:25" x14ac:dyDescent="0.3">
      <c r="A424" s="28" t="s">
        <v>886</v>
      </c>
      <c r="B424" s="28" t="s">
        <v>99</v>
      </c>
      <c r="C424" s="28" t="s">
        <v>255</v>
      </c>
      <c r="D424" s="28" t="s">
        <v>206</v>
      </c>
      <c r="E424" s="28" t="s">
        <v>853</v>
      </c>
      <c r="F424" s="29">
        <v>4</v>
      </c>
      <c r="G424" s="28">
        <v>1</v>
      </c>
      <c r="H424" s="28">
        <v>0</v>
      </c>
      <c r="I424" s="28"/>
      <c r="J424" s="30">
        <v>4.4999999999999998E-2</v>
      </c>
      <c r="K424" s="28">
        <v>2</v>
      </c>
      <c r="L424" s="28" t="s">
        <v>853</v>
      </c>
      <c r="M424" s="28"/>
      <c r="N424" s="28"/>
      <c r="O424" s="28"/>
      <c r="P424" s="31">
        <v>0</v>
      </c>
      <c r="Q424" s="31">
        <v>0</v>
      </c>
      <c r="R424" s="31">
        <v>0</v>
      </c>
      <c r="S424" s="28"/>
      <c r="T424" s="28"/>
      <c r="U424" s="28"/>
      <c r="V424" s="31">
        <v>0</v>
      </c>
      <c r="W424" s="31">
        <v>0</v>
      </c>
      <c r="X424" s="31">
        <v>0</v>
      </c>
      <c r="Y424" s="28" t="s">
        <v>692</v>
      </c>
    </row>
    <row r="425" spans="1:25" x14ac:dyDescent="0.3">
      <c r="A425" s="28" t="s">
        <v>887</v>
      </c>
      <c r="B425" s="28" t="s">
        <v>99</v>
      </c>
      <c r="C425" s="28" t="s">
        <v>260</v>
      </c>
      <c r="D425" s="28" t="s">
        <v>202</v>
      </c>
      <c r="E425" s="28" t="s">
        <v>853</v>
      </c>
      <c r="F425" s="29">
        <v>4</v>
      </c>
      <c r="G425" s="28">
        <v>1</v>
      </c>
      <c r="H425" s="28">
        <v>0</v>
      </c>
      <c r="I425" s="28"/>
      <c r="J425" s="30">
        <v>4.4999999999999998E-2</v>
      </c>
      <c r="K425" s="28">
        <v>0</v>
      </c>
      <c r="L425" s="28"/>
      <c r="M425" s="28" t="s">
        <v>261</v>
      </c>
      <c r="N425" s="28" t="s">
        <v>853</v>
      </c>
      <c r="O425" s="28">
        <v>2026</v>
      </c>
      <c r="P425" s="31">
        <v>0</v>
      </c>
      <c r="Q425" s="31">
        <v>0</v>
      </c>
      <c r="R425" s="31">
        <v>0</v>
      </c>
      <c r="S425" s="28"/>
      <c r="T425" s="28"/>
      <c r="U425" s="28"/>
      <c r="V425" s="31">
        <v>0</v>
      </c>
      <c r="W425" s="31">
        <v>0</v>
      </c>
      <c r="X425" s="31">
        <v>0</v>
      </c>
      <c r="Y425" s="28" t="s">
        <v>866</v>
      </c>
    </row>
    <row r="426" spans="1:25" x14ac:dyDescent="0.3">
      <c r="A426" s="28" t="s">
        <v>888</v>
      </c>
      <c r="B426" s="28" t="s">
        <v>99</v>
      </c>
      <c r="C426" s="28" t="s">
        <v>260</v>
      </c>
      <c r="D426" s="28" t="s">
        <v>206</v>
      </c>
      <c r="E426" s="28" t="s">
        <v>853</v>
      </c>
      <c r="F426" s="29">
        <v>4</v>
      </c>
      <c r="G426" s="28">
        <v>1</v>
      </c>
      <c r="H426" s="28">
        <v>0</v>
      </c>
      <c r="I426" s="28"/>
      <c r="J426" s="30">
        <v>4.4999999999999998E-2</v>
      </c>
      <c r="K426" s="28">
        <v>1</v>
      </c>
      <c r="L426" s="28" t="s">
        <v>853</v>
      </c>
      <c r="M426" s="28"/>
      <c r="N426" s="28"/>
      <c r="O426" s="28"/>
      <c r="P426" s="31">
        <v>0</v>
      </c>
      <c r="Q426" s="31">
        <v>0</v>
      </c>
      <c r="R426" s="31">
        <v>0</v>
      </c>
      <c r="S426" s="28"/>
      <c r="T426" s="28"/>
      <c r="U426" s="28"/>
      <c r="V426" s="31">
        <v>0</v>
      </c>
      <c r="W426" s="31">
        <v>0</v>
      </c>
      <c r="X426" s="31">
        <v>0</v>
      </c>
      <c r="Y426" s="28" t="s">
        <v>687</v>
      </c>
    </row>
    <row r="427" spans="1:25" x14ac:dyDescent="0.3">
      <c r="A427" s="28" t="s">
        <v>889</v>
      </c>
      <c r="B427" s="28" t="s">
        <v>99</v>
      </c>
      <c r="C427" s="28" t="s">
        <v>265</v>
      </c>
      <c r="D427" s="28" t="s">
        <v>202</v>
      </c>
      <c r="E427" s="28" t="s">
        <v>853</v>
      </c>
      <c r="F427" s="29">
        <v>4</v>
      </c>
      <c r="G427" s="28">
        <v>1</v>
      </c>
      <c r="H427" s="28">
        <v>0</v>
      </c>
      <c r="I427" s="28"/>
      <c r="J427" s="30">
        <v>4.4999999999999998E-2</v>
      </c>
      <c r="K427" s="28">
        <v>0</v>
      </c>
      <c r="L427" s="28"/>
      <c r="M427" s="28" t="s">
        <v>261</v>
      </c>
      <c r="N427" s="28" t="s">
        <v>853</v>
      </c>
      <c r="O427" s="28">
        <v>2026</v>
      </c>
      <c r="P427" s="31">
        <v>0</v>
      </c>
      <c r="Q427" s="31">
        <v>0</v>
      </c>
      <c r="R427" s="31">
        <v>0</v>
      </c>
      <c r="S427" s="28"/>
      <c r="T427" s="28"/>
      <c r="U427" s="28"/>
      <c r="V427" s="31">
        <v>0</v>
      </c>
      <c r="W427" s="31">
        <v>0</v>
      </c>
      <c r="X427" s="31">
        <v>0</v>
      </c>
      <c r="Y427" s="28" t="s">
        <v>866</v>
      </c>
    </row>
    <row r="428" spans="1:25" x14ac:dyDescent="0.3">
      <c r="A428" s="28" t="s">
        <v>890</v>
      </c>
      <c r="B428" s="28" t="s">
        <v>99</v>
      </c>
      <c r="C428" s="28" t="s">
        <v>265</v>
      </c>
      <c r="D428" s="28" t="s">
        <v>206</v>
      </c>
      <c r="E428" s="28" t="s">
        <v>853</v>
      </c>
      <c r="F428" s="29">
        <v>4</v>
      </c>
      <c r="G428" s="28">
        <v>1</v>
      </c>
      <c r="H428" s="28">
        <v>0</v>
      </c>
      <c r="I428" s="28"/>
      <c r="J428" s="30">
        <v>4.4999999999999998E-2</v>
      </c>
      <c r="K428" s="28">
        <v>1</v>
      </c>
      <c r="L428" s="28" t="s">
        <v>853</v>
      </c>
      <c r="M428" s="28"/>
      <c r="N428" s="28"/>
      <c r="O428" s="28"/>
      <c r="P428" s="31">
        <v>0</v>
      </c>
      <c r="Q428" s="31">
        <v>0</v>
      </c>
      <c r="R428" s="31">
        <v>0</v>
      </c>
      <c r="S428" s="28"/>
      <c r="T428" s="28"/>
      <c r="U428" s="28"/>
      <c r="V428" s="31">
        <v>0</v>
      </c>
      <c r="W428" s="31">
        <v>0</v>
      </c>
      <c r="X428" s="31">
        <v>0</v>
      </c>
      <c r="Y428" s="28" t="s">
        <v>687</v>
      </c>
    </row>
    <row r="429" spans="1:25" x14ac:dyDescent="0.3">
      <c r="A429" s="28" t="s">
        <v>891</v>
      </c>
      <c r="B429" s="28" t="s">
        <v>99</v>
      </c>
      <c r="C429" s="28" t="s">
        <v>270</v>
      </c>
      <c r="D429" s="28" t="s">
        <v>202</v>
      </c>
      <c r="E429" s="28" t="s">
        <v>853</v>
      </c>
      <c r="F429" s="29">
        <v>3</v>
      </c>
      <c r="G429" s="28">
        <v>1</v>
      </c>
      <c r="H429" s="28">
        <v>0</v>
      </c>
      <c r="I429" s="28"/>
      <c r="J429" s="30">
        <v>4.4999999999999998E-2</v>
      </c>
      <c r="K429" s="28">
        <v>0</v>
      </c>
      <c r="L429" s="28"/>
      <c r="M429" s="28" t="s">
        <v>261</v>
      </c>
      <c r="N429" s="28" t="s">
        <v>271</v>
      </c>
      <c r="O429" s="28">
        <v>2026</v>
      </c>
      <c r="P429" s="31">
        <v>876</v>
      </c>
      <c r="Q429" s="31">
        <v>0</v>
      </c>
      <c r="R429" s="31">
        <v>89</v>
      </c>
      <c r="S429" s="28"/>
      <c r="T429" s="28"/>
      <c r="U429" s="28"/>
      <c r="V429" s="31">
        <v>0</v>
      </c>
      <c r="W429" s="31">
        <v>0</v>
      </c>
      <c r="X429" s="31">
        <v>0</v>
      </c>
      <c r="Y429" s="28" t="s">
        <v>510</v>
      </c>
    </row>
    <row r="430" spans="1:25" x14ac:dyDescent="0.3">
      <c r="A430" s="28" t="s">
        <v>892</v>
      </c>
      <c r="B430" s="28" t="s">
        <v>99</v>
      </c>
      <c r="C430" s="28" t="s">
        <v>270</v>
      </c>
      <c r="D430" s="28" t="s">
        <v>206</v>
      </c>
      <c r="E430" s="28" t="s">
        <v>853</v>
      </c>
      <c r="F430" s="29">
        <v>3</v>
      </c>
      <c r="G430" s="28">
        <v>1</v>
      </c>
      <c r="H430" s="28">
        <v>0</v>
      </c>
      <c r="I430" s="28"/>
      <c r="J430" s="30">
        <v>4.4999999999999998E-2</v>
      </c>
      <c r="K430" s="28">
        <v>0</v>
      </c>
      <c r="L430" s="28"/>
      <c r="M430" s="28" t="s">
        <v>261</v>
      </c>
      <c r="N430" s="28" t="s">
        <v>271</v>
      </c>
      <c r="O430" s="28">
        <v>2026</v>
      </c>
      <c r="P430" s="31">
        <v>876</v>
      </c>
      <c r="Q430" s="31">
        <v>0</v>
      </c>
      <c r="R430" s="31">
        <v>89</v>
      </c>
      <c r="S430" s="28"/>
      <c r="T430" s="28"/>
      <c r="U430" s="28"/>
      <c r="V430" s="31">
        <v>0</v>
      </c>
      <c r="W430" s="31">
        <v>0</v>
      </c>
      <c r="X430" s="31">
        <v>0</v>
      </c>
      <c r="Y430" s="28" t="s">
        <v>510</v>
      </c>
    </row>
    <row r="431" spans="1:25" x14ac:dyDescent="0.3">
      <c r="A431" s="28" t="s">
        <v>893</v>
      </c>
      <c r="B431" s="28" t="s">
        <v>99</v>
      </c>
      <c r="C431" s="28" t="s">
        <v>275</v>
      </c>
      <c r="D431" s="28" t="s">
        <v>202</v>
      </c>
      <c r="E431" s="28" t="s">
        <v>853</v>
      </c>
      <c r="F431" s="29">
        <v>0</v>
      </c>
      <c r="G431" s="28">
        <v>0</v>
      </c>
      <c r="H431" s="28">
        <v>0</v>
      </c>
      <c r="I431" s="28"/>
      <c r="J431" s="30">
        <v>4.4999999999999998E-2</v>
      </c>
      <c r="K431" s="28">
        <v>0</v>
      </c>
      <c r="L431" s="28"/>
      <c r="M431" s="28" t="s">
        <v>276</v>
      </c>
      <c r="N431" s="28" t="s">
        <v>853</v>
      </c>
      <c r="O431" s="28">
        <v>2026</v>
      </c>
      <c r="P431" s="31">
        <v>0</v>
      </c>
      <c r="Q431" s="31">
        <v>0</v>
      </c>
      <c r="R431" s="31">
        <v>0</v>
      </c>
      <c r="S431" s="28"/>
      <c r="T431" s="28"/>
      <c r="U431" s="28"/>
      <c r="V431" s="31">
        <v>0</v>
      </c>
      <c r="W431" s="31">
        <v>0</v>
      </c>
      <c r="X431" s="31">
        <v>0</v>
      </c>
      <c r="Y431" s="28" t="s">
        <v>277</v>
      </c>
    </row>
    <row r="432" spans="1:25" x14ac:dyDescent="0.3">
      <c r="A432" s="28" t="s">
        <v>894</v>
      </c>
      <c r="B432" s="28" t="s">
        <v>99</v>
      </c>
      <c r="C432" s="28" t="s">
        <v>275</v>
      </c>
      <c r="D432" s="28" t="s">
        <v>206</v>
      </c>
      <c r="E432" s="28" t="s">
        <v>853</v>
      </c>
      <c r="F432" s="29">
        <v>0</v>
      </c>
      <c r="G432" s="28">
        <v>0</v>
      </c>
      <c r="H432" s="28">
        <v>0</v>
      </c>
      <c r="I432" s="28"/>
      <c r="J432" s="30">
        <v>4.4999999999999998E-2</v>
      </c>
      <c r="K432" s="28">
        <v>0</v>
      </c>
      <c r="L432" s="28"/>
      <c r="M432" s="28" t="s">
        <v>276</v>
      </c>
      <c r="N432" s="28" t="s">
        <v>853</v>
      </c>
      <c r="O432" s="28">
        <v>2026</v>
      </c>
      <c r="P432" s="31">
        <v>0</v>
      </c>
      <c r="Q432" s="31">
        <v>0</v>
      </c>
      <c r="R432" s="31">
        <v>0</v>
      </c>
      <c r="S432" s="28"/>
      <c r="T432" s="28"/>
      <c r="U432" s="28"/>
      <c r="V432" s="31">
        <v>0</v>
      </c>
      <c r="W432" s="31">
        <v>0</v>
      </c>
      <c r="X432" s="31">
        <v>0</v>
      </c>
      <c r="Y432" s="28" t="s">
        <v>277</v>
      </c>
    </row>
    <row r="433" spans="1:25" x14ac:dyDescent="0.3">
      <c r="A433" s="28" t="s">
        <v>895</v>
      </c>
      <c r="B433" s="28" t="s">
        <v>99</v>
      </c>
      <c r="C433" s="28" t="s">
        <v>280</v>
      </c>
      <c r="D433" s="28" t="s">
        <v>202</v>
      </c>
      <c r="E433" s="28" t="s">
        <v>853</v>
      </c>
      <c r="F433" s="29">
        <v>0</v>
      </c>
      <c r="G433" s="28">
        <v>0</v>
      </c>
      <c r="H433" s="28">
        <v>0</v>
      </c>
      <c r="I433" s="28"/>
      <c r="J433" s="30">
        <v>4.4999999999999998E-2</v>
      </c>
      <c r="K433" s="28">
        <v>0</v>
      </c>
      <c r="L433" s="28"/>
      <c r="M433" s="28" t="s">
        <v>276</v>
      </c>
      <c r="N433" s="28" t="s">
        <v>853</v>
      </c>
      <c r="O433" s="28">
        <v>2026</v>
      </c>
      <c r="P433" s="31">
        <v>0</v>
      </c>
      <c r="Q433" s="31">
        <v>0</v>
      </c>
      <c r="R433" s="31">
        <v>0</v>
      </c>
      <c r="S433" s="28"/>
      <c r="T433" s="28"/>
      <c r="U433" s="28"/>
      <c r="V433" s="31">
        <v>0</v>
      </c>
      <c r="W433" s="31">
        <v>0</v>
      </c>
      <c r="X433" s="31">
        <v>0</v>
      </c>
      <c r="Y433" s="28" t="s">
        <v>896</v>
      </c>
    </row>
    <row r="434" spans="1:25" x14ac:dyDescent="0.3">
      <c r="A434" s="28" t="s">
        <v>897</v>
      </c>
      <c r="B434" s="28" t="s">
        <v>99</v>
      </c>
      <c r="C434" s="28" t="s">
        <v>280</v>
      </c>
      <c r="D434" s="28" t="s">
        <v>206</v>
      </c>
      <c r="E434" s="28" t="s">
        <v>853</v>
      </c>
      <c r="F434" s="29">
        <v>0</v>
      </c>
      <c r="G434" s="28">
        <v>0</v>
      </c>
      <c r="H434" s="28">
        <v>0</v>
      </c>
      <c r="I434" s="28"/>
      <c r="J434" s="30">
        <v>4.4999999999999998E-2</v>
      </c>
      <c r="K434" s="28">
        <v>0</v>
      </c>
      <c r="L434" s="28"/>
      <c r="M434" s="28" t="s">
        <v>276</v>
      </c>
      <c r="N434" s="28" t="s">
        <v>853</v>
      </c>
      <c r="O434" s="28">
        <v>2026</v>
      </c>
      <c r="P434" s="31">
        <v>0</v>
      </c>
      <c r="Q434" s="31">
        <v>0</v>
      </c>
      <c r="R434" s="31">
        <v>0</v>
      </c>
      <c r="S434" s="28"/>
      <c r="T434" s="28"/>
      <c r="U434" s="28"/>
      <c r="V434" s="31">
        <v>0</v>
      </c>
      <c r="W434" s="31">
        <v>0</v>
      </c>
      <c r="X434" s="31">
        <v>0</v>
      </c>
      <c r="Y434" s="28" t="s">
        <v>896</v>
      </c>
    </row>
    <row r="435" spans="1:25" x14ac:dyDescent="0.3">
      <c r="A435" s="28" t="s">
        <v>898</v>
      </c>
      <c r="B435" s="28" t="s">
        <v>99</v>
      </c>
      <c r="C435" s="28" t="s">
        <v>284</v>
      </c>
      <c r="D435" s="28" t="s">
        <v>202</v>
      </c>
      <c r="E435" s="28" t="s">
        <v>853</v>
      </c>
      <c r="F435" s="29">
        <v>4</v>
      </c>
      <c r="G435" s="28">
        <v>1</v>
      </c>
      <c r="H435" s="28">
        <v>0</v>
      </c>
      <c r="I435" s="28"/>
      <c r="J435" s="30">
        <v>4.4999999999999998E-2</v>
      </c>
      <c r="K435" s="28">
        <v>0</v>
      </c>
      <c r="L435" s="28"/>
      <c r="M435" s="28" t="s">
        <v>261</v>
      </c>
      <c r="N435" s="28" t="s">
        <v>853</v>
      </c>
      <c r="O435" s="28">
        <v>2026</v>
      </c>
      <c r="P435" s="31">
        <v>0</v>
      </c>
      <c r="Q435" s="31">
        <v>0</v>
      </c>
      <c r="R435" s="31">
        <v>0</v>
      </c>
      <c r="S435" s="28"/>
      <c r="T435" s="28"/>
      <c r="U435" s="28"/>
      <c r="V435" s="31">
        <v>0</v>
      </c>
      <c r="W435" s="31">
        <v>0</v>
      </c>
      <c r="X435" s="31">
        <v>0</v>
      </c>
      <c r="Y435" s="28" t="s">
        <v>866</v>
      </c>
    </row>
    <row r="436" spans="1:25" x14ac:dyDescent="0.3">
      <c r="A436" s="28" t="s">
        <v>899</v>
      </c>
      <c r="B436" s="28" t="s">
        <v>99</v>
      </c>
      <c r="C436" s="28" t="s">
        <v>284</v>
      </c>
      <c r="D436" s="28" t="s">
        <v>206</v>
      </c>
      <c r="E436" s="28" t="s">
        <v>853</v>
      </c>
      <c r="F436" s="29">
        <v>4</v>
      </c>
      <c r="G436" s="28">
        <v>1</v>
      </c>
      <c r="H436" s="28">
        <v>0</v>
      </c>
      <c r="I436" s="28"/>
      <c r="J436" s="30">
        <v>4.4999999999999998E-2</v>
      </c>
      <c r="K436" s="28">
        <v>1</v>
      </c>
      <c r="L436" s="28" t="s">
        <v>853</v>
      </c>
      <c r="M436" s="28"/>
      <c r="N436" s="28"/>
      <c r="O436" s="28"/>
      <c r="P436" s="31">
        <v>0</v>
      </c>
      <c r="Q436" s="31">
        <v>0</v>
      </c>
      <c r="R436" s="31">
        <v>0</v>
      </c>
      <c r="S436" s="28"/>
      <c r="T436" s="28"/>
      <c r="U436" s="28"/>
      <c r="V436" s="31">
        <v>0</v>
      </c>
      <c r="W436" s="31">
        <v>0</v>
      </c>
      <c r="X436" s="31">
        <v>0</v>
      </c>
      <c r="Y436" s="28" t="s">
        <v>687</v>
      </c>
    </row>
    <row r="437" spans="1:25" x14ac:dyDescent="0.3">
      <c r="A437" s="28" t="s">
        <v>900</v>
      </c>
      <c r="B437" s="28" t="s">
        <v>99</v>
      </c>
      <c r="C437" s="28" t="s">
        <v>288</v>
      </c>
      <c r="D437" s="28" t="s">
        <v>202</v>
      </c>
      <c r="E437" s="28" t="s">
        <v>853</v>
      </c>
      <c r="F437" s="29">
        <v>5</v>
      </c>
      <c r="G437" s="28">
        <v>1</v>
      </c>
      <c r="H437" s="28">
        <v>0</v>
      </c>
      <c r="I437" s="28"/>
      <c r="J437" s="30">
        <v>4.4999999999999998E-2</v>
      </c>
      <c r="K437" s="28">
        <v>0</v>
      </c>
      <c r="L437" s="28"/>
      <c r="M437" s="28" t="s">
        <v>261</v>
      </c>
      <c r="N437" s="28" t="s">
        <v>853</v>
      </c>
      <c r="O437" s="28">
        <v>2026</v>
      </c>
      <c r="P437" s="31">
        <v>0</v>
      </c>
      <c r="Q437" s="31">
        <v>0</v>
      </c>
      <c r="R437" s="31">
        <v>0</v>
      </c>
      <c r="S437" s="28"/>
      <c r="T437" s="28"/>
      <c r="U437" s="28"/>
      <c r="V437" s="31">
        <v>0</v>
      </c>
      <c r="W437" s="31">
        <v>0</v>
      </c>
      <c r="X437" s="31">
        <v>0</v>
      </c>
      <c r="Y437" s="28" t="s">
        <v>862</v>
      </c>
    </row>
    <row r="438" spans="1:25" x14ac:dyDescent="0.3">
      <c r="A438" s="28" t="s">
        <v>901</v>
      </c>
      <c r="B438" s="28" t="s">
        <v>99</v>
      </c>
      <c r="C438" s="28" t="s">
        <v>288</v>
      </c>
      <c r="D438" s="28" t="s">
        <v>206</v>
      </c>
      <c r="E438" s="28" t="s">
        <v>853</v>
      </c>
      <c r="F438" s="29">
        <v>5</v>
      </c>
      <c r="G438" s="28">
        <v>1</v>
      </c>
      <c r="H438" s="28">
        <v>0</v>
      </c>
      <c r="I438" s="28"/>
      <c r="J438" s="30">
        <v>4.4999999999999998E-2</v>
      </c>
      <c r="K438" s="28">
        <v>1</v>
      </c>
      <c r="L438" s="28" t="s">
        <v>853</v>
      </c>
      <c r="M438" s="28"/>
      <c r="N438" s="28"/>
      <c r="O438" s="28"/>
      <c r="P438" s="31">
        <v>0</v>
      </c>
      <c r="Q438" s="31">
        <v>0</v>
      </c>
      <c r="R438" s="31">
        <v>0</v>
      </c>
      <c r="S438" s="28"/>
      <c r="T438" s="28"/>
      <c r="U438" s="28"/>
      <c r="V438" s="31">
        <v>0</v>
      </c>
      <c r="W438" s="31">
        <v>0</v>
      </c>
      <c r="X438" s="31">
        <v>0</v>
      </c>
      <c r="Y438" s="28" t="s">
        <v>864</v>
      </c>
    </row>
    <row r="439" spans="1:25" x14ac:dyDescent="0.3">
      <c r="A439" s="28" t="s">
        <v>902</v>
      </c>
      <c r="B439" s="28" t="s">
        <v>99</v>
      </c>
      <c r="C439" s="28" t="s">
        <v>292</v>
      </c>
      <c r="D439" s="28" t="s">
        <v>202</v>
      </c>
      <c r="E439" s="28" t="s">
        <v>853</v>
      </c>
      <c r="F439" s="29">
        <v>4</v>
      </c>
      <c r="G439" s="28">
        <v>1</v>
      </c>
      <c r="H439" s="28">
        <v>0</v>
      </c>
      <c r="I439" s="28"/>
      <c r="J439" s="30">
        <v>4.4999999999999998E-2</v>
      </c>
      <c r="K439" s="28">
        <v>0</v>
      </c>
      <c r="L439" s="28"/>
      <c r="M439" s="28" t="s">
        <v>261</v>
      </c>
      <c r="N439" s="28" t="s">
        <v>853</v>
      </c>
      <c r="O439" s="28">
        <v>2026</v>
      </c>
      <c r="P439" s="31">
        <v>0</v>
      </c>
      <c r="Q439" s="31">
        <v>0</v>
      </c>
      <c r="R439" s="31">
        <v>0</v>
      </c>
      <c r="S439" s="28"/>
      <c r="T439" s="28"/>
      <c r="U439" s="28"/>
      <c r="V439" s="31">
        <v>0</v>
      </c>
      <c r="W439" s="31">
        <v>0</v>
      </c>
      <c r="X439" s="31">
        <v>0</v>
      </c>
      <c r="Y439" s="28" t="s">
        <v>866</v>
      </c>
    </row>
    <row r="440" spans="1:25" x14ac:dyDescent="0.3">
      <c r="A440" s="28" t="s">
        <v>903</v>
      </c>
      <c r="B440" s="28" t="s">
        <v>99</v>
      </c>
      <c r="C440" s="28" t="s">
        <v>292</v>
      </c>
      <c r="D440" s="28" t="s">
        <v>206</v>
      </c>
      <c r="E440" s="28" t="s">
        <v>853</v>
      </c>
      <c r="F440" s="29">
        <v>4</v>
      </c>
      <c r="G440" s="28">
        <v>1</v>
      </c>
      <c r="H440" s="28">
        <v>0</v>
      </c>
      <c r="I440" s="28"/>
      <c r="J440" s="30">
        <v>4.4999999999999998E-2</v>
      </c>
      <c r="K440" s="28">
        <v>0</v>
      </c>
      <c r="L440" s="28"/>
      <c r="M440" s="28" t="s">
        <v>261</v>
      </c>
      <c r="N440" s="28" t="s">
        <v>853</v>
      </c>
      <c r="O440" s="28">
        <v>2026</v>
      </c>
      <c r="P440" s="31">
        <v>36000</v>
      </c>
      <c r="Q440" s="31">
        <v>0</v>
      </c>
      <c r="R440" s="31">
        <v>0</v>
      </c>
      <c r="S440" s="28"/>
      <c r="T440" s="28"/>
      <c r="U440" s="28"/>
      <c r="V440" s="31">
        <v>0</v>
      </c>
      <c r="W440" s="31">
        <v>0</v>
      </c>
      <c r="X440" s="31">
        <v>0</v>
      </c>
      <c r="Y440" s="28" t="s">
        <v>904</v>
      </c>
    </row>
    <row r="441" spans="1:25" x14ac:dyDescent="0.3">
      <c r="A441" s="28" t="s">
        <v>905</v>
      </c>
      <c r="B441" s="28" t="s">
        <v>99</v>
      </c>
      <c r="C441" s="28" t="s">
        <v>296</v>
      </c>
      <c r="D441" s="28" t="s">
        <v>202</v>
      </c>
      <c r="E441" s="28" t="s">
        <v>853</v>
      </c>
      <c r="F441" s="29">
        <v>4</v>
      </c>
      <c r="G441" s="28">
        <v>1</v>
      </c>
      <c r="H441" s="28">
        <v>0</v>
      </c>
      <c r="I441" s="28"/>
      <c r="J441" s="30">
        <v>4.4999999999999998E-2</v>
      </c>
      <c r="K441" s="28">
        <v>0</v>
      </c>
      <c r="L441" s="28"/>
      <c r="M441" s="28" t="s">
        <v>261</v>
      </c>
      <c r="N441" s="28" t="s">
        <v>853</v>
      </c>
      <c r="O441" s="28">
        <v>2026</v>
      </c>
      <c r="P441" s="31">
        <v>0</v>
      </c>
      <c r="Q441" s="31">
        <v>0</v>
      </c>
      <c r="R441" s="31">
        <v>0</v>
      </c>
      <c r="S441" s="28"/>
      <c r="T441" s="28"/>
      <c r="U441" s="28"/>
      <c r="V441" s="31">
        <v>0</v>
      </c>
      <c r="W441" s="31">
        <v>0</v>
      </c>
      <c r="X441" s="31">
        <v>0</v>
      </c>
      <c r="Y441" s="28" t="s">
        <v>866</v>
      </c>
    </row>
    <row r="442" spans="1:25" x14ac:dyDescent="0.3">
      <c r="A442" s="28" t="s">
        <v>906</v>
      </c>
      <c r="B442" s="28" t="s">
        <v>99</v>
      </c>
      <c r="C442" s="28" t="s">
        <v>296</v>
      </c>
      <c r="D442" s="28" t="s">
        <v>206</v>
      </c>
      <c r="E442" s="28" t="s">
        <v>853</v>
      </c>
      <c r="F442" s="29">
        <v>4</v>
      </c>
      <c r="G442" s="28">
        <v>1</v>
      </c>
      <c r="H442" s="28">
        <v>0</v>
      </c>
      <c r="I442" s="28"/>
      <c r="J442" s="30">
        <v>4.4999999999999998E-2</v>
      </c>
      <c r="K442" s="28">
        <v>2</v>
      </c>
      <c r="L442" s="28" t="s">
        <v>853</v>
      </c>
      <c r="M442" s="28"/>
      <c r="N442" s="28"/>
      <c r="O442" s="28"/>
      <c r="P442" s="31">
        <v>0</v>
      </c>
      <c r="Q442" s="31">
        <v>0</v>
      </c>
      <c r="R442" s="31">
        <v>0</v>
      </c>
      <c r="S442" s="28"/>
      <c r="T442" s="28"/>
      <c r="U442" s="28"/>
      <c r="V442" s="31">
        <v>0</v>
      </c>
      <c r="W442" s="31">
        <v>0</v>
      </c>
      <c r="X442" s="31">
        <v>0</v>
      </c>
      <c r="Y442" s="28" t="s">
        <v>692</v>
      </c>
    </row>
    <row r="443" spans="1:25" x14ac:dyDescent="0.3">
      <c r="A443" s="28" t="s">
        <v>907</v>
      </c>
      <c r="B443" s="28" t="s">
        <v>99</v>
      </c>
      <c r="C443" s="28" t="s">
        <v>300</v>
      </c>
      <c r="D443" s="28" t="s">
        <v>202</v>
      </c>
      <c r="E443" s="28" t="s">
        <v>853</v>
      </c>
      <c r="F443" s="29">
        <v>4</v>
      </c>
      <c r="G443" s="28">
        <v>1</v>
      </c>
      <c r="H443" s="28">
        <v>0</v>
      </c>
      <c r="I443" s="28"/>
      <c r="J443" s="30">
        <v>4.4999999999999998E-2</v>
      </c>
      <c r="K443" s="28">
        <v>0</v>
      </c>
      <c r="L443" s="28"/>
      <c r="M443" s="28" t="s">
        <v>261</v>
      </c>
      <c r="N443" s="28" t="s">
        <v>853</v>
      </c>
      <c r="O443" s="28">
        <v>2026</v>
      </c>
      <c r="P443" s="31">
        <v>0</v>
      </c>
      <c r="Q443" s="31">
        <v>0</v>
      </c>
      <c r="R443" s="31">
        <v>0</v>
      </c>
      <c r="S443" s="28"/>
      <c r="T443" s="28"/>
      <c r="U443" s="28"/>
      <c r="V443" s="31">
        <v>0</v>
      </c>
      <c r="W443" s="31">
        <v>0</v>
      </c>
      <c r="X443" s="31">
        <v>0</v>
      </c>
      <c r="Y443" s="28" t="s">
        <v>908</v>
      </c>
    </row>
    <row r="444" spans="1:25" x14ac:dyDescent="0.3">
      <c r="A444" s="28" t="s">
        <v>909</v>
      </c>
      <c r="B444" s="28" t="s">
        <v>99</v>
      </c>
      <c r="C444" s="28" t="s">
        <v>300</v>
      </c>
      <c r="D444" s="28" t="s">
        <v>206</v>
      </c>
      <c r="E444" s="28" t="s">
        <v>853</v>
      </c>
      <c r="F444" s="29">
        <v>4</v>
      </c>
      <c r="G444" s="28">
        <v>1</v>
      </c>
      <c r="H444" s="28">
        <v>0</v>
      </c>
      <c r="I444" s="28"/>
      <c r="J444" s="30">
        <v>4.4999999999999998E-2</v>
      </c>
      <c r="K444" s="28">
        <v>0</v>
      </c>
      <c r="L444" s="28"/>
      <c r="M444" s="28" t="s">
        <v>261</v>
      </c>
      <c r="N444" s="28" t="s">
        <v>853</v>
      </c>
      <c r="O444" s="28">
        <v>2026</v>
      </c>
      <c r="P444" s="31">
        <v>75361.8</v>
      </c>
      <c r="Q444" s="31">
        <v>444.6</v>
      </c>
      <c r="R444" s="31">
        <v>409.5</v>
      </c>
      <c r="S444" s="28"/>
      <c r="T444" s="28"/>
      <c r="U444" s="28"/>
      <c r="V444" s="31">
        <v>0</v>
      </c>
      <c r="W444" s="31">
        <v>0</v>
      </c>
      <c r="X444" s="31">
        <v>0</v>
      </c>
      <c r="Y444" s="28" t="s">
        <v>910</v>
      </c>
    </row>
    <row r="445" spans="1:25" x14ac:dyDescent="0.3">
      <c r="A445" s="28" t="s">
        <v>911</v>
      </c>
      <c r="B445" s="28" t="s">
        <v>100</v>
      </c>
      <c r="C445" s="28" t="s">
        <v>201</v>
      </c>
      <c r="D445" s="28" t="s">
        <v>202</v>
      </c>
      <c r="E445" s="28" t="s">
        <v>912</v>
      </c>
      <c r="F445" s="29">
        <v>6</v>
      </c>
      <c r="G445" s="28">
        <v>1</v>
      </c>
      <c r="H445" s="28">
        <v>0</v>
      </c>
      <c r="I445" s="28"/>
      <c r="J445" s="30">
        <v>0.03</v>
      </c>
      <c r="K445" s="28">
        <v>0</v>
      </c>
      <c r="L445" s="28"/>
      <c r="M445" s="28" t="s">
        <v>261</v>
      </c>
      <c r="N445" s="28" t="s">
        <v>912</v>
      </c>
      <c r="O445" s="28">
        <v>2026</v>
      </c>
      <c r="P445" s="31">
        <v>0</v>
      </c>
      <c r="Q445" s="31">
        <v>0</v>
      </c>
      <c r="R445" s="31">
        <v>0</v>
      </c>
      <c r="S445" s="28"/>
      <c r="T445" s="28"/>
      <c r="U445" s="28"/>
      <c r="V445" s="31">
        <v>0</v>
      </c>
      <c r="W445" s="31">
        <v>0</v>
      </c>
      <c r="X445" s="31">
        <v>0</v>
      </c>
      <c r="Y445" s="28" t="s">
        <v>913</v>
      </c>
    </row>
    <row r="446" spans="1:25" x14ac:dyDescent="0.3">
      <c r="A446" s="28" t="s">
        <v>914</v>
      </c>
      <c r="B446" s="28" t="s">
        <v>100</v>
      </c>
      <c r="C446" s="28" t="s">
        <v>201</v>
      </c>
      <c r="D446" s="28" t="s">
        <v>206</v>
      </c>
      <c r="E446" s="28" t="s">
        <v>912</v>
      </c>
      <c r="F446" s="29">
        <v>6</v>
      </c>
      <c r="G446" s="28">
        <v>1</v>
      </c>
      <c r="H446" s="28">
        <v>0</v>
      </c>
      <c r="I446" s="28"/>
      <c r="J446" s="30">
        <v>0.03</v>
      </c>
      <c r="K446" s="28">
        <v>1</v>
      </c>
      <c r="L446" s="28" t="s">
        <v>912</v>
      </c>
      <c r="M446" s="28"/>
      <c r="N446" s="28"/>
      <c r="O446" s="28"/>
      <c r="P446" s="31">
        <v>0</v>
      </c>
      <c r="Q446" s="31">
        <v>0</v>
      </c>
      <c r="R446" s="31">
        <v>0</v>
      </c>
      <c r="S446" s="28"/>
      <c r="T446" s="28"/>
      <c r="U446" s="28"/>
      <c r="V446" s="31">
        <v>0</v>
      </c>
      <c r="W446" s="31">
        <v>0</v>
      </c>
      <c r="X446" s="31">
        <v>0</v>
      </c>
      <c r="Y446" s="28" t="s">
        <v>915</v>
      </c>
    </row>
    <row r="447" spans="1:25" x14ac:dyDescent="0.3">
      <c r="A447" s="28" t="s">
        <v>916</v>
      </c>
      <c r="B447" s="28" t="s">
        <v>100</v>
      </c>
      <c r="C447" s="28" t="s">
        <v>209</v>
      </c>
      <c r="D447" s="28" t="s">
        <v>202</v>
      </c>
      <c r="E447" s="28" t="s">
        <v>912</v>
      </c>
      <c r="F447" s="29">
        <v>5</v>
      </c>
      <c r="G447" s="28">
        <v>1</v>
      </c>
      <c r="H447" s="28">
        <v>0</v>
      </c>
      <c r="I447" s="28"/>
      <c r="J447" s="30">
        <v>0.03</v>
      </c>
      <c r="K447" s="28">
        <v>0</v>
      </c>
      <c r="L447" s="28"/>
      <c r="M447" s="28" t="s">
        <v>261</v>
      </c>
      <c r="N447" s="28" t="s">
        <v>912</v>
      </c>
      <c r="O447" s="28">
        <v>2026</v>
      </c>
      <c r="P447" s="31">
        <v>0</v>
      </c>
      <c r="Q447" s="31">
        <v>0</v>
      </c>
      <c r="R447" s="31">
        <v>0</v>
      </c>
      <c r="S447" s="28"/>
      <c r="T447" s="28"/>
      <c r="U447" s="28"/>
      <c r="V447" s="31">
        <v>0</v>
      </c>
      <c r="W447" s="31">
        <v>0</v>
      </c>
      <c r="X447" s="31">
        <v>0</v>
      </c>
      <c r="Y447" s="28" t="s">
        <v>917</v>
      </c>
    </row>
    <row r="448" spans="1:25" x14ac:dyDescent="0.3">
      <c r="A448" s="28" t="s">
        <v>918</v>
      </c>
      <c r="B448" s="28" t="s">
        <v>100</v>
      </c>
      <c r="C448" s="28" t="s">
        <v>209</v>
      </c>
      <c r="D448" s="28" t="s">
        <v>206</v>
      </c>
      <c r="E448" s="28" t="s">
        <v>912</v>
      </c>
      <c r="F448" s="29">
        <v>5</v>
      </c>
      <c r="G448" s="28">
        <v>1</v>
      </c>
      <c r="H448" s="28">
        <v>0</v>
      </c>
      <c r="I448" s="28"/>
      <c r="J448" s="30">
        <v>0.03</v>
      </c>
      <c r="K448" s="28">
        <v>1</v>
      </c>
      <c r="L448" s="28" t="s">
        <v>912</v>
      </c>
      <c r="M448" s="28"/>
      <c r="N448" s="28"/>
      <c r="O448" s="28"/>
      <c r="P448" s="31">
        <v>0</v>
      </c>
      <c r="Q448" s="31">
        <v>0</v>
      </c>
      <c r="R448" s="31">
        <v>0</v>
      </c>
      <c r="S448" s="28"/>
      <c r="T448" s="28"/>
      <c r="U448" s="28"/>
      <c r="V448" s="31">
        <v>0</v>
      </c>
      <c r="W448" s="31">
        <v>0</v>
      </c>
      <c r="X448" s="31">
        <v>0</v>
      </c>
      <c r="Y448" s="28" t="s">
        <v>919</v>
      </c>
    </row>
    <row r="449" spans="1:25" x14ac:dyDescent="0.3">
      <c r="A449" s="28" t="s">
        <v>920</v>
      </c>
      <c r="B449" s="28" t="s">
        <v>100</v>
      </c>
      <c r="C449" s="28" t="s">
        <v>213</v>
      </c>
      <c r="D449" s="28" t="s">
        <v>202</v>
      </c>
      <c r="E449" s="28" t="s">
        <v>912</v>
      </c>
      <c r="F449" s="29">
        <v>5</v>
      </c>
      <c r="G449" s="28">
        <v>1</v>
      </c>
      <c r="H449" s="28">
        <v>0</v>
      </c>
      <c r="I449" s="28"/>
      <c r="J449" s="30">
        <v>0.03</v>
      </c>
      <c r="K449" s="28">
        <v>0</v>
      </c>
      <c r="L449" s="28"/>
      <c r="M449" s="28" t="s">
        <v>261</v>
      </c>
      <c r="N449" s="28" t="s">
        <v>912</v>
      </c>
      <c r="O449" s="28">
        <v>2026</v>
      </c>
      <c r="P449" s="31">
        <v>0</v>
      </c>
      <c r="Q449" s="31">
        <v>0</v>
      </c>
      <c r="R449" s="31">
        <v>0</v>
      </c>
      <c r="S449" s="28"/>
      <c r="T449" s="28"/>
      <c r="U449" s="28"/>
      <c r="V449" s="31">
        <v>0</v>
      </c>
      <c r="W449" s="31">
        <v>0</v>
      </c>
      <c r="X449" s="31">
        <v>0</v>
      </c>
      <c r="Y449" s="28" t="s">
        <v>921</v>
      </c>
    </row>
    <row r="450" spans="1:25" x14ac:dyDescent="0.3">
      <c r="A450" s="28" t="s">
        <v>922</v>
      </c>
      <c r="B450" s="28" t="s">
        <v>100</v>
      </c>
      <c r="C450" s="28" t="s">
        <v>213</v>
      </c>
      <c r="D450" s="28" t="s">
        <v>206</v>
      </c>
      <c r="E450" s="28" t="s">
        <v>912</v>
      </c>
      <c r="F450" s="29">
        <v>5</v>
      </c>
      <c r="G450" s="28">
        <v>1</v>
      </c>
      <c r="H450" s="28">
        <v>0</v>
      </c>
      <c r="I450" s="28"/>
      <c r="J450" s="30">
        <v>0.03</v>
      </c>
      <c r="K450" s="28">
        <v>1</v>
      </c>
      <c r="L450" s="28" t="s">
        <v>912</v>
      </c>
      <c r="M450" s="28"/>
      <c r="N450" s="28"/>
      <c r="O450" s="28"/>
      <c r="P450" s="31">
        <v>0</v>
      </c>
      <c r="Q450" s="31">
        <v>0</v>
      </c>
      <c r="R450" s="31">
        <v>0</v>
      </c>
      <c r="S450" s="28"/>
      <c r="T450" s="28"/>
      <c r="U450" s="28"/>
      <c r="V450" s="31">
        <v>0</v>
      </c>
      <c r="W450" s="31">
        <v>0</v>
      </c>
      <c r="X450" s="31">
        <v>0</v>
      </c>
      <c r="Y450" s="28" t="s">
        <v>864</v>
      </c>
    </row>
    <row r="451" spans="1:25" x14ac:dyDescent="0.3">
      <c r="A451" s="28" t="s">
        <v>923</v>
      </c>
      <c r="B451" s="28" t="s">
        <v>100</v>
      </c>
      <c r="C451" s="28" t="s">
        <v>217</v>
      </c>
      <c r="D451" s="28" t="s">
        <v>202</v>
      </c>
      <c r="E451" s="28" t="s">
        <v>912</v>
      </c>
      <c r="F451" s="29">
        <v>4</v>
      </c>
      <c r="G451" s="28">
        <v>1</v>
      </c>
      <c r="H451" s="28">
        <v>0</v>
      </c>
      <c r="I451" s="28"/>
      <c r="J451" s="30">
        <v>0.03</v>
      </c>
      <c r="K451" s="28">
        <v>0</v>
      </c>
      <c r="L451" s="28"/>
      <c r="M451" s="28" t="s">
        <v>261</v>
      </c>
      <c r="N451" s="28" t="s">
        <v>912</v>
      </c>
      <c r="O451" s="28">
        <v>2026</v>
      </c>
      <c r="P451" s="31">
        <v>0</v>
      </c>
      <c r="Q451" s="31">
        <v>0</v>
      </c>
      <c r="R451" s="31">
        <v>0</v>
      </c>
      <c r="S451" s="28"/>
      <c r="T451" s="28"/>
      <c r="U451" s="28"/>
      <c r="V451" s="31">
        <v>0</v>
      </c>
      <c r="W451" s="31">
        <v>0</v>
      </c>
      <c r="X451" s="31">
        <v>0</v>
      </c>
      <c r="Y451" s="28" t="s">
        <v>924</v>
      </c>
    </row>
    <row r="452" spans="1:25" x14ac:dyDescent="0.3">
      <c r="A452" s="28" t="s">
        <v>925</v>
      </c>
      <c r="B452" s="28" t="s">
        <v>100</v>
      </c>
      <c r="C452" s="28" t="s">
        <v>217</v>
      </c>
      <c r="D452" s="28" t="s">
        <v>206</v>
      </c>
      <c r="E452" s="28" t="s">
        <v>912</v>
      </c>
      <c r="F452" s="29">
        <v>4</v>
      </c>
      <c r="G452" s="28">
        <v>1</v>
      </c>
      <c r="H452" s="28">
        <v>0</v>
      </c>
      <c r="I452" s="28"/>
      <c r="J452" s="30">
        <v>0.03</v>
      </c>
      <c r="K452" s="28">
        <v>1</v>
      </c>
      <c r="L452" s="28" t="s">
        <v>912</v>
      </c>
      <c r="M452" s="28"/>
      <c r="N452" s="28"/>
      <c r="O452" s="28"/>
      <c r="P452" s="31">
        <v>0</v>
      </c>
      <c r="Q452" s="31">
        <v>0</v>
      </c>
      <c r="R452" s="31">
        <v>0</v>
      </c>
      <c r="S452" s="28"/>
      <c r="T452" s="28"/>
      <c r="U452" s="28"/>
      <c r="V452" s="31">
        <v>0</v>
      </c>
      <c r="W452" s="31">
        <v>0</v>
      </c>
      <c r="X452" s="31">
        <v>0</v>
      </c>
      <c r="Y452" s="28" t="s">
        <v>687</v>
      </c>
    </row>
    <row r="453" spans="1:25" x14ac:dyDescent="0.3">
      <c r="A453" s="28" t="s">
        <v>926</v>
      </c>
      <c r="B453" s="28" t="s">
        <v>100</v>
      </c>
      <c r="C453" s="28" t="s">
        <v>221</v>
      </c>
      <c r="D453" s="28" t="s">
        <v>202</v>
      </c>
      <c r="E453" s="28" t="s">
        <v>912</v>
      </c>
      <c r="F453" s="29">
        <v>4</v>
      </c>
      <c r="G453" s="28">
        <v>1</v>
      </c>
      <c r="H453" s="28">
        <v>0</v>
      </c>
      <c r="I453" s="28"/>
      <c r="J453" s="30">
        <v>0.03</v>
      </c>
      <c r="K453" s="28">
        <v>0</v>
      </c>
      <c r="L453" s="28"/>
      <c r="M453" s="28" t="s">
        <v>261</v>
      </c>
      <c r="N453" s="28" t="s">
        <v>912</v>
      </c>
      <c r="O453" s="28">
        <v>2026</v>
      </c>
      <c r="P453" s="31">
        <v>0</v>
      </c>
      <c r="Q453" s="31">
        <v>0</v>
      </c>
      <c r="R453" s="31">
        <v>0</v>
      </c>
      <c r="S453" s="28"/>
      <c r="T453" s="28"/>
      <c r="U453" s="28"/>
      <c r="V453" s="31">
        <v>0</v>
      </c>
      <c r="W453" s="31">
        <v>0</v>
      </c>
      <c r="X453" s="31">
        <v>0</v>
      </c>
      <c r="Y453" s="28" t="s">
        <v>924</v>
      </c>
    </row>
    <row r="454" spans="1:25" x14ac:dyDescent="0.3">
      <c r="A454" s="28" t="s">
        <v>927</v>
      </c>
      <c r="B454" s="28" t="s">
        <v>100</v>
      </c>
      <c r="C454" s="28" t="s">
        <v>221</v>
      </c>
      <c r="D454" s="28" t="s">
        <v>206</v>
      </c>
      <c r="E454" s="28" t="s">
        <v>912</v>
      </c>
      <c r="F454" s="29">
        <v>4</v>
      </c>
      <c r="G454" s="28">
        <v>1</v>
      </c>
      <c r="H454" s="28">
        <v>0</v>
      </c>
      <c r="I454" s="28"/>
      <c r="J454" s="30">
        <v>0.03</v>
      </c>
      <c r="K454" s="28">
        <v>1</v>
      </c>
      <c r="L454" s="28" t="s">
        <v>912</v>
      </c>
      <c r="M454" s="28"/>
      <c r="N454" s="28"/>
      <c r="O454" s="28"/>
      <c r="P454" s="31">
        <v>0</v>
      </c>
      <c r="Q454" s="31">
        <v>0</v>
      </c>
      <c r="R454" s="31">
        <v>0</v>
      </c>
      <c r="S454" s="28"/>
      <c r="T454" s="28"/>
      <c r="U454" s="28"/>
      <c r="V454" s="31">
        <v>0</v>
      </c>
      <c r="W454" s="31">
        <v>0</v>
      </c>
      <c r="X454" s="31">
        <v>0</v>
      </c>
      <c r="Y454" s="28" t="s">
        <v>687</v>
      </c>
    </row>
    <row r="455" spans="1:25" x14ac:dyDescent="0.3">
      <c r="A455" s="28" t="s">
        <v>928</v>
      </c>
      <c r="B455" s="28" t="s">
        <v>100</v>
      </c>
      <c r="C455" s="28" t="s">
        <v>225</v>
      </c>
      <c r="D455" s="28" t="s">
        <v>202</v>
      </c>
      <c r="E455" s="28" t="s">
        <v>912</v>
      </c>
      <c r="F455" s="29">
        <v>4</v>
      </c>
      <c r="G455" s="28">
        <v>1</v>
      </c>
      <c r="H455" s="28">
        <v>0</v>
      </c>
      <c r="I455" s="28"/>
      <c r="J455" s="30">
        <v>0.03</v>
      </c>
      <c r="K455" s="28">
        <v>0</v>
      </c>
      <c r="L455" s="28"/>
      <c r="M455" s="28" t="s">
        <v>261</v>
      </c>
      <c r="N455" s="28" t="s">
        <v>912</v>
      </c>
      <c r="O455" s="28">
        <v>2026</v>
      </c>
      <c r="P455" s="31">
        <v>0</v>
      </c>
      <c r="Q455" s="31">
        <v>0</v>
      </c>
      <c r="R455" s="31">
        <v>0</v>
      </c>
      <c r="S455" s="28"/>
      <c r="T455" s="28"/>
      <c r="U455" s="28"/>
      <c r="V455" s="31">
        <v>0</v>
      </c>
      <c r="W455" s="31">
        <v>0</v>
      </c>
      <c r="X455" s="31">
        <v>0</v>
      </c>
      <c r="Y455" s="28" t="s">
        <v>924</v>
      </c>
    </row>
    <row r="456" spans="1:25" x14ac:dyDescent="0.3">
      <c r="A456" s="28" t="s">
        <v>929</v>
      </c>
      <c r="B456" s="28" t="s">
        <v>100</v>
      </c>
      <c r="C456" s="28" t="s">
        <v>225</v>
      </c>
      <c r="D456" s="28" t="s">
        <v>206</v>
      </c>
      <c r="E456" s="28" t="s">
        <v>912</v>
      </c>
      <c r="F456" s="29">
        <v>4</v>
      </c>
      <c r="G456" s="28">
        <v>1</v>
      </c>
      <c r="H456" s="28">
        <v>0</v>
      </c>
      <c r="I456" s="28"/>
      <c r="J456" s="30">
        <v>0.03</v>
      </c>
      <c r="K456" s="28">
        <v>2</v>
      </c>
      <c r="L456" s="28" t="s">
        <v>912</v>
      </c>
      <c r="M456" s="28"/>
      <c r="N456" s="28"/>
      <c r="O456" s="28"/>
      <c r="P456" s="31">
        <v>0</v>
      </c>
      <c r="Q456" s="31">
        <v>0</v>
      </c>
      <c r="R456" s="31">
        <v>0</v>
      </c>
      <c r="S456" s="28"/>
      <c r="T456" s="28"/>
      <c r="U456" s="28"/>
      <c r="V456" s="31">
        <v>0</v>
      </c>
      <c r="W456" s="31">
        <v>0</v>
      </c>
      <c r="X456" s="31">
        <v>0</v>
      </c>
      <c r="Y456" s="28" t="s">
        <v>692</v>
      </c>
    </row>
    <row r="457" spans="1:25" x14ac:dyDescent="0.3">
      <c r="A457" s="28" t="s">
        <v>930</v>
      </c>
      <c r="B457" s="28" t="s">
        <v>100</v>
      </c>
      <c r="C457" s="28" t="s">
        <v>230</v>
      </c>
      <c r="D457" s="28" t="s">
        <v>202</v>
      </c>
      <c r="E457" s="28" t="s">
        <v>912</v>
      </c>
      <c r="F457" s="29">
        <v>4</v>
      </c>
      <c r="G457" s="28">
        <v>1</v>
      </c>
      <c r="H457" s="28">
        <v>0</v>
      </c>
      <c r="I457" s="28"/>
      <c r="J457" s="30">
        <v>0.03</v>
      </c>
      <c r="K457" s="28">
        <v>0</v>
      </c>
      <c r="L457" s="28"/>
      <c r="M457" s="28" t="s">
        <v>261</v>
      </c>
      <c r="N457" s="28" t="s">
        <v>912</v>
      </c>
      <c r="O457" s="28">
        <v>2026</v>
      </c>
      <c r="P457" s="31">
        <v>0</v>
      </c>
      <c r="Q457" s="31">
        <v>0</v>
      </c>
      <c r="R457" s="31">
        <v>0</v>
      </c>
      <c r="S457" s="28"/>
      <c r="T457" s="28"/>
      <c r="U457" s="28"/>
      <c r="V457" s="31">
        <v>0</v>
      </c>
      <c r="W457" s="31">
        <v>0</v>
      </c>
      <c r="X457" s="31">
        <v>0</v>
      </c>
      <c r="Y457" s="28" t="s">
        <v>924</v>
      </c>
    </row>
    <row r="458" spans="1:25" x14ac:dyDescent="0.3">
      <c r="A458" s="28" t="s">
        <v>931</v>
      </c>
      <c r="B458" s="28" t="s">
        <v>100</v>
      </c>
      <c r="C458" s="28" t="s">
        <v>230</v>
      </c>
      <c r="D458" s="28" t="s">
        <v>206</v>
      </c>
      <c r="E458" s="28" t="s">
        <v>912</v>
      </c>
      <c r="F458" s="29">
        <v>4</v>
      </c>
      <c r="G458" s="28">
        <v>1</v>
      </c>
      <c r="H458" s="28">
        <v>0</v>
      </c>
      <c r="I458" s="28"/>
      <c r="J458" s="30">
        <v>0.03</v>
      </c>
      <c r="K458" s="28">
        <v>1</v>
      </c>
      <c r="L458" s="28" t="s">
        <v>912</v>
      </c>
      <c r="M458" s="28"/>
      <c r="N458" s="28"/>
      <c r="O458" s="28"/>
      <c r="P458" s="31">
        <v>0</v>
      </c>
      <c r="Q458" s="31">
        <v>0</v>
      </c>
      <c r="R458" s="31">
        <v>0</v>
      </c>
      <c r="S458" s="28"/>
      <c r="T458" s="28"/>
      <c r="U458" s="28"/>
      <c r="V458" s="31">
        <v>0</v>
      </c>
      <c r="W458" s="31">
        <v>0</v>
      </c>
      <c r="X458" s="31">
        <v>0</v>
      </c>
      <c r="Y458" s="28" t="s">
        <v>687</v>
      </c>
    </row>
    <row r="459" spans="1:25" x14ac:dyDescent="0.3">
      <c r="A459" s="28" t="s">
        <v>932</v>
      </c>
      <c r="B459" s="28" t="s">
        <v>100</v>
      </c>
      <c r="C459" s="28" t="s">
        <v>235</v>
      </c>
      <c r="D459" s="28" t="s">
        <v>202</v>
      </c>
      <c r="E459" s="28" t="s">
        <v>912</v>
      </c>
      <c r="F459" s="29">
        <v>4</v>
      </c>
      <c r="G459" s="28">
        <v>1</v>
      </c>
      <c r="H459" s="28">
        <v>0</v>
      </c>
      <c r="I459" s="28"/>
      <c r="J459" s="30">
        <v>0.03</v>
      </c>
      <c r="K459" s="28">
        <v>0</v>
      </c>
      <c r="L459" s="28"/>
      <c r="M459" s="28" t="s">
        <v>261</v>
      </c>
      <c r="N459" s="28" t="s">
        <v>912</v>
      </c>
      <c r="O459" s="28">
        <v>2026</v>
      </c>
      <c r="P459" s="31">
        <v>0</v>
      </c>
      <c r="Q459" s="31">
        <v>0</v>
      </c>
      <c r="R459" s="31">
        <v>0</v>
      </c>
      <c r="S459" s="28"/>
      <c r="T459" s="28"/>
      <c r="U459" s="28"/>
      <c r="V459" s="31">
        <v>0</v>
      </c>
      <c r="W459" s="31">
        <v>0</v>
      </c>
      <c r="X459" s="31">
        <v>0</v>
      </c>
      <c r="Y459" s="28" t="s">
        <v>933</v>
      </c>
    </row>
    <row r="460" spans="1:25" x14ac:dyDescent="0.3">
      <c r="A460" s="28" t="s">
        <v>934</v>
      </c>
      <c r="B460" s="28" t="s">
        <v>100</v>
      </c>
      <c r="C460" s="28" t="s">
        <v>235</v>
      </c>
      <c r="D460" s="28" t="s">
        <v>206</v>
      </c>
      <c r="E460" s="28" t="s">
        <v>912</v>
      </c>
      <c r="F460" s="29">
        <v>4</v>
      </c>
      <c r="G460" s="28">
        <v>1</v>
      </c>
      <c r="H460" s="28">
        <v>0</v>
      </c>
      <c r="I460" s="28"/>
      <c r="J460" s="30">
        <v>0.03</v>
      </c>
      <c r="K460" s="28">
        <v>0</v>
      </c>
      <c r="L460" s="28"/>
      <c r="M460" s="28" t="s">
        <v>261</v>
      </c>
      <c r="N460" s="28" t="s">
        <v>912</v>
      </c>
      <c r="O460" s="28">
        <v>2026</v>
      </c>
      <c r="P460" s="31">
        <v>110876</v>
      </c>
      <c r="Q460" s="31">
        <v>0</v>
      </c>
      <c r="R460" s="31">
        <v>400</v>
      </c>
      <c r="S460" s="28"/>
      <c r="T460" s="28"/>
      <c r="U460" s="28"/>
      <c r="V460" s="31">
        <v>0</v>
      </c>
      <c r="W460" s="31">
        <v>0</v>
      </c>
      <c r="X460" s="31">
        <v>0</v>
      </c>
      <c r="Y460" s="28" t="s">
        <v>935</v>
      </c>
    </row>
    <row r="461" spans="1:25" x14ac:dyDescent="0.3">
      <c r="A461" s="28" t="s">
        <v>936</v>
      </c>
      <c r="B461" s="28" t="s">
        <v>100</v>
      </c>
      <c r="C461" s="28" t="s">
        <v>240</v>
      </c>
      <c r="D461" s="28" t="s">
        <v>202</v>
      </c>
      <c r="E461" s="28" t="s">
        <v>912</v>
      </c>
      <c r="F461" s="29">
        <v>4</v>
      </c>
      <c r="G461" s="28">
        <v>1</v>
      </c>
      <c r="H461" s="28">
        <v>0</v>
      </c>
      <c r="I461" s="28"/>
      <c r="J461" s="30">
        <v>0.03</v>
      </c>
      <c r="K461" s="28">
        <v>0</v>
      </c>
      <c r="L461" s="28"/>
      <c r="M461" s="28" t="s">
        <v>261</v>
      </c>
      <c r="N461" s="28" t="s">
        <v>912</v>
      </c>
      <c r="O461" s="28">
        <v>2026</v>
      </c>
      <c r="P461" s="31">
        <v>0</v>
      </c>
      <c r="Q461" s="31">
        <v>0</v>
      </c>
      <c r="R461" s="31">
        <v>0</v>
      </c>
      <c r="S461" s="28"/>
      <c r="T461" s="28"/>
      <c r="U461" s="28"/>
      <c r="V461" s="31">
        <v>0</v>
      </c>
      <c r="W461" s="31">
        <v>0</v>
      </c>
      <c r="X461" s="31">
        <v>0</v>
      </c>
      <c r="Y461" s="28" t="s">
        <v>933</v>
      </c>
    </row>
    <row r="462" spans="1:25" x14ac:dyDescent="0.3">
      <c r="A462" s="28" t="s">
        <v>937</v>
      </c>
      <c r="B462" s="28" t="s">
        <v>100</v>
      </c>
      <c r="C462" s="28" t="s">
        <v>240</v>
      </c>
      <c r="D462" s="28" t="s">
        <v>206</v>
      </c>
      <c r="E462" s="28" t="s">
        <v>912</v>
      </c>
      <c r="F462" s="29">
        <v>4</v>
      </c>
      <c r="G462" s="28">
        <v>1</v>
      </c>
      <c r="H462" s="28">
        <v>0</v>
      </c>
      <c r="I462" s="28"/>
      <c r="J462" s="30">
        <v>0.03</v>
      </c>
      <c r="K462" s="28">
        <v>1</v>
      </c>
      <c r="L462" s="28" t="s">
        <v>912</v>
      </c>
      <c r="M462" s="28"/>
      <c r="N462" s="28"/>
      <c r="O462" s="28"/>
      <c r="P462" s="31">
        <v>0</v>
      </c>
      <c r="Q462" s="31">
        <v>0</v>
      </c>
      <c r="R462" s="31">
        <v>0</v>
      </c>
      <c r="S462" s="28"/>
      <c r="T462" s="28"/>
      <c r="U462" s="28"/>
      <c r="V462" s="31">
        <v>0</v>
      </c>
      <c r="W462" s="31">
        <v>0</v>
      </c>
      <c r="X462" s="31">
        <v>0</v>
      </c>
      <c r="Y462" s="28" t="s">
        <v>938</v>
      </c>
    </row>
    <row r="463" spans="1:25" x14ac:dyDescent="0.3">
      <c r="A463" s="28" t="s">
        <v>939</v>
      </c>
      <c r="B463" s="28" t="s">
        <v>100</v>
      </c>
      <c r="C463" s="28" t="s">
        <v>245</v>
      </c>
      <c r="D463" s="28" t="s">
        <v>202</v>
      </c>
      <c r="E463" s="28" t="s">
        <v>912</v>
      </c>
      <c r="F463" s="29">
        <v>4</v>
      </c>
      <c r="G463" s="28">
        <v>1</v>
      </c>
      <c r="H463" s="28">
        <v>0</v>
      </c>
      <c r="I463" s="28"/>
      <c r="J463" s="30">
        <v>0.03</v>
      </c>
      <c r="K463" s="28">
        <v>0</v>
      </c>
      <c r="L463" s="28"/>
      <c r="M463" s="28" t="s">
        <v>261</v>
      </c>
      <c r="N463" s="28" t="s">
        <v>912</v>
      </c>
      <c r="O463" s="28">
        <v>2026</v>
      </c>
      <c r="P463" s="31">
        <v>0</v>
      </c>
      <c r="Q463" s="31">
        <v>0</v>
      </c>
      <c r="R463" s="31">
        <v>0</v>
      </c>
      <c r="S463" s="28"/>
      <c r="T463" s="28"/>
      <c r="U463" s="28"/>
      <c r="V463" s="31">
        <v>0</v>
      </c>
      <c r="W463" s="31">
        <v>0</v>
      </c>
      <c r="X463" s="31">
        <v>0</v>
      </c>
      <c r="Y463" s="28" t="s">
        <v>933</v>
      </c>
    </row>
    <row r="464" spans="1:25" x14ac:dyDescent="0.3">
      <c r="A464" s="28" t="s">
        <v>940</v>
      </c>
      <c r="B464" s="28" t="s">
        <v>100</v>
      </c>
      <c r="C464" s="28" t="s">
        <v>245</v>
      </c>
      <c r="D464" s="28" t="s">
        <v>206</v>
      </c>
      <c r="E464" s="28" t="s">
        <v>912</v>
      </c>
      <c r="F464" s="29">
        <v>4</v>
      </c>
      <c r="G464" s="28">
        <v>1</v>
      </c>
      <c r="H464" s="28">
        <v>0</v>
      </c>
      <c r="I464" s="28"/>
      <c r="J464" s="30">
        <v>0.03</v>
      </c>
      <c r="K464" s="28">
        <v>1</v>
      </c>
      <c r="L464" s="28" t="s">
        <v>912</v>
      </c>
      <c r="M464" s="28"/>
      <c r="N464" s="28"/>
      <c r="O464" s="28"/>
      <c r="P464" s="31">
        <v>0</v>
      </c>
      <c r="Q464" s="31">
        <v>0</v>
      </c>
      <c r="R464" s="31">
        <v>0</v>
      </c>
      <c r="S464" s="28"/>
      <c r="T464" s="28"/>
      <c r="U464" s="28"/>
      <c r="V464" s="31">
        <v>0</v>
      </c>
      <c r="W464" s="31">
        <v>0</v>
      </c>
      <c r="X464" s="31">
        <v>0</v>
      </c>
      <c r="Y464" s="28" t="s">
        <v>938</v>
      </c>
    </row>
    <row r="465" spans="1:25" x14ac:dyDescent="0.3">
      <c r="A465" s="28" t="s">
        <v>941</v>
      </c>
      <c r="B465" s="28" t="s">
        <v>100</v>
      </c>
      <c r="C465" s="28" t="s">
        <v>250</v>
      </c>
      <c r="D465" s="28" t="s">
        <v>202</v>
      </c>
      <c r="E465" s="28" t="s">
        <v>912</v>
      </c>
      <c r="F465" s="29">
        <v>4</v>
      </c>
      <c r="G465" s="28">
        <v>1</v>
      </c>
      <c r="H465" s="28">
        <v>0</v>
      </c>
      <c r="I465" s="28"/>
      <c r="J465" s="30">
        <v>0.03</v>
      </c>
      <c r="K465" s="28">
        <v>0</v>
      </c>
      <c r="L465" s="28"/>
      <c r="M465" s="28" t="s">
        <v>261</v>
      </c>
      <c r="N465" s="28" t="s">
        <v>912</v>
      </c>
      <c r="O465" s="28">
        <v>2026</v>
      </c>
      <c r="P465" s="31">
        <v>0</v>
      </c>
      <c r="Q465" s="31">
        <v>0</v>
      </c>
      <c r="R465" s="31">
        <v>0</v>
      </c>
      <c r="S465" s="28"/>
      <c r="T465" s="28"/>
      <c r="U465" s="28"/>
      <c r="V465" s="31">
        <v>0</v>
      </c>
      <c r="W465" s="31">
        <v>0</v>
      </c>
      <c r="X465" s="31">
        <v>0</v>
      </c>
      <c r="Y465" s="28" t="s">
        <v>933</v>
      </c>
    </row>
    <row r="466" spans="1:25" x14ac:dyDescent="0.3">
      <c r="A466" s="28" t="s">
        <v>942</v>
      </c>
      <c r="B466" s="28" t="s">
        <v>100</v>
      </c>
      <c r="C466" s="28" t="s">
        <v>250</v>
      </c>
      <c r="D466" s="28" t="s">
        <v>206</v>
      </c>
      <c r="E466" s="28" t="s">
        <v>912</v>
      </c>
      <c r="F466" s="29">
        <v>4</v>
      </c>
      <c r="G466" s="28">
        <v>1</v>
      </c>
      <c r="H466" s="28">
        <v>0</v>
      </c>
      <c r="I466" s="28"/>
      <c r="J466" s="30">
        <v>0.03</v>
      </c>
      <c r="K466" s="28">
        <v>1</v>
      </c>
      <c r="L466" s="28" t="s">
        <v>912</v>
      </c>
      <c r="M466" s="28"/>
      <c r="N466" s="28"/>
      <c r="O466" s="28"/>
      <c r="P466" s="31">
        <v>0</v>
      </c>
      <c r="Q466" s="31">
        <v>0</v>
      </c>
      <c r="R466" s="31">
        <v>0</v>
      </c>
      <c r="S466" s="28"/>
      <c r="T466" s="28"/>
      <c r="U466" s="28"/>
      <c r="V466" s="31">
        <v>0</v>
      </c>
      <c r="W466" s="31">
        <v>0</v>
      </c>
      <c r="X466" s="31">
        <v>0</v>
      </c>
      <c r="Y466" s="28" t="s">
        <v>938</v>
      </c>
    </row>
    <row r="467" spans="1:25" x14ac:dyDescent="0.3">
      <c r="A467" s="28" t="s">
        <v>943</v>
      </c>
      <c r="B467" s="28" t="s">
        <v>100</v>
      </c>
      <c r="C467" s="28" t="s">
        <v>255</v>
      </c>
      <c r="D467" s="28" t="s">
        <v>202</v>
      </c>
      <c r="E467" s="28" t="s">
        <v>912</v>
      </c>
      <c r="F467" s="29">
        <v>4</v>
      </c>
      <c r="G467" s="28">
        <v>1</v>
      </c>
      <c r="H467" s="28">
        <v>0</v>
      </c>
      <c r="I467" s="28"/>
      <c r="J467" s="30">
        <v>0.03</v>
      </c>
      <c r="K467" s="28">
        <v>0</v>
      </c>
      <c r="L467" s="28"/>
      <c r="M467" s="28" t="s">
        <v>261</v>
      </c>
      <c r="N467" s="28" t="s">
        <v>912</v>
      </c>
      <c r="O467" s="28">
        <v>2026</v>
      </c>
      <c r="P467" s="31">
        <v>0</v>
      </c>
      <c r="Q467" s="31">
        <v>0</v>
      </c>
      <c r="R467" s="31">
        <v>0</v>
      </c>
      <c r="S467" s="28"/>
      <c r="T467" s="28"/>
      <c r="U467" s="28"/>
      <c r="V467" s="31">
        <v>0</v>
      </c>
      <c r="W467" s="31">
        <v>0</v>
      </c>
      <c r="X467" s="31">
        <v>0</v>
      </c>
      <c r="Y467" s="28" t="s">
        <v>924</v>
      </c>
    </row>
    <row r="468" spans="1:25" x14ac:dyDescent="0.3">
      <c r="A468" s="28" t="s">
        <v>944</v>
      </c>
      <c r="B468" s="28" t="s">
        <v>100</v>
      </c>
      <c r="C468" s="28" t="s">
        <v>255</v>
      </c>
      <c r="D468" s="28" t="s">
        <v>206</v>
      </c>
      <c r="E468" s="28" t="s">
        <v>912</v>
      </c>
      <c r="F468" s="29">
        <v>4</v>
      </c>
      <c r="G468" s="28">
        <v>1</v>
      </c>
      <c r="H468" s="28">
        <v>0</v>
      </c>
      <c r="I468" s="28"/>
      <c r="J468" s="30">
        <v>0.03</v>
      </c>
      <c r="K468" s="28">
        <v>2</v>
      </c>
      <c r="L468" s="28" t="s">
        <v>912</v>
      </c>
      <c r="M468" s="28"/>
      <c r="N468" s="28"/>
      <c r="O468" s="28"/>
      <c r="P468" s="31">
        <v>0</v>
      </c>
      <c r="Q468" s="31">
        <v>0</v>
      </c>
      <c r="R468" s="31">
        <v>0</v>
      </c>
      <c r="S468" s="28"/>
      <c r="T468" s="28"/>
      <c r="U468" s="28"/>
      <c r="V468" s="31">
        <v>0</v>
      </c>
      <c r="W468" s="31">
        <v>0</v>
      </c>
      <c r="X468" s="31">
        <v>0</v>
      </c>
      <c r="Y468" s="28" t="s">
        <v>692</v>
      </c>
    </row>
    <row r="469" spans="1:25" x14ac:dyDescent="0.3">
      <c r="A469" s="28" t="s">
        <v>945</v>
      </c>
      <c r="B469" s="28" t="s">
        <v>100</v>
      </c>
      <c r="C469" s="28" t="s">
        <v>260</v>
      </c>
      <c r="D469" s="28" t="s">
        <v>202</v>
      </c>
      <c r="E469" s="28" t="s">
        <v>912</v>
      </c>
      <c r="F469" s="29">
        <v>4</v>
      </c>
      <c r="G469" s="28">
        <v>1</v>
      </c>
      <c r="H469" s="28">
        <v>0</v>
      </c>
      <c r="I469" s="28"/>
      <c r="J469" s="30">
        <v>0.03</v>
      </c>
      <c r="K469" s="28">
        <v>0</v>
      </c>
      <c r="L469" s="28"/>
      <c r="M469" s="28" t="s">
        <v>261</v>
      </c>
      <c r="N469" s="28" t="s">
        <v>912</v>
      </c>
      <c r="O469" s="28">
        <v>2026</v>
      </c>
      <c r="P469" s="31">
        <v>0</v>
      </c>
      <c r="Q469" s="31">
        <v>0</v>
      </c>
      <c r="R469" s="31">
        <v>0</v>
      </c>
      <c r="S469" s="28"/>
      <c r="T469" s="28"/>
      <c r="U469" s="28"/>
      <c r="V469" s="31">
        <v>0</v>
      </c>
      <c r="W469" s="31">
        <v>0</v>
      </c>
      <c r="X469" s="31">
        <v>0</v>
      </c>
      <c r="Y469" s="28" t="s">
        <v>924</v>
      </c>
    </row>
    <row r="470" spans="1:25" x14ac:dyDescent="0.3">
      <c r="A470" s="28" t="s">
        <v>946</v>
      </c>
      <c r="B470" s="28" t="s">
        <v>100</v>
      </c>
      <c r="C470" s="28" t="s">
        <v>260</v>
      </c>
      <c r="D470" s="28" t="s">
        <v>206</v>
      </c>
      <c r="E470" s="28" t="s">
        <v>912</v>
      </c>
      <c r="F470" s="29">
        <v>4</v>
      </c>
      <c r="G470" s="28">
        <v>1</v>
      </c>
      <c r="H470" s="28">
        <v>0</v>
      </c>
      <c r="I470" s="28"/>
      <c r="J470" s="30">
        <v>0.03</v>
      </c>
      <c r="K470" s="28">
        <v>2</v>
      </c>
      <c r="L470" s="28" t="s">
        <v>912</v>
      </c>
      <c r="M470" s="28"/>
      <c r="N470" s="28"/>
      <c r="O470" s="28"/>
      <c r="P470" s="31">
        <v>0</v>
      </c>
      <c r="Q470" s="31">
        <v>0</v>
      </c>
      <c r="R470" s="31">
        <v>0</v>
      </c>
      <c r="S470" s="28"/>
      <c r="T470" s="28"/>
      <c r="U470" s="28"/>
      <c r="V470" s="31">
        <v>0</v>
      </c>
      <c r="W470" s="31">
        <v>0</v>
      </c>
      <c r="X470" s="31">
        <v>0</v>
      </c>
      <c r="Y470" s="28" t="s">
        <v>692</v>
      </c>
    </row>
    <row r="471" spans="1:25" x14ac:dyDescent="0.3">
      <c r="A471" s="28" t="s">
        <v>947</v>
      </c>
      <c r="B471" s="28" t="s">
        <v>100</v>
      </c>
      <c r="C471" s="28" t="s">
        <v>265</v>
      </c>
      <c r="D471" s="28" t="s">
        <v>202</v>
      </c>
      <c r="E471" s="28" t="s">
        <v>912</v>
      </c>
      <c r="F471" s="29">
        <v>4</v>
      </c>
      <c r="G471" s="28">
        <v>1</v>
      </c>
      <c r="H471" s="28">
        <v>0</v>
      </c>
      <c r="I471" s="28"/>
      <c r="J471" s="30">
        <v>0.03</v>
      </c>
      <c r="K471" s="28">
        <v>0</v>
      </c>
      <c r="L471" s="28"/>
      <c r="M471" s="28" t="s">
        <v>261</v>
      </c>
      <c r="N471" s="28" t="s">
        <v>912</v>
      </c>
      <c r="O471" s="28">
        <v>2026</v>
      </c>
      <c r="P471" s="31">
        <v>0</v>
      </c>
      <c r="Q471" s="31">
        <v>0</v>
      </c>
      <c r="R471" s="31">
        <v>0</v>
      </c>
      <c r="S471" s="28"/>
      <c r="T471" s="28"/>
      <c r="U471" s="28"/>
      <c r="V471" s="31">
        <v>0</v>
      </c>
      <c r="W471" s="31">
        <v>0</v>
      </c>
      <c r="X471" s="31">
        <v>0</v>
      </c>
      <c r="Y471" s="28" t="s">
        <v>924</v>
      </c>
    </row>
    <row r="472" spans="1:25" x14ac:dyDescent="0.3">
      <c r="A472" s="28" t="s">
        <v>948</v>
      </c>
      <c r="B472" s="28" t="s">
        <v>100</v>
      </c>
      <c r="C472" s="28" t="s">
        <v>265</v>
      </c>
      <c r="D472" s="28" t="s">
        <v>206</v>
      </c>
      <c r="E472" s="28" t="s">
        <v>912</v>
      </c>
      <c r="F472" s="29">
        <v>4</v>
      </c>
      <c r="G472" s="28">
        <v>1</v>
      </c>
      <c r="H472" s="28">
        <v>0</v>
      </c>
      <c r="I472" s="28"/>
      <c r="J472" s="30">
        <v>0.03</v>
      </c>
      <c r="K472" s="28">
        <v>2</v>
      </c>
      <c r="L472" s="28" t="s">
        <v>912</v>
      </c>
      <c r="M472" s="28"/>
      <c r="N472" s="28"/>
      <c r="O472" s="28"/>
      <c r="P472" s="31">
        <v>0</v>
      </c>
      <c r="Q472" s="31">
        <v>0</v>
      </c>
      <c r="R472" s="31">
        <v>0</v>
      </c>
      <c r="S472" s="28"/>
      <c r="T472" s="28"/>
      <c r="U472" s="28"/>
      <c r="V472" s="31">
        <v>0</v>
      </c>
      <c r="W472" s="31">
        <v>0</v>
      </c>
      <c r="X472" s="31">
        <v>0</v>
      </c>
      <c r="Y472" s="28" t="s">
        <v>692</v>
      </c>
    </row>
    <row r="473" spans="1:25" x14ac:dyDescent="0.3">
      <c r="A473" s="28" t="s">
        <v>949</v>
      </c>
      <c r="B473" s="28" t="s">
        <v>100</v>
      </c>
      <c r="C473" s="28" t="s">
        <v>270</v>
      </c>
      <c r="D473" s="28" t="s">
        <v>202</v>
      </c>
      <c r="E473" s="28" t="s">
        <v>912</v>
      </c>
      <c r="F473" s="29">
        <v>3</v>
      </c>
      <c r="G473" s="28">
        <v>1</v>
      </c>
      <c r="H473" s="28">
        <v>0</v>
      </c>
      <c r="I473" s="28"/>
      <c r="J473" s="30">
        <v>0.03</v>
      </c>
      <c r="K473" s="28">
        <v>0</v>
      </c>
      <c r="L473" s="28"/>
      <c r="M473" s="28" t="s">
        <v>261</v>
      </c>
      <c r="N473" s="28" t="s">
        <v>271</v>
      </c>
      <c r="O473" s="28">
        <v>2026</v>
      </c>
      <c r="P473" s="31">
        <v>876</v>
      </c>
      <c r="Q473" s="31">
        <v>0</v>
      </c>
      <c r="R473" s="31">
        <v>89</v>
      </c>
      <c r="S473" s="28"/>
      <c r="T473" s="28"/>
      <c r="U473" s="28"/>
      <c r="V473" s="31">
        <v>0</v>
      </c>
      <c r="W473" s="31">
        <v>0</v>
      </c>
      <c r="X473" s="31">
        <v>0</v>
      </c>
      <c r="Y473" s="28" t="s">
        <v>510</v>
      </c>
    </row>
    <row r="474" spans="1:25" x14ac:dyDescent="0.3">
      <c r="A474" s="28" t="s">
        <v>950</v>
      </c>
      <c r="B474" s="28" t="s">
        <v>100</v>
      </c>
      <c r="C474" s="28" t="s">
        <v>270</v>
      </c>
      <c r="D474" s="28" t="s">
        <v>206</v>
      </c>
      <c r="E474" s="28" t="s">
        <v>912</v>
      </c>
      <c r="F474" s="29">
        <v>3</v>
      </c>
      <c r="G474" s="28">
        <v>1</v>
      </c>
      <c r="H474" s="28">
        <v>0</v>
      </c>
      <c r="I474" s="28"/>
      <c r="J474" s="30">
        <v>0.03</v>
      </c>
      <c r="K474" s="28">
        <v>0</v>
      </c>
      <c r="L474" s="28"/>
      <c r="M474" s="28" t="s">
        <v>261</v>
      </c>
      <c r="N474" s="28" t="s">
        <v>271</v>
      </c>
      <c r="O474" s="28">
        <v>2026</v>
      </c>
      <c r="P474" s="31">
        <v>876</v>
      </c>
      <c r="Q474" s="31">
        <v>0</v>
      </c>
      <c r="R474" s="31">
        <v>89</v>
      </c>
      <c r="S474" s="28"/>
      <c r="T474" s="28"/>
      <c r="U474" s="28"/>
      <c r="V474" s="31">
        <v>0</v>
      </c>
      <c r="W474" s="31">
        <v>0</v>
      </c>
      <c r="X474" s="31">
        <v>0</v>
      </c>
      <c r="Y474" s="28" t="s">
        <v>510</v>
      </c>
    </row>
    <row r="475" spans="1:25" x14ac:dyDescent="0.3">
      <c r="A475" s="28" t="s">
        <v>951</v>
      </c>
      <c r="B475" s="28" t="s">
        <v>100</v>
      </c>
      <c r="C475" s="28" t="s">
        <v>275</v>
      </c>
      <c r="D475" s="28" t="s">
        <v>202</v>
      </c>
      <c r="E475" s="28" t="s">
        <v>912</v>
      </c>
      <c r="F475" s="29">
        <v>0</v>
      </c>
      <c r="G475" s="28">
        <v>0</v>
      </c>
      <c r="H475" s="28">
        <v>0</v>
      </c>
      <c r="I475" s="28"/>
      <c r="J475" s="30">
        <v>0.03</v>
      </c>
      <c r="K475" s="28">
        <v>0</v>
      </c>
      <c r="L475" s="28"/>
      <c r="M475" s="28" t="s">
        <v>276</v>
      </c>
      <c r="N475" s="28" t="s">
        <v>912</v>
      </c>
      <c r="O475" s="28">
        <v>2026</v>
      </c>
      <c r="P475" s="31">
        <v>0</v>
      </c>
      <c r="Q475" s="31">
        <v>0</v>
      </c>
      <c r="R475" s="31">
        <v>0</v>
      </c>
      <c r="S475" s="28"/>
      <c r="T475" s="28"/>
      <c r="U475" s="28"/>
      <c r="V475" s="31">
        <v>0</v>
      </c>
      <c r="W475" s="31">
        <v>0</v>
      </c>
      <c r="X475" s="31">
        <v>0</v>
      </c>
      <c r="Y475" s="28" t="s">
        <v>277</v>
      </c>
    </row>
    <row r="476" spans="1:25" x14ac:dyDescent="0.3">
      <c r="A476" s="28" t="s">
        <v>952</v>
      </c>
      <c r="B476" s="28" t="s">
        <v>100</v>
      </c>
      <c r="C476" s="28" t="s">
        <v>275</v>
      </c>
      <c r="D476" s="28" t="s">
        <v>206</v>
      </c>
      <c r="E476" s="28" t="s">
        <v>912</v>
      </c>
      <c r="F476" s="29">
        <v>0</v>
      </c>
      <c r="G476" s="28">
        <v>0</v>
      </c>
      <c r="H476" s="28">
        <v>0</v>
      </c>
      <c r="I476" s="28"/>
      <c r="J476" s="30">
        <v>0.03</v>
      </c>
      <c r="K476" s="28">
        <v>0</v>
      </c>
      <c r="L476" s="28"/>
      <c r="M476" s="28" t="s">
        <v>276</v>
      </c>
      <c r="N476" s="28" t="s">
        <v>912</v>
      </c>
      <c r="O476" s="28">
        <v>2026</v>
      </c>
      <c r="P476" s="31">
        <v>0</v>
      </c>
      <c r="Q476" s="31">
        <v>0</v>
      </c>
      <c r="R476" s="31">
        <v>0</v>
      </c>
      <c r="S476" s="28"/>
      <c r="T476" s="28"/>
      <c r="U476" s="28"/>
      <c r="V476" s="31">
        <v>0</v>
      </c>
      <c r="W476" s="31">
        <v>0</v>
      </c>
      <c r="X476" s="31">
        <v>0</v>
      </c>
      <c r="Y476" s="28" t="s">
        <v>277</v>
      </c>
    </row>
    <row r="477" spans="1:25" x14ac:dyDescent="0.3">
      <c r="A477" s="28" t="s">
        <v>953</v>
      </c>
      <c r="B477" s="28" t="s">
        <v>100</v>
      </c>
      <c r="C477" s="28" t="s">
        <v>280</v>
      </c>
      <c r="D477" s="28" t="s">
        <v>202</v>
      </c>
      <c r="E477" s="28" t="s">
        <v>912</v>
      </c>
      <c r="F477" s="29">
        <v>0</v>
      </c>
      <c r="G477" s="28">
        <v>0</v>
      </c>
      <c r="H477" s="28">
        <v>0</v>
      </c>
      <c r="I477" s="28"/>
      <c r="J477" s="30">
        <v>0.03</v>
      </c>
      <c r="K477" s="28">
        <v>0</v>
      </c>
      <c r="L477" s="28"/>
      <c r="M477" s="28" t="s">
        <v>276</v>
      </c>
      <c r="N477" s="28" t="s">
        <v>912</v>
      </c>
      <c r="O477" s="28">
        <v>2026</v>
      </c>
      <c r="P477" s="31">
        <v>0</v>
      </c>
      <c r="Q477" s="31">
        <v>0</v>
      </c>
      <c r="R477" s="31">
        <v>0</v>
      </c>
      <c r="S477" s="28"/>
      <c r="T477" s="28"/>
      <c r="U477" s="28"/>
      <c r="V477" s="31">
        <v>0</v>
      </c>
      <c r="W477" s="31">
        <v>0</v>
      </c>
      <c r="X477" s="31">
        <v>0</v>
      </c>
      <c r="Y477" s="28" t="s">
        <v>896</v>
      </c>
    </row>
    <row r="478" spans="1:25" x14ac:dyDescent="0.3">
      <c r="A478" s="28" t="s">
        <v>954</v>
      </c>
      <c r="B478" s="28" t="s">
        <v>100</v>
      </c>
      <c r="C478" s="28" t="s">
        <v>280</v>
      </c>
      <c r="D478" s="28" t="s">
        <v>206</v>
      </c>
      <c r="E478" s="28" t="s">
        <v>912</v>
      </c>
      <c r="F478" s="29">
        <v>0</v>
      </c>
      <c r="G478" s="28">
        <v>0</v>
      </c>
      <c r="H478" s="28">
        <v>0</v>
      </c>
      <c r="I478" s="28"/>
      <c r="J478" s="30">
        <v>0.03</v>
      </c>
      <c r="K478" s="28">
        <v>0</v>
      </c>
      <c r="L478" s="28"/>
      <c r="M478" s="28" t="s">
        <v>276</v>
      </c>
      <c r="N478" s="28" t="s">
        <v>912</v>
      </c>
      <c r="O478" s="28">
        <v>2026</v>
      </c>
      <c r="P478" s="31">
        <v>0</v>
      </c>
      <c r="Q478" s="31">
        <v>0</v>
      </c>
      <c r="R478" s="31">
        <v>0</v>
      </c>
      <c r="S478" s="28"/>
      <c r="T478" s="28"/>
      <c r="U478" s="28"/>
      <c r="V478" s="31">
        <v>0</v>
      </c>
      <c r="W478" s="31">
        <v>0</v>
      </c>
      <c r="X478" s="31">
        <v>0</v>
      </c>
      <c r="Y478" s="28" t="s">
        <v>896</v>
      </c>
    </row>
    <row r="479" spans="1:25" x14ac:dyDescent="0.3">
      <c r="A479" s="28" t="s">
        <v>955</v>
      </c>
      <c r="B479" s="28" t="s">
        <v>100</v>
      </c>
      <c r="C479" s="28" t="s">
        <v>284</v>
      </c>
      <c r="D479" s="28" t="s">
        <v>202</v>
      </c>
      <c r="E479" s="28" t="s">
        <v>912</v>
      </c>
      <c r="F479" s="29">
        <v>4</v>
      </c>
      <c r="G479" s="28">
        <v>1</v>
      </c>
      <c r="H479" s="28">
        <v>0</v>
      </c>
      <c r="I479" s="28"/>
      <c r="J479" s="30">
        <v>0.03</v>
      </c>
      <c r="K479" s="28">
        <v>0</v>
      </c>
      <c r="L479" s="28"/>
      <c r="M479" s="28" t="s">
        <v>261</v>
      </c>
      <c r="N479" s="28" t="s">
        <v>912</v>
      </c>
      <c r="O479" s="28">
        <v>2026</v>
      </c>
      <c r="P479" s="31">
        <v>0</v>
      </c>
      <c r="Q479" s="31">
        <v>0</v>
      </c>
      <c r="R479" s="31">
        <v>0</v>
      </c>
      <c r="S479" s="28"/>
      <c r="T479" s="28"/>
      <c r="U479" s="28"/>
      <c r="V479" s="31">
        <v>0</v>
      </c>
      <c r="W479" s="31">
        <v>0</v>
      </c>
      <c r="X479" s="31">
        <v>0</v>
      </c>
      <c r="Y479" s="28" t="s">
        <v>924</v>
      </c>
    </row>
    <row r="480" spans="1:25" x14ac:dyDescent="0.3">
      <c r="A480" s="28" t="s">
        <v>956</v>
      </c>
      <c r="B480" s="28" t="s">
        <v>100</v>
      </c>
      <c r="C480" s="28" t="s">
        <v>284</v>
      </c>
      <c r="D480" s="28" t="s">
        <v>206</v>
      </c>
      <c r="E480" s="28" t="s">
        <v>912</v>
      </c>
      <c r="F480" s="29">
        <v>4</v>
      </c>
      <c r="G480" s="28">
        <v>1</v>
      </c>
      <c r="H480" s="28">
        <v>0</v>
      </c>
      <c r="I480" s="28"/>
      <c r="J480" s="30">
        <v>0.03</v>
      </c>
      <c r="K480" s="28">
        <v>1</v>
      </c>
      <c r="L480" s="28" t="s">
        <v>912</v>
      </c>
      <c r="M480" s="28"/>
      <c r="N480" s="28"/>
      <c r="O480" s="28"/>
      <c r="P480" s="31">
        <v>0</v>
      </c>
      <c r="Q480" s="31">
        <v>0</v>
      </c>
      <c r="R480" s="31">
        <v>0</v>
      </c>
      <c r="S480" s="28"/>
      <c r="T480" s="28"/>
      <c r="U480" s="28"/>
      <c r="V480" s="31">
        <v>0</v>
      </c>
      <c r="W480" s="31">
        <v>0</v>
      </c>
      <c r="X480" s="31">
        <v>0</v>
      </c>
      <c r="Y480" s="28" t="s">
        <v>687</v>
      </c>
    </row>
    <row r="481" spans="1:25" x14ac:dyDescent="0.3">
      <c r="A481" s="28" t="s">
        <v>957</v>
      </c>
      <c r="B481" s="28" t="s">
        <v>100</v>
      </c>
      <c r="C481" s="28" t="s">
        <v>288</v>
      </c>
      <c r="D481" s="28" t="s">
        <v>202</v>
      </c>
      <c r="E481" s="28" t="s">
        <v>912</v>
      </c>
      <c r="F481" s="29">
        <v>5</v>
      </c>
      <c r="G481" s="28">
        <v>1</v>
      </c>
      <c r="H481" s="28">
        <v>0</v>
      </c>
      <c r="I481" s="28"/>
      <c r="J481" s="30">
        <v>0.03</v>
      </c>
      <c r="K481" s="28">
        <v>0</v>
      </c>
      <c r="L481" s="28"/>
      <c r="M481" s="28" t="s">
        <v>261</v>
      </c>
      <c r="N481" s="28" t="s">
        <v>912</v>
      </c>
      <c r="O481" s="28">
        <v>2026</v>
      </c>
      <c r="P481" s="31">
        <v>0</v>
      </c>
      <c r="Q481" s="31">
        <v>0</v>
      </c>
      <c r="R481" s="31">
        <v>0</v>
      </c>
      <c r="S481" s="28"/>
      <c r="T481" s="28"/>
      <c r="U481" s="28"/>
      <c r="V481" s="31">
        <v>0</v>
      </c>
      <c r="W481" s="31">
        <v>0</v>
      </c>
      <c r="X481" s="31">
        <v>0</v>
      </c>
      <c r="Y481" s="28" t="s">
        <v>921</v>
      </c>
    </row>
    <row r="482" spans="1:25" x14ac:dyDescent="0.3">
      <c r="A482" s="28" t="s">
        <v>958</v>
      </c>
      <c r="B482" s="28" t="s">
        <v>100</v>
      </c>
      <c r="C482" s="28" t="s">
        <v>288</v>
      </c>
      <c r="D482" s="28" t="s">
        <v>206</v>
      </c>
      <c r="E482" s="28" t="s">
        <v>912</v>
      </c>
      <c r="F482" s="29">
        <v>5</v>
      </c>
      <c r="G482" s="28">
        <v>1</v>
      </c>
      <c r="H482" s="28">
        <v>0</v>
      </c>
      <c r="I482" s="28"/>
      <c r="J482" s="30">
        <v>0.03</v>
      </c>
      <c r="K482" s="28">
        <v>2</v>
      </c>
      <c r="L482" s="28" t="s">
        <v>912</v>
      </c>
      <c r="M482" s="28"/>
      <c r="N482" s="28"/>
      <c r="O482" s="28"/>
      <c r="P482" s="31">
        <v>0</v>
      </c>
      <c r="Q482" s="31">
        <v>0</v>
      </c>
      <c r="R482" s="31">
        <v>0</v>
      </c>
      <c r="S482" s="28"/>
      <c r="T482" s="28"/>
      <c r="U482" s="28"/>
      <c r="V482" s="31">
        <v>0</v>
      </c>
      <c r="W482" s="31">
        <v>0</v>
      </c>
      <c r="X482" s="31">
        <v>0</v>
      </c>
      <c r="Y482" s="28" t="s">
        <v>959</v>
      </c>
    </row>
    <row r="483" spans="1:25" x14ac:dyDescent="0.3">
      <c r="A483" s="28" t="s">
        <v>960</v>
      </c>
      <c r="B483" s="28" t="s">
        <v>100</v>
      </c>
      <c r="C483" s="28" t="s">
        <v>292</v>
      </c>
      <c r="D483" s="28" t="s">
        <v>202</v>
      </c>
      <c r="E483" s="28" t="s">
        <v>912</v>
      </c>
      <c r="F483" s="29">
        <v>4</v>
      </c>
      <c r="G483" s="28">
        <v>1</v>
      </c>
      <c r="H483" s="28">
        <v>0</v>
      </c>
      <c r="I483" s="28"/>
      <c r="J483" s="30">
        <v>0.03</v>
      </c>
      <c r="K483" s="28">
        <v>0</v>
      </c>
      <c r="L483" s="28"/>
      <c r="M483" s="28" t="s">
        <v>261</v>
      </c>
      <c r="N483" s="28" t="s">
        <v>912</v>
      </c>
      <c r="O483" s="28">
        <v>2026</v>
      </c>
      <c r="P483" s="31">
        <v>0</v>
      </c>
      <c r="Q483" s="31">
        <v>0</v>
      </c>
      <c r="R483" s="31">
        <v>0</v>
      </c>
      <c r="S483" s="28"/>
      <c r="T483" s="28"/>
      <c r="U483" s="28"/>
      <c r="V483" s="31">
        <v>0</v>
      </c>
      <c r="W483" s="31">
        <v>0</v>
      </c>
      <c r="X483" s="31">
        <v>0</v>
      </c>
      <c r="Y483" s="28" t="s">
        <v>924</v>
      </c>
    </row>
    <row r="484" spans="1:25" x14ac:dyDescent="0.3">
      <c r="A484" s="28" t="s">
        <v>961</v>
      </c>
      <c r="B484" s="28" t="s">
        <v>100</v>
      </c>
      <c r="C484" s="28" t="s">
        <v>292</v>
      </c>
      <c r="D484" s="28" t="s">
        <v>206</v>
      </c>
      <c r="E484" s="28" t="s">
        <v>912</v>
      </c>
      <c r="F484" s="29">
        <v>4</v>
      </c>
      <c r="G484" s="28">
        <v>1</v>
      </c>
      <c r="H484" s="28">
        <v>0</v>
      </c>
      <c r="I484" s="28"/>
      <c r="J484" s="30">
        <v>0.03</v>
      </c>
      <c r="K484" s="28">
        <v>1</v>
      </c>
      <c r="L484" s="28" t="s">
        <v>912</v>
      </c>
      <c r="M484" s="28"/>
      <c r="N484" s="28"/>
      <c r="O484" s="28"/>
      <c r="P484" s="31">
        <v>0</v>
      </c>
      <c r="Q484" s="31">
        <v>0</v>
      </c>
      <c r="R484" s="31">
        <v>0</v>
      </c>
      <c r="S484" s="28"/>
      <c r="T484" s="28"/>
      <c r="U484" s="28"/>
      <c r="V484" s="31">
        <v>0</v>
      </c>
      <c r="W484" s="31">
        <v>0</v>
      </c>
      <c r="X484" s="31">
        <v>0</v>
      </c>
      <c r="Y484" s="28" t="s">
        <v>687</v>
      </c>
    </row>
    <row r="485" spans="1:25" x14ac:dyDescent="0.3">
      <c r="A485" s="28" t="s">
        <v>962</v>
      </c>
      <c r="B485" s="28" t="s">
        <v>100</v>
      </c>
      <c r="C485" s="28" t="s">
        <v>296</v>
      </c>
      <c r="D485" s="28" t="s">
        <v>202</v>
      </c>
      <c r="E485" s="28" t="s">
        <v>912</v>
      </c>
      <c r="F485" s="29">
        <v>4</v>
      </c>
      <c r="G485" s="28">
        <v>1</v>
      </c>
      <c r="H485" s="28">
        <v>0</v>
      </c>
      <c r="I485" s="28"/>
      <c r="J485" s="30">
        <v>0.03</v>
      </c>
      <c r="K485" s="28">
        <v>0</v>
      </c>
      <c r="L485" s="28"/>
      <c r="M485" s="28" t="s">
        <v>261</v>
      </c>
      <c r="N485" s="28" t="s">
        <v>912</v>
      </c>
      <c r="O485" s="28">
        <v>2026</v>
      </c>
      <c r="P485" s="31">
        <v>0</v>
      </c>
      <c r="Q485" s="31">
        <v>0</v>
      </c>
      <c r="R485" s="31">
        <v>0</v>
      </c>
      <c r="S485" s="28"/>
      <c r="T485" s="28"/>
      <c r="U485" s="28"/>
      <c r="V485" s="31">
        <v>0</v>
      </c>
      <c r="W485" s="31">
        <v>0</v>
      </c>
      <c r="X485" s="31">
        <v>0</v>
      </c>
      <c r="Y485" s="28" t="s">
        <v>924</v>
      </c>
    </row>
    <row r="486" spans="1:25" x14ac:dyDescent="0.3">
      <c r="A486" s="28" t="s">
        <v>963</v>
      </c>
      <c r="B486" s="28" t="s">
        <v>100</v>
      </c>
      <c r="C486" s="28" t="s">
        <v>296</v>
      </c>
      <c r="D486" s="28" t="s">
        <v>206</v>
      </c>
      <c r="E486" s="28" t="s">
        <v>912</v>
      </c>
      <c r="F486" s="29">
        <v>4</v>
      </c>
      <c r="G486" s="28">
        <v>1</v>
      </c>
      <c r="H486" s="28">
        <v>0</v>
      </c>
      <c r="I486" s="28"/>
      <c r="J486" s="30">
        <v>0.03</v>
      </c>
      <c r="K486" s="28">
        <v>1</v>
      </c>
      <c r="L486" s="28" t="s">
        <v>912</v>
      </c>
      <c r="M486" s="28"/>
      <c r="N486" s="28"/>
      <c r="O486" s="28"/>
      <c r="P486" s="31">
        <v>0</v>
      </c>
      <c r="Q486" s="31">
        <v>0</v>
      </c>
      <c r="R486" s="31">
        <v>0</v>
      </c>
      <c r="S486" s="28"/>
      <c r="T486" s="28"/>
      <c r="U486" s="28"/>
      <c r="V486" s="31">
        <v>0</v>
      </c>
      <c r="W486" s="31">
        <v>0</v>
      </c>
      <c r="X486" s="31">
        <v>0</v>
      </c>
      <c r="Y486" s="28" t="s">
        <v>687</v>
      </c>
    </row>
    <row r="487" spans="1:25" x14ac:dyDescent="0.3">
      <c r="A487" s="28" t="s">
        <v>964</v>
      </c>
      <c r="B487" s="28" t="s">
        <v>100</v>
      </c>
      <c r="C487" s="28" t="s">
        <v>300</v>
      </c>
      <c r="D487" s="28" t="s">
        <v>202</v>
      </c>
      <c r="E487" s="28" t="s">
        <v>912</v>
      </c>
      <c r="F487" s="29">
        <v>4</v>
      </c>
      <c r="G487" s="28">
        <v>1</v>
      </c>
      <c r="H487" s="28">
        <v>0</v>
      </c>
      <c r="I487" s="28"/>
      <c r="J487" s="30">
        <v>0.03</v>
      </c>
      <c r="K487" s="28">
        <v>0</v>
      </c>
      <c r="L487" s="28"/>
      <c r="M487" s="28" t="s">
        <v>261</v>
      </c>
      <c r="N487" s="28" t="s">
        <v>912</v>
      </c>
      <c r="O487" s="28">
        <v>2026</v>
      </c>
      <c r="P487" s="31">
        <v>0</v>
      </c>
      <c r="Q487" s="31">
        <v>0</v>
      </c>
      <c r="R487" s="31">
        <v>0</v>
      </c>
      <c r="S487" s="28"/>
      <c r="T487" s="28"/>
      <c r="U487" s="28"/>
      <c r="V487" s="31">
        <v>0</v>
      </c>
      <c r="W487" s="31">
        <v>0</v>
      </c>
      <c r="X487" s="31">
        <v>0</v>
      </c>
      <c r="Y487" s="28" t="s">
        <v>965</v>
      </c>
    </row>
    <row r="488" spans="1:25" x14ac:dyDescent="0.3">
      <c r="A488" s="28" t="s">
        <v>966</v>
      </c>
      <c r="B488" s="28" t="s">
        <v>100</v>
      </c>
      <c r="C488" s="28" t="s">
        <v>300</v>
      </c>
      <c r="D488" s="28" t="s">
        <v>206</v>
      </c>
      <c r="E488" s="28" t="s">
        <v>912</v>
      </c>
      <c r="F488" s="29">
        <v>4</v>
      </c>
      <c r="G488" s="28">
        <v>1</v>
      </c>
      <c r="H488" s="28">
        <v>0</v>
      </c>
      <c r="I488" s="28"/>
      <c r="J488" s="30">
        <v>0.03</v>
      </c>
      <c r="K488" s="28">
        <v>0</v>
      </c>
      <c r="L488" s="28"/>
      <c r="M488" s="28" t="s">
        <v>261</v>
      </c>
      <c r="N488" s="28" t="s">
        <v>912</v>
      </c>
      <c r="O488" s="28">
        <v>2026</v>
      </c>
      <c r="P488" s="31">
        <v>66299.666666666672</v>
      </c>
      <c r="Q488" s="31">
        <v>0</v>
      </c>
      <c r="R488" s="31">
        <v>120</v>
      </c>
      <c r="S488" s="28"/>
      <c r="T488" s="28"/>
      <c r="U488" s="28"/>
      <c r="V488" s="31">
        <v>0</v>
      </c>
      <c r="W488" s="31">
        <v>0</v>
      </c>
      <c r="X488" s="31">
        <v>0</v>
      </c>
      <c r="Y488" s="28" t="s">
        <v>967</v>
      </c>
    </row>
  </sheetData>
  <sheetProtection sheet="1" objects="1" formatCells="0" formatColumns="0" formatRows="0"/>
  <mergeCells count="1">
    <mergeCell ref="A2:N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38"/>
  <sheetViews>
    <sheetView workbookViewId="0">
      <pane xSplit="1" ySplit="4" topLeftCell="B5" activePane="bottomRight" state="frozen"/>
      <selection pane="topRight"/>
      <selection pane="bottomLeft"/>
      <selection pane="bottomRight"/>
    </sheetView>
  </sheetViews>
  <sheetFormatPr defaultRowHeight="14.4" x14ac:dyDescent="0.3"/>
  <cols>
    <col min="1" max="2" width="34" customWidth="1"/>
    <col min="3" max="3" width="10" customWidth="1"/>
    <col min="4" max="5" width="9" customWidth="1"/>
    <col min="6" max="7" width="14" customWidth="1"/>
    <col min="8" max="9" width="12" customWidth="1"/>
    <col min="10" max="10" width="60" customWidth="1"/>
  </cols>
  <sheetData>
    <row r="1" spans="1:10" ht="21" x14ac:dyDescent="0.4">
      <c r="A1" s="5" t="s">
        <v>968</v>
      </c>
    </row>
    <row r="2" spans="1:10" x14ac:dyDescent="0.3">
      <c r="A2" s="6" t="s">
        <v>969</v>
      </c>
    </row>
    <row r="4" spans="1:10" ht="39.6" x14ac:dyDescent="0.3">
      <c r="A4" s="22" t="s">
        <v>182</v>
      </c>
      <c r="B4" s="22" t="s">
        <v>970</v>
      </c>
      <c r="C4" s="22" t="s">
        <v>971</v>
      </c>
      <c r="D4" s="22" t="s">
        <v>972</v>
      </c>
      <c r="E4" s="22" t="s">
        <v>973</v>
      </c>
      <c r="F4" s="22" t="s">
        <v>974</v>
      </c>
      <c r="G4" s="22" t="s">
        <v>975</v>
      </c>
      <c r="H4" s="22" t="s">
        <v>976</v>
      </c>
      <c r="I4" s="22" t="s">
        <v>132</v>
      </c>
      <c r="J4" s="22" t="s">
        <v>977</v>
      </c>
    </row>
    <row r="5" spans="1:10" x14ac:dyDescent="0.3">
      <c r="A5" s="28" t="s">
        <v>200</v>
      </c>
      <c r="B5" s="28" t="s">
        <v>978</v>
      </c>
      <c r="C5" s="28" t="s">
        <v>979</v>
      </c>
      <c r="D5" s="28">
        <v>2027</v>
      </c>
      <c r="E5" s="28" t="s">
        <v>203</v>
      </c>
      <c r="F5" s="31">
        <v>1704000</v>
      </c>
      <c r="G5" s="31">
        <v>1909000</v>
      </c>
      <c r="H5" s="31">
        <v>289000</v>
      </c>
      <c r="I5" s="28" t="s">
        <v>980</v>
      </c>
      <c r="J5" s="28" t="s">
        <v>981</v>
      </c>
    </row>
    <row r="6" spans="1:10" x14ac:dyDescent="0.3">
      <c r="A6" s="28" t="s">
        <v>200</v>
      </c>
      <c r="B6" s="28" t="s">
        <v>982</v>
      </c>
      <c r="C6" s="28" t="s">
        <v>983</v>
      </c>
      <c r="D6" s="28">
        <v>2026</v>
      </c>
      <c r="E6" s="28" t="s">
        <v>203</v>
      </c>
      <c r="F6" s="31">
        <v>2400000</v>
      </c>
      <c r="G6" s="31">
        <v>0</v>
      </c>
      <c r="H6" s="31">
        <v>50000</v>
      </c>
      <c r="I6" s="28" t="s">
        <v>980</v>
      </c>
      <c r="J6" s="28" t="s">
        <v>984</v>
      </c>
    </row>
    <row r="7" spans="1:10" x14ac:dyDescent="0.3">
      <c r="A7" s="28" t="s">
        <v>205</v>
      </c>
      <c r="B7" s="28" t="s">
        <v>982</v>
      </c>
      <c r="C7" s="28" t="s">
        <v>983</v>
      </c>
      <c r="D7" s="28">
        <v>2026</v>
      </c>
      <c r="E7" s="28" t="s">
        <v>12</v>
      </c>
      <c r="F7" s="31">
        <v>16100</v>
      </c>
      <c r="G7" s="31">
        <v>0</v>
      </c>
      <c r="H7" s="31">
        <v>500</v>
      </c>
      <c r="I7" s="28" t="s">
        <v>985</v>
      </c>
      <c r="J7" s="28" t="s">
        <v>984</v>
      </c>
    </row>
    <row r="8" spans="1:10" x14ac:dyDescent="0.3">
      <c r="A8" s="28" t="s">
        <v>208</v>
      </c>
      <c r="B8" s="28" t="s">
        <v>986</v>
      </c>
      <c r="C8" s="28" t="s">
        <v>983</v>
      </c>
      <c r="D8" s="28">
        <v>2026</v>
      </c>
      <c r="E8" s="28" t="s">
        <v>203</v>
      </c>
      <c r="F8" s="31">
        <v>2140000</v>
      </c>
      <c r="G8" s="31">
        <v>0</v>
      </c>
      <c r="H8" s="31">
        <v>50000</v>
      </c>
      <c r="I8" s="28" t="s">
        <v>980</v>
      </c>
      <c r="J8" s="28" t="s">
        <v>987</v>
      </c>
    </row>
    <row r="9" spans="1:10" x14ac:dyDescent="0.3">
      <c r="A9" s="28" t="s">
        <v>211</v>
      </c>
      <c r="B9" s="28" t="s">
        <v>986</v>
      </c>
      <c r="C9" s="28" t="s">
        <v>983</v>
      </c>
      <c r="D9" s="28">
        <v>2026</v>
      </c>
      <c r="E9" s="28" t="s">
        <v>12</v>
      </c>
      <c r="F9" s="31">
        <v>14500</v>
      </c>
      <c r="G9" s="31">
        <v>0</v>
      </c>
      <c r="H9" s="31">
        <v>500</v>
      </c>
      <c r="I9" s="28" t="s">
        <v>980</v>
      </c>
      <c r="J9" s="28" t="s">
        <v>987</v>
      </c>
    </row>
    <row r="10" spans="1:10" x14ac:dyDescent="0.3">
      <c r="A10" s="28" t="s">
        <v>212</v>
      </c>
      <c r="B10" s="28" t="s">
        <v>988</v>
      </c>
      <c r="C10" s="28" t="s">
        <v>983</v>
      </c>
      <c r="D10" s="28">
        <v>2026</v>
      </c>
      <c r="E10" s="28" t="s">
        <v>203</v>
      </c>
      <c r="F10" s="31">
        <v>511100</v>
      </c>
      <c r="G10" s="31">
        <v>0</v>
      </c>
      <c r="H10" s="31">
        <v>62286</v>
      </c>
      <c r="I10" s="28" t="s">
        <v>985</v>
      </c>
      <c r="J10" s="28" t="s">
        <v>989</v>
      </c>
    </row>
    <row r="11" spans="1:10" x14ac:dyDescent="0.3">
      <c r="A11" s="28" t="s">
        <v>215</v>
      </c>
      <c r="B11" s="28" t="s">
        <v>988</v>
      </c>
      <c r="C11" s="28" t="s">
        <v>983</v>
      </c>
      <c r="D11" s="28">
        <v>2026</v>
      </c>
      <c r="E11" s="28" t="s">
        <v>12</v>
      </c>
      <c r="F11" s="31">
        <v>4560</v>
      </c>
      <c r="G11" s="31">
        <v>0</v>
      </c>
      <c r="H11" s="31">
        <v>942</v>
      </c>
      <c r="I11" s="28" t="s">
        <v>985</v>
      </c>
      <c r="J11" s="28" t="s">
        <v>989</v>
      </c>
    </row>
    <row r="12" spans="1:10" x14ac:dyDescent="0.3">
      <c r="A12" s="28" t="s">
        <v>216</v>
      </c>
      <c r="B12" s="28" t="s">
        <v>990</v>
      </c>
      <c r="C12" s="28" t="s">
        <v>991</v>
      </c>
      <c r="D12" s="28">
        <v>2026</v>
      </c>
      <c r="E12" s="28" t="s">
        <v>203</v>
      </c>
      <c r="F12" s="31">
        <v>840000</v>
      </c>
      <c r="G12" s="31">
        <v>36000</v>
      </c>
      <c r="H12" s="31">
        <v>143000</v>
      </c>
      <c r="I12" s="28" t="s">
        <v>980</v>
      </c>
      <c r="J12" s="28" t="s">
        <v>992</v>
      </c>
    </row>
    <row r="13" spans="1:10" x14ac:dyDescent="0.3">
      <c r="A13" s="28" t="s">
        <v>219</v>
      </c>
      <c r="B13" s="28" t="s">
        <v>990</v>
      </c>
      <c r="C13" s="28" t="s">
        <v>991</v>
      </c>
      <c r="D13" s="28">
        <v>2026</v>
      </c>
      <c r="E13" s="28" t="s">
        <v>12</v>
      </c>
      <c r="F13" s="31">
        <v>11640</v>
      </c>
      <c r="G13" s="31">
        <v>196</v>
      </c>
      <c r="H13" s="31">
        <v>927</v>
      </c>
      <c r="I13" s="28" t="s">
        <v>980</v>
      </c>
      <c r="J13" s="28" t="s">
        <v>992</v>
      </c>
    </row>
    <row r="14" spans="1:10" x14ac:dyDescent="0.3">
      <c r="A14" s="28" t="s">
        <v>220</v>
      </c>
      <c r="B14" s="28" t="s">
        <v>988</v>
      </c>
      <c r="C14" s="28" t="s">
        <v>983</v>
      </c>
      <c r="D14" s="28">
        <v>2026</v>
      </c>
      <c r="E14" s="28" t="s">
        <v>203</v>
      </c>
      <c r="F14" s="31">
        <v>639036</v>
      </c>
      <c r="G14" s="31">
        <v>0</v>
      </c>
      <c r="H14" s="31">
        <v>48309</v>
      </c>
      <c r="I14" s="28" t="s">
        <v>985</v>
      </c>
      <c r="J14" s="28" t="s">
        <v>993</v>
      </c>
    </row>
    <row r="15" spans="1:10" x14ac:dyDescent="0.3">
      <c r="A15" s="28" t="s">
        <v>223</v>
      </c>
      <c r="B15" s="28" t="s">
        <v>988</v>
      </c>
      <c r="C15" s="28" t="s">
        <v>983</v>
      </c>
      <c r="D15" s="28">
        <v>2026</v>
      </c>
      <c r="E15" s="28" t="s">
        <v>12</v>
      </c>
      <c r="F15" s="31">
        <v>4320</v>
      </c>
      <c r="G15" s="31">
        <v>0</v>
      </c>
      <c r="H15" s="31">
        <v>1014</v>
      </c>
      <c r="I15" s="28" t="s">
        <v>985</v>
      </c>
      <c r="J15" s="28" t="s">
        <v>993</v>
      </c>
    </row>
    <row r="16" spans="1:10" x14ac:dyDescent="0.3">
      <c r="A16" s="28" t="s">
        <v>224</v>
      </c>
      <c r="B16" s="28" t="s">
        <v>994</v>
      </c>
      <c r="C16" s="28" t="s">
        <v>991</v>
      </c>
      <c r="D16" s="28">
        <v>2026</v>
      </c>
      <c r="E16" s="28" t="s">
        <v>203</v>
      </c>
      <c r="F16" s="31">
        <v>433500</v>
      </c>
      <c r="G16" s="31">
        <v>10000</v>
      </c>
      <c r="H16" s="31">
        <v>35000</v>
      </c>
      <c r="I16" s="28" t="s">
        <v>980</v>
      </c>
      <c r="J16" s="28" t="s">
        <v>995</v>
      </c>
    </row>
    <row r="17" spans="1:10" x14ac:dyDescent="0.3">
      <c r="A17" s="28" t="s">
        <v>224</v>
      </c>
      <c r="B17" s="28" t="s">
        <v>996</v>
      </c>
      <c r="C17" s="28" t="s">
        <v>991</v>
      </c>
      <c r="D17" s="28">
        <v>2026</v>
      </c>
      <c r="E17" s="28" t="s">
        <v>203</v>
      </c>
      <c r="F17" s="31">
        <v>1557200</v>
      </c>
      <c r="G17" s="31">
        <v>381400</v>
      </c>
      <c r="H17" s="31">
        <v>176600</v>
      </c>
      <c r="I17" s="28" t="s">
        <v>985</v>
      </c>
      <c r="J17" s="28" t="s">
        <v>997</v>
      </c>
    </row>
    <row r="18" spans="1:10" x14ac:dyDescent="0.3">
      <c r="A18" s="28" t="s">
        <v>227</v>
      </c>
      <c r="B18" s="28" t="s">
        <v>994</v>
      </c>
      <c r="C18" s="28" t="s">
        <v>991</v>
      </c>
      <c r="D18" s="28">
        <v>2026</v>
      </c>
      <c r="E18" s="28" t="s">
        <v>12</v>
      </c>
      <c r="F18" s="31">
        <v>5400</v>
      </c>
      <c r="G18" s="31">
        <v>120</v>
      </c>
      <c r="H18" s="31">
        <v>600</v>
      </c>
      <c r="I18" s="28" t="s">
        <v>980</v>
      </c>
      <c r="J18" s="28" t="s">
        <v>995</v>
      </c>
    </row>
    <row r="19" spans="1:10" x14ac:dyDescent="0.3">
      <c r="A19" s="28" t="s">
        <v>229</v>
      </c>
      <c r="B19" s="28" t="s">
        <v>994</v>
      </c>
      <c r="C19" s="28" t="s">
        <v>991</v>
      </c>
      <c r="D19" s="28">
        <v>2026</v>
      </c>
      <c r="E19" s="28" t="s">
        <v>203</v>
      </c>
      <c r="F19" s="31">
        <v>433500</v>
      </c>
      <c r="G19" s="31">
        <v>10000</v>
      </c>
      <c r="H19" s="31">
        <v>35000</v>
      </c>
      <c r="I19" s="28" t="s">
        <v>980</v>
      </c>
      <c r="J19" s="28" t="s">
        <v>995</v>
      </c>
    </row>
    <row r="20" spans="1:10" x14ac:dyDescent="0.3">
      <c r="A20" s="28" t="s">
        <v>229</v>
      </c>
      <c r="B20" s="28" t="s">
        <v>996</v>
      </c>
      <c r="C20" s="28" t="s">
        <v>991</v>
      </c>
      <c r="D20" s="28">
        <v>2026</v>
      </c>
      <c r="E20" s="28" t="s">
        <v>203</v>
      </c>
      <c r="F20" s="31">
        <v>1557200</v>
      </c>
      <c r="G20" s="31">
        <v>381400</v>
      </c>
      <c r="H20" s="31">
        <v>176600</v>
      </c>
      <c r="I20" s="28" t="s">
        <v>985</v>
      </c>
      <c r="J20" s="28" t="s">
        <v>998</v>
      </c>
    </row>
    <row r="21" spans="1:10" x14ac:dyDescent="0.3">
      <c r="A21" s="28" t="s">
        <v>229</v>
      </c>
      <c r="B21" s="28" t="s">
        <v>999</v>
      </c>
      <c r="C21" s="28" t="s">
        <v>991</v>
      </c>
      <c r="D21" s="28">
        <v>2026</v>
      </c>
      <c r="E21" s="28" t="s">
        <v>203</v>
      </c>
      <c r="F21" s="31">
        <v>1039500</v>
      </c>
      <c r="G21" s="31">
        <v>0</v>
      </c>
      <c r="H21" s="31">
        <v>155000</v>
      </c>
      <c r="I21" s="28" t="s">
        <v>1000</v>
      </c>
      <c r="J21" s="28" t="s">
        <v>1001</v>
      </c>
    </row>
    <row r="22" spans="1:10" x14ac:dyDescent="0.3">
      <c r="A22" s="28" t="s">
        <v>229</v>
      </c>
      <c r="B22" s="28" t="s">
        <v>1002</v>
      </c>
      <c r="C22" s="28" t="s">
        <v>991</v>
      </c>
      <c r="D22" s="28">
        <v>2026</v>
      </c>
      <c r="E22" s="28" t="s">
        <v>203</v>
      </c>
      <c r="F22" s="31">
        <v>396000</v>
      </c>
      <c r="G22" s="31">
        <v>5000</v>
      </c>
      <c r="H22" s="31">
        <v>30000</v>
      </c>
      <c r="I22" s="28" t="s">
        <v>1000</v>
      </c>
      <c r="J22" s="28" t="s">
        <v>1003</v>
      </c>
    </row>
    <row r="23" spans="1:10" x14ac:dyDescent="0.3">
      <c r="A23" s="28" t="s">
        <v>232</v>
      </c>
      <c r="B23" s="28" t="s">
        <v>994</v>
      </c>
      <c r="C23" s="28" t="s">
        <v>991</v>
      </c>
      <c r="D23" s="28">
        <v>2026</v>
      </c>
      <c r="E23" s="28" t="s">
        <v>12</v>
      </c>
      <c r="F23" s="31">
        <v>5400</v>
      </c>
      <c r="G23" s="31">
        <v>120</v>
      </c>
      <c r="H23" s="31">
        <v>600</v>
      </c>
      <c r="I23" s="28" t="s">
        <v>980</v>
      </c>
      <c r="J23" s="28" t="s">
        <v>995</v>
      </c>
    </row>
    <row r="24" spans="1:10" x14ac:dyDescent="0.3">
      <c r="A24" s="28" t="s">
        <v>234</v>
      </c>
      <c r="B24" s="28" t="s">
        <v>994</v>
      </c>
      <c r="C24" s="28" t="s">
        <v>991</v>
      </c>
      <c r="D24" s="28">
        <v>2026</v>
      </c>
      <c r="E24" s="28" t="s">
        <v>203</v>
      </c>
      <c r="F24" s="31">
        <v>433500</v>
      </c>
      <c r="G24" s="31">
        <v>10000</v>
      </c>
      <c r="H24" s="31">
        <v>35000</v>
      </c>
      <c r="I24" s="28" t="s">
        <v>980</v>
      </c>
      <c r="J24" s="28" t="s">
        <v>995</v>
      </c>
    </row>
    <row r="25" spans="1:10" x14ac:dyDescent="0.3">
      <c r="A25" s="28" t="s">
        <v>234</v>
      </c>
      <c r="B25" s="28" t="s">
        <v>1002</v>
      </c>
      <c r="C25" s="28" t="s">
        <v>991</v>
      </c>
      <c r="D25" s="28">
        <v>2026</v>
      </c>
      <c r="E25" s="28" t="s">
        <v>203</v>
      </c>
      <c r="F25" s="31">
        <v>396000</v>
      </c>
      <c r="G25" s="31">
        <v>5000</v>
      </c>
      <c r="H25" s="31">
        <v>30000</v>
      </c>
      <c r="I25" s="28" t="s">
        <v>1000</v>
      </c>
      <c r="J25" s="28" t="s">
        <v>1003</v>
      </c>
    </row>
    <row r="26" spans="1:10" x14ac:dyDescent="0.3">
      <c r="A26" s="28" t="s">
        <v>237</v>
      </c>
      <c r="B26" s="28" t="s">
        <v>994</v>
      </c>
      <c r="C26" s="28" t="s">
        <v>991</v>
      </c>
      <c r="D26" s="28">
        <v>2026</v>
      </c>
      <c r="E26" s="28" t="s">
        <v>12</v>
      </c>
      <c r="F26" s="31">
        <v>5400</v>
      </c>
      <c r="G26" s="31">
        <v>120</v>
      </c>
      <c r="H26" s="31">
        <v>600</v>
      </c>
      <c r="I26" s="28" t="s">
        <v>980</v>
      </c>
      <c r="J26" s="28" t="s">
        <v>995</v>
      </c>
    </row>
    <row r="27" spans="1:10" x14ac:dyDescent="0.3">
      <c r="A27" s="28" t="s">
        <v>239</v>
      </c>
      <c r="B27" s="28" t="s">
        <v>994</v>
      </c>
      <c r="C27" s="28" t="s">
        <v>991</v>
      </c>
      <c r="D27" s="28">
        <v>2026</v>
      </c>
      <c r="E27" s="28" t="s">
        <v>203</v>
      </c>
      <c r="F27" s="31">
        <v>433500</v>
      </c>
      <c r="G27" s="31">
        <v>10000</v>
      </c>
      <c r="H27" s="31">
        <v>35000</v>
      </c>
      <c r="I27" s="28" t="s">
        <v>980</v>
      </c>
      <c r="J27" s="28" t="s">
        <v>995</v>
      </c>
    </row>
    <row r="28" spans="1:10" x14ac:dyDescent="0.3">
      <c r="A28" s="28" t="s">
        <v>239</v>
      </c>
      <c r="B28" s="28" t="s">
        <v>1002</v>
      </c>
      <c r="C28" s="28" t="s">
        <v>991</v>
      </c>
      <c r="D28" s="28">
        <v>2026</v>
      </c>
      <c r="E28" s="28" t="s">
        <v>203</v>
      </c>
      <c r="F28" s="31">
        <v>396000</v>
      </c>
      <c r="G28" s="31">
        <v>5000</v>
      </c>
      <c r="H28" s="31">
        <v>30000</v>
      </c>
      <c r="I28" s="28" t="s">
        <v>1000</v>
      </c>
      <c r="J28" s="28" t="s">
        <v>1003</v>
      </c>
    </row>
    <row r="29" spans="1:10" x14ac:dyDescent="0.3">
      <c r="A29" s="28" t="s">
        <v>242</v>
      </c>
      <c r="B29" s="28" t="s">
        <v>994</v>
      </c>
      <c r="C29" s="28" t="s">
        <v>991</v>
      </c>
      <c r="D29" s="28">
        <v>2026</v>
      </c>
      <c r="E29" s="28" t="s">
        <v>12</v>
      </c>
      <c r="F29" s="31">
        <v>5400</v>
      </c>
      <c r="G29" s="31">
        <v>120</v>
      </c>
      <c r="H29" s="31">
        <v>600</v>
      </c>
      <c r="I29" s="28" t="s">
        <v>980</v>
      </c>
      <c r="J29" s="28" t="s">
        <v>995</v>
      </c>
    </row>
    <row r="30" spans="1:10" x14ac:dyDescent="0.3">
      <c r="A30" s="28" t="s">
        <v>244</v>
      </c>
      <c r="B30" s="28" t="s">
        <v>994</v>
      </c>
      <c r="C30" s="28" t="s">
        <v>991</v>
      </c>
      <c r="D30" s="28">
        <v>2026</v>
      </c>
      <c r="E30" s="28" t="s">
        <v>203</v>
      </c>
      <c r="F30" s="31">
        <v>433500</v>
      </c>
      <c r="G30" s="31">
        <v>10000</v>
      </c>
      <c r="H30" s="31">
        <v>35000</v>
      </c>
      <c r="I30" s="28" t="s">
        <v>980</v>
      </c>
      <c r="J30" s="28" t="s">
        <v>995</v>
      </c>
    </row>
    <row r="31" spans="1:10" x14ac:dyDescent="0.3">
      <c r="A31" s="28" t="s">
        <v>244</v>
      </c>
      <c r="B31" s="28" t="s">
        <v>1002</v>
      </c>
      <c r="C31" s="28" t="s">
        <v>991</v>
      </c>
      <c r="D31" s="28">
        <v>2026</v>
      </c>
      <c r="E31" s="28" t="s">
        <v>203</v>
      </c>
      <c r="F31" s="31">
        <v>396000</v>
      </c>
      <c r="G31" s="31">
        <v>5000</v>
      </c>
      <c r="H31" s="31">
        <v>30000</v>
      </c>
      <c r="I31" s="28" t="s">
        <v>1000</v>
      </c>
      <c r="J31" s="28" t="s">
        <v>1003</v>
      </c>
    </row>
    <row r="32" spans="1:10" x14ac:dyDescent="0.3">
      <c r="A32" s="28" t="s">
        <v>247</v>
      </c>
      <c r="B32" s="28" t="s">
        <v>994</v>
      </c>
      <c r="C32" s="28" t="s">
        <v>991</v>
      </c>
      <c r="D32" s="28">
        <v>2026</v>
      </c>
      <c r="E32" s="28" t="s">
        <v>12</v>
      </c>
      <c r="F32" s="31">
        <v>5400</v>
      </c>
      <c r="G32" s="31">
        <v>120</v>
      </c>
      <c r="H32" s="31">
        <v>600</v>
      </c>
      <c r="I32" s="28" t="s">
        <v>980</v>
      </c>
      <c r="J32" s="28" t="s">
        <v>995</v>
      </c>
    </row>
    <row r="33" spans="1:10" x14ac:dyDescent="0.3">
      <c r="A33" s="28" t="s">
        <v>249</v>
      </c>
      <c r="B33" s="28" t="s">
        <v>994</v>
      </c>
      <c r="C33" s="28" t="s">
        <v>991</v>
      </c>
      <c r="D33" s="28">
        <v>2026</v>
      </c>
      <c r="E33" s="28" t="s">
        <v>203</v>
      </c>
      <c r="F33" s="31">
        <v>433500</v>
      </c>
      <c r="G33" s="31">
        <v>10000</v>
      </c>
      <c r="H33" s="31">
        <v>35000</v>
      </c>
      <c r="I33" s="28" t="s">
        <v>980</v>
      </c>
      <c r="J33" s="28" t="s">
        <v>995</v>
      </c>
    </row>
    <row r="34" spans="1:10" x14ac:dyDescent="0.3">
      <c r="A34" s="28" t="s">
        <v>249</v>
      </c>
      <c r="B34" s="28" t="s">
        <v>1002</v>
      </c>
      <c r="C34" s="28" t="s">
        <v>991</v>
      </c>
      <c r="D34" s="28">
        <v>2026</v>
      </c>
      <c r="E34" s="28" t="s">
        <v>203</v>
      </c>
      <c r="F34" s="31">
        <v>396000</v>
      </c>
      <c r="G34" s="31">
        <v>5000</v>
      </c>
      <c r="H34" s="31">
        <v>30000</v>
      </c>
      <c r="I34" s="28" t="s">
        <v>1000</v>
      </c>
      <c r="J34" s="28" t="s">
        <v>1003</v>
      </c>
    </row>
    <row r="35" spans="1:10" x14ac:dyDescent="0.3">
      <c r="A35" s="28" t="s">
        <v>252</v>
      </c>
      <c r="B35" s="28" t="s">
        <v>994</v>
      </c>
      <c r="C35" s="28" t="s">
        <v>991</v>
      </c>
      <c r="D35" s="28">
        <v>2026</v>
      </c>
      <c r="E35" s="28" t="s">
        <v>12</v>
      </c>
      <c r="F35" s="31">
        <v>5400</v>
      </c>
      <c r="G35" s="31">
        <v>120</v>
      </c>
      <c r="H35" s="31">
        <v>600</v>
      </c>
      <c r="I35" s="28" t="s">
        <v>980</v>
      </c>
      <c r="J35" s="28" t="s">
        <v>995</v>
      </c>
    </row>
    <row r="36" spans="1:10" x14ac:dyDescent="0.3">
      <c r="A36" s="28" t="s">
        <v>254</v>
      </c>
      <c r="B36" s="28" t="s">
        <v>994</v>
      </c>
      <c r="C36" s="28" t="s">
        <v>991</v>
      </c>
      <c r="D36" s="28">
        <v>2026</v>
      </c>
      <c r="E36" s="28" t="s">
        <v>203</v>
      </c>
      <c r="F36" s="31">
        <v>605900</v>
      </c>
      <c r="G36" s="31">
        <v>25000</v>
      </c>
      <c r="H36" s="31">
        <v>35000</v>
      </c>
      <c r="I36" s="28" t="s">
        <v>980</v>
      </c>
      <c r="J36" s="28" t="s">
        <v>995</v>
      </c>
    </row>
    <row r="37" spans="1:10" x14ac:dyDescent="0.3">
      <c r="A37" s="28" t="s">
        <v>254</v>
      </c>
      <c r="B37" s="28" t="s">
        <v>996</v>
      </c>
      <c r="C37" s="28" t="s">
        <v>991</v>
      </c>
      <c r="D37" s="28">
        <v>2026</v>
      </c>
      <c r="E37" s="28" t="s">
        <v>203</v>
      </c>
      <c r="F37" s="31">
        <v>1511400</v>
      </c>
      <c r="G37" s="31">
        <v>112200</v>
      </c>
      <c r="H37" s="31">
        <v>176600</v>
      </c>
      <c r="I37" s="28" t="s">
        <v>980</v>
      </c>
      <c r="J37" s="28" t="s">
        <v>1004</v>
      </c>
    </row>
    <row r="38" spans="1:10" x14ac:dyDescent="0.3">
      <c r="A38" s="28" t="s">
        <v>254</v>
      </c>
      <c r="B38" s="28" t="s">
        <v>999</v>
      </c>
      <c r="C38" s="28" t="s">
        <v>991</v>
      </c>
      <c r="D38" s="28">
        <v>2026</v>
      </c>
      <c r="E38" s="28" t="s">
        <v>203</v>
      </c>
      <c r="F38" s="31">
        <v>1039500</v>
      </c>
      <c r="G38" s="31">
        <v>14000</v>
      </c>
      <c r="H38" s="31">
        <v>155000</v>
      </c>
      <c r="I38" s="28" t="s">
        <v>1000</v>
      </c>
      <c r="J38" s="28" t="s">
        <v>1001</v>
      </c>
    </row>
    <row r="39" spans="1:10" x14ac:dyDescent="0.3">
      <c r="A39" s="28" t="s">
        <v>254</v>
      </c>
      <c r="B39" s="28" t="s">
        <v>1002</v>
      </c>
      <c r="C39" s="28" t="s">
        <v>991</v>
      </c>
      <c r="D39" s="28">
        <v>2026</v>
      </c>
      <c r="E39" s="28" t="s">
        <v>203</v>
      </c>
      <c r="F39" s="31">
        <v>396000</v>
      </c>
      <c r="G39" s="31">
        <v>5000</v>
      </c>
      <c r="H39" s="31">
        <v>30000</v>
      </c>
      <c r="I39" s="28" t="s">
        <v>1000</v>
      </c>
      <c r="J39" s="28" t="s">
        <v>1003</v>
      </c>
    </row>
    <row r="40" spans="1:10" x14ac:dyDescent="0.3">
      <c r="A40" s="28" t="s">
        <v>257</v>
      </c>
      <c r="B40" s="28" t="s">
        <v>994</v>
      </c>
      <c r="C40" s="28" t="s">
        <v>991</v>
      </c>
      <c r="D40" s="28">
        <v>2026</v>
      </c>
      <c r="E40" s="28" t="s">
        <v>12</v>
      </c>
      <c r="F40" s="31">
        <v>5400</v>
      </c>
      <c r="G40" s="31">
        <v>170</v>
      </c>
      <c r="H40" s="31">
        <v>600</v>
      </c>
      <c r="I40" s="28" t="s">
        <v>980</v>
      </c>
      <c r="J40" s="28" t="s">
        <v>995</v>
      </c>
    </row>
    <row r="41" spans="1:10" x14ac:dyDescent="0.3">
      <c r="A41" s="28" t="s">
        <v>264</v>
      </c>
      <c r="B41" s="28" t="s">
        <v>994</v>
      </c>
      <c r="C41" s="28" t="s">
        <v>991</v>
      </c>
      <c r="D41" s="28">
        <v>2026</v>
      </c>
      <c r="E41" s="28" t="s">
        <v>203</v>
      </c>
      <c r="F41" s="31">
        <v>605900</v>
      </c>
      <c r="G41" s="31">
        <v>25000</v>
      </c>
      <c r="H41" s="31">
        <v>35000</v>
      </c>
      <c r="I41" s="28" t="s">
        <v>980</v>
      </c>
      <c r="J41" s="28" t="s">
        <v>995</v>
      </c>
    </row>
    <row r="42" spans="1:10" x14ac:dyDescent="0.3">
      <c r="A42" s="28" t="s">
        <v>264</v>
      </c>
      <c r="B42" s="28" t="s">
        <v>996</v>
      </c>
      <c r="C42" s="28" t="s">
        <v>991</v>
      </c>
      <c r="D42" s="28">
        <v>2026</v>
      </c>
      <c r="E42" s="28" t="s">
        <v>203</v>
      </c>
      <c r="F42" s="31">
        <v>1511400</v>
      </c>
      <c r="G42" s="31">
        <v>112200</v>
      </c>
      <c r="H42" s="31">
        <v>176600</v>
      </c>
      <c r="I42" s="28" t="s">
        <v>980</v>
      </c>
      <c r="J42" s="28" t="s">
        <v>1005</v>
      </c>
    </row>
    <row r="43" spans="1:10" x14ac:dyDescent="0.3">
      <c r="A43" s="28" t="s">
        <v>264</v>
      </c>
      <c r="B43" s="28" t="s">
        <v>999</v>
      </c>
      <c r="C43" s="28" t="s">
        <v>991</v>
      </c>
      <c r="D43" s="28">
        <v>2026</v>
      </c>
      <c r="E43" s="28" t="s">
        <v>203</v>
      </c>
      <c r="F43" s="31">
        <v>1039500</v>
      </c>
      <c r="G43" s="31">
        <v>0</v>
      </c>
      <c r="H43" s="31">
        <v>155000</v>
      </c>
      <c r="I43" s="28" t="s">
        <v>1000</v>
      </c>
      <c r="J43" s="28" t="s">
        <v>1001</v>
      </c>
    </row>
    <row r="44" spans="1:10" x14ac:dyDescent="0.3">
      <c r="A44" s="28" t="s">
        <v>264</v>
      </c>
      <c r="B44" s="28" t="s">
        <v>1002</v>
      </c>
      <c r="C44" s="28" t="s">
        <v>991</v>
      </c>
      <c r="D44" s="28">
        <v>2026</v>
      </c>
      <c r="E44" s="28" t="s">
        <v>203</v>
      </c>
      <c r="F44" s="31">
        <v>396000</v>
      </c>
      <c r="G44" s="31">
        <v>5000</v>
      </c>
      <c r="H44" s="31">
        <v>30000</v>
      </c>
      <c r="I44" s="28" t="s">
        <v>1000</v>
      </c>
      <c r="J44" s="28" t="s">
        <v>1003</v>
      </c>
    </row>
    <row r="45" spans="1:10" x14ac:dyDescent="0.3">
      <c r="A45" s="28" t="s">
        <v>267</v>
      </c>
      <c r="B45" s="28" t="s">
        <v>994</v>
      </c>
      <c r="C45" s="28" t="s">
        <v>991</v>
      </c>
      <c r="D45" s="28">
        <v>2026</v>
      </c>
      <c r="E45" s="28" t="s">
        <v>12</v>
      </c>
      <c r="F45" s="31">
        <v>5400</v>
      </c>
      <c r="G45" s="31">
        <v>170</v>
      </c>
      <c r="H45" s="31">
        <v>600</v>
      </c>
      <c r="I45" s="28" t="s">
        <v>980</v>
      </c>
      <c r="J45" s="28" t="s">
        <v>995</v>
      </c>
    </row>
    <row r="46" spans="1:10" x14ac:dyDescent="0.3">
      <c r="A46" s="28" t="s">
        <v>283</v>
      </c>
      <c r="B46" s="28" t="s">
        <v>994</v>
      </c>
      <c r="C46" s="28" t="s">
        <v>991</v>
      </c>
      <c r="D46" s="28">
        <v>2026</v>
      </c>
      <c r="E46" s="28" t="s">
        <v>203</v>
      </c>
      <c r="F46" s="31">
        <v>605900</v>
      </c>
      <c r="G46" s="31">
        <v>10000</v>
      </c>
      <c r="H46" s="31">
        <v>35000</v>
      </c>
      <c r="I46" s="28" t="s">
        <v>980</v>
      </c>
      <c r="J46" s="28" t="s">
        <v>995</v>
      </c>
    </row>
    <row r="47" spans="1:10" x14ac:dyDescent="0.3">
      <c r="A47" s="28" t="s">
        <v>286</v>
      </c>
      <c r="B47" s="28" t="s">
        <v>994</v>
      </c>
      <c r="C47" s="28" t="s">
        <v>991</v>
      </c>
      <c r="D47" s="28">
        <v>2026</v>
      </c>
      <c r="E47" s="28" t="s">
        <v>12</v>
      </c>
      <c r="F47" s="31">
        <v>5400</v>
      </c>
      <c r="G47" s="31">
        <v>120</v>
      </c>
      <c r="H47" s="31">
        <v>600</v>
      </c>
      <c r="I47" s="28" t="s">
        <v>980</v>
      </c>
      <c r="J47" s="28" t="s">
        <v>995</v>
      </c>
    </row>
    <row r="48" spans="1:10" x14ac:dyDescent="0.3">
      <c r="A48" s="28" t="s">
        <v>287</v>
      </c>
      <c r="B48" s="28" t="s">
        <v>994</v>
      </c>
      <c r="C48" s="28" t="s">
        <v>991</v>
      </c>
      <c r="D48" s="28">
        <v>2026</v>
      </c>
      <c r="E48" s="28" t="s">
        <v>203</v>
      </c>
      <c r="F48" s="31">
        <v>605900</v>
      </c>
      <c r="G48" s="31">
        <v>10000</v>
      </c>
      <c r="H48" s="31">
        <v>35000</v>
      </c>
      <c r="I48" s="28" t="s">
        <v>980</v>
      </c>
      <c r="J48" s="28" t="s">
        <v>995</v>
      </c>
    </row>
    <row r="49" spans="1:10" x14ac:dyDescent="0.3">
      <c r="A49" s="28" t="s">
        <v>290</v>
      </c>
      <c r="B49" s="28" t="s">
        <v>994</v>
      </c>
      <c r="C49" s="28" t="s">
        <v>991</v>
      </c>
      <c r="D49" s="28">
        <v>2026</v>
      </c>
      <c r="E49" s="28" t="s">
        <v>12</v>
      </c>
      <c r="F49" s="31">
        <v>5400</v>
      </c>
      <c r="G49" s="31">
        <v>120</v>
      </c>
      <c r="H49" s="31">
        <v>600</v>
      </c>
      <c r="I49" s="28" t="s">
        <v>980</v>
      </c>
      <c r="J49" s="28" t="s">
        <v>995</v>
      </c>
    </row>
    <row r="50" spans="1:10" x14ac:dyDescent="0.3">
      <c r="A50" s="28" t="s">
        <v>291</v>
      </c>
      <c r="B50" s="28" t="s">
        <v>994</v>
      </c>
      <c r="C50" s="28" t="s">
        <v>991</v>
      </c>
      <c r="D50" s="28">
        <v>2026</v>
      </c>
      <c r="E50" s="28" t="s">
        <v>203</v>
      </c>
      <c r="F50" s="31">
        <v>605900</v>
      </c>
      <c r="G50" s="31">
        <v>10000</v>
      </c>
      <c r="H50" s="31">
        <v>35000</v>
      </c>
      <c r="I50" s="28" t="s">
        <v>980</v>
      </c>
      <c r="J50" s="28" t="s">
        <v>995</v>
      </c>
    </row>
    <row r="51" spans="1:10" x14ac:dyDescent="0.3">
      <c r="A51" s="28" t="s">
        <v>294</v>
      </c>
      <c r="B51" s="28" t="s">
        <v>994</v>
      </c>
      <c r="C51" s="28" t="s">
        <v>991</v>
      </c>
      <c r="D51" s="28">
        <v>2026</v>
      </c>
      <c r="E51" s="28" t="s">
        <v>12</v>
      </c>
      <c r="F51" s="31">
        <v>5400</v>
      </c>
      <c r="G51" s="31">
        <v>120</v>
      </c>
      <c r="H51" s="31">
        <v>600</v>
      </c>
      <c r="I51" s="28" t="s">
        <v>980</v>
      </c>
      <c r="J51" s="28" t="s">
        <v>995</v>
      </c>
    </row>
    <row r="52" spans="1:10" x14ac:dyDescent="0.3">
      <c r="A52" s="28" t="s">
        <v>295</v>
      </c>
      <c r="B52" s="28" t="s">
        <v>994</v>
      </c>
      <c r="C52" s="28" t="s">
        <v>991</v>
      </c>
      <c r="D52" s="28">
        <v>2026</v>
      </c>
      <c r="E52" s="28" t="s">
        <v>203</v>
      </c>
      <c r="F52" s="31">
        <v>433500</v>
      </c>
      <c r="G52" s="31">
        <v>10000</v>
      </c>
      <c r="H52" s="31">
        <v>35000</v>
      </c>
      <c r="I52" s="28" t="s">
        <v>980</v>
      </c>
      <c r="J52" s="28" t="s">
        <v>995</v>
      </c>
    </row>
    <row r="53" spans="1:10" x14ac:dyDescent="0.3">
      <c r="A53" s="28" t="s">
        <v>298</v>
      </c>
      <c r="B53" s="28" t="s">
        <v>994</v>
      </c>
      <c r="C53" s="28" t="s">
        <v>991</v>
      </c>
      <c r="D53" s="28">
        <v>2026</v>
      </c>
      <c r="E53" s="28" t="s">
        <v>12</v>
      </c>
      <c r="F53" s="31">
        <v>5400</v>
      </c>
      <c r="G53" s="31">
        <v>120</v>
      </c>
      <c r="H53" s="31">
        <v>600</v>
      </c>
      <c r="I53" s="28" t="s">
        <v>980</v>
      </c>
      <c r="J53" s="28" t="s">
        <v>995</v>
      </c>
    </row>
    <row r="54" spans="1:10" x14ac:dyDescent="0.3">
      <c r="A54" s="28" t="s">
        <v>303</v>
      </c>
      <c r="B54" s="28" t="s">
        <v>1006</v>
      </c>
      <c r="C54" s="28" t="s">
        <v>991</v>
      </c>
      <c r="D54" s="28">
        <v>2026</v>
      </c>
      <c r="E54" s="28" t="s">
        <v>304</v>
      </c>
      <c r="F54" s="31">
        <v>976778</v>
      </c>
      <c r="G54" s="31">
        <v>598889</v>
      </c>
      <c r="H54" s="31">
        <v>0</v>
      </c>
      <c r="I54" s="28" t="s">
        <v>985</v>
      </c>
      <c r="J54" s="28" t="s">
        <v>1007</v>
      </c>
    </row>
    <row r="55" spans="1:10" x14ac:dyDescent="0.3">
      <c r="A55" s="28" t="s">
        <v>308</v>
      </c>
      <c r="B55" s="28" t="s">
        <v>1008</v>
      </c>
      <c r="C55" s="28" t="s">
        <v>991</v>
      </c>
      <c r="D55" s="28">
        <v>2026</v>
      </c>
      <c r="E55" s="28" t="s">
        <v>304</v>
      </c>
      <c r="F55" s="31">
        <v>415000</v>
      </c>
      <c r="G55" s="31">
        <v>138000</v>
      </c>
      <c r="H55" s="31">
        <v>0</v>
      </c>
      <c r="I55" s="28" t="s">
        <v>980</v>
      </c>
      <c r="J55" s="28" t="s">
        <v>1007</v>
      </c>
    </row>
    <row r="56" spans="1:10" x14ac:dyDescent="0.3">
      <c r="A56" s="28" t="s">
        <v>308</v>
      </c>
      <c r="B56" s="28" t="s">
        <v>1009</v>
      </c>
      <c r="C56" s="28" t="s">
        <v>1010</v>
      </c>
      <c r="D56" s="28">
        <v>2025</v>
      </c>
      <c r="E56" s="28" t="s">
        <v>304</v>
      </c>
      <c r="F56" s="31">
        <v>369000</v>
      </c>
      <c r="G56" s="31">
        <v>121000</v>
      </c>
      <c r="H56" s="31">
        <v>0</v>
      </c>
      <c r="I56" s="28" t="s">
        <v>980</v>
      </c>
      <c r="J56" s="28" t="s">
        <v>1011</v>
      </c>
    </row>
    <row r="57" spans="1:10" x14ac:dyDescent="0.3">
      <c r="A57" s="28" t="s">
        <v>312</v>
      </c>
      <c r="B57" s="28" t="s">
        <v>1012</v>
      </c>
      <c r="C57" s="28" t="s">
        <v>991</v>
      </c>
      <c r="D57" s="28">
        <v>2026</v>
      </c>
      <c r="E57" s="28" t="s">
        <v>304</v>
      </c>
      <c r="F57" s="31">
        <v>250000</v>
      </c>
      <c r="G57" s="31">
        <v>157000</v>
      </c>
      <c r="H57" s="31">
        <v>0</v>
      </c>
      <c r="I57" s="28" t="s">
        <v>980</v>
      </c>
      <c r="J57" s="28" t="s">
        <v>1007</v>
      </c>
    </row>
    <row r="58" spans="1:10" x14ac:dyDescent="0.3">
      <c r="A58" s="28" t="s">
        <v>316</v>
      </c>
      <c r="B58" s="28" t="s">
        <v>1013</v>
      </c>
      <c r="C58" s="28" t="s">
        <v>991</v>
      </c>
      <c r="D58" s="28">
        <v>2026</v>
      </c>
      <c r="E58" s="28" t="s">
        <v>304</v>
      </c>
      <c r="F58" s="31">
        <v>166000</v>
      </c>
      <c r="G58" s="31">
        <v>57000</v>
      </c>
      <c r="H58" s="31">
        <v>0</v>
      </c>
      <c r="I58" s="28" t="s">
        <v>980</v>
      </c>
      <c r="J58" s="28" t="s">
        <v>1007</v>
      </c>
    </row>
    <row r="59" spans="1:10" x14ac:dyDescent="0.3">
      <c r="A59" s="28" t="s">
        <v>320</v>
      </c>
      <c r="B59" s="28" t="s">
        <v>1014</v>
      </c>
      <c r="C59" s="28" t="s">
        <v>991</v>
      </c>
      <c r="D59" s="28">
        <v>2026</v>
      </c>
      <c r="E59" s="28" t="s">
        <v>304</v>
      </c>
      <c r="F59" s="31">
        <v>208000</v>
      </c>
      <c r="G59" s="31">
        <v>69333</v>
      </c>
      <c r="H59" s="31">
        <v>0</v>
      </c>
      <c r="I59" s="28" t="s">
        <v>985</v>
      </c>
      <c r="J59" s="28" t="s">
        <v>1007</v>
      </c>
    </row>
    <row r="60" spans="1:10" x14ac:dyDescent="0.3">
      <c r="A60" s="28" t="s">
        <v>324</v>
      </c>
      <c r="B60" s="28" t="s">
        <v>1015</v>
      </c>
      <c r="C60" s="28" t="s">
        <v>1010</v>
      </c>
      <c r="D60" s="28">
        <v>2025</v>
      </c>
      <c r="E60" s="28" t="s">
        <v>304</v>
      </c>
      <c r="F60" s="31">
        <v>200000</v>
      </c>
      <c r="G60" s="31">
        <v>17300</v>
      </c>
      <c r="H60" s="31">
        <v>0</v>
      </c>
      <c r="I60" s="28" t="s">
        <v>980</v>
      </c>
      <c r="J60" s="28" t="s">
        <v>1016</v>
      </c>
    </row>
    <row r="61" spans="1:10" x14ac:dyDescent="0.3">
      <c r="A61" s="28" t="s">
        <v>324</v>
      </c>
      <c r="B61" s="28" t="s">
        <v>1017</v>
      </c>
      <c r="C61" s="28" t="s">
        <v>991</v>
      </c>
      <c r="D61" s="28">
        <v>2026</v>
      </c>
      <c r="E61" s="28" t="s">
        <v>304</v>
      </c>
      <c r="F61" s="31">
        <v>277000</v>
      </c>
      <c r="G61" s="31">
        <v>171000</v>
      </c>
      <c r="H61" s="31">
        <v>0</v>
      </c>
      <c r="I61" s="28" t="s">
        <v>980</v>
      </c>
      <c r="J61" s="28" t="s">
        <v>1007</v>
      </c>
    </row>
    <row r="62" spans="1:10" x14ac:dyDescent="0.3">
      <c r="A62" s="28" t="s">
        <v>328</v>
      </c>
      <c r="B62" s="28" t="s">
        <v>1015</v>
      </c>
      <c r="C62" s="28" t="s">
        <v>1010</v>
      </c>
      <c r="D62" s="28">
        <v>2025</v>
      </c>
      <c r="E62" s="28" t="s">
        <v>304</v>
      </c>
      <c r="F62" s="31">
        <v>200000</v>
      </c>
      <c r="G62" s="31">
        <v>17300</v>
      </c>
      <c r="H62" s="31">
        <v>0</v>
      </c>
      <c r="I62" s="28" t="s">
        <v>980</v>
      </c>
      <c r="J62" s="28" t="s">
        <v>1016</v>
      </c>
    </row>
    <row r="63" spans="1:10" x14ac:dyDescent="0.3">
      <c r="A63" s="28" t="s">
        <v>328</v>
      </c>
      <c r="B63" s="28" t="s">
        <v>1018</v>
      </c>
      <c r="C63" s="28" t="s">
        <v>1019</v>
      </c>
      <c r="D63" s="28">
        <v>2024</v>
      </c>
      <c r="E63" s="28" t="s">
        <v>304</v>
      </c>
      <c r="F63" s="31">
        <v>450000</v>
      </c>
      <c r="G63" s="31">
        <v>0</v>
      </c>
      <c r="H63" s="31">
        <v>2000</v>
      </c>
      <c r="I63" s="28" t="s">
        <v>980</v>
      </c>
      <c r="J63" s="28" t="s">
        <v>1020</v>
      </c>
    </row>
    <row r="64" spans="1:10" x14ac:dyDescent="0.3">
      <c r="A64" s="28" t="s">
        <v>328</v>
      </c>
      <c r="B64" s="28" t="s">
        <v>1017</v>
      </c>
      <c r="C64" s="28" t="s">
        <v>991</v>
      </c>
      <c r="D64" s="28">
        <v>2026</v>
      </c>
      <c r="E64" s="28" t="s">
        <v>304</v>
      </c>
      <c r="F64" s="31">
        <v>376000</v>
      </c>
      <c r="G64" s="31">
        <v>232000</v>
      </c>
      <c r="H64" s="31">
        <v>0</v>
      </c>
      <c r="I64" s="28" t="s">
        <v>980</v>
      </c>
      <c r="J64" s="28" t="s">
        <v>1007</v>
      </c>
    </row>
    <row r="65" spans="1:10" x14ac:dyDescent="0.3">
      <c r="A65" s="28" t="s">
        <v>336</v>
      </c>
      <c r="B65" s="28" t="s">
        <v>1017</v>
      </c>
      <c r="C65" s="28" t="s">
        <v>991</v>
      </c>
      <c r="D65" s="28">
        <v>2026</v>
      </c>
      <c r="E65" s="28" t="s">
        <v>304</v>
      </c>
      <c r="F65" s="31">
        <v>303000</v>
      </c>
      <c r="G65" s="31">
        <v>186000</v>
      </c>
      <c r="H65" s="31">
        <v>0</v>
      </c>
      <c r="I65" s="28" t="s">
        <v>980</v>
      </c>
      <c r="J65" s="28" t="s">
        <v>1007</v>
      </c>
    </row>
    <row r="66" spans="1:10" x14ac:dyDescent="0.3">
      <c r="A66" s="28" t="s">
        <v>340</v>
      </c>
      <c r="B66" s="28" t="s">
        <v>1021</v>
      </c>
      <c r="C66" s="28" t="s">
        <v>1010</v>
      </c>
      <c r="D66" s="28">
        <v>2025</v>
      </c>
      <c r="E66" s="28" t="s">
        <v>304</v>
      </c>
      <c r="F66" s="31">
        <v>304000</v>
      </c>
      <c r="G66" s="31">
        <v>183000</v>
      </c>
      <c r="H66" s="31">
        <v>0</v>
      </c>
      <c r="I66" s="28" t="s">
        <v>985</v>
      </c>
      <c r="J66" s="28" t="s">
        <v>1011</v>
      </c>
    </row>
    <row r="67" spans="1:10" x14ac:dyDescent="0.3">
      <c r="A67" s="28" t="s">
        <v>344</v>
      </c>
      <c r="B67" s="28" t="s">
        <v>1021</v>
      </c>
      <c r="C67" s="28" t="s">
        <v>1010</v>
      </c>
      <c r="D67" s="28">
        <v>2025</v>
      </c>
      <c r="E67" s="28" t="s">
        <v>304</v>
      </c>
      <c r="F67" s="31">
        <v>304000</v>
      </c>
      <c r="G67" s="31">
        <v>183000</v>
      </c>
      <c r="H67" s="31">
        <v>0</v>
      </c>
      <c r="I67" s="28" t="s">
        <v>985</v>
      </c>
      <c r="J67" s="28" t="s">
        <v>1011</v>
      </c>
    </row>
    <row r="68" spans="1:10" x14ac:dyDescent="0.3">
      <c r="A68" s="28" t="s">
        <v>348</v>
      </c>
      <c r="B68" s="28" t="s">
        <v>1022</v>
      </c>
      <c r="C68" s="28" t="s">
        <v>1010</v>
      </c>
      <c r="D68" s="28">
        <v>2025</v>
      </c>
      <c r="E68" s="28" t="s">
        <v>304</v>
      </c>
      <c r="F68" s="31">
        <v>147000</v>
      </c>
      <c r="G68" s="31">
        <v>90000</v>
      </c>
      <c r="H68" s="31">
        <v>0</v>
      </c>
      <c r="I68" s="28" t="s">
        <v>980</v>
      </c>
      <c r="J68" s="28" t="s">
        <v>1011</v>
      </c>
    </row>
    <row r="69" spans="1:10" x14ac:dyDescent="0.3">
      <c r="A69" s="28" t="s">
        <v>348</v>
      </c>
      <c r="B69" s="28" t="s">
        <v>1023</v>
      </c>
      <c r="C69" s="28" t="s">
        <v>1024</v>
      </c>
      <c r="D69" s="28">
        <v>2026</v>
      </c>
      <c r="E69" s="28" t="s">
        <v>304</v>
      </c>
      <c r="F69" s="31">
        <v>287000</v>
      </c>
      <c r="G69" s="31">
        <v>0</v>
      </c>
      <c r="H69" s="31">
        <v>8000</v>
      </c>
      <c r="I69" s="28" t="s">
        <v>1025</v>
      </c>
      <c r="J69" s="28" t="s">
        <v>1026</v>
      </c>
    </row>
    <row r="70" spans="1:10" x14ac:dyDescent="0.3">
      <c r="A70" s="28" t="s">
        <v>348</v>
      </c>
      <c r="B70" s="28" t="s">
        <v>1027</v>
      </c>
      <c r="C70" s="28" t="s">
        <v>991</v>
      </c>
      <c r="D70" s="28">
        <v>2026</v>
      </c>
      <c r="E70" s="28" t="s">
        <v>304</v>
      </c>
      <c r="F70" s="31">
        <v>303000</v>
      </c>
      <c r="G70" s="31">
        <v>101000</v>
      </c>
      <c r="H70" s="31">
        <v>0</v>
      </c>
      <c r="I70" s="28" t="s">
        <v>980</v>
      </c>
      <c r="J70" s="28" t="s">
        <v>1007</v>
      </c>
    </row>
    <row r="71" spans="1:10" x14ac:dyDescent="0.3">
      <c r="A71" s="28" t="s">
        <v>350</v>
      </c>
      <c r="B71" s="28" t="s">
        <v>1023</v>
      </c>
      <c r="C71" s="28" t="s">
        <v>1024</v>
      </c>
      <c r="D71" s="28">
        <v>2026</v>
      </c>
      <c r="E71" s="28" t="s">
        <v>12</v>
      </c>
      <c r="F71" s="31">
        <v>5800</v>
      </c>
      <c r="G71" s="31">
        <v>0</v>
      </c>
      <c r="H71" s="31">
        <v>0</v>
      </c>
      <c r="I71" s="28" t="s">
        <v>1025</v>
      </c>
      <c r="J71" s="28" t="s">
        <v>1026</v>
      </c>
    </row>
    <row r="72" spans="1:10" x14ac:dyDescent="0.3">
      <c r="A72" s="28" t="s">
        <v>352</v>
      </c>
      <c r="B72" s="28" t="s">
        <v>1028</v>
      </c>
      <c r="C72" s="28" t="s">
        <v>991</v>
      </c>
      <c r="D72" s="28">
        <v>2026</v>
      </c>
      <c r="E72" s="28" t="s">
        <v>304</v>
      </c>
      <c r="F72" s="31">
        <v>178000</v>
      </c>
      <c r="G72" s="31">
        <v>109000</v>
      </c>
      <c r="H72" s="31">
        <v>0</v>
      </c>
      <c r="I72" s="28" t="s">
        <v>980</v>
      </c>
      <c r="J72" s="28" t="s">
        <v>1007</v>
      </c>
    </row>
    <row r="73" spans="1:10" x14ac:dyDescent="0.3">
      <c r="A73" s="28" t="s">
        <v>356</v>
      </c>
      <c r="B73" s="28" t="s">
        <v>1022</v>
      </c>
      <c r="C73" s="28" t="s">
        <v>1010</v>
      </c>
      <c r="D73" s="28">
        <v>2025</v>
      </c>
      <c r="E73" s="28" t="s">
        <v>304</v>
      </c>
      <c r="F73" s="31">
        <v>135000</v>
      </c>
      <c r="G73" s="31">
        <v>81000</v>
      </c>
      <c r="H73" s="31">
        <v>0</v>
      </c>
      <c r="I73" s="28" t="s">
        <v>980</v>
      </c>
      <c r="J73" s="28" t="s">
        <v>1011</v>
      </c>
    </row>
    <row r="74" spans="1:10" x14ac:dyDescent="0.3">
      <c r="A74" s="28" t="s">
        <v>356</v>
      </c>
      <c r="B74" s="28" t="s">
        <v>1029</v>
      </c>
      <c r="C74" s="28" t="s">
        <v>1010</v>
      </c>
      <c r="D74" s="28">
        <v>2025</v>
      </c>
      <c r="E74" s="28" t="s">
        <v>304</v>
      </c>
      <c r="F74" s="31">
        <v>180</v>
      </c>
      <c r="G74" s="31">
        <v>15475</v>
      </c>
      <c r="H74" s="31">
        <v>0</v>
      </c>
      <c r="I74" s="28" t="s">
        <v>980</v>
      </c>
      <c r="J74" s="28" t="s">
        <v>1030</v>
      </c>
    </row>
    <row r="75" spans="1:10" x14ac:dyDescent="0.3">
      <c r="A75" s="28" t="s">
        <v>356</v>
      </c>
      <c r="B75" s="28" t="s">
        <v>1028</v>
      </c>
      <c r="C75" s="28" t="s">
        <v>991</v>
      </c>
      <c r="D75" s="28">
        <v>2026</v>
      </c>
      <c r="E75" s="28" t="s">
        <v>304</v>
      </c>
      <c r="F75" s="31">
        <v>161000</v>
      </c>
      <c r="G75" s="31">
        <v>101000</v>
      </c>
      <c r="H75" s="31">
        <v>0</v>
      </c>
      <c r="I75" s="28" t="s">
        <v>980</v>
      </c>
      <c r="J75" s="28" t="s">
        <v>1007</v>
      </c>
    </row>
    <row r="76" spans="1:10" x14ac:dyDescent="0.3">
      <c r="A76" s="28" t="s">
        <v>368</v>
      </c>
      <c r="B76" s="28" t="s">
        <v>1031</v>
      </c>
      <c r="C76" s="28" t="s">
        <v>991</v>
      </c>
      <c r="D76" s="28">
        <v>2026</v>
      </c>
      <c r="E76" s="28" t="s">
        <v>304</v>
      </c>
      <c r="F76" s="31">
        <v>273000</v>
      </c>
      <c r="G76" s="31">
        <v>93000</v>
      </c>
      <c r="H76" s="31">
        <v>0</v>
      </c>
      <c r="I76" s="28" t="s">
        <v>980</v>
      </c>
      <c r="J76" s="28" t="s">
        <v>1007</v>
      </c>
    </row>
    <row r="77" spans="1:10" x14ac:dyDescent="0.3">
      <c r="A77" s="28" t="s">
        <v>372</v>
      </c>
      <c r="B77" s="28" t="s">
        <v>1032</v>
      </c>
      <c r="C77" s="28" t="s">
        <v>991</v>
      </c>
      <c r="D77" s="28">
        <v>2026</v>
      </c>
      <c r="E77" s="28" t="s">
        <v>304</v>
      </c>
      <c r="F77" s="31">
        <v>272000</v>
      </c>
      <c r="G77" s="31">
        <v>168000</v>
      </c>
      <c r="H77" s="31">
        <v>0</v>
      </c>
      <c r="I77" s="28" t="s">
        <v>980</v>
      </c>
      <c r="J77" s="28" t="s">
        <v>1007</v>
      </c>
    </row>
    <row r="78" spans="1:10" x14ac:dyDescent="0.3">
      <c r="A78" s="28" t="s">
        <v>376</v>
      </c>
      <c r="B78" s="28" t="s">
        <v>1033</v>
      </c>
      <c r="C78" s="28" t="s">
        <v>991</v>
      </c>
      <c r="D78" s="28">
        <v>2026</v>
      </c>
      <c r="E78" s="28" t="s">
        <v>304</v>
      </c>
      <c r="F78" s="31">
        <v>221000</v>
      </c>
      <c r="G78" s="31">
        <v>75000</v>
      </c>
      <c r="H78" s="31">
        <v>0</v>
      </c>
      <c r="I78" s="28" t="s">
        <v>980</v>
      </c>
      <c r="J78" s="28" t="s">
        <v>1007</v>
      </c>
    </row>
    <row r="79" spans="1:10" x14ac:dyDescent="0.3">
      <c r="A79" s="28" t="s">
        <v>380</v>
      </c>
      <c r="B79" s="28" t="s">
        <v>1017</v>
      </c>
      <c r="C79" s="28" t="s">
        <v>991</v>
      </c>
      <c r="D79" s="28">
        <v>2026</v>
      </c>
      <c r="E79" s="28" t="s">
        <v>304</v>
      </c>
      <c r="F79" s="31">
        <v>277000</v>
      </c>
      <c r="G79" s="31">
        <v>171000</v>
      </c>
      <c r="H79" s="31">
        <v>0</v>
      </c>
      <c r="I79" s="28" t="s">
        <v>980</v>
      </c>
      <c r="J79" s="28" t="s">
        <v>1007</v>
      </c>
    </row>
    <row r="80" spans="1:10" x14ac:dyDescent="0.3">
      <c r="A80" s="28" t="s">
        <v>388</v>
      </c>
      <c r="B80" s="28" t="s">
        <v>1034</v>
      </c>
      <c r="C80" s="28" t="s">
        <v>991</v>
      </c>
      <c r="D80" s="28">
        <v>2026</v>
      </c>
      <c r="E80" s="28" t="s">
        <v>12</v>
      </c>
      <c r="F80" s="31">
        <v>81960</v>
      </c>
      <c r="G80" s="31">
        <v>0</v>
      </c>
      <c r="H80" s="31">
        <v>0</v>
      </c>
      <c r="I80" s="28" t="s">
        <v>980</v>
      </c>
      <c r="J80" s="28" t="s">
        <v>1035</v>
      </c>
    </row>
    <row r="81" spans="1:10" x14ac:dyDescent="0.3">
      <c r="A81" s="28" t="s">
        <v>388</v>
      </c>
      <c r="B81" s="28" t="s">
        <v>1036</v>
      </c>
      <c r="C81" s="28" t="s">
        <v>991</v>
      </c>
      <c r="D81" s="28">
        <v>2026</v>
      </c>
      <c r="E81" s="28" t="s">
        <v>12</v>
      </c>
      <c r="F81" s="31">
        <v>77567</v>
      </c>
      <c r="G81" s="31">
        <v>7677</v>
      </c>
      <c r="H81" s="31">
        <v>0</v>
      </c>
      <c r="I81" s="28" t="s">
        <v>980</v>
      </c>
      <c r="J81" s="28" t="s">
        <v>1037</v>
      </c>
    </row>
    <row r="82" spans="1:10" x14ac:dyDescent="0.3">
      <c r="A82" s="28" t="s">
        <v>388</v>
      </c>
      <c r="B82" s="28" t="s">
        <v>1038</v>
      </c>
      <c r="C82" s="28" t="s">
        <v>991</v>
      </c>
      <c r="D82" s="28">
        <v>2026</v>
      </c>
      <c r="E82" s="28" t="s">
        <v>12</v>
      </c>
      <c r="F82" s="31">
        <v>63419</v>
      </c>
      <c r="G82" s="31">
        <v>0</v>
      </c>
      <c r="H82" s="31">
        <v>0</v>
      </c>
      <c r="I82" s="28" t="s">
        <v>980</v>
      </c>
      <c r="J82" s="28" t="s">
        <v>1039</v>
      </c>
    </row>
    <row r="83" spans="1:10" x14ac:dyDescent="0.3">
      <c r="A83" s="28" t="s">
        <v>393</v>
      </c>
      <c r="B83" s="28" t="s">
        <v>1040</v>
      </c>
      <c r="C83" s="28" t="s">
        <v>1010</v>
      </c>
      <c r="D83" s="28">
        <v>2025</v>
      </c>
      <c r="E83" s="28" t="s">
        <v>12</v>
      </c>
      <c r="F83" s="31">
        <v>62546</v>
      </c>
      <c r="G83" s="31">
        <v>0</v>
      </c>
      <c r="H83" s="31">
        <v>0</v>
      </c>
      <c r="I83" s="28" t="s">
        <v>985</v>
      </c>
      <c r="J83" s="28" t="s">
        <v>1041</v>
      </c>
    </row>
    <row r="84" spans="1:10" x14ac:dyDescent="0.3">
      <c r="A84" s="28" t="s">
        <v>397</v>
      </c>
      <c r="B84" s="28" t="s">
        <v>1042</v>
      </c>
      <c r="C84" s="28" t="s">
        <v>991</v>
      </c>
      <c r="D84" s="28">
        <v>2026</v>
      </c>
      <c r="E84" s="28" t="s">
        <v>12</v>
      </c>
      <c r="F84" s="31">
        <v>46544</v>
      </c>
      <c r="G84" s="31">
        <v>0</v>
      </c>
      <c r="H84" s="31">
        <v>0</v>
      </c>
      <c r="I84" s="28" t="s">
        <v>985</v>
      </c>
      <c r="J84" s="28" t="s">
        <v>1043</v>
      </c>
    </row>
    <row r="85" spans="1:10" x14ac:dyDescent="0.3">
      <c r="A85" s="28" t="s">
        <v>401</v>
      </c>
      <c r="B85" s="28" t="s">
        <v>1044</v>
      </c>
      <c r="C85" s="28" t="s">
        <v>991</v>
      </c>
      <c r="D85" s="28">
        <v>2026</v>
      </c>
      <c r="E85" s="28" t="s">
        <v>12</v>
      </c>
      <c r="F85" s="31">
        <v>10990</v>
      </c>
      <c r="G85" s="31">
        <v>0</v>
      </c>
      <c r="H85" s="31">
        <v>0</v>
      </c>
      <c r="I85" s="28" t="s">
        <v>980</v>
      </c>
      <c r="J85" s="28" t="s">
        <v>1045</v>
      </c>
    </row>
    <row r="86" spans="1:10" x14ac:dyDescent="0.3">
      <c r="A86" s="28" t="s">
        <v>401</v>
      </c>
      <c r="B86" s="28" t="s">
        <v>1046</v>
      </c>
      <c r="C86" s="28" t="s">
        <v>991</v>
      </c>
      <c r="D86" s="28">
        <v>2026</v>
      </c>
      <c r="E86" s="28" t="s">
        <v>12</v>
      </c>
      <c r="F86" s="31">
        <v>14177</v>
      </c>
      <c r="G86" s="31">
        <v>0</v>
      </c>
      <c r="H86" s="31">
        <v>0</v>
      </c>
      <c r="I86" s="28" t="s">
        <v>980</v>
      </c>
      <c r="J86" s="28" t="s">
        <v>1047</v>
      </c>
    </row>
    <row r="87" spans="1:10" x14ac:dyDescent="0.3">
      <c r="A87" s="28" t="s">
        <v>403</v>
      </c>
      <c r="B87" s="28" t="s">
        <v>1044</v>
      </c>
      <c r="C87" s="28" t="s">
        <v>991</v>
      </c>
      <c r="D87" s="28">
        <v>2026</v>
      </c>
      <c r="E87" s="28" t="s">
        <v>12</v>
      </c>
      <c r="F87" s="31">
        <v>33102</v>
      </c>
      <c r="G87" s="31">
        <v>0</v>
      </c>
      <c r="H87" s="31">
        <v>0</v>
      </c>
      <c r="I87" s="28" t="s">
        <v>980</v>
      </c>
      <c r="J87" s="28" t="s">
        <v>1045</v>
      </c>
    </row>
    <row r="88" spans="1:10" x14ac:dyDescent="0.3">
      <c r="A88" s="28" t="s">
        <v>403</v>
      </c>
      <c r="B88" s="28" t="s">
        <v>1046</v>
      </c>
      <c r="C88" s="28" t="s">
        <v>991</v>
      </c>
      <c r="D88" s="28">
        <v>2026</v>
      </c>
      <c r="E88" s="28" t="s">
        <v>12</v>
      </c>
      <c r="F88" s="31">
        <v>35846</v>
      </c>
      <c r="G88" s="31">
        <v>0</v>
      </c>
      <c r="H88" s="31">
        <v>0</v>
      </c>
      <c r="I88" s="28" t="s">
        <v>980</v>
      </c>
      <c r="J88" s="28" t="s">
        <v>1047</v>
      </c>
    </row>
    <row r="89" spans="1:10" x14ac:dyDescent="0.3">
      <c r="A89" s="28" t="s">
        <v>408</v>
      </c>
      <c r="B89" s="28" t="s">
        <v>1044</v>
      </c>
      <c r="C89" s="28" t="s">
        <v>991</v>
      </c>
      <c r="D89" s="28">
        <v>2026</v>
      </c>
      <c r="E89" s="28" t="s">
        <v>12</v>
      </c>
      <c r="F89" s="31">
        <v>12042</v>
      </c>
      <c r="G89" s="31">
        <v>0</v>
      </c>
      <c r="H89" s="31">
        <v>0</v>
      </c>
      <c r="I89" s="28" t="s">
        <v>980</v>
      </c>
      <c r="J89" s="28" t="s">
        <v>1045</v>
      </c>
    </row>
    <row r="90" spans="1:10" x14ac:dyDescent="0.3">
      <c r="A90" s="28" t="s">
        <v>408</v>
      </c>
      <c r="B90" s="28" t="s">
        <v>1046</v>
      </c>
      <c r="C90" s="28" t="s">
        <v>991</v>
      </c>
      <c r="D90" s="28">
        <v>2026</v>
      </c>
      <c r="E90" s="28" t="s">
        <v>12</v>
      </c>
      <c r="F90" s="31">
        <v>14177</v>
      </c>
      <c r="G90" s="31">
        <v>0</v>
      </c>
      <c r="H90" s="31">
        <v>0</v>
      </c>
      <c r="I90" s="28" t="s">
        <v>980</v>
      </c>
      <c r="J90" s="28" t="s">
        <v>1047</v>
      </c>
    </row>
    <row r="91" spans="1:10" x14ac:dyDescent="0.3">
      <c r="A91" s="28" t="s">
        <v>410</v>
      </c>
      <c r="B91" s="28" t="s">
        <v>1046</v>
      </c>
      <c r="C91" s="28" t="s">
        <v>991</v>
      </c>
      <c r="D91" s="28">
        <v>2026</v>
      </c>
      <c r="E91" s="28" t="s">
        <v>12</v>
      </c>
      <c r="F91" s="31">
        <v>35846</v>
      </c>
      <c r="G91" s="31">
        <v>0</v>
      </c>
      <c r="H91" s="31">
        <v>0</v>
      </c>
      <c r="I91" s="28" t="s">
        <v>1048</v>
      </c>
      <c r="J91" s="28" t="s">
        <v>1047</v>
      </c>
    </row>
    <row r="92" spans="1:10" x14ac:dyDescent="0.3">
      <c r="A92" s="28" t="s">
        <v>410</v>
      </c>
      <c r="B92" s="28" t="s">
        <v>1049</v>
      </c>
      <c r="C92" s="28" t="s">
        <v>991</v>
      </c>
      <c r="D92" s="28">
        <v>2026</v>
      </c>
      <c r="E92" s="28" t="s">
        <v>12</v>
      </c>
      <c r="F92" s="31">
        <v>43009</v>
      </c>
      <c r="G92" s="31">
        <v>0</v>
      </c>
      <c r="H92" s="31">
        <v>0</v>
      </c>
      <c r="I92" s="28" t="s">
        <v>980</v>
      </c>
      <c r="J92" s="28" t="s">
        <v>1050</v>
      </c>
    </row>
    <row r="93" spans="1:10" x14ac:dyDescent="0.3">
      <c r="A93" s="28" t="s">
        <v>410</v>
      </c>
      <c r="B93" s="28" t="s">
        <v>1044</v>
      </c>
      <c r="C93" s="28" t="s">
        <v>991</v>
      </c>
      <c r="D93" s="28">
        <v>2026</v>
      </c>
      <c r="E93" s="28" t="s">
        <v>12</v>
      </c>
      <c r="F93" s="31">
        <v>36154</v>
      </c>
      <c r="G93" s="31">
        <v>0</v>
      </c>
      <c r="H93" s="31">
        <v>0</v>
      </c>
      <c r="I93" s="28" t="s">
        <v>980</v>
      </c>
      <c r="J93" s="28" t="s">
        <v>1045</v>
      </c>
    </row>
    <row r="94" spans="1:10" x14ac:dyDescent="0.3">
      <c r="A94" s="28" t="s">
        <v>412</v>
      </c>
      <c r="B94" s="28" t="s">
        <v>1044</v>
      </c>
      <c r="C94" s="28" t="s">
        <v>991</v>
      </c>
      <c r="D94" s="28">
        <v>2026</v>
      </c>
      <c r="E94" s="28" t="s">
        <v>12</v>
      </c>
      <c r="F94" s="31">
        <v>12042</v>
      </c>
      <c r="G94" s="31">
        <v>0</v>
      </c>
      <c r="H94" s="31">
        <v>0</v>
      </c>
      <c r="I94" s="28" t="s">
        <v>980</v>
      </c>
      <c r="J94" s="28" t="s">
        <v>1045</v>
      </c>
    </row>
    <row r="95" spans="1:10" x14ac:dyDescent="0.3">
      <c r="A95" s="28" t="s">
        <v>412</v>
      </c>
      <c r="B95" s="28" t="s">
        <v>1046</v>
      </c>
      <c r="C95" s="28" t="s">
        <v>991</v>
      </c>
      <c r="D95" s="28">
        <v>2026</v>
      </c>
      <c r="E95" s="28" t="s">
        <v>12</v>
      </c>
      <c r="F95" s="31">
        <v>14177</v>
      </c>
      <c r="G95" s="31">
        <v>0</v>
      </c>
      <c r="H95" s="31">
        <v>0</v>
      </c>
      <c r="I95" s="28" t="s">
        <v>980</v>
      </c>
      <c r="J95" s="28" t="s">
        <v>1047</v>
      </c>
    </row>
    <row r="96" spans="1:10" x14ac:dyDescent="0.3">
      <c r="A96" s="28" t="s">
        <v>414</v>
      </c>
      <c r="B96" s="28" t="s">
        <v>1046</v>
      </c>
      <c r="C96" s="28" t="s">
        <v>991</v>
      </c>
      <c r="D96" s="28">
        <v>2026</v>
      </c>
      <c r="E96" s="28" t="s">
        <v>12</v>
      </c>
      <c r="F96" s="31">
        <v>35846</v>
      </c>
      <c r="G96" s="31">
        <v>0</v>
      </c>
      <c r="H96" s="31">
        <v>0</v>
      </c>
      <c r="I96" s="28" t="s">
        <v>1048</v>
      </c>
      <c r="J96" s="28" t="s">
        <v>1047</v>
      </c>
    </row>
    <row r="97" spans="1:10" x14ac:dyDescent="0.3">
      <c r="A97" s="28" t="s">
        <v>414</v>
      </c>
      <c r="B97" s="28" t="s">
        <v>1044</v>
      </c>
      <c r="C97" s="28" t="s">
        <v>991</v>
      </c>
      <c r="D97" s="28">
        <v>2026</v>
      </c>
      <c r="E97" s="28" t="s">
        <v>12</v>
      </c>
      <c r="F97" s="31">
        <v>36154</v>
      </c>
      <c r="G97" s="31">
        <v>0</v>
      </c>
      <c r="H97" s="31">
        <v>0</v>
      </c>
      <c r="I97" s="28" t="s">
        <v>980</v>
      </c>
      <c r="J97" s="28" t="s">
        <v>1045</v>
      </c>
    </row>
    <row r="98" spans="1:10" x14ac:dyDescent="0.3">
      <c r="A98" s="28" t="s">
        <v>414</v>
      </c>
      <c r="B98" s="28" t="s">
        <v>1049</v>
      </c>
      <c r="C98" s="28" t="s">
        <v>991</v>
      </c>
      <c r="D98" s="28">
        <v>2026</v>
      </c>
      <c r="E98" s="28" t="s">
        <v>12</v>
      </c>
      <c r="F98" s="31">
        <v>43009</v>
      </c>
      <c r="G98" s="31">
        <v>0</v>
      </c>
      <c r="H98" s="31">
        <v>0</v>
      </c>
      <c r="I98" s="28" t="s">
        <v>980</v>
      </c>
      <c r="J98" s="28" t="s">
        <v>1050</v>
      </c>
    </row>
    <row r="99" spans="1:10" x14ac:dyDescent="0.3">
      <c r="A99" s="28" t="s">
        <v>422</v>
      </c>
      <c r="B99" s="28" t="s">
        <v>1044</v>
      </c>
      <c r="C99" s="28" t="s">
        <v>991</v>
      </c>
      <c r="D99" s="28">
        <v>2026</v>
      </c>
      <c r="E99" s="28" t="s">
        <v>12</v>
      </c>
      <c r="F99" s="31">
        <v>12042</v>
      </c>
      <c r="G99" s="31">
        <v>0</v>
      </c>
      <c r="H99" s="31">
        <v>0</v>
      </c>
      <c r="I99" s="28" t="s">
        <v>980</v>
      </c>
      <c r="J99" s="28" t="s">
        <v>1045</v>
      </c>
    </row>
    <row r="100" spans="1:10" x14ac:dyDescent="0.3">
      <c r="A100" s="28" t="s">
        <v>424</v>
      </c>
      <c r="B100" s="28" t="s">
        <v>1044</v>
      </c>
      <c r="C100" s="28" t="s">
        <v>991</v>
      </c>
      <c r="D100" s="28">
        <v>2026</v>
      </c>
      <c r="E100" s="28" t="s">
        <v>12</v>
      </c>
      <c r="F100" s="31">
        <v>36154</v>
      </c>
      <c r="G100" s="31">
        <v>0</v>
      </c>
      <c r="H100" s="31">
        <v>0</v>
      </c>
      <c r="I100" s="28" t="s">
        <v>980</v>
      </c>
      <c r="J100" s="28" t="s">
        <v>1045</v>
      </c>
    </row>
    <row r="101" spans="1:10" x14ac:dyDescent="0.3">
      <c r="A101" s="28" t="s">
        <v>425</v>
      </c>
      <c r="B101" s="28" t="s">
        <v>1044</v>
      </c>
      <c r="C101" s="28" t="s">
        <v>991</v>
      </c>
      <c r="D101" s="28">
        <v>2026</v>
      </c>
      <c r="E101" s="28" t="s">
        <v>12</v>
      </c>
      <c r="F101" s="31">
        <v>10564</v>
      </c>
      <c r="G101" s="31">
        <v>0</v>
      </c>
      <c r="H101" s="31">
        <v>0</v>
      </c>
      <c r="I101" s="28" t="s">
        <v>980</v>
      </c>
      <c r="J101" s="28" t="s">
        <v>1045</v>
      </c>
    </row>
    <row r="102" spans="1:10" x14ac:dyDescent="0.3">
      <c r="A102" s="28" t="s">
        <v>426</v>
      </c>
      <c r="B102" s="28" t="s">
        <v>1044</v>
      </c>
      <c r="C102" s="28" t="s">
        <v>991</v>
      </c>
      <c r="D102" s="28">
        <v>2026</v>
      </c>
      <c r="E102" s="28" t="s">
        <v>12</v>
      </c>
      <c r="F102" s="31">
        <v>32676</v>
      </c>
      <c r="G102" s="31">
        <v>0</v>
      </c>
      <c r="H102" s="31">
        <v>0</v>
      </c>
      <c r="I102" s="28" t="s">
        <v>980</v>
      </c>
      <c r="J102" s="28" t="s">
        <v>1045</v>
      </c>
    </row>
    <row r="103" spans="1:10" x14ac:dyDescent="0.3">
      <c r="A103" s="28" t="s">
        <v>427</v>
      </c>
      <c r="B103" s="28" t="s">
        <v>1044</v>
      </c>
      <c r="C103" s="28" t="s">
        <v>991</v>
      </c>
      <c r="D103" s="28">
        <v>2026</v>
      </c>
      <c r="E103" s="28" t="s">
        <v>12</v>
      </c>
      <c r="F103" s="31">
        <v>11428</v>
      </c>
      <c r="G103" s="31">
        <v>0</v>
      </c>
      <c r="H103" s="31">
        <v>0</v>
      </c>
      <c r="I103" s="28" t="s">
        <v>980</v>
      </c>
      <c r="J103" s="28" t="s">
        <v>1045</v>
      </c>
    </row>
    <row r="104" spans="1:10" x14ac:dyDescent="0.3">
      <c r="A104" s="28" t="s">
        <v>427</v>
      </c>
      <c r="B104" s="28" t="s">
        <v>1046</v>
      </c>
      <c r="C104" s="28" t="s">
        <v>991</v>
      </c>
      <c r="D104" s="28">
        <v>2026</v>
      </c>
      <c r="E104" s="28" t="s">
        <v>12</v>
      </c>
      <c r="F104" s="31">
        <v>14177</v>
      </c>
      <c r="G104" s="31">
        <v>0</v>
      </c>
      <c r="H104" s="31">
        <v>0</v>
      </c>
      <c r="I104" s="28" t="s">
        <v>980</v>
      </c>
      <c r="J104" s="28" t="s">
        <v>1047</v>
      </c>
    </row>
    <row r="105" spans="1:10" x14ac:dyDescent="0.3">
      <c r="A105" s="28" t="s">
        <v>428</v>
      </c>
      <c r="B105" s="28" t="s">
        <v>1046</v>
      </c>
      <c r="C105" s="28" t="s">
        <v>991</v>
      </c>
      <c r="D105" s="28">
        <v>2026</v>
      </c>
      <c r="E105" s="28" t="s">
        <v>12</v>
      </c>
      <c r="F105" s="31">
        <v>35846</v>
      </c>
      <c r="G105" s="31">
        <v>0</v>
      </c>
      <c r="H105" s="31">
        <v>0</v>
      </c>
      <c r="I105" s="28" t="s">
        <v>1048</v>
      </c>
      <c r="J105" s="28" t="s">
        <v>1047</v>
      </c>
    </row>
    <row r="106" spans="1:10" x14ac:dyDescent="0.3">
      <c r="A106" s="28" t="s">
        <v>428</v>
      </c>
      <c r="B106" s="28" t="s">
        <v>1044</v>
      </c>
      <c r="C106" s="28" t="s">
        <v>991</v>
      </c>
      <c r="D106" s="28">
        <v>2026</v>
      </c>
      <c r="E106" s="28" t="s">
        <v>12</v>
      </c>
      <c r="F106" s="31">
        <v>35540</v>
      </c>
      <c r="G106" s="31">
        <v>0</v>
      </c>
      <c r="H106" s="31">
        <v>0</v>
      </c>
      <c r="I106" s="28" t="s">
        <v>980</v>
      </c>
      <c r="J106" s="28" t="s">
        <v>1045</v>
      </c>
    </row>
    <row r="107" spans="1:10" x14ac:dyDescent="0.3">
      <c r="A107" s="28" t="s">
        <v>428</v>
      </c>
      <c r="B107" s="28" t="s">
        <v>1049</v>
      </c>
      <c r="C107" s="28" t="s">
        <v>991</v>
      </c>
      <c r="D107" s="28">
        <v>2026</v>
      </c>
      <c r="E107" s="28" t="s">
        <v>12</v>
      </c>
      <c r="F107" s="31">
        <v>43009</v>
      </c>
      <c r="G107" s="31">
        <v>0</v>
      </c>
      <c r="H107" s="31">
        <v>0</v>
      </c>
      <c r="I107" s="28" t="s">
        <v>980</v>
      </c>
      <c r="J107" s="28" t="s">
        <v>1050</v>
      </c>
    </row>
    <row r="108" spans="1:10" x14ac:dyDescent="0.3">
      <c r="A108" s="28" t="s">
        <v>429</v>
      </c>
      <c r="B108" s="28" t="s">
        <v>1044</v>
      </c>
      <c r="C108" s="28" t="s">
        <v>991</v>
      </c>
      <c r="D108" s="28">
        <v>2026</v>
      </c>
      <c r="E108" s="28" t="s">
        <v>12</v>
      </c>
      <c r="F108" s="31">
        <v>11428</v>
      </c>
      <c r="G108" s="31">
        <v>0</v>
      </c>
      <c r="H108" s="31">
        <v>0</v>
      </c>
      <c r="I108" s="28" t="s">
        <v>980</v>
      </c>
      <c r="J108" s="28" t="s">
        <v>1045</v>
      </c>
    </row>
    <row r="109" spans="1:10" x14ac:dyDescent="0.3">
      <c r="A109" s="28" t="s">
        <v>429</v>
      </c>
      <c r="B109" s="28" t="s">
        <v>1046</v>
      </c>
      <c r="C109" s="28" t="s">
        <v>991</v>
      </c>
      <c r="D109" s="28">
        <v>2026</v>
      </c>
      <c r="E109" s="28" t="s">
        <v>12</v>
      </c>
      <c r="F109" s="31">
        <v>14177</v>
      </c>
      <c r="G109" s="31">
        <v>0</v>
      </c>
      <c r="H109" s="31">
        <v>0</v>
      </c>
      <c r="I109" s="28" t="s">
        <v>980</v>
      </c>
      <c r="J109" s="28" t="s">
        <v>1047</v>
      </c>
    </row>
    <row r="110" spans="1:10" x14ac:dyDescent="0.3">
      <c r="A110" s="28" t="s">
        <v>430</v>
      </c>
      <c r="B110" s="28" t="s">
        <v>1044</v>
      </c>
      <c r="C110" s="28" t="s">
        <v>991</v>
      </c>
      <c r="D110" s="28">
        <v>2026</v>
      </c>
      <c r="E110" s="28" t="s">
        <v>12</v>
      </c>
      <c r="F110" s="31">
        <v>35540</v>
      </c>
      <c r="G110" s="31">
        <v>0</v>
      </c>
      <c r="H110" s="31">
        <v>0</v>
      </c>
      <c r="I110" s="28" t="s">
        <v>980</v>
      </c>
      <c r="J110" s="28" t="s">
        <v>1045</v>
      </c>
    </row>
    <row r="111" spans="1:10" x14ac:dyDescent="0.3">
      <c r="A111" s="28" t="s">
        <v>430</v>
      </c>
      <c r="B111" s="28" t="s">
        <v>1046</v>
      </c>
      <c r="C111" s="28" t="s">
        <v>991</v>
      </c>
      <c r="D111" s="28">
        <v>2026</v>
      </c>
      <c r="E111" s="28" t="s">
        <v>12</v>
      </c>
      <c r="F111" s="31">
        <v>35846</v>
      </c>
      <c r="G111" s="31">
        <v>0</v>
      </c>
      <c r="H111" s="31">
        <v>0</v>
      </c>
      <c r="I111" s="28" t="s">
        <v>980</v>
      </c>
      <c r="J111" s="28" t="s">
        <v>1047</v>
      </c>
    </row>
    <row r="112" spans="1:10" x14ac:dyDescent="0.3">
      <c r="A112" s="28" t="s">
        <v>431</v>
      </c>
      <c r="B112" s="28" t="s">
        <v>1044</v>
      </c>
      <c r="C112" s="28" t="s">
        <v>991</v>
      </c>
      <c r="D112" s="28">
        <v>2026</v>
      </c>
      <c r="E112" s="28" t="s">
        <v>12</v>
      </c>
      <c r="F112" s="31">
        <v>11428</v>
      </c>
      <c r="G112" s="31">
        <v>0</v>
      </c>
      <c r="H112" s="31">
        <v>0</v>
      </c>
      <c r="I112" s="28" t="s">
        <v>980</v>
      </c>
      <c r="J112" s="28" t="s">
        <v>1045</v>
      </c>
    </row>
    <row r="113" spans="1:10" x14ac:dyDescent="0.3">
      <c r="A113" s="28" t="s">
        <v>431</v>
      </c>
      <c r="B113" s="28" t="s">
        <v>1046</v>
      </c>
      <c r="C113" s="28" t="s">
        <v>991</v>
      </c>
      <c r="D113" s="28">
        <v>2026</v>
      </c>
      <c r="E113" s="28" t="s">
        <v>12</v>
      </c>
      <c r="F113" s="31">
        <v>14177</v>
      </c>
      <c r="G113" s="31">
        <v>0</v>
      </c>
      <c r="H113" s="31">
        <v>0</v>
      </c>
      <c r="I113" s="28" t="s">
        <v>980</v>
      </c>
      <c r="J113" s="28" t="s">
        <v>1047</v>
      </c>
    </row>
    <row r="114" spans="1:10" x14ac:dyDescent="0.3">
      <c r="A114" s="28" t="s">
        <v>432</v>
      </c>
      <c r="B114" s="28" t="s">
        <v>1046</v>
      </c>
      <c r="C114" s="28" t="s">
        <v>991</v>
      </c>
      <c r="D114" s="28">
        <v>2026</v>
      </c>
      <c r="E114" s="28" t="s">
        <v>12</v>
      </c>
      <c r="F114" s="31">
        <v>35846</v>
      </c>
      <c r="G114" s="31">
        <v>0</v>
      </c>
      <c r="H114" s="31">
        <v>0</v>
      </c>
      <c r="I114" s="28" t="s">
        <v>1048</v>
      </c>
      <c r="J114" s="28" t="s">
        <v>1047</v>
      </c>
    </row>
    <row r="115" spans="1:10" x14ac:dyDescent="0.3">
      <c r="A115" s="28" t="s">
        <v>432</v>
      </c>
      <c r="B115" s="28" t="s">
        <v>1044</v>
      </c>
      <c r="C115" s="28" t="s">
        <v>991</v>
      </c>
      <c r="D115" s="28">
        <v>2026</v>
      </c>
      <c r="E115" s="28" t="s">
        <v>12</v>
      </c>
      <c r="F115" s="31">
        <v>35540</v>
      </c>
      <c r="G115" s="31">
        <v>0</v>
      </c>
      <c r="H115" s="31">
        <v>0</v>
      </c>
      <c r="I115" s="28" t="s">
        <v>980</v>
      </c>
      <c r="J115" s="28" t="s">
        <v>1045</v>
      </c>
    </row>
    <row r="116" spans="1:10" x14ac:dyDescent="0.3">
      <c r="A116" s="28" t="s">
        <v>432</v>
      </c>
      <c r="B116" s="28" t="s">
        <v>1049</v>
      </c>
      <c r="C116" s="28" t="s">
        <v>991</v>
      </c>
      <c r="D116" s="28">
        <v>2026</v>
      </c>
      <c r="E116" s="28" t="s">
        <v>12</v>
      </c>
      <c r="F116" s="31">
        <v>43009</v>
      </c>
      <c r="G116" s="31">
        <v>0</v>
      </c>
      <c r="H116" s="31">
        <v>0</v>
      </c>
      <c r="I116" s="28" t="s">
        <v>980</v>
      </c>
      <c r="J116" s="28" t="s">
        <v>1050</v>
      </c>
    </row>
    <row r="117" spans="1:10" x14ac:dyDescent="0.3">
      <c r="A117" s="28" t="s">
        <v>442</v>
      </c>
      <c r="B117" s="28" t="s">
        <v>1051</v>
      </c>
      <c r="C117" s="28" t="s">
        <v>991</v>
      </c>
      <c r="D117" s="28">
        <v>2026</v>
      </c>
      <c r="E117" s="28" t="s">
        <v>12</v>
      </c>
      <c r="F117" s="31">
        <v>80381</v>
      </c>
      <c r="G117" s="31">
        <v>0</v>
      </c>
      <c r="H117" s="31">
        <v>0</v>
      </c>
      <c r="I117" s="28" t="s">
        <v>980</v>
      </c>
      <c r="J117" s="28" t="s">
        <v>1052</v>
      </c>
    </row>
    <row r="118" spans="1:10" x14ac:dyDescent="0.3">
      <c r="A118" s="28" t="s">
        <v>449</v>
      </c>
      <c r="B118" s="28" t="s">
        <v>1044</v>
      </c>
      <c r="C118" s="28" t="s">
        <v>991</v>
      </c>
      <c r="D118" s="28">
        <v>2026</v>
      </c>
      <c r="E118" s="28" t="s">
        <v>12</v>
      </c>
      <c r="F118" s="31">
        <v>9992</v>
      </c>
      <c r="G118" s="31">
        <v>0</v>
      </c>
      <c r="H118" s="31">
        <v>0</v>
      </c>
      <c r="I118" s="28" t="s">
        <v>980</v>
      </c>
      <c r="J118" s="28" t="s">
        <v>1045</v>
      </c>
    </row>
    <row r="119" spans="1:10" x14ac:dyDescent="0.3">
      <c r="A119" s="28" t="s">
        <v>449</v>
      </c>
      <c r="B119" s="28" t="s">
        <v>1046</v>
      </c>
      <c r="C119" s="28" t="s">
        <v>991</v>
      </c>
      <c r="D119" s="28">
        <v>2026</v>
      </c>
      <c r="E119" s="28" t="s">
        <v>12</v>
      </c>
      <c r="F119" s="31">
        <v>14177</v>
      </c>
      <c r="G119" s="31">
        <v>0</v>
      </c>
      <c r="H119" s="31">
        <v>0</v>
      </c>
      <c r="I119" s="28" t="s">
        <v>980</v>
      </c>
      <c r="J119" s="28" t="s">
        <v>1047</v>
      </c>
    </row>
    <row r="120" spans="1:10" x14ac:dyDescent="0.3">
      <c r="A120" s="28" t="s">
        <v>450</v>
      </c>
      <c r="B120" s="28" t="s">
        <v>1044</v>
      </c>
      <c r="C120" s="28" t="s">
        <v>991</v>
      </c>
      <c r="D120" s="28">
        <v>2026</v>
      </c>
      <c r="E120" s="28" t="s">
        <v>12</v>
      </c>
      <c r="F120" s="31">
        <v>32104</v>
      </c>
      <c r="G120" s="31">
        <v>0</v>
      </c>
      <c r="H120" s="31">
        <v>0</v>
      </c>
      <c r="I120" s="28" t="s">
        <v>980</v>
      </c>
      <c r="J120" s="28" t="s">
        <v>1045</v>
      </c>
    </row>
    <row r="121" spans="1:10" x14ac:dyDescent="0.3">
      <c r="A121" s="28" t="s">
        <v>450</v>
      </c>
      <c r="B121" s="28" t="s">
        <v>1046</v>
      </c>
      <c r="C121" s="28" t="s">
        <v>991</v>
      </c>
      <c r="D121" s="28">
        <v>2026</v>
      </c>
      <c r="E121" s="28" t="s">
        <v>12</v>
      </c>
      <c r="F121" s="31">
        <v>35846</v>
      </c>
      <c r="G121" s="31">
        <v>0</v>
      </c>
      <c r="H121" s="31">
        <v>0</v>
      </c>
      <c r="I121" s="28" t="s">
        <v>980</v>
      </c>
      <c r="J121" s="28" t="s">
        <v>1047</v>
      </c>
    </row>
    <row r="122" spans="1:10" x14ac:dyDescent="0.3">
      <c r="A122" s="28" t="s">
        <v>451</v>
      </c>
      <c r="B122" s="28" t="s">
        <v>1044</v>
      </c>
      <c r="C122" s="28" t="s">
        <v>991</v>
      </c>
      <c r="D122" s="28">
        <v>2026</v>
      </c>
      <c r="E122" s="28" t="s">
        <v>12</v>
      </c>
      <c r="F122" s="31">
        <v>9992</v>
      </c>
      <c r="G122" s="31">
        <v>0</v>
      </c>
      <c r="H122" s="31">
        <v>0</v>
      </c>
      <c r="I122" s="28" t="s">
        <v>1053</v>
      </c>
      <c r="J122" s="28" t="s">
        <v>1045</v>
      </c>
    </row>
    <row r="123" spans="1:10" x14ac:dyDescent="0.3">
      <c r="A123" s="28" t="s">
        <v>452</v>
      </c>
      <c r="B123" s="28" t="s">
        <v>1044</v>
      </c>
      <c r="C123" s="28" t="s">
        <v>991</v>
      </c>
      <c r="D123" s="28">
        <v>2026</v>
      </c>
      <c r="E123" s="28" t="s">
        <v>12</v>
      </c>
      <c r="F123" s="31">
        <v>32104</v>
      </c>
      <c r="G123" s="31">
        <v>0</v>
      </c>
      <c r="H123" s="31">
        <v>0</v>
      </c>
      <c r="I123" s="28" t="s">
        <v>1053</v>
      </c>
      <c r="J123" s="28" t="s">
        <v>1045</v>
      </c>
    </row>
    <row r="124" spans="1:10" x14ac:dyDescent="0.3">
      <c r="A124" s="28" t="s">
        <v>456</v>
      </c>
      <c r="B124" s="28" t="s">
        <v>1054</v>
      </c>
      <c r="C124" s="28" t="s">
        <v>991</v>
      </c>
      <c r="D124" s="28">
        <v>2026</v>
      </c>
      <c r="E124" s="28" t="s">
        <v>271</v>
      </c>
      <c r="F124" s="31">
        <v>9790</v>
      </c>
      <c r="G124" s="31">
        <v>0</v>
      </c>
      <c r="H124" s="31">
        <v>0</v>
      </c>
      <c r="I124" s="28" t="s">
        <v>980</v>
      </c>
      <c r="J124" s="28" t="s">
        <v>1055</v>
      </c>
    </row>
    <row r="125" spans="1:10" x14ac:dyDescent="0.3">
      <c r="A125" s="28" t="s">
        <v>458</v>
      </c>
      <c r="B125" s="28" t="s">
        <v>1054</v>
      </c>
      <c r="C125" s="28" t="s">
        <v>991</v>
      </c>
      <c r="D125" s="28">
        <v>2026</v>
      </c>
      <c r="E125" s="28" t="s">
        <v>271</v>
      </c>
      <c r="F125" s="31">
        <v>52500</v>
      </c>
      <c r="G125" s="31">
        <v>0</v>
      </c>
      <c r="H125" s="31">
        <v>0</v>
      </c>
      <c r="I125" s="28" t="s">
        <v>985</v>
      </c>
      <c r="J125" s="28" t="s">
        <v>1055</v>
      </c>
    </row>
    <row r="126" spans="1:10" x14ac:dyDescent="0.3">
      <c r="A126" s="28" t="s">
        <v>458</v>
      </c>
      <c r="B126" s="28" t="s">
        <v>1056</v>
      </c>
      <c r="C126" s="28" t="s">
        <v>1057</v>
      </c>
      <c r="D126" s="28">
        <v>2027</v>
      </c>
      <c r="E126" s="28" t="s">
        <v>271</v>
      </c>
      <c r="F126" s="31">
        <v>53300</v>
      </c>
      <c r="G126" s="31">
        <v>0</v>
      </c>
      <c r="H126" s="31">
        <v>0</v>
      </c>
      <c r="I126" s="28" t="s">
        <v>985</v>
      </c>
      <c r="J126" s="28" t="s">
        <v>1058</v>
      </c>
    </row>
    <row r="127" spans="1:10" x14ac:dyDescent="0.3">
      <c r="A127" s="28" t="s">
        <v>458</v>
      </c>
      <c r="B127" s="28" t="s">
        <v>1059</v>
      </c>
      <c r="C127" s="28" t="s">
        <v>991</v>
      </c>
      <c r="D127" s="28">
        <v>2026</v>
      </c>
      <c r="E127" s="28" t="s">
        <v>271</v>
      </c>
      <c r="F127" s="31">
        <v>47000</v>
      </c>
      <c r="G127" s="31">
        <v>0</v>
      </c>
      <c r="H127" s="31">
        <v>0</v>
      </c>
      <c r="I127" s="28" t="s">
        <v>980</v>
      </c>
      <c r="J127" s="28" t="s">
        <v>1060</v>
      </c>
    </row>
    <row r="128" spans="1:10" x14ac:dyDescent="0.3">
      <c r="A128" s="28" t="s">
        <v>460</v>
      </c>
      <c r="B128" s="28" t="s">
        <v>1054</v>
      </c>
      <c r="C128" s="28" t="s">
        <v>991</v>
      </c>
      <c r="D128" s="28">
        <v>2026</v>
      </c>
      <c r="E128" s="28" t="s">
        <v>271</v>
      </c>
      <c r="F128" s="31">
        <v>9790</v>
      </c>
      <c r="G128" s="31">
        <v>0</v>
      </c>
      <c r="H128" s="31">
        <v>0</v>
      </c>
      <c r="I128" s="28" t="s">
        <v>980</v>
      </c>
      <c r="J128" s="28" t="s">
        <v>1061</v>
      </c>
    </row>
    <row r="129" spans="1:10" x14ac:dyDescent="0.3">
      <c r="A129" s="28" t="s">
        <v>462</v>
      </c>
      <c r="B129" s="28" t="s">
        <v>1054</v>
      </c>
      <c r="C129" s="28" t="s">
        <v>991</v>
      </c>
      <c r="D129" s="28">
        <v>2026</v>
      </c>
      <c r="E129" s="28" t="s">
        <v>271</v>
      </c>
      <c r="F129" s="31">
        <v>56440</v>
      </c>
      <c r="G129" s="31">
        <v>0</v>
      </c>
      <c r="H129" s="31">
        <v>0</v>
      </c>
      <c r="I129" s="28" t="s">
        <v>985</v>
      </c>
      <c r="J129" s="28" t="s">
        <v>1061</v>
      </c>
    </row>
    <row r="130" spans="1:10" x14ac:dyDescent="0.3">
      <c r="A130" s="28" t="s">
        <v>462</v>
      </c>
      <c r="B130" s="28" t="s">
        <v>1062</v>
      </c>
      <c r="C130" s="28" t="s">
        <v>991</v>
      </c>
      <c r="D130" s="28">
        <v>2026</v>
      </c>
      <c r="E130" s="28" t="s">
        <v>271</v>
      </c>
      <c r="F130" s="31">
        <v>51000</v>
      </c>
      <c r="G130" s="31">
        <v>0</v>
      </c>
      <c r="H130" s="31">
        <v>0</v>
      </c>
      <c r="I130" s="28" t="s">
        <v>980</v>
      </c>
      <c r="J130" s="28" t="s">
        <v>1063</v>
      </c>
    </row>
    <row r="131" spans="1:10" x14ac:dyDescent="0.3">
      <c r="A131" s="28" t="s">
        <v>462</v>
      </c>
      <c r="B131" s="28" t="s">
        <v>1064</v>
      </c>
      <c r="C131" s="28" t="s">
        <v>991</v>
      </c>
      <c r="D131" s="28">
        <v>2026</v>
      </c>
      <c r="E131" s="28" t="s">
        <v>271</v>
      </c>
      <c r="F131" s="31">
        <v>41920</v>
      </c>
      <c r="G131" s="31">
        <v>0</v>
      </c>
      <c r="H131" s="31">
        <v>0</v>
      </c>
      <c r="I131" s="28" t="s">
        <v>980</v>
      </c>
      <c r="J131" s="28" t="s">
        <v>1065</v>
      </c>
    </row>
    <row r="132" spans="1:10" x14ac:dyDescent="0.3">
      <c r="A132" s="28" t="s">
        <v>464</v>
      </c>
      <c r="B132" s="28" t="s">
        <v>1054</v>
      </c>
      <c r="C132" s="28" t="s">
        <v>991</v>
      </c>
      <c r="D132" s="28">
        <v>2026</v>
      </c>
      <c r="E132" s="28" t="s">
        <v>271</v>
      </c>
      <c r="F132" s="31">
        <v>9790</v>
      </c>
      <c r="G132" s="31">
        <v>0</v>
      </c>
      <c r="H132" s="31">
        <v>0</v>
      </c>
      <c r="I132" s="28" t="s">
        <v>980</v>
      </c>
      <c r="J132" s="28" t="s">
        <v>1066</v>
      </c>
    </row>
    <row r="133" spans="1:10" x14ac:dyDescent="0.3">
      <c r="A133" s="28" t="s">
        <v>466</v>
      </c>
      <c r="B133" s="28" t="s">
        <v>1054</v>
      </c>
      <c r="C133" s="28" t="s">
        <v>991</v>
      </c>
      <c r="D133" s="28">
        <v>2026</v>
      </c>
      <c r="E133" s="28" t="s">
        <v>271</v>
      </c>
      <c r="F133" s="31">
        <v>33100</v>
      </c>
      <c r="G133" s="31">
        <v>0</v>
      </c>
      <c r="H133" s="31">
        <v>0</v>
      </c>
      <c r="I133" s="28" t="s">
        <v>980</v>
      </c>
      <c r="J133" s="28" t="s">
        <v>1066</v>
      </c>
    </row>
    <row r="134" spans="1:10" x14ac:dyDescent="0.3">
      <c r="A134" s="28" t="s">
        <v>466</v>
      </c>
      <c r="B134" s="28" t="s">
        <v>1059</v>
      </c>
      <c r="C134" s="28" t="s">
        <v>991</v>
      </c>
      <c r="D134" s="28">
        <v>2026</v>
      </c>
      <c r="E134" s="28" t="s">
        <v>271</v>
      </c>
      <c r="F134" s="31">
        <v>33000</v>
      </c>
      <c r="G134" s="31">
        <v>0</v>
      </c>
      <c r="H134" s="31">
        <v>0</v>
      </c>
      <c r="I134" s="28" t="s">
        <v>980</v>
      </c>
      <c r="J134" s="28" t="s">
        <v>1060</v>
      </c>
    </row>
    <row r="135" spans="1:10" x14ac:dyDescent="0.3">
      <c r="A135" s="28" t="s">
        <v>468</v>
      </c>
      <c r="B135" s="28" t="s">
        <v>1054</v>
      </c>
      <c r="C135" s="28" t="s">
        <v>991</v>
      </c>
      <c r="D135" s="28">
        <v>2026</v>
      </c>
      <c r="E135" s="28" t="s">
        <v>271</v>
      </c>
      <c r="F135" s="31">
        <v>9790</v>
      </c>
      <c r="G135" s="31">
        <v>0</v>
      </c>
      <c r="H135" s="31">
        <v>0</v>
      </c>
      <c r="I135" s="28" t="s">
        <v>980</v>
      </c>
      <c r="J135" s="28" t="s">
        <v>1067</v>
      </c>
    </row>
    <row r="136" spans="1:10" x14ac:dyDescent="0.3">
      <c r="A136" s="28" t="s">
        <v>470</v>
      </c>
      <c r="B136" s="28" t="s">
        <v>1054</v>
      </c>
      <c r="C136" s="28" t="s">
        <v>991</v>
      </c>
      <c r="D136" s="28">
        <v>2026</v>
      </c>
      <c r="E136" s="28" t="s">
        <v>271</v>
      </c>
      <c r="F136" s="31">
        <v>33600</v>
      </c>
      <c r="G136" s="31">
        <v>0</v>
      </c>
      <c r="H136" s="31">
        <v>0</v>
      </c>
      <c r="I136" s="28" t="s">
        <v>980</v>
      </c>
      <c r="J136" s="28" t="s">
        <v>1067</v>
      </c>
    </row>
    <row r="137" spans="1:10" x14ac:dyDescent="0.3">
      <c r="A137" s="28" t="s">
        <v>470</v>
      </c>
      <c r="B137" s="28" t="s">
        <v>1056</v>
      </c>
      <c r="C137" s="28" t="s">
        <v>1057</v>
      </c>
      <c r="D137" s="28">
        <v>2027</v>
      </c>
      <c r="E137" s="28" t="s">
        <v>271</v>
      </c>
      <c r="F137" s="31">
        <v>26800</v>
      </c>
      <c r="G137" s="31">
        <v>0</v>
      </c>
      <c r="H137" s="31">
        <v>0</v>
      </c>
      <c r="I137" s="28" t="s">
        <v>980</v>
      </c>
      <c r="J137" s="28" t="s">
        <v>1058</v>
      </c>
    </row>
    <row r="138" spans="1:10" x14ac:dyDescent="0.3">
      <c r="A138" s="28" t="s">
        <v>470</v>
      </c>
      <c r="B138" s="28" t="s">
        <v>1059</v>
      </c>
      <c r="C138" s="28" t="s">
        <v>991</v>
      </c>
      <c r="D138" s="28">
        <v>2026</v>
      </c>
      <c r="E138" s="28" t="s">
        <v>271</v>
      </c>
      <c r="F138" s="31">
        <v>33000</v>
      </c>
      <c r="G138" s="31">
        <v>0</v>
      </c>
      <c r="H138" s="31">
        <v>0</v>
      </c>
      <c r="I138" s="28" t="s">
        <v>980</v>
      </c>
      <c r="J138" s="28" t="s">
        <v>1060</v>
      </c>
    </row>
    <row r="139" spans="1:10" x14ac:dyDescent="0.3">
      <c r="A139" s="28" t="s">
        <v>472</v>
      </c>
      <c r="B139" s="28" t="s">
        <v>1056</v>
      </c>
      <c r="C139" s="28" t="s">
        <v>1057</v>
      </c>
      <c r="D139" s="28">
        <v>2027</v>
      </c>
      <c r="E139" s="28" t="s">
        <v>271</v>
      </c>
      <c r="F139" s="31">
        <v>10050</v>
      </c>
      <c r="G139" s="31">
        <v>0</v>
      </c>
      <c r="H139" s="31">
        <v>0</v>
      </c>
      <c r="I139" s="28" t="s">
        <v>980</v>
      </c>
      <c r="J139" s="28" t="s">
        <v>1058</v>
      </c>
    </row>
    <row r="140" spans="1:10" x14ac:dyDescent="0.3">
      <c r="A140" s="28" t="s">
        <v>474</v>
      </c>
      <c r="B140" s="28" t="s">
        <v>1056</v>
      </c>
      <c r="C140" s="28" t="s">
        <v>1057</v>
      </c>
      <c r="D140" s="28">
        <v>2027</v>
      </c>
      <c r="E140" s="28" t="s">
        <v>271</v>
      </c>
      <c r="F140" s="31">
        <v>33600</v>
      </c>
      <c r="G140" s="31">
        <v>0</v>
      </c>
      <c r="H140" s="31">
        <v>0</v>
      </c>
      <c r="I140" s="28" t="s">
        <v>980</v>
      </c>
      <c r="J140" s="28" t="s">
        <v>1058</v>
      </c>
    </row>
    <row r="141" spans="1:10" x14ac:dyDescent="0.3">
      <c r="A141" s="28" t="s">
        <v>474</v>
      </c>
      <c r="B141" s="28" t="s">
        <v>1059</v>
      </c>
      <c r="C141" s="28" t="s">
        <v>991</v>
      </c>
      <c r="D141" s="28">
        <v>2026</v>
      </c>
      <c r="E141" s="28" t="s">
        <v>271</v>
      </c>
      <c r="F141" s="31">
        <v>34000</v>
      </c>
      <c r="G141" s="31">
        <v>0</v>
      </c>
      <c r="H141" s="31">
        <v>0</v>
      </c>
      <c r="I141" s="28" t="s">
        <v>980</v>
      </c>
      <c r="J141" s="28" t="s">
        <v>1060</v>
      </c>
    </row>
    <row r="142" spans="1:10" x14ac:dyDescent="0.3">
      <c r="A142" s="28" t="s">
        <v>476</v>
      </c>
      <c r="B142" s="28" t="s">
        <v>1054</v>
      </c>
      <c r="C142" s="28" t="s">
        <v>991</v>
      </c>
      <c r="D142" s="28">
        <v>2026</v>
      </c>
      <c r="E142" s="28" t="s">
        <v>271</v>
      </c>
      <c r="F142" s="31">
        <v>9790</v>
      </c>
      <c r="G142" s="31">
        <v>0</v>
      </c>
      <c r="H142" s="31">
        <v>0</v>
      </c>
      <c r="I142" s="28" t="s">
        <v>980</v>
      </c>
      <c r="J142" s="28" t="s">
        <v>1068</v>
      </c>
    </row>
    <row r="143" spans="1:10" x14ac:dyDescent="0.3">
      <c r="A143" s="28" t="s">
        <v>478</v>
      </c>
      <c r="B143" s="28" t="s">
        <v>1054</v>
      </c>
      <c r="C143" s="28" t="s">
        <v>991</v>
      </c>
      <c r="D143" s="28">
        <v>2026</v>
      </c>
      <c r="E143" s="28" t="s">
        <v>271</v>
      </c>
      <c r="F143" s="31">
        <v>35700</v>
      </c>
      <c r="G143" s="31">
        <v>0</v>
      </c>
      <c r="H143" s="31">
        <v>0</v>
      </c>
      <c r="I143" s="28" t="s">
        <v>980</v>
      </c>
      <c r="J143" s="28" t="s">
        <v>1068</v>
      </c>
    </row>
    <row r="144" spans="1:10" x14ac:dyDescent="0.3">
      <c r="A144" s="28" t="s">
        <v>478</v>
      </c>
      <c r="B144" s="28" t="s">
        <v>1069</v>
      </c>
      <c r="C144" s="28" t="s">
        <v>1010</v>
      </c>
      <c r="D144" s="28">
        <v>2025</v>
      </c>
      <c r="E144" s="28" t="s">
        <v>271</v>
      </c>
      <c r="F144" s="31">
        <v>32250</v>
      </c>
      <c r="G144" s="31">
        <v>0</v>
      </c>
      <c r="H144" s="31">
        <v>0</v>
      </c>
      <c r="I144" s="28" t="s">
        <v>980</v>
      </c>
      <c r="J144" s="28" t="s">
        <v>1070</v>
      </c>
    </row>
    <row r="145" spans="1:10" x14ac:dyDescent="0.3">
      <c r="A145" s="28" t="s">
        <v>478</v>
      </c>
      <c r="B145" s="28" t="s">
        <v>1056</v>
      </c>
      <c r="C145" s="28" t="s">
        <v>1057</v>
      </c>
      <c r="D145" s="28">
        <v>2027</v>
      </c>
      <c r="E145" s="28" t="s">
        <v>271</v>
      </c>
      <c r="F145" s="31">
        <v>33500</v>
      </c>
      <c r="G145" s="31">
        <v>0</v>
      </c>
      <c r="H145" s="31">
        <v>0</v>
      </c>
      <c r="I145" s="28" t="s">
        <v>980</v>
      </c>
      <c r="J145" s="28" t="s">
        <v>1058</v>
      </c>
    </row>
    <row r="146" spans="1:10" x14ac:dyDescent="0.3">
      <c r="A146" s="28" t="s">
        <v>478</v>
      </c>
      <c r="B146" s="28" t="s">
        <v>1059</v>
      </c>
      <c r="C146" s="28" t="s">
        <v>991</v>
      </c>
      <c r="D146" s="28">
        <v>2026</v>
      </c>
      <c r="E146" s="28" t="s">
        <v>271</v>
      </c>
      <c r="F146" s="31">
        <v>33000</v>
      </c>
      <c r="G146" s="31">
        <v>0</v>
      </c>
      <c r="H146" s="31">
        <v>0</v>
      </c>
      <c r="I146" s="28" t="s">
        <v>980</v>
      </c>
      <c r="J146" s="28" t="s">
        <v>1060</v>
      </c>
    </row>
    <row r="147" spans="1:10" x14ac:dyDescent="0.3">
      <c r="A147" s="28" t="s">
        <v>480</v>
      </c>
      <c r="B147" s="28" t="s">
        <v>1054</v>
      </c>
      <c r="C147" s="28" t="s">
        <v>991</v>
      </c>
      <c r="D147" s="28">
        <v>2026</v>
      </c>
      <c r="E147" s="28" t="s">
        <v>271</v>
      </c>
      <c r="F147" s="31">
        <v>9790</v>
      </c>
      <c r="G147" s="31">
        <v>0</v>
      </c>
      <c r="H147" s="31">
        <v>0</v>
      </c>
      <c r="I147" s="28" t="s">
        <v>980</v>
      </c>
      <c r="J147" s="28" t="s">
        <v>1071</v>
      </c>
    </row>
    <row r="148" spans="1:10" x14ac:dyDescent="0.3">
      <c r="A148" s="28" t="s">
        <v>482</v>
      </c>
      <c r="B148" s="28" t="s">
        <v>1054</v>
      </c>
      <c r="C148" s="28" t="s">
        <v>991</v>
      </c>
      <c r="D148" s="28">
        <v>2026</v>
      </c>
      <c r="E148" s="28" t="s">
        <v>271</v>
      </c>
      <c r="F148" s="31">
        <v>37800</v>
      </c>
      <c r="G148" s="31">
        <v>0</v>
      </c>
      <c r="H148" s="31">
        <v>0</v>
      </c>
      <c r="I148" s="28" t="s">
        <v>980</v>
      </c>
      <c r="J148" s="28" t="s">
        <v>1071</v>
      </c>
    </row>
    <row r="149" spans="1:10" x14ac:dyDescent="0.3">
      <c r="A149" s="28" t="s">
        <v>482</v>
      </c>
      <c r="B149" s="28" t="s">
        <v>1069</v>
      </c>
      <c r="C149" s="28" t="s">
        <v>1010</v>
      </c>
      <c r="D149" s="28">
        <v>2025</v>
      </c>
      <c r="E149" s="28" t="s">
        <v>271</v>
      </c>
      <c r="F149" s="31">
        <v>32250</v>
      </c>
      <c r="G149" s="31">
        <v>0</v>
      </c>
      <c r="H149" s="31">
        <v>0</v>
      </c>
      <c r="I149" s="28" t="s">
        <v>980</v>
      </c>
      <c r="J149" s="28" t="s">
        <v>1072</v>
      </c>
    </row>
    <row r="150" spans="1:10" x14ac:dyDescent="0.3">
      <c r="A150" s="28" t="s">
        <v>482</v>
      </c>
      <c r="B150" s="28" t="s">
        <v>1056</v>
      </c>
      <c r="C150" s="28" t="s">
        <v>1057</v>
      </c>
      <c r="D150" s="28">
        <v>2027</v>
      </c>
      <c r="E150" s="28" t="s">
        <v>271</v>
      </c>
      <c r="F150" s="31">
        <v>33000</v>
      </c>
      <c r="G150" s="31">
        <v>0</v>
      </c>
      <c r="H150" s="31">
        <v>0</v>
      </c>
      <c r="I150" s="28" t="s">
        <v>980</v>
      </c>
      <c r="J150" s="28" t="s">
        <v>1058</v>
      </c>
    </row>
    <row r="151" spans="1:10" x14ac:dyDescent="0.3">
      <c r="A151" s="28" t="s">
        <v>482</v>
      </c>
      <c r="B151" s="28" t="s">
        <v>1059</v>
      </c>
      <c r="C151" s="28" t="s">
        <v>991</v>
      </c>
      <c r="D151" s="28">
        <v>2026</v>
      </c>
      <c r="E151" s="28" t="s">
        <v>271</v>
      </c>
      <c r="F151" s="31">
        <v>33000</v>
      </c>
      <c r="G151" s="31">
        <v>0</v>
      </c>
      <c r="H151" s="31">
        <v>0</v>
      </c>
      <c r="I151" s="28" t="s">
        <v>980</v>
      </c>
      <c r="J151" s="28" t="s">
        <v>1060</v>
      </c>
    </row>
    <row r="152" spans="1:10" x14ac:dyDescent="0.3">
      <c r="A152" s="28" t="s">
        <v>484</v>
      </c>
      <c r="B152" s="28" t="s">
        <v>1073</v>
      </c>
      <c r="C152" s="28" t="s">
        <v>991</v>
      </c>
      <c r="D152" s="28">
        <v>2026</v>
      </c>
      <c r="E152" s="28" t="s">
        <v>271</v>
      </c>
      <c r="F152" s="31">
        <v>9790</v>
      </c>
      <c r="G152" s="31">
        <v>40</v>
      </c>
      <c r="H152" s="31">
        <v>0</v>
      </c>
      <c r="I152" s="28" t="s">
        <v>980</v>
      </c>
      <c r="J152" s="28" t="s">
        <v>1074</v>
      </c>
    </row>
    <row r="153" spans="1:10" x14ac:dyDescent="0.3">
      <c r="A153" s="28" t="s">
        <v>486</v>
      </c>
      <c r="B153" s="28" t="s">
        <v>1056</v>
      </c>
      <c r="C153" s="28" t="s">
        <v>1057</v>
      </c>
      <c r="D153" s="28">
        <v>2027</v>
      </c>
      <c r="E153" s="28" t="s">
        <v>271</v>
      </c>
      <c r="F153" s="31">
        <v>33000</v>
      </c>
      <c r="G153" s="31">
        <v>0</v>
      </c>
      <c r="H153" s="31">
        <v>0</v>
      </c>
      <c r="I153" s="28" t="s">
        <v>980</v>
      </c>
      <c r="J153" s="28" t="s">
        <v>1058</v>
      </c>
    </row>
    <row r="154" spans="1:10" x14ac:dyDescent="0.3">
      <c r="A154" s="28" t="s">
        <v>486</v>
      </c>
      <c r="B154" s="28" t="s">
        <v>1073</v>
      </c>
      <c r="C154" s="28" t="s">
        <v>991</v>
      </c>
      <c r="D154" s="28">
        <v>2026</v>
      </c>
      <c r="E154" s="28" t="s">
        <v>271</v>
      </c>
      <c r="F154" s="31">
        <v>30770</v>
      </c>
      <c r="G154" s="31">
        <v>40</v>
      </c>
      <c r="H154" s="31">
        <v>0</v>
      </c>
      <c r="I154" s="28" t="s">
        <v>980</v>
      </c>
      <c r="J154" s="28" t="s">
        <v>1074</v>
      </c>
    </row>
    <row r="155" spans="1:10" x14ac:dyDescent="0.3">
      <c r="A155" s="28" t="s">
        <v>488</v>
      </c>
      <c r="B155" s="28" t="s">
        <v>1056</v>
      </c>
      <c r="C155" s="28" t="s">
        <v>1057</v>
      </c>
      <c r="D155" s="28">
        <v>2027</v>
      </c>
      <c r="E155" s="28" t="s">
        <v>271</v>
      </c>
      <c r="F155" s="31">
        <v>10050</v>
      </c>
      <c r="G155" s="31">
        <v>0</v>
      </c>
      <c r="H155" s="31">
        <v>0</v>
      </c>
      <c r="I155" s="28" t="s">
        <v>980</v>
      </c>
      <c r="J155" s="28" t="s">
        <v>1058</v>
      </c>
    </row>
    <row r="156" spans="1:10" x14ac:dyDescent="0.3">
      <c r="A156" s="28" t="s">
        <v>490</v>
      </c>
      <c r="B156" s="28" t="s">
        <v>1069</v>
      </c>
      <c r="C156" s="28" t="s">
        <v>1057</v>
      </c>
      <c r="D156" s="28">
        <v>2027</v>
      </c>
      <c r="E156" s="28" t="s">
        <v>271</v>
      </c>
      <c r="F156" s="31">
        <v>33700</v>
      </c>
      <c r="G156" s="31">
        <v>0</v>
      </c>
      <c r="H156" s="31">
        <v>0</v>
      </c>
      <c r="I156" s="28" t="s">
        <v>980</v>
      </c>
      <c r="J156" s="28" t="s">
        <v>1075</v>
      </c>
    </row>
    <row r="157" spans="1:10" x14ac:dyDescent="0.3">
      <c r="A157" s="28" t="s">
        <v>490</v>
      </c>
      <c r="B157" s="28" t="s">
        <v>1056</v>
      </c>
      <c r="C157" s="28" t="s">
        <v>1057</v>
      </c>
      <c r="D157" s="28">
        <v>2027</v>
      </c>
      <c r="E157" s="28" t="s">
        <v>271</v>
      </c>
      <c r="F157" s="31">
        <v>33000</v>
      </c>
      <c r="G157" s="31">
        <v>0</v>
      </c>
      <c r="H157" s="31">
        <v>0</v>
      </c>
      <c r="I157" s="28" t="s">
        <v>980</v>
      </c>
      <c r="J157" s="28" t="s">
        <v>1058</v>
      </c>
    </row>
    <row r="158" spans="1:10" x14ac:dyDescent="0.3">
      <c r="A158" s="28" t="s">
        <v>490</v>
      </c>
      <c r="B158" s="28" t="s">
        <v>1059</v>
      </c>
      <c r="C158" s="28" t="s">
        <v>991</v>
      </c>
      <c r="D158" s="28">
        <v>2026</v>
      </c>
      <c r="E158" s="28" t="s">
        <v>271</v>
      </c>
      <c r="F158" s="31">
        <v>33000</v>
      </c>
      <c r="G158" s="31">
        <v>0</v>
      </c>
      <c r="H158" s="31">
        <v>0</v>
      </c>
      <c r="I158" s="28" t="s">
        <v>980</v>
      </c>
      <c r="J158" s="28" t="s">
        <v>1060</v>
      </c>
    </row>
    <row r="159" spans="1:10" x14ac:dyDescent="0.3">
      <c r="A159" s="28" t="s">
        <v>492</v>
      </c>
      <c r="B159" s="28" t="s">
        <v>1073</v>
      </c>
      <c r="C159" s="28" t="s">
        <v>991</v>
      </c>
      <c r="D159" s="28">
        <v>2026</v>
      </c>
      <c r="E159" s="28" t="s">
        <v>271</v>
      </c>
      <c r="F159" s="31">
        <v>9790</v>
      </c>
      <c r="G159" s="31">
        <v>40</v>
      </c>
      <c r="H159" s="31">
        <v>0</v>
      </c>
      <c r="I159" s="28" t="s">
        <v>980</v>
      </c>
      <c r="J159" s="28" t="s">
        <v>1076</v>
      </c>
    </row>
    <row r="160" spans="1:10" x14ac:dyDescent="0.3">
      <c r="A160" s="28" t="s">
        <v>493</v>
      </c>
      <c r="B160" s="28" t="s">
        <v>1069</v>
      </c>
      <c r="C160" s="28" t="s">
        <v>1057</v>
      </c>
      <c r="D160" s="28">
        <v>2027</v>
      </c>
      <c r="E160" s="28" t="s">
        <v>271</v>
      </c>
      <c r="F160" s="31">
        <v>30400</v>
      </c>
      <c r="G160" s="31">
        <v>0</v>
      </c>
      <c r="H160" s="31">
        <v>0</v>
      </c>
      <c r="I160" s="28" t="s">
        <v>980</v>
      </c>
      <c r="J160" s="28" t="s">
        <v>1077</v>
      </c>
    </row>
    <row r="161" spans="1:10" x14ac:dyDescent="0.3">
      <c r="A161" s="28" t="s">
        <v>493</v>
      </c>
      <c r="B161" s="28" t="s">
        <v>1073</v>
      </c>
      <c r="C161" s="28" t="s">
        <v>991</v>
      </c>
      <c r="D161" s="28">
        <v>2026</v>
      </c>
      <c r="E161" s="28" t="s">
        <v>271</v>
      </c>
      <c r="F161" s="31">
        <v>30770</v>
      </c>
      <c r="G161" s="31">
        <v>40</v>
      </c>
      <c r="H161" s="31">
        <v>0</v>
      </c>
      <c r="I161" s="28" t="s">
        <v>980</v>
      </c>
      <c r="J161" s="28" t="s">
        <v>1076</v>
      </c>
    </row>
    <row r="162" spans="1:10" x14ac:dyDescent="0.3">
      <c r="A162" s="28" t="s">
        <v>495</v>
      </c>
      <c r="B162" s="28" t="s">
        <v>1073</v>
      </c>
      <c r="C162" s="28" t="s">
        <v>991</v>
      </c>
      <c r="D162" s="28">
        <v>2026</v>
      </c>
      <c r="E162" s="28" t="s">
        <v>271</v>
      </c>
      <c r="F162" s="31">
        <v>9790</v>
      </c>
      <c r="G162" s="31">
        <v>40</v>
      </c>
      <c r="H162" s="31">
        <v>0</v>
      </c>
      <c r="I162" s="28" t="s">
        <v>980</v>
      </c>
      <c r="J162" s="28" t="s">
        <v>1078</v>
      </c>
    </row>
    <row r="163" spans="1:10" x14ac:dyDescent="0.3">
      <c r="A163" s="28" t="s">
        <v>496</v>
      </c>
      <c r="B163" s="28" t="s">
        <v>1056</v>
      </c>
      <c r="C163" s="28" t="s">
        <v>1057</v>
      </c>
      <c r="D163" s="28">
        <v>2027</v>
      </c>
      <c r="E163" s="28" t="s">
        <v>271</v>
      </c>
      <c r="F163" s="31">
        <v>33000</v>
      </c>
      <c r="G163" s="31">
        <v>0</v>
      </c>
      <c r="H163" s="31">
        <v>0</v>
      </c>
      <c r="I163" s="28" t="s">
        <v>980</v>
      </c>
      <c r="J163" s="28" t="s">
        <v>1058</v>
      </c>
    </row>
    <row r="164" spans="1:10" x14ac:dyDescent="0.3">
      <c r="A164" s="28" t="s">
        <v>496</v>
      </c>
      <c r="B164" s="28" t="s">
        <v>1073</v>
      </c>
      <c r="C164" s="28" t="s">
        <v>991</v>
      </c>
      <c r="D164" s="28">
        <v>2026</v>
      </c>
      <c r="E164" s="28" t="s">
        <v>271</v>
      </c>
      <c r="F164" s="31">
        <v>30770</v>
      </c>
      <c r="G164" s="31">
        <v>40</v>
      </c>
      <c r="H164" s="31">
        <v>0</v>
      </c>
      <c r="I164" s="28" t="s">
        <v>980</v>
      </c>
      <c r="J164" s="28" t="s">
        <v>1078</v>
      </c>
    </row>
    <row r="165" spans="1:10" x14ac:dyDescent="0.3">
      <c r="A165" s="28" t="s">
        <v>498</v>
      </c>
      <c r="B165" s="28" t="s">
        <v>1069</v>
      </c>
      <c r="C165" s="28" t="s">
        <v>991</v>
      </c>
      <c r="D165" s="28">
        <v>2026</v>
      </c>
      <c r="E165" s="28" t="s">
        <v>271</v>
      </c>
      <c r="F165" s="31">
        <v>9790</v>
      </c>
      <c r="G165" s="31">
        <v>0</v>
      </c>
      <c r="H165" s="31">
        <v>0</v>
      </c>
      <c r="I165" s="28" t="s">
        <v>980</v>
      </c>
      <c r="J165" s="28" t="s">
        <v>1079</v>
      </c>
    </row>
    <row r="166" spans="1:10" x14ac:dyDescent="0.3">
      <c r="A166" s="28" t="s">
        <v>500</v>
      </c>
      <c r="B166" s="28" t="s">
        <v>1056</v>
      </c>
      <c r="C166" s="28" t="s">
        <v>1057</v>
      </c>
      <c r="D166" s="28">
        <v>2027</v>
      </c>
      <c r="E166" s="28" t="s">
        <v>271</v>
      </c>
      <c r="F166" s="31">
        <v>28300</v>
      </c>
      <c r="G166" s="31">
        <v>0</v>
      </c>
      <c r="H166" s="31">
        <v>0</v>
      </c>
      <c r="I166" s="28" t="s">
        <v>980</v>
      </c>
      <c r="J166" s="28" t="s">
        <v>1058</v>
      </c>
    </row>
    <row r="167" spans="1:10" x14ac:dyDescent="0.3">
      <c r="A167" s="28" t="s">
        <v>501</v>
      </c>
      <c r="B167" s="28" t="s">
        <v>1054</v>
      </c>
      <c r="C167" s="28" t="s">
        <v>991</v>
      </c>
      <c r="D167" s="28">
        <v>2026</v>
      </c>
      <c r="E167" s="28" t="s">
        <v>271</v>
      </c>
      <c r="F167" s="31">
        <v>9790</v>
      </c>
      <c r="G167" s="31">
        <v>0</v>
      </c>
      <c r="H167" s="31">
        <v>0</v>
      </c>
      <c r="I167" s="28" t="s">
        <v>980</v>
      </c>
      <c r="J167" s="28" t="s">
        <v>1080</v>
      </c>
    </row>
    <row r="168" spans="1:10" x14ac:dyDescent="0.3">
      <c r="A168" s="28" t="s">
        <v>503</v>
      </c>
      <c r="B168" s="28" t="s">
        <v>1054</v>
      </c>
      <c r="C168" s="28" t="s">
        <v>991</v>
      </c>
      <c r="D168" s="28">
        <v>2026</v>
      </c>
      <c r="E168" s="28" t="s">
        <v>271</v>
      </c>
      <c r="F168" s="31">
        <v>33100</v>
      </c>
      <c r="G168" s="31">
        <v>0</v>
      </c>
      <c r="H168" s="31">
        <v>0</v>
      </c>
      <c r="I168" s="28" t="s">
        <v>980</v>
      </c>
      <c r="J168" s="28" t="s">
        <v>1080</v>
      </c>
    </row>
    <row r="169" spans="1:10" x14ac:dyDescent="0.3">
      <c r="A169" s="28" t="s">
        <v>503</v>
      </c>
      <c r="B169" s="28" t="s">
        <v>1073</v>
      </c>
      <c r="C169" s="28" t="s">
        <v>1057</v>
      </c>
      <c r="D169" s="28">
        <v>2027</v>
      </c>
      <c r="E169" s="28" t="s">
        <v>271</v>
      </c>
      <c r="F169" s="31">
        <v>27100</v>
      </c>
      <c r="G169" s="31">
        <v>40</v>
      </c>
      <c r="H169" s="31">
        <v>0</v>
      </c>
      <c r="I169" s="28" t="s">
        <v>980</v>
      </c>
      <c r="J169" s="28" t="s">
        <v>1081</v>
      </c>
    </row>
    <row r="170" spans="1:10" x14ac:dyDescent="0.3">
      <c r="A170" s="28" t="s">
        <v>505</v>
      </c>
      <c r="B170" s="28" t="s">
        <v>1054</v>
      </c>
      <c r="C170" s="28" t="s">
        <v>991</v>
      </c>
      <c r="D170" s="28">
        <v>2026</v>
      </c>
      <c r="E170" s="28" t="s">
        <v>271</v>
      </c>
      <c r="F170" s="31">
        <v>9790</v>
      </c>
      <c r="G170" s="31">
        <v>0</v>
      </c>
      <c r="H170" s="31">
        <v>0</v>
      </c>
      <c r="I170" s="28" t="s">
        <v>980</v>
      </c>
      <c r="J170" s="28" t="s">
        <v>1082</v>
      </c>
    </row>
    <row r="171" spans="1:10" x14ac:dyDescent="0.3">
      <c r="A171" s="28" t="s">
        <v>507</v>
      </c>
      <c r="B171" s="28" t="s">
        <v>1054</v>
      </c>
      <c r="C171" s="28" t="s">
        <v>991</v>
      </c>
      <c r="D171" s="28">
        <v>2026</v>
      </c>
      <c r="E171" s="28" t="s">
        <v>271</v>
      </c>
      <c r="F171" s="31">
        <v>33100</v>
      </c>
      <c r="G171" s="31">
        <v>0</v>
      </c>
      <c r="H171" s="31">
        <v>0</v>
      </c>
      <c r="I171" s="28" t="s">
        <v>980</v>
      </c>
      <c r="J171" s="28" t="s">
        <v>1082</v>
      </c>
    </row>
    <row r="172" spans="1:10" x14ac:dyDescent="0.3">
      <c r="A172" s="28" t="s">
        <v>507</v>
      </c>
      <c r="B172" s="28" t="s">
        <v>1069</v>
      </c>
      <c r="C172" s="28" t="s">
        <v>1010</v>
      </c>
      <c r="D172" s="28">
        <v>2025</v>
      </c>
      <c r="E172" s="28" t="s">
        <v>271</v>
      </c>
      <c r="F172" s="31">
        <v>30500</v>
      </c>
      <c r="G172" s="31">
        <v>0</v>
      </c>
      <c r="H172" s="31">
        <v>0</v>
      </c>
      <c r="I172" s="28" t="s">
        <v>980</v>
      </c>
      <c r="J172" s="28" t="s">
        <v>1083</v>
      </c>
    </row>
    <row r="173" spans="1:10" x14ac:dyDescent="0.3">
      <c r="A173" s="28" t="s">
        <v>507</v>
      </c>
      <c r="B173" s="28" t="s">
        <v>1056</v>
      </c>
      <c r="C173" s="28" t="s">
        <v>1057</v>
      </c>
      <c r="D173" s="28">
        <v>2027</v>
      </c>
      <c r="E173" s="28" t="s">
        <v>271</v>
      </c>
      <c r="F173" s="31">
        <v>28300</v>
      </c>
      <c r="G173" s="31">
        <v>0</v>
      </c>
      <c r="H173" s="31">
        <v>0</v>
      </c>
      <c r="I173" s="28" t="s">
        <v>980</v>
      </c>
      <c r="J173" s="28" t="s">
        <v>1058</v>
      </c>
    </row>
    <row r="174" spans="1:10" x14ac:dyDescent="0.3">
      <c r="A174" s="28" t="s">
        <v>507</v>
      </c>
      <c r="B174" s="28" t="s">
        <v>1059</v>
      </c>
      <c r="C174" s="28" t="s">
        <v>991</v>
      </c>
      <c r="D174" s="28">
        <v>2026</v>
      </c>
      <c r="E174" s="28" t="s">
        <v>271</v>
      </c>
      <c r="F174" s="31">
        <v>24700</v>
      </c>
      <c r="G174" s="31">
        <v>0</v>
      </c>
      <c r="H174" s="31">
        <v>0</v>
      </c>
      <c r="I174" s="28" t="s">
        <v>980</v>
      </c>
      <c r="J174" s="28" t="s">
        <v>1060</v>
      </c>
    </row>
    <row r="175" spans="1:10" x14ac:dyDescent="0.3">
      <c r="A175" s="28" t="s">
        <v>517</v>
      </c>
      <c r="B175" s="28" t="s">
        <v>1054</v>
      </c>
      <c r="C175" s="28" t="s">
        <v>991</v>
      </c>
      <c r="D175" s="28">
        <v>2026</v>
      </c>
      <c r="E175" s="28" t="s">
        <v>271</v>
      </c>
      <c r="F175" s="31">
        <v>9790</v>
      </c>
      <c r="G175" s="31">
        <v>0</v>
      </c>
      <c r="H175" s="31">
        <v>0</v>
      </c>
      <c r="I175" s="28" t="s">
        <v>980</v>
      </c>
      <c r="J175" s="28" t="s">
        <v>1084</v>
      </c>
    </row>
    <row r="176" spans="1:10" x14ac:dyDescent="0.3">
      <c r="A176" s="28" t="s">
        <v>519</v>
      </c>
      <c r="B176" s="28" t="s">
        <v>1054</v>
      </c>
      <c r="C176" s="28" t="s">
        <v>991</v>
      </c>
      <c r="D176" s="28">
        <v>2026</v>
      </c>
      <c r="E176" s="28" t="s">
        <v>271</v>
      </c>
      <c r="F176" s="31">
        <v>28400</v>
      </c>
      <c r="G176" s="31">
        <v>0</v>
      </c>
      <c r="H176" s="31">
        <v>0</v>
      </c>
      <c r="I176" s="28" t="s">
        <v>980</v>
      </c>
      <c r="J176" s="28" t="s">
        <v>1084</v>
      </c>
    </row>
    <row r="177" spans="1:10" x14ac:dyDescent="0.3">
      <c r="A177" s="28" t="s">
        <v>519</v>
      </c>
      <c r="B177" s="28" t="s">
        <v>1069</v>
      </c>
      <c r="C177" s="28" t="s">
        <v>1057</v>
      </c>
      <c r="D177" s="28">
        <v>2027</v>
      </c>
      <c r="E177" s="28" t="s">
        <v>271</v>
      </c>
      <c r="F177" s="31">
        <v>27600</v>
      </c>
      <c r="G177" s="31">
        <v>0</v>
      </c>
      <c r="H177" s="31">
        <v>0</v>
      </c>
      <c r="I177" s="28" t="s">
        <v>980</v>
      </c>
      <c r="J177" s="28" t="s">
        <v>1085</v>
      </c>
    </row>
    <row r="178" spans="1:10" x14ac:dyDescent="0.3">
      <c r="A178" s="28" t="s">
        <v>519</v>
      </c>
      <c r="B178" s="28" t="s">
        <v>1056</v>
      </c>
      <c r="C178" s="28" t="s">
        <v>1057</v>
      </c>
      <c r="D178" s="28">
        <v>2027</v>
      </c>
      <c r="E178" s="28" t="s">
        <v>271</v>
      </c>
      <c r="F178" s="31">
        <v>28400</v>
      </c>
      <c r="G178" s="31">
        <v>0</v>
      </c>
      <c r="H178" s="31">
        <v>0</v>
      </c>
      <c r="I178" s="28" t="s">
        <v>980</v>
      </c>
      <c r="J178" s="28" t="s">
        <v>1058</v>
      </c>
    </row>
    <row r="179" spans="1:10" x14ac:dyDescent="0.3">
      <c r="A179" s="28" t="s">
        <v>519</v>
      </c>
      <c r="B179" s="28" t="s">
        <v>1059</v>
      </c>
      <c r="C179" s="28" t="s">
        <v>991</v>
      </c>
      <c r="D179" s="28">
        <v>2026</v>
      </c>
      <c r="E179" s="28" t="s">
        <v>271</v>
      </c>
      <c r="F179" s="31">
        <v>26800</v>
      </c>
      <c r="G179" s="31">
        <v>0</v>
      </c>
      <c r="H179" s="31">
        <v>0</v>
      </c>
      <c r="I179" s="28" t="s">
        <v>980</v>
      </c>
      <c r="J179" s="28" t="s">
        <v>1060</v>
      </c>
    </row>
    <row r="180" spans="1:10" x14ac:dyDescent="0.3">
      <c r="A180" s="28" t="s">
        <v>521</v>
      </c>
      <c r="B180" s="28" t="s">
        <v>1054</v>
      </c>
      <c r="C180" s="28" t="s">
        <v>991</v>
      </c>
      <c r="D180" s="28">
        <v>2026</v>
      </c>
      <c r="E180" s="28" t="s">
        <v>271</v>
      </c>
      <c r="F180" s="31">
        <v>9790</v>
      </c>
      <c r="G180" s="31">
        <v>0</v>
      </c>
      <c r="H180" s="31">
        <v>2400</v>
      </c>
      <c r="I180" s="28" t="s">
        <v>980</v>
      </c>
      <c r="J180" s="28" t="s">
        <v>1086</v>
      </c>
    </row>
    <row r="181" spans="1:10" x14ac:dyDescent="0.3">
      <c r="A181" s="28" t="s">
        <v>523</v>
      </c>
      <c r="B181" s="28" t="s">
        <v>1054</v>
      </c>
      <c r="C181" s="28" t="s">
        <v>991</v>
      </c>
      <c r="D181" s="28">
        <v>2026</v>
      </c>
      <c r="E181" s="28" t="s">
        <v>271</v>
      </c>
      <c r="F181" s="31">
        <v>32000</v>
      </c>
      <c r="G181" s="31">
        <v>0</v>
      </c>
      <c r="H181" s="31">
        <v>2400</v>
      </c>
      <c r="I181" s="28" t="s">
        <v>980</v>
      </c>
      <c r="J181" s="28" t="s">
        <v>1086</v>
      </c>
    </row>
    <row r="182" spans="1:10" x14ac:dyDescent="0.3">
      <c r="A182" s="28" t="s">
        <v>523</v>
      </c>
      <c r="B182" s="28" t="s">
        <v>1059</v>
      </c>
      <c r="C182" s="28" t="s">
        <v>991</v>
      </c>
      <c r="D182" s="28">
        <v>2026</v>
      </c>
      <c r="E182" s="28" t="s">
        <v>271</v>
      </c>
      <c r="F182" s="31">
        <v>33000</v>
      </c>
      <c r="G182" s="31">
        <v>0</v>
      </c>
      <c r="H182" s="31">
        <v>0</v>
      </c>
      <c r="I182" s="28" t="s">
        <v>980</v>
      </c>
      <c r="J182" s="28" t="s">
        <v>1060</v>
      </c>
    </row>
    <row r="183" spans="1:10" x14ac:dyDescent="0.3">
      <c r="A183" s="28" t="s">
        <v>525</v>
      </c>
      <c r="B183" s="28" t="s">
        <v>1054</v>
      </c>
      <c r="C183" s="28" t="s">
        <v>991</v>
      </c>
      <c r="D183" s="28">
        <v>2026</v>
      </c>
      <c r="E183" s="28" t="s">
        <v>271</v>
      </c>
      <c r="F183" s="31">
        <v>9790</v>
      </c>
      <c r="G183" s="31">
        <v>0</v>
      </c>
      <c r="H183" s="31">
        <v>0</v>
      </c>
      <c r="I183" s="28" t="s">
        <v>980</v>
      </c>
      <c r="J183" s="28" t="s">
        <v>1087</v>
      </c>
    </row>
    <row r="184" spans="1:10" x14ac:dyDescent="0.3">
      <c r="A184" s="28" t="s">
        <v>527</v>
      </c>
      <c r="B184" s="28" t="s">
        <v>1054</v>
      </c>
      <c r="C184" s="28" t="s">
        <v>991</v>
      </c>
      <c r="D184" s="28">
        <v>2026</v>
      </c>
      <c r="E184" s="28" t="s">
        <v>271</v>
      </c>
      <c r="F184" s="31">
        <v>34100</v>
      </c>
      <c r="G184" s="31">
        <v>0</v>
      </c>
      <c r="H184" s="31">
        <v>0</v>
      </c>
      <c r="I184" s="28" t="s">
        <v>980</v>
      </c>
      <c r="J184" s="28" t="s">
        <v>1087</v>
      </c>
    </row>
    <row r="185" spans="1:10" x14ac:dyDescent="0.3">
      <c r="A185" s="28" t="s">
        <v>527</v>
      </c>
      <c r="B185" s="28" t="s">
        <v>1069</v>
      </c>
      <c r="C185" s="28" t="s">
        <v>1057</v>
      </c>
      <c r="D185" s="28">
        <v>2027</v>
      </c>
      <c r="E185" s="28" t="s">
        <v>271</v>
      </c>
      <c r="F185" s="31">
        <v>33800</v>
      </c>
      <c r="G185" s="31">
        <v>0</v>
      </c>
      <c r="H185" s="31">
        <v>0</v>
      </c>
      <c r="I185" s="28" t="s">
        <v>980</v>
      </c>
      <c r="J185" s="28" t="s">
        <v>1088</v>
      </c>
    </row>
    <row r="186" spans="1:10" x14ac:dyDescent="0.3">
      <c r="A186" s="28" t="s">
        <v>527</v>
      </c>
      <c r="B186" s="28" t="s">
        <v>1056</v>
      </c>
      <c r="C186" s="28" t="s">
        <v>1057</v>
      </c>
      <c r="D186" s="28">
        <v>2027</v>
      </c>
      <c r="E186" s="28" t="s">
        <v>271</v>
      </c>
      <c r="F186" s="31">
        <v>33900</v>
      </c>
      <c r="G186" s="31">
        <v>0</v>
      </c>
      <c r="H186" s="31">
        <v>0</v>
      </c>
      <c r="I186" s="28" t="s">
        <v>980</v>
      </c>
      <c r="J186" s="28" t="s">
        <v>1058</v>
      </c>
    </row>
    <row r="187" spans="1:10" x14ac:dyDescent="0.3">
      <c r="A187" s="28" t="s">
        <v>527</v>
      </c>
      <c r="B187" s="28" t="s">
        <v>1059</v>
      </c>
      <c r="C187" s="28" t="s">
        <v>991</v>
      </c>
      <c r="D187" s="28">
        <v>2026</v>
      </c>
      <c r="E187" s="28" t="s">
        <v>271</v>
      </c>
      <c r="F187" s="31">
        <v>33000</v>
      </c>
      <c r="G187" s="31">
        <v>0</v>
      </c>
      <c r="H187" s="31">
        <v>0</v>
      </c>
      <c r="I187" s="28" t="s">
        <v>980</v>
      </c>
      <c r="J187" s="28" t="s">
        <v>1060</v>
      </c>
    </row>
    <row r="188" spans="1:10" x14ac:dyDescent="0.3">
      <c r="A188" s="28" t="s">
        <v>529</v>
      </c>
      <c r="B188" s="28" t="s">
        <v>1054</v>
      </c>
      <c r="C188" s="28" t="s">
        <v>991</v>
      </c>
      <c r="D188" s="28">
        <v>2026</v>
      </c>
      <c r="E188" s="28" t="s">
        <v>271</v>
      </c>
      <c r="F188" s="31">
        <v>9790</v>
      </c>
      <c r="G188" s="31">
        <v>0</v>
      </c>
      <c r="H188" s="31">
        <v>0</v>
      </c>
      <c r="I188" s="28" t="s">
        <v>980</v>
      </c>
      <c r="J188" s="28" t="s">
        <v>1089</v>
      </c>
    </row>
    <row r="189" spans="1:10" x14ac:dyDescent="0.3">
      <c r="A189" s="28" t="s">
        <v>530</v>
      </c>
      <c r="B189" s="28" t="s">
        <v>1054</v>
      </c>
      <c r="C189" s="28" t="s">
        <v>991</v>
      </c>
      <c r="D189" s="28">
        <v>2026</v>
      </c>
      <c r="E189" s="28" t="s">
        <v>271</v>
      </c>
      <c r="F189" s="31">
        <v>36200</v>
      </c>
      <c r="G189" s="31">
        <v>0</v>
      </c>
      <c r="H189" s="31">
        <v>0</v>
      </c>
      <c r="I189" s="28" t="s">
        <v>980</v>
      </c>
      <c r="J189" s="28" t="s">
        <v>1089</v>
      </c>
    </row>
    <row r="190" spans="1:10" x14ac:dyDescent="0.3">
      <c r="A190" s="28" t="s">
        <v>530</v>
      </c>
      <c r="B190" s="28" t="s">
        <v>1059</v>
      </c>
      <c r="C190" s="28" t="s">
        <v>991</v>
      </c>
      <c r="D190" s="28">
        <v>2026</v>
      </c>
      <c r="E190" s="28" t="s">
        <v>271</v>
      </c>
      <c r="F190" s="31">
        <v>33000</v>
      </c>
      <c r="G190" s="31">
        <v>0</v>
      </c>
      <c r="H190" s="31">
        <v>0</v>
      </c>
      <c r="I190" s="28" t="s">
        <v>980</v>
      </c>
      <c r="J190" s="28" t="s">
        <v>1060</v>
      </c>
    </row>
    <row r="191" spans="1:10" x14ac:dyDescent="0.3">
      <c r="A191" s="28" t="s">
        <v>534</v>
      </c>
      <c r="B191" s="28" t="s">
        <v>1090</v>
      </c>
      <c r="C191" s="28" t="s">
        <v>1091</v>
      </c>
      <c r="D191" s="28">
        <v>2027</v>
      </c>
      <c r="E191" s="28" t="s">
        <v>535</v>
      </c>
      <c r="F191" s="31">
        <v>14046</v>
      </c>
      <c r="G191" s="31">
        <v>0</v>
      </c>
      <c r="H191" s="31">
        <v>0</v>
      </c>
      <c r="I191" s="28" t="s">
        <v>1092</v>
      </c>
      <c r="J191" s="28" t="s">
        <v>1093</v>
      </c>
    </row>
    <row r="192" spans="1:10" x14ac:dyDescent="0.3">
      <c r="A192" s="28" t="s">
        <v>537</v>
      </c>
      <c r="B192" s="28" t="s">
        <v>1094</v>
      </c>
      <c r="C192" s="28" t="s">
        <v>983</v>
      </c>
      <c r="D192" s="28">
        <v>2026</v>
      </c>
      <c r="E192" s="28" t="s">
        <v>535</v>
      </c>
      <c r="F192" s="31">
        <v>95500</v>
      </c>
      <c r="G192" s="31">
        <v>0</v>
      </c>
      <c r="H192" s="31">
        <v>0</v>
      </c>
      <c r="I192" s="28" t="s">
        <v>980</v>
      </c>
      <c r="J192" s="28" t="s">
        <v>1095</v>
      </c>
    </row>
    <row r="193" spans="1:10" x14ac:dyDescent="0.3">
      <c r="A193" s="28" t="s">
        <v>538</v>
      </c>
      <c r="B193" s="28" t="s">
        <v>1096</v>
      </c>
      <c r="C193" s="28" t="s">
        <v>983</v>
      </c>
      <c r="D193" s="28">
        <v>2026</v>
      </c>
      <c r="E193" s="28" t="s">
        <v>535</v>
      </c>
      <c r="F193" s="31">
        <v>11670</v>
      </c>
      <c r="G193" s="31">
        <v>0</v>
      </c>
      <c r="H193" s="31">
        <v>0</v>
      </c>
      <c r="I193" s="28" t="s">
        <v>980</v>
      </c>
      <c r="J193" s="28" t="s">
        <v>1097</v>
      </c>
    </row>
    <row r="194" spans="1:10" x14ac:dyDescent="0.3">
      <c r="A194" s="28" t="s">
        <v>540</v>
      </c>
      <c r="B194" s="28" t="s">
        <v>1096</v>
      </c>
      <c r="C194" s="28" t="s">
        <v>1091</v>
      </c>
      <c r="D194" s="28">
        <v>2027</v>
      </c>
      <c r="E194" s="28" t="s">
        <v>535</v>
      </c>
      <c r="F194" s="31">
        <v>99600</v>
      </c>
      <c r="G194" s="31">
        <v>0</v>
      </c>
      <c r="H194" s="31">
        <v>0</v>
      </c>
      <c r="I194" s="28" t="s">
        <v>980</v>
      </c>
      <c r="J194" s="28" t="s">
        <v>1097</v>
      </c>
    </row>
    <row r="195" spans="1:10" x14ac:dyDescent="0.3">
      <c r="A195" s="28" t="s">
        <v>541</v>
      </c>
      <c r="B195" s="28" t="s">
        <v>1096</v>
      </c>
      <c r="C195" s="28" t="s">
        <v>983</v>
      </c>
      <c r="D195" s="28">
        <v>2026</v>
      </c>
      <c r="E195" s="28" t="s">
        <v>535</v>
      </c>
      <c r="F195" s="31">
        <v>9540</v>
      </c>
      <c r="G195" s="31">
        <v>0</v>
      </c>
      <c r="H195" s="31">
        <v>0</v>
      </c>
      <c r="I195" s="28" t="s">
        <v>980</v>
      </c>
      <c r="J195" s="28" t="s">
        <v>1098</v>
      </c>
    </row>
    <row r="196" spans="1:10" x14ac:dyDescent="0.3">
      <c r="A196" s="28" t="s">
        <v>543</v>
      </c>
      <c r="B196" s="28" t="s">
        <v>1096</v>
      </c>
      <c r="C196" s="28" t="s">
        <v>1091</v>
      </c>
      <c r="D196" s="28">
        <v>2027</v>
      </c>
      <c r="E196" s="28" t="s">
        <v>535</v>
      </c>
      <c r="F196" s="31">
        <v>60952</v>
      </c>
      <c r="G196" s="31">
        <v>0</v>
      </c>
      <c r="H196" s="31">
        <v>0</v>
      </c>
      <c r="I196" s="28" t="s">
        <v>980</v>
      </c>
      <c r="J196" s="28" t="s">
        <v>1098</v>
      </c>
    </row>
    <row r="197" spans="1:10" x14ac:dyDescent="0.3">
      <c r="A197" s="28" t="s">
        <v>544</v>
      </c>
      <c r="B197" s="28" t="s">
        <v>1096</v>
      </c>
      <c r="C197" s="28" t="s">
        <v>983</v>
      </c>
      <c r="D197" s="28">
        <v>2026</v>
      </c>
      <c r="E197" s="28" t="s">
        <v>535</v>
      </c>
      <c r="F197" s="31">
        <v>6565</v>
      </c>
      <c r="G197" s="31">
        <v>0</v>
      </c>
      <c r="H197" s="31">
        <v>0</v>
      </c>
      <c r="I197" s="28" t="s">
        <v>980</v>
      </c>
      <c r="J197" s="28" t="s">
        <v>1099</v>
      </c>
    </row>
    <row r="198" spans="1:10" x14ac:dyDescent="0.3">
      <c r="A198" s="28" t="s">
        <v>546</v>
      </c>
      <c r="B198" s="28" t="s">
        <v>1096</v>
      </c>
      <c r="C198" s="28" t="s">
        <v>1091</v>
      </c>
      <c r="D198" s="28">
        <v>2027</v>
      </c>
      <c r="E198" s="28" t="s">
        <v>535</v>
      </c>
      <c r="F198" s="31">
        <v>48080</v>
      </c>
      <c r="G198" s="31">
        <v>0</v>
      </c>
      <c r="H198" s="31">
        <v>0</v>
      </c>
      <c r="I198" s="28" t="s">
        <v>980</v>
      </c>
      <c r="J198" s="28" t="s">
        <v>1099</v>
      </c>
    </row>
    <row r="199" spans="1:10" x14ac:dyDescent="0.3">
      <c r="A199" s="28" t="s">
        <v>547</v>
      </c>
      <c r="B199" s="28" t="s">
        <v>1096</v>
      </c>
      <c r="C199" s="28" t="s">
        <v>983</v>
      </c>
      <c r="D199" s="28">
        <v>2026</v>
      </c>
      <c r="E199" s="28" t="s">
        <v>535</v>
      </c>
      <c r="F199" s="31">
        <v>10525</v>
      </c>
      <c r="G199" s="31">
        <v>0</v>
      </c>
      <c r="H199" s="31">
        <v>0</v>
      </c>
      <c r="I199" s="28" t="s">
        <v>980</v>
      </c>
      <c r="J199" s="28" t="s">
        <v>1100</v>
      </c>
    </row>
    <row r="200" spans="1:10" x14ac:dyDescent="0.3">
      <c r="A200" s="28" t="s">
        <v>549</v>
      </c>
      <c r="B200" s="28" t="s">
        <v>1096</v>
      </c>
      <c r="C200" s="28" t="s">
        <v>1091</v>
      </c>
      <c r="D200" s="28">
        <v>2027</v>
      </c>
      <c r="E200" s="28" t="s">
        <v>535</v>
      </c>
      <c r="F200" s="31">
        <v>60952</v>
      </c>
      <c r="G200" s="31">
        <v>0</v>
      </c>
      <c r="H200" s="31">
        <v>0</v>
      </c>
      <c r="I200" s="28" t="s">
        <v>980</v>
      </c>
      <c r="J200" s="28" t="s">
        <v>1100</v>
      </c>
    </row>
    <row r="201" spans="1:10" x14ac:dyDescent="0.3">
      <c r="A201" s="28" t="s">
        <v>550</v>
      </c>
      <c r="B201" s="28" t="s">
        <v>1096</v>
      </c>
      <c r="C201" s="28" t="s">
        <v>983</v>
      </c>
      <c r="D201" s="28">
        <v>2026</v>
      </c>
      <c r="E201" s="28" t="s">
        <v>535</v>
      </c>
      <c r="F201" s="31">
        <v>8255</v>
      </c>
      <c r="G201" s="31">
        <v>0</v>
      </c>
      <c r="H201" s="31">
        <v>0</v>
      </c>
      <c r="I201" s="28" t="s">
        <v>980</v>
      </c>
      <c r="J201" s="28" t="s">
        <v>1101</v>
      </c>
    </row>
    <row r="202" spans="1:10" x14ac:dyDescent="0.3">
      <c r="A202" s="28" t="s">
        <v>552</v>
      </c>
      <c r="B202" s="28" t="s">
        <v>1094</v>
      </c>
      <c r="C202" s="28" t="s">
        <v>983</v>
      </c>
      <c r="D202" s="28">
        <v>2026</v>
      </c>
      <c r="E202" s="28" t="s">
        <v>535</v>
      </c>
      <c r="F202" s="31">
        <v>61500</v>
      </c>
      <c r="G202" s="31">
        <v>0</v>
      </c>
      <c r="H202" s="31">
        <v>0</v>
      </c>
      <c r="I202" s="28" t="s">
        <v>980</v>
      </c>
      <c r="J202" s="28" t="s">
        <v>1102</v>
      </c>
    </row>
    <row r="203" spans="1:10" x14ac:dyDescent="0.3">
      <c r="A203" s="28" t="s">
        <v>552</v>
      </c>
      <c r="B203" s="28" t="s">
        <v>1096</v>
      </c>
      <c r="C203" s="28" t="s">
        <v>1091</v>
      </c>
      <c r="D203" s="28">
        <v>2027</v>
      </c>
      <c r="E203" s="28" t="s">
        <v>535</v>
      </c>
      <c r="F203" s="31">
        <v>60952</v>
      </c>
      <c r="G203" s="31">
        <v>0</v>
      </c>
      <c r="H203" s="31">
        <v>0</v>
      </c>
      <c r="I203" s="28" t="s">
        <v>980</v>
      </c>
      <c r="J203" s="28" t="s">
        <v>1101</v>
      </c>
    </row>
    <row r="204" spans="1:10" x14ac:dyDescent="0.3">
      <c r="A204" s="28" t="s">
        <v>554</v>
      </c>
      <c r="B204" s="28" t="s">
        <v>1096</v>
      </c>
      <c r="C204" s="28" t="s">
        <v>983</v>
      </c>
      <c r="D204" s="28">
        <v>2026</v>
      </c>
      <c r="E204" s="28" t="s">
        <v>535</v>
      </c>
      <c r="F204" s="31">
        <v>8355</v>
      </c>
      <c r="G204" s="31">
        <v>0</v>
      </c>
      <c r="H204" s="31">
        <v>0</v>
      </c>
      <c r="I204" s="28" t="s">
        <v>980</v>
      </c>
      <c r="J204" s="28" t="s">
        <v>1103</v>
      </c>
    </row>
    <row r="205" spans="1:10" x14ac:dyDescent="0.3">
      <c r="A205" s="28" t="s">
        <v>556</v>
      </c>
      <c r="B205" s="28" t="s">
        <v>1094</v>
      </c>
      <c r="C205" s="28" t="s">
        <v>983</v>
      </c>
      <c r="D205" s="28">
        <v>2026</v>
      </c>
      <c r="E205" s="28" t="s">
        <v>535</v>
      </c>
      <c r="F205" s="31">
        <v>61000</v>
      </c>
      <c r="G205" s="31">
        <v>0</v>
      </c>
      <c r="H205" s="31">
        <v>0</v>
      </c>
      <c r="I205" s="28" t="s">
        <v>980</v>
      </c>
      <c r="J205" s="28" t="s">
        <v>1104</v>
      </c>
    </row>
    <row r="206" spans="1:10" x14ac:dyDescent="0.3">
      <c r="A206" s="28" t="s">
        <v>556</v>
      </c>
      <c r="B206" s="28" t="s">
        <v>1096</v>
      </c>
      <c r="C206" s="28" t="s">
        <v>1091</v>
      </c>
      <c r="D206" s="28">
        <v>2027</v>
      </c>
      <c r="E206" s="28" t="s">
        <v>535</v>
      </c>
      <c r="F206" s="31">
        <v>60952</v>
      </c>
      <c r="G206" s="31">
        <v>0</v>
      </c>
      <c r="H206" s="31">
        <v>0</v>
      </c>
      <c r="I206" s="28" t="s">
        <v>980</v>
      </c>
      <c r="J206" s="28" t="s">
        <v>1103</v>
      </c>
    </row>
    <row r="207" spans="1:10" x14ac:dyDescent="0.3">
      <c r="A207" s="28" t="s">
        <v>558</v>
      </c>
      <c r="B207" s="28" t="s">
        <v>1096</v>
      </c>
      <c r="C207" s="28" t="s">
        <v>983</v>
      </c>
      <c r="D207" s="28">
        <v>2026</v>
      </c>
      <c r="E207" s="28" t="s">
        <v>535</v>
      </c>
      <c r="F207" s="31">
        <v>8255</v>
      </c>
      <c r="G207" s="31">
        <v>0</v>
      </c>
      <c r="H207" s="31">
        <v>0</v>
      </c>
      <c r="I207" s="28" t="s">
        <v>980</v>
      </c>
      <c r="J207" s="28" t="s">
        <v>1101</v>
      </c>
    </row>
    <row r="208" spans="1:10" x14ac:dyDescent="0.3">
      <c r="A208" s="28" t="s">
        <v>560</v>
      </c>
      <c r="B208" s="28" t="s">
        <v>1096</v>
      </c>
      <c r="C208" s="28" t="s">
        <v>1091</v>
      </c>
      <c r="D208" s="28">
        <v>2027</v>
      </c>
      <c r="E208" s="28" t="s">
        <v>535</v>
      </c>
      <c r="F208" s="31">
        <v>60952</v>
      </c>
      <c r="G208" s="31">
        <v>0</v>
      </c>
      <c r="H208" s="31">
        <v>0</v>
      </c>
      <c r="I208" s="28" t="s">
        <v>980</v>
      </c>
      <c r="J208" s="28" t="s">
        <v>1101</v>
      </c>
    </row>
    <row r="209" spans="1:10" x14ac:dyDescent="0.3">
      <c r="A209" s="28" t="s">
        <v>561</v>
      </c>
      <c r="B209" s="28" t="s">
        <v>1096</v>
      </c>
      <c r="C209" s="28" t="s">
        <v>983</v>
      </c>
      <c r="D209" s="28">
        <v>2026</v>
      </c>
      <c r="E209" s="28" t="s">
        <v>535</v>
      </c>
      <c r="F209" s="31">
        <v>8355</v>
      </c>
      <c r="G209" s="31">
        <v>0</v>
      </c>
      <c r="H209" s="31">
        <v>0</v>
      </c>
      <c r="I209" s="28" t="s">
        <v>980</v>
      </c>
      <c r="J209" s="28" t="s">
        <v>1103</v>
      </c>
    </row>
    <row r="210" spans="1:10" x14ac:dyDescent="0.3">
      <c r="A210" s="28" t="s">
        <v>563</v>
      </c>
      <c r="B210" s="28" t="s">
        <v>1096</v>
      </c>
      <c r="C210" s="28" t="s">
        <v>1091</v>
      </c>
      <c r="D210" s="28">
        <v>2027</v>
      </c>
      <c r="E210" s="28" t="s">
        <v>535</v>
      </c>
      <c r="F210" s="31">
        <v>60952</v>
      </c>
      <c r="G210" s="31">
        <v>0</v>
      </c>
      <c r="H210" s="31">
        <v>0</v>
      </c>
      <c r="I210" s="28" t="s">
        <v>980</v>
      </c>
      <c r="J210" s="28" t="s">
        <v>1103</v>
      </c>
    </row>
    <row r="211" spans="1:10" x14ac:dyDescent="0.3">
      <c r="A211" s="28" t="s">
        <v>564</v>
      </c>
      <c r="B211" s="28" t="s">
        <v>1096</v>
      </c>
      <c r="C211" s="28" t="s">
        <v>983</v>
      </c>
      <c r="D211" s="28">
        <v>2026</v>
      </c>
      <c r="E211" s="28" t="s">
        <v>535</v>
      </c>
      <c r="F211" s="31">
        <v>8355</v>
      </c>
      <c r="G211" s="31">
        <v>0</v>
      </c>
      <c r="H211" s="31">
        <v>0</v>
      </c>
      <c r="I211" s="28" t="s">
        <v>980</v>
      </c>
      <c r="J211" s="28" t="s">
        <v>1103</v>
      </c>
    </row>
    <row r="212" spans="1:10" x14ac:dyDescent="0.3">
      <c r="A212" s="28" t="s">
        <v>565</v>
      </c>
      <c r="B212" s="28" t="s">
        <v>1096</v>
      </c>
      <c r="C212" s="28" t="s">
        <v>1091</v>
      </c>
      <c r="D212" s="28">
        <v>2027</v>
      </c>
      <c r="E212" s="28" t="s">
        <v>535</v>
      </c>
      <c r="F212" s="31">
        <v>60952</v>
      </c>
      <c r="G212" s="31">
        <v>0</v>
      </c>
      <c r="H212" s="31">
        <v>0</v>
      </c>
      <c r="I212" s="28" t="s">
        <v>980</v>
      </c>
      <c r="J212" s="28" t="s">
        <v>1103</v>
      </c>
    </row>
    <row r="213" spans="1:10" x14ac:dyDescent="0.3">
      <c r="A213" s="28" t="s">
        <v>566</v>
      </c>
      <c r="B213" s="28" t="s">
        <v>1096</v>
      </c>
      <c r="C213" s="28" t="s">
        <v>983</v>
      </c>
      <c r="D213" s="28">
        <v>2026</v>
      </c>
      <c r="E213" s="28" t="s">
        <v>535</v>
      </c>
      <c r="F213" s="31">
        <v>8355</v>
      </c>
      <c r="G213" s="31">
        <v>0</v>
      </c>
      <c r="H213" s="31">
        <v>0</v>
      </c>
      <c r="I213" s="28" t="s">
        <v>980</v>
      </c>
      <c r="J213" s="28" t="s">
        <v>1103</v>
      </c>
    </row>
    <row r="214" spans="1:10" x14ac:dyDescent="0.3">
      <c r="A214" s="28" t="s">
        <v>567</v>
      </c>
      <c r="B214" s="28" t="s">
        <v>1096</v>
      </c>
      <c r="C214" s="28" t="s">
        <v>1091</v>
      </c>
      <c r="D214" s="28">
        <v>2027</v>
      </c>
      <c r="E214" s="28" t="s">
        <v>535</v>
      </c>
      <c r="F214" s="31">
        <v>60952</v>
      </c>
      <c r="G214" s="31">
        <v>0</v>
      </c>
      <c r="H214" s="31">
        <v>0</v>
      </c>
      <c r="I214" s="28" t="s">
        <v>980</v>
      </c>
      <c r="J214" s="28" t="s">
        <v>1103</v>
      </c>
    </row>
    <row r="215" spans="1:10" x14ac:dyDescent="0.3">
      <c r="A215" s="28" t="s">
        <v>568</v>
      </c>
      <c r="B215" s="28" t="s">
        <v>1096</v>
      </c>
      <c r="C215" s="28" t="s">
        <v>983</v>
      </c>
      <c r="D215" s="28">
        <v>2026</v>
      </c>
      <c r="E215" s="28" t="s">
        <v>535</v>
      </c>
      <c r="F215" s="31">
        <v>16030</v>
      </c>
      <c r="G215" s="31">
        <v>0</v>
      </c>
      <c r="H215" s="31">
        <v>0</v>
      </c>
      <c r="I215" s="28" t="s">
        <v>980</v>
      </c>
      <c r="J215" s="28" t="s">
        <v>1105</v>
      </c>
    </row>
    <row r="216" spans="1:10" x14ac:dyDescent="0.3">
      <c r="A216" s="28" t="s">
        <v>570</v>
      </c>
      <c r="B216" s="28" t="s">
        <v>1094</v>
      </c>
      <c r="C216" s="28" t="s">
        <v>983</v>
      </c>
      <c r="D216" s="28">
        <v>2026</v>
      </c>
      <c r="E216" s="28" t="s">
        <v>535</v>
      </c>
      <c r="F216" s="31">
        <v>56500</v>
      </c>
      <c r="G216" s="31">
        <v>0</v>
      </c>
      <c r="H216" s="31">
        <v>0</v>
      </c>
      <c r="I216" s="28" t="s">
        <v>980</v>
      </c>
      <c r="J216" s="28" t="s">
        <v>1106</v>
      </c>
    </row>
    <row r="217" spans="1:10" x14ac:dyDescent="0.3">
      <c r="A217" s="28" t="s">
        <v>570</v>
      </c>
      <c r="B217" s="28" t="s">
        <v>1096</v>
      </c>
      <c r="C217" s="28" t="s">
        <v>1091</v>
      </c>
      <c r="D217" s="28">
        <v>2027</v>
      </c>
      <c r="E217" s="28" t="s">
        <v>535</v>
      </c>
      <c r="F217" s="31">
        <v>56800</v>
      </c>
      <c r="G217" s="31">
        <v>0</v>
      </c>
      <c r="H217" s="31">
        <v>0</v>
      </c>
      <c r="I217" s="28" t="s">
        <v>980</v>
      </c>
      <c r="J217" s="28" t="s">
        <v>1105</v>
      </c>
    </row>
    <row r="218" spans="1:10" x14ac:dyDescent="0.3">
      <c r="A218" s="28" t="s">
        <v>572</v>
      </c>
      <c r="B218" s="28" t="s">
        <v>1096</v>
      </c>
      <c r="C218" s="28" t="s">
        <v>983</v>
      </c>
      <c r="D218" s="28">
        <v>2026</v>
      </c>
      <c r="E218" s="28" t="s">
        <v>535</v>
      </c>
      <c r="F218" s="31">
        <v>16030</v>
      </c>
      <c r="G218" s="31">
        <v>0</v>
      </c>
      <c r="H218" s="31">
        <v>0</v>
      </c>
      <c r="I218" s="28" t="s">
        <v>980</v>
      </c>
      <c r="J218" s="28" t="s">
        <v>1105</v>
      </c>
    </row>
    <row r="219" spans="1:10" x14ac:dyDescent="0.3">
      <c r="A219" s="28" t="s">
        <v>574</v>
      </c>
      <c r="B219" s="28" t="s">
        <v>1096</v>
      </c>
      <c r="C219" s="28" t="s">
        <v>1091</v>
      </c>
      <c r="D219" s="28">
        <v>2027</v>
      </c>
      <c r="E219" s="28" t="s">
        <v>535</v>
      </c>
      <c r="F219" s="31">
        <v>56800</v>
      </c>
      <c r="G219" s="31">
        <v>0</v>
      </c>
      <c r="H219" s="31">
        <v>0</v>
      </c>
      <c r="I219" s="28" t="s">
        <v>980</v>
      </c>
      <c r="J219" s="28" t="s">
        <v>1105</v>
      </c>
    </row>
    <row r="220" spans="1:10" x14ac:dyDescent="0.3">
      <c r="A220" s="28" t="s">
        <v>575</v>
      </c>
      <c r="B220" s="28" t="s">
        <v>1096</v>
      </c>
      <c r="C220" s="28" t="s">
        <v>983</v>
      </c>
      <c r="D220" s="28">
        <v>2026</v>
      </c>
      <c r="E220" s="28" t="s">
        <v>535</v>
      </c>
      <c r="F220" s="31">
        <v>16030</v>
      </c>
      <c r="G220" s="31">
        <v>0</v>
      </c>
      <c r="H220" s="31">
        <v>0</v>
      </c>
      <c r="I220" s="28" t="s">
        <v>980</v>
      </c>
      <c r="J220" s="28" t="s">
        <v>1105</v>
      </c>
    </row>
    <row r="221" spans="1:10" x14ac:dyDescent="0.3">
      <c r="A221" s="28" t="s">
        <v>577</v>
      </c>
      <c r="B221" s="28" t="s">
        <v>1094</v>
      </c>
      <c r="C221" s="28" t="s">
        <v>983</v>
      </c>
      <c r="D221" s="28">
        <v>2026</v>
      </c>
      <c r="E221" s="28" t="s">
        <v>535</v>
      </c>
      <c r="F221" s="31">
        <v>56500</v>
      </c>
      <c r="G221" s="31">
        <v>0</v>
      </c>
      <c r="H221" s="31">
        <v>0</v>
      </c>
      <c r="I221" s="28" t="s">
        <v>980</v>
      </c>
      <c r="J221" s="28" t="s">
        <v>1106</v>
      </c>
    </row>
    <row r="222" spans="1:10" x14ac:dyDescent="0.3">
      <c r="A222" s="28" t="s">
        <v>577</v>
      </c>
      <c r="B222" s="28" t="s">
        <v>1096</v>
      </c>
      <c r="C222" s="28" t="s">
        <v>1091</v>
      </c>
      <c r="D222" s="28">
        <v>2027</v>
      </c>
      <c r="E222" s="28" t="s">
        <v>535</v>
      </c>
      <c r="F222" s="31">
        <v>56800</v>
      </c>
      <c r="G222" s="31">
        <v>0</v>
      </c>
      <c r="H222" s="31">
        <v>0</v>
      </c>
      <c r="I222" s="28" t="s">
        <v>980</v>
      </c>
      <c r="J222" s="28" t="s">
        <v>1105</v>
      </c>
    </row>
    <row r="223" spans="1:10" x14ac:dyDescent="0.3">
      <c r="A223" s="28" t="s">
        <v>588</v>
      </c>
      <c r="B223" s="28" t="s">
        <v>1096</v>
      </c>
      <c r="C223" s="28" t="s">
        <v>983</v>
      </c>
      <c r="D223" s="28">
        <v>2026</v>
      </c>
      <c r="E223" s="28" t="s">
        <v>535</v>
      </c>
      <c r="F223" s="31">
        <v>16405</v>
      </c>
      <c r="G223" s="31">
        <v>0</v>
      </c>
      <c r="H223" s="31">
        <v>0</v>
      </c>
      <c r="I223" s="28" t="s">
        <v>980</v>
      </c>
      <c r="J223" s="28" t="s">
        <v>1107</v>
      </c>
    </row>
    <row r="224" spans="1:10" x14ac:dyDescent="0.3">
      <c r="A224" s="28" t="s">
        <v>590</v>
      </c>
      <c r="B224" s="28" t="s">
        <v>1096</v>
      </c>
      <c r="C224" s="28" t="s">
        <v>1091</v>
      </c>
      <c r="D224" s="28">
        <v>2027</v>
      </c>
      <c r="E224" s="28" t="s">
        <v>535</v>
      </c>
      <c r="F224" s="31">
        <v>56800</v>
      </c>
      <c r="G224" s="31">
        <v>0</v>
      </c>
      <c r="H224" s="31">
        <v>0</v>
      </c>
      <c r="I224" s="28" t="s">
        <v>980</v>
      </c>
      <c r="J224" s="28" t="s">
        <v>1107</v>
      </c>
    </row>
    <row r="225" spans="1:10" x14ac:dyDescent="0.3">
      <c r="A225" s="28" t="s">
        <v>591</v>
      </c>
      <c r="B225" s="28" t="s">
        <v>1096</v>
      </c>
      <c r="C225" s="28" t="s">
        <v>983</v>
      </c>
      <c r="D225" s="28">
        <v>2026</v>
      </c>
      <c r="E225" s="28" t="s">
        <v>535</v>
      </c>
      <c r="F225" s="31">
        <v>9525</v>
      </c>
      <c r="G225" s="31">
        <v>0</v>
      </c>
      <c r="H225" s="31">
        <v>0</v>
      </c>
      <c r="I225" s="28" t="s">
        <v>980</v>
      </c>
      <c r="J225" s="28" t="s">
        <v>1108</v>
      </c>
    </row>
    <row r="226" spans="1:10" x14ac:dyDescent="0.3">
      <c r="A226" s="28" t="s">
        <v>593</v>
      </c>
      <c r="B226" s="28" t="s">
        <v>1096</v>
      </c>
      <c r="C226" s="28" t="s">
        <v>1091</v>
      </c>
      <c r="D226" s="28">
        <v>2027</v>
      </c>
      <c r="E226" s="28" t="s">
        <v>535</v>
      </c>
      <c r="F226" s="31">
        <v>52528</v>
      </c>
      <c r="G226" s="31">
        <v>0</v>
      </c>
      <c r="H226" s="31">
        <v>0</v>
      </c>
      <c r="I226" s="28" t="s">
        <v>980</v>
      </c>
      <c r="J226" s="28" t="s">
        <v>1108</v>
      </c>
    </row>
    <row r="227" spans="1:10" x14ac:dyDescent="0.3">
      <c r="A227" s="28" t="s">
        <v>594</v>
      </c>
      <c r="B227" s="28" t="s">
        <v>1096</v>
      </c>
      <c r="C227" s="28" t="s">
        <v>983</v>
      </c>
      <c r="D227" s="28">
        <v>2026</v>
      </c>
      <c r="E227" s="28" t="s">
        <v>535</v>
      </c>
      <c r="F227" s="31">
        <v>10780</v>
      </c>
      <c r="G227" s="31">
        <v>0</v>
      </c>
      <c r="H227" s="31">
        <v>0</v>
      </c>
      <c r="I227" s="28" t="s">
        <v>980</v>
      </c>
      <c r="J227" s="28" t="s">
        <v>1109</v>
      </c>
    </row>
    <row r="228" spans="1:10" x14ac:dyDescent="0.3">
      <c r="A228" s="28" t="s">
        <v>596</v>
      </c>
      <c r="B228" s="28" t="s">
        <v>1096</v>
      </c>
      <c r="C228" s="28" t="s">
        <v>1091</v>
      </c>
      <c r="D228" s="28">
        <v>2027</v>
      </c>
      <c r="E228" s="28" t="s">
        <v>535</v>
      </c>
      <c r="F228" s="31">
        <v>52528</v>
      </c>
      <c r="G228" s="31">
        <v>0</v>
      </c>
      <c r="H228" s="31">
        <v>0</v>
      </c>
      <c r="I228" s="28" t="s">
        <v>980</v>
      </c>
      <c r="J228" s="28" t="s">
        <v>1109</v>
      </c>
    </row>
    <row r="229" spans="1:10" x14ac:dyDescent="0.3">
      <c r="A229" s="28" t="s">
        <v>597</v>
      </c>
      <c r="B229" s="28" t="s">
        <v>1096</v>
      </c>
      <c r="C229" s="28" t="s">
        <v>983</v>
      </c>
      <c r="D229" s="28">
        <v>2026</v>
      </c>
      <c r="E229" s="28" t="s">
        <v>535</v>
      </c>
      <c r="F229" s="31">
        <v>9930</v>
      </c>
      <c r="G229" s="31">
        <v>0</v>
      </c>
      <c r="H229" s="31">
        <v>0</v>
      </c>
      <c r="I229" s="28" t="s">
        <v>980</v>
      </c>
      <c r="J229" s="28" t="s">
        <v>1110</v>
      </c>
    </row>
    <row r="230" spans="1:10" x14ac:dyDescent="0.3">
      <c r="A230" s="28" t="s">
        <v>598</v>
      </c>
      <c r="B230" s="28" t="s">
        <v>1096</v>
      </c>
      <c r="C230" s="28" t="s">
        <v>1091</v>
      </c>
      <c r="D230" s="28">
        <v>2027</v>
      </c>
      <c r="E230" s="28" t="s">
        <v>535</v>
      </c>
      <c r="F230" s="31">
        <v>60952</v>
      </c>
      <c r="G230" s="31">
        <v>0</v>
      </c>
      <c r="H230" s="31">
        <v>0</v>
      </c>
      <c r="I230" s="28" t="s">
        <v>980</v>
      </c>
      <c r="J230" s="28" t="s">
        <v>1110</v>
      </c>
    </row>
    <row r="231" spans="1:10" x14ac:dyDescent="0.3">
      <c r="A231" s="28" t="s">
        <v>602</v>
      </c>
      <c r="B231" s="28" t="s">
        <v>1111</v>
      </c>
      <c r="C231" s="28" t="s">
        <v>991</v>
      </c>
      <c r="D231" s="28">
        <v>2026</v>
      </c>
      <c r="E231" s="28" t="s">
        <v>603</v>
      </c>
      <c r="F231" s="31">
        <v>0</v>
      </c>
      <c r="G231" s="31">
        <v>379.6</v>
      </c>
      <c r="H231" s="31">
        <v>0</v>
      </c>
      <c r="I231" s="28" t="s">
        <v>980</v>
      </c>
      <c r="J231" s="28" t="s">
        <v>1112</v>
      </c>
    </row>
    <row r="232" spans="1:10" x14ac:dyDescent="0.3">
      <c r="A232" s="28" t="s">
        <v>605</v>
      </c>
      <c r="B232" s="28" t="s">
        <v>1111</v>
      </c>
      <c r="C232" s="28" t="s">
        <v>983</v>
      </c>
      <c r="D232" s="28">
        <v>2026</v>
      </c>
      <c r="E232" s="28" t="s">
        <v>603</v>
      </c>
      <c r="F232" s="31">
        <v>3000</v>
      </c>
      <c r="G232" s="31">
        <v>379.6</v>
      </c>
      <c r="H232" s="31">
        <v>0</v>
      </c>
      <c r="I232" s="28" t="s">
        <v>1113</v>
      </c>
      <c r="J232" s="28" t="s">
        <v>1112</v>
      </c>
    </row>
    <row r="233" spans="1:10" x14ac:dyDescent="0.3">
      <c r="A233" s="28" t="s">
        <v>606</v>
      </c>
      <c r="B233" s="28" t="s">
        <v>1111</v>
      </c>
      <c r="C233" s="28" t="s">
        <v>991</v>
      </c>
      <c r="D233" s="28">
        <v>2026</v>
      </c>
      <c r="E233" s="28" t="s">
        <v>603</v>
      </c>
      <c r="F233" s="31">
        <v>0</v>
      </c>
      <c r="G233" s="31">
        <v>379.6</v>
      </c>
      <c r="H233" s="31">
        <v>0</v>
      </c>
      <c r="I233" s="28" t="s">
        <v>980</v>
      </c>
      <c r="J233" s="28" t="s">
        <v>1112</v>
      </c>
    </row>
    <row r="234" spans="1:10" x14ac:dyDescent="0.3">
      <c r="A234" s="28" t="s">
        <v>608</v>
      </c>
      <c r="B234" s="28" t="s">
        <v>1111</v>
      </c>
      <c r="C234" s="28" t="s">
        <v>991</v>
      </c>
      <c r="D234" s="28">
        <v>2026</v>
      </c>
      <c r="E234" s="28" t="s">
        <v>603</v>
      </c>
      <c r="F234" s="31">
        <v>3000</v>
      </c>
      <c r="G234" s="31">
        <v>379.6</v>
      </c>
      <c r="H234" s="31">
        <v>0</v>
      </c>
      <c r="I234" s="28" t="s">
        <v>980</v>
      </c>
      <c r="J234" s="28" t="s">
        <v>1112</v>
      </c>
    </row>
    <row r="235" spans="1:10" x14ac:dyDescent="0.3">
      <c r="A235" s="28" t="s">
        <v>609</v>
      </c>
      <c r="B235" s="28" t="s">
        <v>1111</v>
      </c>
      <c r="C235" s="28" t="s">
        <v>991</v>
      </c>
      <c r="D235" s="28">
        <v>2026</v>
      </c>
      <c r="E235" s="28" t="s">
        <v>603</v>
      </c>
      <c r="F235" s="31">
        <v>0</v>
      </c>
      <c r="G235" s="31">
        <v>379.6</v>
      </c>
      <c r="H235" s="31">
        <v>0</v>
      </c>
      <c r="I235" s="28" t="s">
        <v>980</v>
      </c>
      <c r="J235" s="28" t="s">
        <v>1112</v>
      </c>
    </row>
    <row r="236" spans="1:10" x14ac:dyDescent="0.3">
      <c r="A236" s="28" t="s">
        <v>611</v>
      </c>
      <c r="B236" s="28" t="s">
        <v>1111</v>
      </c>
      <c r="C236" s="28" t="s">
        <v>991</v>
      </c>
      <c r="D236" s="28">
        <v>2026</v>
      </c>
      <c r="E236" s="28" t="s">
        <v>603</v>
      </c>
      <c r="F236" s="31">
        <v>3000</v>
      </c>
      <c r="G236" s="31">
        <v>379.6</v>
      </c>
      <c r="H236" s="31">
        <v>0</v>
      </c>
      <c r="I236" s="28" t="s">
        <v>980</v>
      </c>
      <c r="J236" s="28" t="s">
        <v>1112</v>
      </c>
    </row>
    <row r="237" spans="1:10" x14ac:dyDescent="0.3">
      <c r="A237" s="28" t="s">
        <v>615</v>
      </c>
      <c r="B237" s="28" t="s">
        <v>1111</v>
      </c>
      <c r="C237" s="28" t="s">
        <v>991</v>
      </c>
      <c r="D237" s="28">
        <v>2026</v>
      </c>
      <c r="E237" s="28" t="s">
        <v>603</v>
      </c>
      <c r="F237" s="31">
        <v>0</v>
      </c>
      <c r="G237" s="31">
        <v>379.6</v>
      </c>
      <c r="H237" s="31">
        <v>0</v>
      </c>
      <c r="I237" s="28" t="s">
        <v>980</v>
      </c>
      <c r="J237" s="28" t="s">
        <v>1112</v>
      </c>
    </row>
    <row r="238" spans="1:10" x14ac:dyDescent="0.3">
      <c r="A238" s="28" t="s">
        <v>617</v>
      </c>
      <c r="B238" s="28" t="s">
        <v>1111</v>
      </c>
      <c r="C238" s="28" t="s">
        <v>991</v>
      </c>
      <c r="D238" s="28">
        <v>2026</v>
      </c>
      <c r="E238" s="28" t="s">
        <v>603</v>
      </c>
      <c r="F238" s="31">
        <v>3000</v>
      </c>
      <c r="G238" s="31">
        <v>379.6</v>
      </c>
      <c r="H238" s="31">
        <v>0</v>
      </c>
      <c r="I238" s="28" t="s">
        <v>980</v>
      </c>
      <c r="J238" s="28" t="s">
        <v>1112</v>
      </c>
    </row>
    <row r="239" spans="1:10" x14ac:dyDescent="0.3">
      <c r="A239" s="28" t="s">
        <v>618</v>
      </c>
      <c r="B239" s="28" t="s">
        <v>1114</v>
      </c>
      <c r="C239" s="28" t="s">
        <v>1019</v>
      </c>
      <c r="D239" s="28">
        <v>2024</v>
      </c>
      <c r="E239" s="28" t="s">
        <v>603</v>
      </c>
      <c r="F239" s="31">
        <v>0</v>
      </c>
      <c r="G239" s="31">
        <v>608.94000000000005</v>
      </c>
      <c r="H239" s="31">
        <v>0</v>
      </c>
      <c r="I239" s="28" t="s">
        <v>980</v>
      </c>
      <c r="J239" s="28" t="s">
        <v>1115</v>
      </c>
    </row>
    <row r="240" spans="1:10" x14ac:dyDescent="0.3">
      <c r="A240" s="28" t="s">
        <v>620</v>
      </c>
      <c r="B240" s="28" t="s">
        <v>1116</v>
      </c>
      <c r="C240" s="28" t="s">
        <v>991</v>
      </c>
      <c r="D240" s="28">
        <v>2026</v>
      </c>
      <c r="E240" s="28" t="s">
        <v>603</v>
      </c>
      <c r="F240" s="31">
        <v>3000</v>
      </c>
      <c r="G240" s="31">
        <v>0</v>
      </c>
      <c r="H240" s="31">
        <v>0</v>
      </c>
      <c r="I240" s="28" t="s">
        <v>1117</v>
      </c>
      <c r="J240" s="28" t="s">
        <v>1118</v>
      </c>
    </row>
    <row r="241" spans="1:10" x14ac:dyDescent="0.3">
      <c r="A241" s="28" t="s">
        <v>620</v>
      </c>
      <c r="B241" s="28" t="s">
        <v>1114</v>
      </c>
      <c r="C241" s="28" t="s">
        <v>1019</v>
      </c>
      <c r="D241" s="28">
        <v>2024</v>
      </c>
      <c r="E241" s="28" t="s">
        <v>603</v>
      </c>
      <c r="F241" s="31">
        <v>0</v>
      </c>
      <c r="G241" s="31">
        <v>608.94000000000005</v>
      </c>
      <c r="H241" s="31">
        <v>0</v>
      </c>
      <c r="I241" s="28" t="s">
        <v>980</v>
      </c>
      <c r="J241" s="28" t="s">
        <v>1115</v>
      </c>
    </row>
    <row r="242" spans="1:10" x14ac:dyDescent="0.3">
      <c r="A242" s="28" t="s">
        <v>622</v>
      </c>
      <c r="B242" s="28" t="s">
        <v>1111</v>
      </c>
      <c r="C242" s="28" t="s">
        <v>991</v>
      </c>
      <c r="D242" s="28">
        <v>2026</v>
      </c>
      <c r="E242" s="28" t="s">
        <v>603</v>
      </c>
      <c r="F242" s="31">
        <v>0</v>
      </c>
      <c r="G242" s="31">
        <v>379.6</v>
      </c>
      <c r="H242" s="31">
        <v>0</v>
      </c>
      <c r="I242" s="28" t="s">
        <v>980</v>
      </c>
      <c r="J242" s="28" t="s">
        <v>1112</v>
      </c>
    </row>
    <row r="243" spans="1:10" x14ac:dyDescent="0.3">
      <c r="A243" s="28" t="s">
        <v>622</v>
      </c>
      <c r="B243" s="28" t="s">
        <v>1114</v>
      </c>
      <c r="C243" s="28" t="s">
        <v>1019</v>
      </c>
      <c r="D243" s="28">
        <v>2024</v>
      </c>
      <c r="E243" s="28" t="s">
        <v>603</v>
      </c>
      <c r="F243" s="31">
        <v>0</v>
      </c>
      <c r="G243" s="31">
        <v>608.94000000000005</v>
      </c>
      <c r="H243" s="31">
        <v>0</v>
      </c>
      <c r="I243" s="28" t="s">
        <v>980</v>
      </c>
      <c r="J243" s="28" t="s">
        <v>1115</v>
      </c>
    </row>
    <row r="244" spans="1:10" x14ac:dyDescent="0.3">
      <c r="A244" s="28" t="s">
        <v>624</v>
      </c>
      <c r="B244" s="28" t="s">
        <v>1116</v>
      </c>
      <c r="C244" s="28" t="s">
        <v>991</v>
      </c>
      <c r="D244" s="28">
        <v>2026</v>
      </c>
      <c r="E244" s="28" t="s">
        <v>603</v>
      </c>
      <c r="F244" s="31">
        <v>3000</v>
      </c>
      <c r="G244" s="31">
        <v>0</v>
      </c>
      <c r="H244" s="31">
        <v>0</v>
      </c>
      <c r="I244" s="28" t="s">
        <v>1117</v>
      </c>
      <c r="J244" s="28" t="s">
        <v>1118</v>
      </c>
    </row>
    <row r="245" spans="1:10" x14ac:dyDescent="0.3">
      <c r="A245" s="28" t="s">
        <v>624</v>
      </c>
      <c r="B245" s="28" t="s">
        <v>1111</v>
      </c>
      <c r="C245" s="28" t="s">
        <v>991</v>
      </c>
      <c r="D245" s="28">
        <v>2026</v>
      </c>
      <c r="E245" s="28" t="s">
        <v>603</v>
      </c>
      <c r="F245" s="31">
        <v>3000</v>
      </c>
      <c r="G245" s="31">
        <v>379.6</v>
      </c>
      <c r="H245" s="31">
        <v>0</v>
      </c>
      <c r="I245" s="28" t="s">
        <v>980</v>
      </c>
      <c r="J245" s="28" t="s">
        <v>1112</v>
      </c>
    </row>
    <row r="246" spans="1:10" x14ac:dyDescent="0.3">
      <c r="A246" s="28" t="s">
        <v>624</v>
      </c>
      <c r="B246" s="28" t="s">
        <v>1114</v>
      </c>
      <c r="C246" s="28" t="s">
        <v>1019</v>
      </c>
      <c r="D246" s="28">
        <v>2024</v>
      </c>
      <c r="E246" s="28" t="s">
        <v>603</v>
      </c>
      <c r="F246" s="31">
        <v>0</v>
      </c>
      <c r="G246" s="31">
        <v>608.94000000000005</v>
      </c>
      <c r="H246" s="31">
        <v>0</v>
      </c>
      <c r="I246" s="28" t="s">
        <v>980</v>
      </c>
      <c r="J246" s="28" t="s">
        <v>1115</v>
      </c>
    </row>
    <row r="247" spans="1:10" x14ac:dyDescent="0.3">
      <c r="A247" s="28" t="s">
        <v>626</v>
      </c>
      <c r="B247" s="28" t="s">
        <v>1119</v>
      </c>
      <c r="C247" s="28" t="s">
        <v>991</v>
      </c>
      <c r="D247" s="28">
        <v>2026</v>
      </c>
      <c r="E247" s="28" t="s">
        <v>603</v>
      </c>
      <c r="F247" s="31">
        <v>0</v>
      </c>
      <c r="G247" s="31">
        <v>368</v>
      </c>
      <c r="H247" s="31">
        <v>0</v>
      </c>
      <c r="I247" s="28" t="s">
        <v>980</v>
      </c>
      <c r="J247" s="28" t="s">
        <v>1120</v>
      </c>
    </row>
    <row r="248" spans="1:10" x14ac:dyDescent="0.3">
      <c r="A248" s="28" t="s">
        <v>628</v>
      </c>
      <c r="B248" s="28" t="s">
        <v>1119</v>
      </c>
      <c r="C248" s="28" t="s">
        <v>991</v>
      </c>
      <c r="D248" s="28">
        <v>2026</v>
      </c>
      <c r="E248" s="28" t="s">
        <v>603</v>
      </c>
      <c r="F248" s="31">
        <v>3000</v>
      </c>
      <c r="G248" s="31">
        <v>368</v>
      </c>
      <c r="H248" s="31">
        <v>0</v>
      </c>
      <c r="I248" s="28" t="s">
        <v>980</v>
      </c>
      <c r="J248" s="28" t="s">
        <v>1120</v>
      </c>
    </row>
    <row r="249" spans="1:10" x14ac:dyDescent="0.3">
      <c r="A249" s="28" t="s">
        <v>629</v>
      </c>
      <c r="B249" s="28" t="s">
        <v>1121</v>
      </c>
      <c r="C249" s="28" t="s">
        <v>991</v>
      </c>
      <c r="D249" s="28">
        <v>2026</v>
      </c>
      <c r="E249" s="28" t="s">
        <v>603</v>
      </c>
      <c r="F249" s="31">
        <v>0</v>
      </c>
      <c r="G249" s="31">
        <v>253.8</v>
      </c>
      <c r="H249" s="31">
        <v>0</v>
      </c>
      <c r="I249" s="28" t="s">
        <v>980</v>
      </c>
      <c r="J249" s="28" t="s">
        <v>1122</v>
      </c>
    </row>
    <row r="250" spans="1:10" x14ac:dyDescent="0.3">
      <c r="A250" s="28" t="s">
        <v>630</v>
      </c>
      <c r="B250" s="28" t="s">
        <v>1121</v>
      </c>
      <c r="C250" s="28" t="s">
        <v>991</v>
      </c>
      <c r="D250" s="28">
        <v>2026</v>
      </c>
      <c r="E250" s="28" t="s">
        <v>603</v>
      </c>
      <c r="F250" s="31">
        <v>0</v>
      </c>
      <c r="G250" s="31">
        <v>253.8</v>
      </c>
      <c r="H250" s="31">
        <v>0</v>
      </c>
      <c r="I250" s="28" t="s">
        <v>980</v>
      </c>
      <c r="J250" s="28" t="s">
        <v>1123</v>
      </c>
    </row>
    <row r="251" spans="1:10" x14ac:dyDescent="0.3">
      <c r="A251" s="28" t="s">
        <v>634</v>
      </c>
      <c r="B251" s="28" t="s">
        <v>1124</v>
      </c>
      <c r="C251" s="28" t="s">
        <v>991</v>
      </c>
      <c r="D251" s="28">
        <v>2026</v>
      </c>
      <c r="E251" s="28" t="s">
        <v>603</v>
      </c>
      <c r="F251" s="31">
        <v>0</v>
      </c>
      <c r="G251" s="31">
        <v>824.6</v>
      </c>
      <c r="H251" s="31">
        <v>0</v>
      </c>
      <c r="I251" s="28" t="s">
        <v>980</v>
      </c>
      <c r="J251" s="28" t="s">
        <v>1125</v>
      </c>
    </row>
    <row r="252" spans="1:10" x14ac:dyDescent="0.3">
      <c r="A252" s="28" t="s">
        <v>635</v>
      </c>
      <c r="B252" s="28" t="s">
        <v>1124</v>
      </c>
      <c r="C252" s="28" t="s">
        <v>991</v>
      </c>
      <c r="D252" s="28">
        <v>2026</v>
      </c>
      <c r="E252" s="28" t="s">
        <v>603</v>
      </c>
      <c r="F252" s="31">
        <v>0</v>
      </c>
      <c r="G252" s="31">
        <v>824.6</v>
      </c>
      <c r="H252" s="31">
        <v>0</v>
      </c>
      <c r="I252" s="28" t="s">
        <v>980</v>
      </c>
      <c r="J252" s="28" t="s">
        <v>1126</v>
      </c>
    </row>
    <row r="253" spans="1:10" x14ac:dyDescent="0.3">
      <c r="A253" s="28" t="s">
        <v>636</v>
      </c>
      <c r="B253" s="28" t="s">
        <v>1114</v>
      </c>
      <c r="C253" s="28" t="s">
        <v>1019</v>
      </c>
      <c r="D253" s="28">
        <v>2024</v>
      </c>
      <c r="E253" s="28" t="s">
        <v>603</v>
      </c>
      <c r="F253" s="31">
        <v>0</v>
      </c>
      <c r="G253" s="31">
        <v>608.94000000000005</v>
      </c>
      <c r="H253" s="31">
        <v>0</v>
      </c>
      <c r="I253" s="28" t="s">
        <v>980</v>
      </c>
      <c r="J253" s="28" t="s">
        <v>1127</v>
      </c>
    </row>
    <row r="254" spans="1:10" x14ac:dyDescent="0.3">
      <c r="A254" s="28" t="s">
        <v>636</v>
      </c>
      <c r="B254" s="28" t="s">
        <v>1128</v>
      </c>
      <c r="C254" s="28" t="s">
        <v>991</v>
      </c>
      <c r="D254" s="28">
        <v>2026</v>
      </c>
      <c r="E254" s="28" t="s">
        <v>603</v>
      </c>
      <c r="F254" s="31">
        <v>0</v>
      </c>
      <c r="G254" s="31">
        <v>388</v>
      </c>
      <c r="H254" s="31">
        <v>0</v>
      </c>
      <c r="I254" s="28" t="s">
        <v>980</v>
      </c>
      <c r="J254" s="28" t="s">
        <v>1129</v>
      </c>
    </row>
    <row r="255" spans="1:10" x14ac:dyDescent="0.3">
      <c r="A255" s="28" t="s">
        <v>638</v>
      </c>
      <c r="B255" s="28" t="s">
        <v>1128</v>
      </c>
      <c r="C255" s="28" t="s">
        <v>991</v>
      </c>
      <c r="D255" s="28">
        <v>2026</v>
      </c>
      <c r="E255" s="28" t="s">
        <v>603</v>
      </c>
      <c r="F255" s="31">
        <v>3000</v>
      </c>
      <c r="G255" s="31">
        <v>388</v>
      </c>
      <c r="H255" s="31">
        <v>0</v>
      </c>
      <c r="I255" s="28" t="s">
        <v>980</v>
      </c>
      <c r="J255" s="28" t="s">
        <v>1129</v>
      </c>
    </row>
    <row r="256" spans="1:10" x14ac:dyDescent="0.3">
      <c r="A256" s="28" t="s">
        <v>638</v>
      </c>
      <c r="B256" s="28" t="s">
        <v>1114</v>
      </c>
      <c r="C256" s="28" t="s">
        <v>1019</v>
      </c>
      <c r="D256" s="28">
        <v>2024</v>
      </c>
      <c r="E256" s="28" t="s">
        <v>603</v>
      </c>
      <c r="F256" s="31">
        <v>0</v>
      </c>
      <c r="G256" s="31">
        <v>608.94000000000005</v>
      </c>
      <c r="H256" s="31">
        <v>0</v>
      </c>
      <c r="I256" s="28" t="s">
        <v>980</v>
      </c>
      <c r="J256" s="28" t="s">
        <v>1127</v>
      </c>
    </row>
    <row r="257" spans="1:10" x14ac:dyDescent="0.3">
      <c r="A257" s="28" t="s">
        <v>651</v>
      </c>
      <c r="B257" s="28" t="s">
        <v>1111</v>
      </c>
      <c r="C257" s="28" t="s">
        <v>991</v>
      </c>
      <c r="D257" s="28">
        <v>2026</v>
      </c>
      <c r="E257" s="28" t="s">
        <v>603</v>
      </c>
      <c r="F257" s="31">
        <v>0</v>
      </c>
      <c r="G257" s="31">
        <v>379.6</v>
      </c>
      <c r="H257" s="31">
        <v>0</v>
      </c>
      <c r="I257" s="28" t="s">
        <v>980</v>
      </c>
      <c r="J257" s="28" t="s">
        <v>1112</v>
      </c>
    </row>
    <row r="258" spans="1:10" x14ac:dyDescent="0.3">
      <c r="A258" s="28" t="s">
        <v>653</v>
      </c>
      <c r="B258" s="28" t="s">
        <v>1111</v>
      </c>
      <c r="C258" s="28" t="s">
        <v>991</v>
      </c>
      <c r="D258" s="28">
        <v>2026</v>
      </c>
      <c r="E258" s="28" t="s">
        <v>603</v>
      </c>
      <c r="F258" s="31">
        <v>3000</v>
      </c>
      <c r="G258" s="31">
        <v>379.6</v>
      </c>
      <c r="H258" s="31">
        <v>0</v>
      </c>
      <c r="I258" s="28" t="s">
        <v>980</v>
      </c>
      <c r="J258" s="28" t="s">
        <v>1112</v>
      </c>
    </row>
    <row r="259" spans="1:10" x14ac:dyDescent="0.3">
      <c r="A259" s="28" t="s">
        <v>654</v>
      </c>
      <c r="B259" s="28" t="s">
        <v>1114</v>
      </c>
      <c r="C259" s="28" t="s">
        <v>1019</v>
      </c>
      <c r="D259" s="28">
        <v>2024</v>
      </c>
      <c r="E259" s="28" t="s">
        <v>603</v>
      </c>
      <c r="F259" s="31">
        <v>0</v>
      </c>
      <c r="G259" s="31">
        <v>608.94000000000005</v>
      </c>
      <c r="H259" s="31">
        <v>0</v>
      </c>
      <c r="I259" s="28" t="s">
        <v>980</v>
      </c>
      <c r="J259" s="28" t="s">
        <v>1130</v>
      </c>
    </row>
    <row r="260" spans="1:10" x14ac:dyDescent="0.3">
      <c r="A260" s="28" t="s">
        <v>656</v>
      </c>
      <c r="B260" s="28" t="s">
        <v>1114</v>
      </c>
      <c r="C260" s="28" t="s">
        <v>1019</v>
      </c>
      <c r="D260" s="28">
        <v>2024</v>
      </c>
      <c r="E260" s="28" t="s">
        <v>603</v>
      </c>
      <c r="F260" s="31">
        <v>0</v>
      </c>
      <c r="G260" s="31">
        <v>608.94000000000005</v>
      </c>
      <c r="H260" s="31">
        <v>0</v>
      </c>
      <c r="I260" s="28" t="s">
        <v>980</v>
      </c>
      <c r="J260" s="28" t="s">
        <v>1130</v>
      </c>
    </row>
    <row r="261" spans="1:10" x14ac:dyDescent="0.3">
      <c r="A261" s="28" t="s">
        <v>657</v>
      </c>
      <c r="B261" s="28" t="s">
        <v>1111</v>
      </c>
      <c r="C261" s="28" t="s">
        <v>991</v>
      </c>
      <c r="D261" s="28">
        <v>2026</v>
      </c>
      <c r="E261" s="28" t="s">
        <v>603</v>
      </c>
      <c r="F261" s="31">
        <v>0</v>
      </c>
      <c r="G261" s="31">
        <v>379.6</v>
      </c>
      <c r="H261" s="31">
        <v>0</v>
      </c>
      <c r="I261" s="28" t="s">
        <v>980</v>
      </c>
      <c r="J261" s="28" t="s">
        <v>1112</v>
      </c>
    </row>
    <row r="262" spans="1:10" x14ac:dyDescent="0.3">
      <c r="A262" s="28" t="s">
        <v>658</v>
      </c>
      <c r="B262" s="28" t="s">
        <v>1111</v>
      </c>
      <c r="C262" s="28" t="s">
        <v>991</v>
      </c>
      <c r="D262" s="28">
        <v>2026</v>
      </c>
      <c r="E262" s="28" t="s">
        <v>603</v>
      </c>
      <c r="F262" s="31">
        <v>3000</v>
      </c>
      <c r="G262" s="31">
        <v>379.6</v>
      </c>
      <c r="H262" s="31">
        <v>0</v>
      </c>
      <c r="I262" s="28" t="s">
        <v>980</v>
      </c>
      <c r="J262" s="28" t="s">
        <v>1112</v>
      </c>
    </row>
    <row r="263" spans="1:10" x14ac:dyDescent="0.3">
      <c r="A263" s="28" t="s">
        <v>659</v>
      </c>
      <c r="B263" s="28" t="s">
        <v>1111</v>
      </c>
      <c r="C263" s="28" t="s">
        <v>991</v>
      </c>
      <c r="D263" s="28">
        <v>2026</v>
      </c>
      <c r="E263" s="28" t="s">
        <v>603</v>
      </c>
      <c r="F263" s="31">
        <v>0</v>
      </c>
      <c r="G263" s="31">
        <v>379.6</v>
      </c>
      <c r="H263" s="31">
        <v>0</v>
      </c>
      <c r="I263" s="28" t="s">
        <v>980</v>
      </c>
      <c r="J263" s="28" t="s">
        <v>1112</v>
      </c>
    </row>
    <row r="264" spans="1:10" x14ac:dyDescent="0.3">
      <c r="A264" s="28" t="s">
        <v>659</v>
      </c>
      <c r="B264" s="28" t="s">
        <v>1114</v>
      </c>
      <c r="C264" s="28" t="s">
        <v>1019</v>
      </c>
      <c r="D264" s="28">
        <v>2024</v>
      </c>
      <c r="E264" s="28" t="s">
        <v>603</v>
      </c>
      <c r="F264" s="31">
        <v>0</v>
      </c>
      <c r="G264" s="31">
        <v>608.94000000000005</v>
      </c>
      <c r="H264" s="31">
        <v>0</v>
      </c>
      <c r="I264" s="28" t="s">
        <v>980</v>
      </c>
      <c r="J264" s="28" t="s">
        <v>1115</v>
      </c>
    </row>
    <row r="265" spans="1:10" x14ac:dyDescent="0.3">
      <c r="A265" s="28" t="s">
        <v>660</v>
      </c>
      <c r="B265" s="28" t="s">
        <v>1111</v>
      </c>
      <c r="C265" s="28" t="s">
        <v>991</v>
      </c>
      <c r="D265" s="28">
        <v>2026</v>
      </c>
      <c r="E265" s="28" t="s">
        <v>603</v>
      </c>
      <c r="F265" s="31">
        <v>3000</v>
      </c>
      <c r="G265" s="31">
        <v>379.6</v>
      </c>
      <c r="H265" s="31">
        <v>0</v>
      </c>
      <c r="I265" s="28" t="s">
        <v>980</v>
      </c>
      <c r="J265" s="28" t="s">
        <v>1112</v>
      </c>
    </row>
    <row r="266" spans="1:10" x14ac:dyDescent="0.3">
      <c r="A266" s="28" t="s">
        <v>660</v>
      </c>
      <c r="B266" s="28" t="s">
        <v>1114</v>
      </c>
      <c r="C266" s="28" t="s">
        <v>1019</v>
      </c>
      <c r="D266" s="28">
        <v>2024</v>
      </c>
      <c r="E266" s="28" t="s">
        <v>603</v>
      </c>
      <c r="F266" s="31">
        <v>0</v>
      </c>
      <c r="G266" s="31">
        <v>608.94000000000005</v>
      </c>
      <c r="H266" s="31">
        <v>0</v>
      </c>
      <c r="I266" s="28" t="s">
        <v>980</v>
      </c>
      <c r="J266" s="28" t="s">
        <v>1115</v>
      </c>
    </row>
    <row r="267" spans="1:10" x14ac:dyDescent="0.3">
      <c r="A267" s="28" t="s">
        <v>664</v>
      </c>
      <c r="B267" s="28" t="s">
        <v>1131</v>
      </c>
      <c r="C267" s="28" t="s">
        <v>991</v>
      </c>
      <c r="D267" s="28">
        <v>2026</v>
      </c>
      <c r="E267" s="28" t="s">
        <v>665</v>
      </c>
      <c r="F267" s="31">
        <v>33200</v>
      </c>
      <c r="G267" s="31">
        <v>0</v>
      </c>
      <c r="H267" s="31">
        <v>0</v>
      </c>
      <c r="I267" s="28" t="s">
        <v>980</v>
      </c>
      <c r="J267" s="28" t="s">
        <v>1132</v>
      </c>
    </row>
    <row r="268" spans="1:10" x14ac:dyDescent="0.3">
      <c r="A268" s="28" t="s">
        <v>664</v>
      </c>
      <c r="B268" s="28" t="s">
        <v>1133</v>
      </c>
      <c r="C268" s="28" t="s">
        <v>991</v>
      </c>
      <c r="D268" s="28">
        <v>2026</v>
      </c>
      <c r="E268" s="28" t="s">
        <v>665</v>
      </c>
      <c r="F268" s="31">
        <v>36100</v>
      </c>
      <c r="G268" s="31">
        <v>0</v>
      </c>
      <c r="H268" s="31">
        <v>0</v>
      </c>
      <c r="I268" s="28" t="s">
        <v>980</v>
      </c>
      <c r="J268" s="28" t="s">
        <v>1134</v>
      </c>
    </row>
    <row r="269" spans="1:10" x14ac:dyDescent="0.3">
      <c r="A269" s="28" t="s">
        <v>667</v>
      </c>
      <c r="B269" s="28" t="s">
        <v>1131</v>
      </c>
      <c r="C269" s="28" t="s">
        <v>991</v>
      </c>
      <c r="D269" s="28">
        <v>2026</v>
      </c>
      <c r="E269" s="28" t="s">
        <v>665</v>
      </c>
      <c r="F269" s="31">
        <v>87800</v>
      </c>
      <c r="G269" s="31">
        <v>0</v>
      </c>
      <c r="H269" s="31">
        <v>0</v>
      </c>
      <c r="I269" s="28" t="s">
        <v>980</v>
      </c>
      <c r="J269" s="28" t="s">
        <v>1132</v>
      </c>
    </row>
    <row r="270" spans="1:10" x14ac:dyDescent="0.3">
      <c r="A270" s="28" t="s">
        <v>667</v>
      </c>
      <c r="B270" s="28" t="s">
        <v>1133</v>
      </c>
      <c r="C270" s="28" t="s">
        <v>991</v>
      </c>
      <c r="D270" s="28">
        <v>2026</v>
      </c>
      <c r="E270" s="28" t="s">
        <v>665</v>
      </c>
      <c r="F270" s="31">
        <v>91250</v>
      </c>
      <c r="G270" s="31">
        <v>0</v>
      </c>
      <c r="H270" s="31">
        <v>0</v>
      </c>
      <c r="I270" s="28" t="s">
        <v>980</v>
      </c>
      <c r="J270" s="28" t="s">
        <v>1134</v>
      </c>
    </row>
    <row r="271" spans="1:10" x14ac:dyDescent="0.3">
      <c r="A271" s="28" t="s">
        <v>668</v>
      </c>
      <c r="B271" s="28" t="s">
        <v>1131</v>
      </c>
      <c r="C271" s="28" t="s">
        <v>991</v>
      </c>
      <c r="D271" s="28">
        <v>2026</v>
      </c>
      <c r="E271" s="28" t="s">
        <v>665</v>
      </c>
      <c r="F271" s="31">
        <v>32750</v>
      </c>
      <c r="G271" s="31">
        <v>0</v>
      </c>
      <c r="H271" s="31">
        <v>0</v>
      </c>
      <c r="I271" s="28" t="s">
        <v>980</v>
      </c>
      <c r="J271" s="28" t="s">
        <v>1132</v>
      </c>
    </row>
    <row r="272" spans="1:10" x14ac:dyDescent="0.3">
      <c r="A272" s="28" t="s">
        <v>670</v>
      </c>
      <c r="B272" s="28" t="s">
        <v>1131</v>
      </c>
      <c r="C272" s="28" t="s">
        <v>991</v>
      </c>
      <c r="D272" s="28">
        <v>2026</v>
      </c>
      <c r="E272" s="28" t="s">
        <v>665</v>
      </c>
      <c r="F272" s="31">
        <v>84550</v>
      </c>
      <c r="G272" s="31">
        <v>0</v>
      </c>
      <c r="H272" s="31">
        <v>0</v>
      </c>
      <c r="I272" s="28" t="s">
        <v>980</v>
      </c>
      <c r="J272" s="28" t="s">
        <v>1132</v>
      </c>
    </row>
    <row r="273" spans="1:10" x14ac:dyDescent="0.3">
      <c r="A273" s="28" t="s">
        <v>671</v>
      </c>
      <c r="B273" s="28" t="s">
        <v>1131</v>
      </c>
      <c r="C273" s="28" t="s">
        <v>991</v>
      </c>
      <c r="D273" s="28">
        <v>2026</v>
      </c>
      <c r="E273" s="28" t="s">
        <v>665</v>
      </c>
      <c r="F273" s="31">
        <v>9200</v>
      </c>
      <c r="G273" s="31">
        <v>0</v>
      </c>
      <c r="H273" s="31">
        <v>0</v>
      </c>
      <c r="I273" s="28" t="s">
        <v>980</v>
      </c>
      <c r="J273" s="28" t="s">
        <v>1132</v>
      </c>
    </row>
    <row r="274" spans="1:10" x14ac:dyDescent="0.3">
      <c r="A274" s="28" t="s">
        <v>673</v>
      </c>
      <c r="B274" s="28" t="s">
        <v>1131</v>
      </c>
      <c r="C274" s="28" t="s">
        <v>991</v>
      </c>
      <c r="D274" s="28">
        <v>2026</v>
      </c>
      <c r="E274" s="28" t="s">
        <v>665</v>
      </c>
      <c r="F274" s="31">
        <v>23650</v>
      </c>
      <c r="G274" s="31">
        <v>0</v>
      </c>
      <c r="H274" s="31">
        <v>0</v>
      </c>
      <c r="I274" s="28" t="s">
        <v>980</v>
      </c>
      <c r="J274" s="28" t="s">
        <v>1132</v>
      </c>
    </row>
    <row r="275" spans="1:10" x14ac:dyDescent="0.3">
      <c r="A275" s="28" t="s">
        <v>674</v>
      </c>
      <c r="B275" s="28" t="s">
        <v>1131</v>
      </c>
      <c r="C275" s="28" t="s">
        <v>991</v>
      </c>
      <c r="D275" s="28">
        <v>2026</v>
      </c>
      <c r="E275" s="28" t="s">
        <v>665</v>
      </c>
      <c r="F275" s="31">
        <v>9050</v>
      </c>
      <c r="G275" s="31">
        <v>0</v>
      </c>
      <c r="H275" s="31">
        <v>0</v>
      </c>
      <c r="I275" s="28" t="s">
        <v>980</v>
      </c>
      <c r="J275" s="28" t="s">
        <v>1132</v>
      </c>
    </row>
    <row r="276" spans="1:10" x14ac:dyDescent="0.3">
      <c r="A276" s="28" t="s">
        <v>676</v>
      </c>
      <c r="B276" s="28" t="s">
        <v>1131</v>
      </c>
      <c r="C276" s="28" t="s">
        <v>991</v>
      </c>
      <c r="D276" s="28">
        <v>2026</v>
      </c>
      <c r="E276" s="28" t="s">
        <v>665</v>
      </c>
      <c r="F276" s="31">
        <v>22500</v>
      </c>
      <c r="G276" s="31">
        <v>0</v>
      </c>
      <c r="H276" s="31">
        <v>0</v>
      </c>
      <c r="I276" s="28" t="s">
        <v>980</v>
      </c>
      <c r="J276" s="28" t="s">
        <v>1132</v>
      </c>
    </row>
    <row r="277" spans="1:10" x14ac:dyDescent="0.3">
      <c r="A277" s="28" t="s">
        <v>680</v>
      </c>
      <c r="B277" s="28" t="s">
        <v>1131</v>
      </c>
      <c r="C277" s="28" t="s">
        <v>991</v>
      </c>
      <c r="D277" s="28">
        <v>2026</v>
      </c>
      <c r="E277" s="28" t="s">
        <v>665</v>
      </c>
      <c r="F277" s="31">
        <v>8300</v>
      </c>
      <c r="G277" s="31">
        <v>0</v>
      </c>
      <c r="H277" s="31">
        <v>0</v>
      </c>
      <c r="I277" s="28" t="s">
        <v>980</v>
      </c>
      <c r="J277" s="28" t="s">
        <v>1132</v>
      </c>
    </row>
    <row r="278" spans="1:10" x14ac:dyDescent="0.3">
      <c r="A278" s="28" t="s">
        <v>680</v>
      </c>
      <c r="B278" s="28" t="s">
        <v>1133</v>
      </c>
      <c r="C278" s="28" t="s">
        <v>991</v>
      </c>
      <c r="D278" s="28">
        <v>2026</v>
      </c>
      <c r="E278" s="28" t="s">
        <v>665</v>
      </c>
      <c r="F278" s="31">
        <v>8300</v>
      </c>
      <c r="G278" s="31">
        <v>0</v>
      </c>
      <c r="H278" s="31">
        <v>0</v>
      </c>
      <c r="I278" s="28" t="s">
        <v>980</v>
      </c>
      <c r="J278" s="28" t="s">
        <v>1134</v>
      </c>
    </row>
    <row r="279" spans="1:10" x14ac:dyDescent="0.3">
      <c r="A279" s="28" t="s">
        <v>682</v>
      </c>
      <c r="B279" s="28" t="s">
        <v>1131</v>
      </c>
      <c r="C279" s="28" t="s">
        <v>991</v>
      </c>
      <c r="D279" s="28">
        <v>2026</v>
      </c>
      <c r="E279" s="28" t="s">
        <v>665</v>
      </c>
      <c r="F279" s="31">
        <v>21400</v>
      </c>
      <c r="G279" s="31">
        <v>0</v>
      </c>
      <c r="H279" s="31">
        <v>0</v>
      </c>
      <c r="I279" s="28" t="s">
        <v>980</v>
      </c>
      <c r="J279" s="28" t="s">
        <v>1132</v>
      </c>
    </row>
    <row r="280" spans="1:10" x14ac:dyDescent="0.3">
      <c r="A280" s="28" t="s">
        <v>682</v>
      </c>
      <c r="B280" s="28" t="s">
        <v>1133</v>
      </c>
      <c r="C280" s="28" t="s">
        <v>991</v>
      </c>
      <c r="D280" s="28">
        <v>2026</v>
      </c>
      <c r="E280" s="28" t="s">
        <v>665</v>
      </c>
      <c r="F280" s="31">
        <v>21400</v>
      </c>
      <c r="G280" s="31">
        <v>0</v>
      </c>
      <c r="H280" s="31">
        <v>0</v>
      </c>
      <c r="I280" s="28" t="s">
        <v>980</v>
      </c>
      <c r="J280" s="28" t="s">
        <v>1134</v>
      </c>
    </row>
    <row r="281" spans="1:10" x14ac:dyDescent="0.3">
      <c r="A281" s="28" t="s">
        <v>683</v>
      </c>
      <c r="B281" s="28" t="s">
        <v>1131</v>
      </c>
      <c r="C281" s="28" t="s">
        <v>991</v>
      </c>
      <c r="D281" s="28">
        <v>2026</v>
      </c>
      <c r="E281" s="28" t="s">
        <v>665</v>
      </c>
      <c r="F281" s="31">
        <v>8300</v>
      </c>
      <c r="G281" s="31">
        <v>0</v>
      </c>
      <c r="H281" s="31">
        <v>0</v>
      </c>
      <c r="I281" s="28" t="s">
        <v>980</v>
      </c>
      <c r="J281" s="28" t="s">
        <v>1132</v>
      </c>
    </row>
    <row r="282" spans="1:10" x14ac:dyDescent="0.3">
      <c r="A282" s="28" t="s">
        <v>683</v>
      </c>
      <c r="B282" s="28" t="s">
        <v>1133</v>
      </c>
      <c r="C282" s="28" t="s">
        <v>991</v>
      </c>
      <c r="D282" s="28">
        <v>2026</v>
      </c>
      <c r="E282" s="28" t="s">
        <v>665</v>
      </c>
      <c r="F282" s="31">
        <v>8300</v>
      </c>
      <c r="G282" s="31">
        <v>0</v>
      </c>
      <c r="H282" s="31">
        <v>0</v>
      </c>
      <c r="I282" s="28" t="s">
        <v>980</v>
      </c>
      <c r="J282" s="28" t="s">
        <v>1134</v>
      </c>
    </row>
    <row r="283" spans="1:10" x14ac:dyDescent="0.3">
      <c r="A283" s="28" t="s">
        <v>685</v>
      </c>
      <c r="B283" s="28" t="s">
        <v>1131</v>
      </c>
      <c r="C283" s="28" t="s">
        <v>991</v>
      </c>
      <c r="D283" s="28">
        <v>2026</v>
      </c>
      <c r="E283" s="28" t="s">
        <v>665</v>
      </c>
      <c r="F283" s="31">
        <v>21400</v>
      </c>
      <c r="G283" s="31">
        <v>0</v>
      </c>
      <c r="H283" s="31">
        <v>0</v>
      </c>
      <c r="I283" s="28" t="s">
        <v>980</v>
      </c>
      <c r="J283" s="28" t="s">
        <v>1132</v>
      </c>
    </row>
    <row r="284" spans="1:10" x14ac:dyDescent="0.3">
      <c r="A284" s="28" t="s">
        <v>685</v>
      </c>
      <c r="B284" s="28" t="s">
        <v>1133</v>
      </c>
      <c r="C284" s="28" t="s">
        <v>991</v>
      </c>
      <c r="D284" s="28">
        <v>2026</v>
      </c>
      <c r="E284" s="28" t="s">
        <v>665</v>
      </c>
      <c r="F284" s="31">
        <v>21400</v>
      </c>
      <c r="G284" s="31">
        <v>0</v>
      </c>
      <c r="H284" s="31">
        <v>0</v>
      </c>
      <c r="I284" s="28" t="s">
        <v>980</v>
      </c>
      <c r="J284" s="28" t="s">
        <v>1134</v>
      </c>
    </row>
    <row r="285" spans="1:10" x14ac:dyDescent="0.3">
      <c r="A285" s="28" t="s">
        <v>686</v>
      </c>
      <c r="B285" s="28" t="s">
        <v>1131</v>
      </c>
      <c r="C285" s="28" t="s">
        <v>991</v>
      </c>
      <c r="D285" s="28">
        <v>2026</v>
      </c>
      <c r="E285" s="28" t="s">
        <v>665</v>
      </c>
      <c r="F285" s="31">
        <v>8300</v>
      </c>
      <c r="G285" s="31">
        <v>0</v>
      </c>
      <c r="H285" s="31">
        <v>0</v>
      </c>
      <c r="I285" s="28" t="s">
        <v>980</v>
      </c>
      <c r="J285" s="28" t="s">
        <v>1132</v>
      </c>
    </row>
    <row r="286" spans="1:10" x14ac:dyDescent="0.3">
      <c r="A286" s="28" t="s">
        <v>688</v>
      </c>
      <c r="B286" s="28" t="s">
        <v>1131</v>
      </c>
      <c r="C286" s="28" t="s">
        <v>991</v>
      </c>
      <c r="D286" s="28">
        <v>2026</v>
      </c>
      <c r="E286" s="28" t="s">
        <v>665</v>
      </c>
      <c r="F286" s="31">
        <v>21400</v>
      </c>
      <c r="G286" s="31">
        <v>0</v>
      </c>
      <c r="H286" s="31">
        <v>0</v>
      </c>
      <c r="I286" s="28" t="s">
        <v>980</v>
      </c>
      <c r="J286" s="28" t="s">
        <v>1132</v>
      </c>
    </row>
    <row r="287" spans="1:10" x14ac:dyDescent="0.3">
      <c r="A287" s="28" t="s">
        <v>689</v>
      </c>
      <c r="B287" s="28" t="s">
        <v>1133</v>
      </c>
      <c r="C287" s="28" t="s">
        <v>991</v>
      </c>
      <c r="D287" s="28">
        <v>2026</v>
      </c>
      <c r="E287" s="28" t="s">
        <v>665</v>
      </c>
      <c r="F287" s="31">
        <v>8300</v>
      </c>
      <c r="G287" s="31">
        <v>0</v>
      </c>
      <c r="H287" s="31">
        <v>0</v>
      </c>
      <c r="I287" s="28" t="s">
        <v>980</v>
      </c>
      <c r="J287" s="28" t="s">
        <v>1134</v>
      </c>
    </row>
    <row r="288" spans="1:10" x14ac:dyDescent="0.3">
      <c r="A288" s="28" t="s">
        <v>690</v>
      </c>
      <c r="B288" s="28" t="s">
        <v>1133</v>
      </c>
      <c r="C288" s="28" t="s">
        <v>991</v>
      </c>
      <c r="D288" s="28">
        <v>2026</v>
      </c>
      <c r="E288" s="28" t="s">
        <v>665</v>
      </c>
      <c r="F288" s="31">
        <v>21400</v>
      </c>
      <c r="G288" s="31">
        <v>0</v>
      </c>
      <c r="H288" s="31">
        <v>0</v>
      </c>
      <c r="I288" s="28" t="s">
        <v>980</v>
      </c>
      <c r="J288" s="28" t="s">
        <v>1134</v>
      </c>
    </row>
    <row r="289" spans="1:10" x14ac:dyDescent="0.3">
      <c r="A289" s="28" t="s">
        <v>691</v>
      </c>
      <c r="B289" s="28" t="s">
        <v>1131</v>
      </c>
      <c r="C289" s="28" t="s">
        <v>991</v>
      </c>
      <c r="D289" s="28">
        <v>2026</v>
      </c>
      <c r="E289" s="28" t="s">
        <v>665</v>
      </c>
      <c r="F289" s="31">
        <v>8300</v>
      </c>
      <c r="G289" s="31">
        <v>0</v>
      </c>
      <c r="H289" s="31">
        <v>0</v>
      </c>
      <c r="I289" s="28" t="s">
        <v>980</v>
      </c>
      <c r="J289" s="28" t="s">
        <v>1132</v>
      </c>
    </row>
    <row r="290" spans="1:10" x14ac:dyDescent="0.3">
      <c r="A290" s="28" t="s">
        <v>691</v>
      </c>
      <c r="B290" s="28" t="s">
        <v>1133</v>
      </c>
      <c r="C290" s="28" t="s">
        <v>991</v>
      </c>
      <c r="D290" s="28">
        <v>2026</v>
      </c>
      <c r="E290" s="28" t="s">
        <v>665</v>
      </c>
      <c r="F290" s="31">
        <v>8300</v>
      </c>
      <c r="G290" s="31">
        <v>0</v>
      </c>
      <c r="H290" s="31">
        <v>0</v>
      </c>
      <c r="I290" s="28" t="s">
        <v>980</v>
      </c>
      <c r="J290" s="28" t="s">
        <v>1134</v>
      </c>
    </row>
    <row r="291" spans="1:10" x14ac:dyDescent="0.3">
      <c r="A291" s="28" t="s">
        <v>693</v>
      </c>
      <c r="B291" s="28" t="s">
        <v>1131</v>
      </c>
      <c r="C291" s="28" t="s">
        <v>991</v>
      </c>
      <c r="D291" s="28">
        <v>2026</v>
      </c>
      <c r="E291" s="28" t="s">
        <v>665</v>
      </c>
      <c r="F291" s="31">
        <v>21400</v>
      </c>
      <c r="G291" s="31">
        <v>0</v>
      </c>
      <c r="H291" s="31">
        <v>0</v>
      </c>
      <c r="I291" s="28" t="s">
        <v>980</v>
      </c>
      <c r="J291" s="28" t="s">
        <v>1132</v>
      </c>
    </row>
    <row r="292" spans="1:10" x14ac:dyDescent="0.3">
      <c r="A292" s="28" t="s">
        <v>693</v>
      </c>
      <c r="B292" s="28" t="s">
        <v>1133</v>
      </c>
      <c r="C292" s="28" t="s">
        <v>991</v>
      </c>
      <c r="D292" s="28">
        <v>2026</v>
      </c>
      <c r="E292" s="28" t="s">
        <v>665</v>
      </c>
      <c r="F292" s="31">
        <v>21400</v>
      </c>
      <c r="G292" s="31">
        <v>0</v>
      </c>
      <c r="H292" s="31">
        <v>0</v>
      </c>
      <c r="I292" s="28" t="s">
        <v>980</v>
      </c>
      <c r="J292" s="28" t="s">
        <v>1134</v>
      </c>
    </row>
    <row r="293" spans="1:10" x14ac:dyDescent="0.3">
      <c r="A293" s="28" t="s">
        <v>694</v>
      </c>
      <c r="B293" s="28" t="s">
        <v>1131</v>
      </c>
      <c r="C293" s="28" t="s">
        <v>991</v>
      </c>
      <c r="D293" s="28">
        <v>2026</v>
      </c>
      <c r="E293" s="28" t="s">
        <v>665</v>
      </c>
      <c r="F293" s="31">
        <v>8300</v>
      </c>
      <c r="G293" s="31">
        <v>0</v>
      </c>
      <c r="H293" s="31">
        <v>0</v>
      </c>
      <c r="I293" s="28" t="s">
        <v>980</v>
      </c>
      <c r="J293" s="28" t="s">
        <v>1132</v>
      </c>
    </row>
    <row r="294" spans="1:10" x14ac:dyDescent="0.3">
      <c r="A294" s="28" t="s">
        <v>696</v>
      </c>
      <c r="B294" s="28" t="s">
        <v>1131</v>
      </c>
      <c r="C294" s="28" t="s">
        <v>991</v>
      </c>
      <c r="D294" s="28">
        <v>2026</v>
      </c>
      <c r="E294" s="28" t="s">
        <v>665</v>
      </c>
      <c r="F294" s="31">
        <v>21400</v>
      </c>
      <c r="G294" s="31">
        <v>0</v>
      </c>
      <c r="H294" s="31">
        <v>0</v>
      </c>
      <c r="I294" s="28" t="s">
        <v>980</v>
      </c>
      <c r="J294" s="28" t="s">
        <v>1132</v>
      </c>
    </row>
    <row r="295" spans="1:10" x14ac:dyDescent="0.3">
      <c r="A295" s="28" t="s">
        <v>697</v>
      </c>
      <c r="B295" s="28" t="s">
        <v>1131</v>
      </c>
      <c r="C295" s="28" t="s">
        <v>991</v>
      </c>
      <c r="D295" s="28">
        <v>2026</v>
      </c>
      <c r="E295" s="28" t="s">
        <v>665</v>
      </c>
      <c r="F295" s="31">
        <v>9700</v>
      </c>
      <c r="G295" s="31">
        <v>0</v>
      </c>
      <c r="H295" s="31">
        <v>0</v>
      </c>
      <c r="I295" s="28" t="s">
        <v>980</v>
      </c>
      <c r="J295" s="28" t="s">
        <v>1132</v>
      </c>
    </row>
    <row r="296" spans="1:10" x14ac:dyDescent="0.3">
      <c r="A296" s="28" t="s">
        <v>697</v>
      </c>
      <c r="B296" s="28" t="s">
        <v>1133</v>
      </c>
      <c r="C296" s="28" t="s">
        <v>991</v>
      </c>
      <c r="D296" s="28">
        <v>2026</v>
      </c>
      <c r="E296" s="28" t="s">
        <v>665</v>
      </c>
      <c r="F296" s="31">
        <v>9500</v>
      </c>
      <c r="G296" s="31">
        <v>0</v>
      </c>
      <c r="H296" s="31">
        <v>0</v>
      </c>
      <c r="I296" s="28" t="s">
        <v>980</v>
      </c>
      <c r="J296" s="28" t="s">
        <v>1134</v>
      </c>
    </row>
    <row r="297" spans="1:10" x14ac:dyDescent="0.3">
      <c r="A297" s="28" t="s">
        <v>698</v>
      </c>
      <c r="B297" s="28" t="s">
        <v>1131</v>
      </c>
      <c r="C297" s="28" t="s">
        <v>991</v>
      </c>
      <c r="D297" s="28">
        <v>2026</v>
      </c>
      <c r="E297" s="28" t="s">
        <v>665</v>
      </c>
      <c r="F297" s="31">
        <v>22200</v>
      </c>
      <c r="G297" s="31">
        <v>0</v>
      </c>
      <c r="H297" s="31">
        <v>0</v>
      </c>
      <c r="I297" s="28" t="s">
        <v>980</v>
      </c>
      <c r="J297" s="28" t="s">
        <v>1132</v>
      </c>
    </row>
    <row r="298" spans="1:10" x14ac:dyDescent="0.3">
      <c r="A298" s="28" t="s">
        <v>698</v>
      </c>
      <c r="B298" s="28" t="s">
        <v>1133</v>
      </c>
      <c r="C298" s="28" t="s">
        <v>991</v>
      </c>
      <c r="D298" s="28">
        <v>2026</v>
      </c>
      <c r="E298" s="28" t="s">
        <v>665</v>
      </c>
      <c r="F298" s="31">
        <v>21800</v>
      </c>
      <c r="G298" s="31">
        <v>0</v>
      </c>
      <c r="H298" s="31">
        <v>0</v>
      </c>
      <c r="I298" s="28" t="s">
        <v>980</v>
      </c>
      <c r="J298" s="28" t="s">
        <v>1134</v>
      </c>
    </row>
    <row r="299" spans="1:10" x14ac:dyDescent="0.3">
      <c r="A299" s="28" t="s">
        <v>699</v>
      </c>
      <c r="B299" s="28" t="s">
        <v>1131</v>
      </c>
      <c r="C299" s="28" t="s">
        <v>991</v>
      </c>
      <c r="D299" s="28">
        <v>2026</v>
      </c>
      <c r="E299" s="28" t="s">
        <v>665</v>
      </c>
      <c r="F299" s="31">
        <v>9700</v>
      </c>
      <c r="G299" s="31">
        <v>0</v>
      </c>
      <c r="H299" s="31">
        <v>0</v>
      </c>
      <c r="I299" s="28" t="s">
        <v>980</v>
      </c>
      <c r="J299" s="28" t="s">
        <v>1132</v>
      </c>
    </row>
    <row r="300" spans="1:10" x14ac:dyDescent="0.3">
      <c r="A300" s="28" t="s">
        <v>699</v>
      </c>
      <c r="B300" s="28" t="s">
        <v>1133</v>
      </c>
      <c r="C300" s="28" t="s">
        <v>991</v>
      </c>
      <c r="D300" s="28">
        <v>2026</v>
      </c>
      <c r="E300" s="28" t="s">
        <v>665</v>
      </c>
      <c r="F300" s="31">
        <v>9500</v>
      </c>
      <c r="G300" s="31">
        <v>0</v>
      </c>
      <c r="H300" s="31">
        <v>0</v>
      </c>
      <c r="I300" s="28" t="s">
        <v>980</v>
      </c>
      <c r="J300" s="28" t="s">
        <v>1134</v>
      </c>
    </row>
    <row r="301" spans="1:10" x14ac:dyDescent="0.3">
      <c r="A301" s="28" t="s">
        <v>700</v>
      </c>
      <c r="B301" s="28" t="s">
        <v>1131</v>
      </c>
      <c r="C301" s="28" t="s">
        <v>991</v>
      </c>
      <c r="D301" s="28">
        <v>2026</v>
      </c>
      <c r="E301" s="28" t="s">
        <v>665</v>
      </c>
      <c r="F301" s="31">
        <v>22200</v>
      </c>
      <c r="G301" s="31">
        <v>0</v>
      </c>
      <c r="H301" s="31">
        <v>0</v>
      </c>
      <c r="I301" s="28" t="s">
        <v>980</v>
      </c>
      <c r="J301" s="28" t="s">
        <v>1132</v>
      </c>
    </row>
    <row r="302" spans="1:10" x14ac:dyDescent="0.3">
      <c r="A302" s="28" t="s">
        <v>700</v>
      </c>
      <c r="B302" s="28" t="s">
        <v>1133</v>
      </c>
      <c r="C302" s="28" t="s">
        <v>991</v>
      </c>
      <c r="D302" s="28">
        <v>2026</v>
      </c>
      <c r="E302" s="28" t="s">
        <v>665</v>
      </c>
      <c r="F302" s="31">
        <v>21800</v>
      </c>
      <c r="G302" s="31">
        <v>0</v>
      </c>
      <c r="H302" s="31">
        <v>0</v>
      </c>
      <c r="I302" s="28" t="s">
        <v>980</v>
      </c>
      <c r="J302" s="28" t="s">
        <v>1134</v>
      </c>
    </row>
    <row r="303" spans="1:10" x14ac:dyDescent="0.3">
      <c r="A303" s="28" t="s">
        <v>701</v>
      </c>
      <c r="B303" s="28" t="s">
        <v>1131</v>
      </c>
      <c r="C303" s="28" t="s">
        <v>991</v>
      </c>
      <c r="D303" s="28">
        <v>2026</v>
      </c>
      <c r="E303" s="28" t="s">
        <v>665</v>
      </c>
      <c r="F303" s="31">
        <v>9700</v>
      </c>
      <c r="G303" s="31">
        <v>0</v>
      </c>
      <c r="H303" s="31">
        <v>0</v>
      </c>
      <c r="I303" s="28" t="s">
        <v>980</v>
      </c>
      <c r="J303" s="28" t="s">
        <v>1132</v>
      </c>
    </row>
    <row r="304" spans="1:10" x14ac:dyDescent="0.3">
      <c r="A304" s="28" t="s">
        <v>701</v>
      </c>
      <c r="B304" s="28" t="s">
        <v>1133</v>
      </c>
      <c r="C304" s="28" t="s">
        <v>991</v>
      </c>
      <c r="D304" s="28">
        <v>2026</v>
      </c>
      <c r="E304" s="28" t="s">
        <v>665</v>
      </c>
      <c r="F304" s="31">
        <v>9500</v>
      </c>
      <c r="G304" s="31">
        <v>0</v>
      </c>
      <c r="H304" s="31">
        <v>0</v>
      </c>
      <c r="I304" s="28" t="s">
        <v>980</v>
      </c>
      <c r="J304" s="28" t="s">
        <v>1134</v>
      </c>
    </row>
    <row r="305" spans="1:10" x14ac:dyDescent="0.3">
      <c r="A305" s="28" t="s">
        <v>703</v>
      </c>
      <c r="B305" s="28" t="s">
        <v>1131</v>
      </c>
      <c r="C305" s="28" t="s">
        <v>991</v>
      </c>
      <c r="D305" s="28">
        <v>2026</v>
      </c>
      <c r="E305" s="28" t="s">
        <v>665</v>
      </c>
      <c r="F305" s="31">
        <v>22200</v>
      </c>
      <c r="G305" s="31">
        <v>0</v>
      </c>
      <c r="H305" s="31">
        <v>0</v>
      </c>
      <c r="I305" s="28" t="s">
        <v>980</v>
      </c>
      <c r="J305" s="28" t="s">
        <v>1132</v>
      </c>
    </row>
    <row r="306" spans="1:10" x14ac:dyDescent="0.3">
      <c r="A306" s="28" t="s">
        <v>703</v>
      </c>
      <c r="B306" s="28" t="s">
        <v>1133</v>
      </c>
      <c r="C306" s="28" t="s">
        <v>991</v>
      </c>
      <c r="D306" s="28">
        <v>2026</v>
      </c>
      <c r="E306" s="28" t="s">
        <v>665</v>
      </c>
      <c r="F306" s="31">
        <v>21800</v>
      </c>
      <c r="G306" s="31">
        <v>0</v>
      </c>
      <c r="H306" s="31">
        <v>0</v>
      </c>
      <c r="I306" s="28" t="s">
        <v>980</v>
      </c>
      <c r="J306" s="28" t="s">
        <v>1134</v>
      </c>
    </row>
    <row r="307" spans="1:10" x14ac:dyDescent="0.3">
      <c r="A307" s="28" t="s">
        <v>711</v>
      </c>
      <c r="B307" s="28" t="s">
        <v>1131</v>
      </c>
      <c r="C307" s="28" t="s">
        <v>991</v>
      </c>
      <c r="D307" s="28">
        <v>2026</v>
      </c>
      <c r="E307" s="28" t="s">
        <v>665</v>
      </c>
      <c r="F307" s="31">
        <v>12750</v>
      </c>
      <c r="G307" s="31">
        <v>0</v>
      </c>
      <c r="H307" s="31">
        <v>0</v>
      </c>
      <c r="I307" s="28" t="s">
        <v>980</v>
      </c>
      <c r="J307" s="28" t="s">
        <v>1132</v>
      </c>
    </row>
    <row r="308" spans="1:10" x14ac:dyDescent="0.3">
      <c r="A308" s="28" t="s">
        <v>713</v>
      </c>
      <c r="B308" s="28" t="s">
        <v>1131</v>
      </c>
      <c r="C308" s="28" t="s">
        <v>991</v>
      </c>
      <c r="D308" s="28">
        <v>2026</v>
      </c>
      <c r="E308" s="28" t="s">
        <v>665</v>
      </c>
      <c r="F308" s="31">
        <v>30450</v>
      </c>
      <c r="G308" s="31">
        <v>0</v>
      </c>
      <c r="H308" s="31">
        <v>0</v>
      </c>
      <c r="I308" s="28" t="s">
        <v>980</v>
      </c>
      <c r="J308" s="28" t="s">
        <v>1132</v>
      </c>
    </row>
    <row r="309" spans="1:10" x14ac:dyDescent="0.3">
      <c r="A309" s="28" t="s">
        <v>714</v>
      </c>
      <c r="B309" s="28" t="s">
        <v>1131</v>
      </c>
      <c r="C309" s="28" t="s">
        <v>991</v>
      </c>
      <c r="D309" s="28">
        <v>2026</v>
      </c>
      <c r="E309" s="28" t="s">
        <v>665</v>
      </c>
      <c r="F309" s="31">
        <v>8950</v>
      </c>
      <c r="G309" s="31">
        <v>0</v>
      </c>
      <c r="H309" s="31">
        <v>0</v>
      </c>
      <c r="I309" s="28" t="s">
        <v>980</v>
      </c>
      <c r="J309" s="28" t="s">
        <v>1132</v>
      </c>
    </row>
    <row r="310" spans="1:10" x14ac:dyDescent="0.3">
      <c r="A310" s="28" t="s">
        <v>716</v>
      </c>
      <c r="B310" s="28" t="s">
        <v>1131</v>
      </c>
      <c r="C310" s="28" t="s">
        <v>991</v>
      </c>
      <c r="D310" s="28">
        <v>2026</v>
      </c>
      <c r="E310" s="28" t="s">
        <v>665</v>
      </c>
      <c r="F310" s="31">
        <v>22750</v>
      </c>
      <c r="G310" s="31">
        <v>0</v>
      </c>
      <c r="H310" s="31">
        <v>0</v>
      </c>
      <c r="I310" s="28" t="s">
        <v>980</v>
      </c>
      <c r="J310" s="28" t="s">
        <v>1132</v>
      </c>
    </row>
    <row r="311" spans="1:10" x14ac:dyDescent="0.3">
      <c r="A311" s="28" t="s">
        <v>717</v>
      </c>
      <c r="B311" s="28" t="s">
        <v>1131</v>
      </c>
      <c r="C311" s="28" t="s">
        <v>991</v>
      </c>
      <c r="D311" s="28">
        <v>2026</v>
      </c>
      <c r="E311" s="28" t="s">
        <v>665</v>
      </c>
      <c r="F311" s="31">
        <v>8300</v>
      </c>
      <c r="G311" s="31">
        <v>0</v>
      </c>
      <c r="H311" s="31">
        <v>0</v>
      </c>
      <c r="I311" s="28" t="s">
        <v>980</v>
      </c>
      <c r="J311" s="28" t="s">
        <v>1132</v>
      </c>
    </row>
    <row r="312" spans="1:10" x14ac:dyDescent="0.3">
      <c r="A312" s="28" t="s">
        <v>717</v>
      </c>
      <c r="B312" s="28" t="s">
        <v>1133</v>
      </c>
      <c r="C312" s="28" t="s">
        <v>991</v>
      </c>
      <c r="D312" s="28">
        <v>2026</v>
      </c>
      <c r="E312" s="28" t="s">
        <v>665</v>
      </c>
      <c r="F312" s="31">
        <v>8300</v>
      </c>
      <c r="G312" s="31">
        <v>0</v>
      </c>
      <c r="H312" s="31">
        <v>0</v>
      </c>
      <c r="I312" s="28" t="s">
        <v>980</v>
      </c>
      <c r="J312" s="28" t="s">
        <v>1134</v>
      </c>
    </row>
    <row r="313" spans="1:10" x14ac:dyDescent="0.3">
      <c r="A313" s="28" t="s">
        <v>719</v>
      </c>
      <c r="B313" s="28" t="s">
        <v>1131</v>
      </c>
      <c r="C313" s="28" t="s">
        <v>991</v>
      </c>
      <c r="D313" s="28">
        <v>2026</v>
      </c>
      <c r="E313" s="28" t="s">
        <v>665</v>
      </c>
      <c r="F313" s="31">
        <v>21400</v>
      </c>
      <c r="G313" s="31">
        <v>0</v>
      </c>
      <c r="H313" s="31">
        <v>0</v>
      </c>
      <c r="I313" s="28" t="s">
        <v>980</v>
      </c>
      <c r="J313" s="28" t="s">
        <v>1132</v>
      </c>
    </row>
    <row r="314" spans="1:10" x14ac:dyDescent="0.3">
      <c r="A314" s="28" t="s">
        <v>719</v>
      </c>
      <c r="B314" s="28" t="s">
        <v>1133</v>
      </c>
      <c r="C314" s="28" t="s">
        <v>991</v>
      </c>
      <c r="D314" s="28">
        <v>2026</v>
      </c>
      <c r="E314" s="28" t="s">
        <v>665</v>
      </c>
      <c r="F314" s="31">
        <v>21400</v>
      </c>
      <c r="G314" s="31">
        <v>0</v>
      </c>
      <c r="H314" s="31">
        <v>0</v>
      </c>
      <c r="I314" s="28" t="s">
        <v>980</v>
      </c>
      <c r="J314" s="28" t="s">
        <v>1134</v>
      </c>
    </row>
    <row r="315" spans="1:10" x14ac:dyDescent="0.3">
      <c r="A315" s="28" t="s">
        <v>720</v>
      </c>
      <c r="B315" s="28" t="s">
        <v>1131</v>
      </c>
      <c r="C315" s="28" t="s">
        <v>991</v>
      </c>
      <c r="D315" s="28">
        <v>2026</v>
      </c>
      <c r="E315" s="28" t="s">
        <v>665</v>
      </c>
      <c r="F315" s="31">
        <v>8300</v>
      </c>
      <c r="G315" s="31">
        <v>0</v>
      </c>
      <c r="H315" s="31">
        <v>0</v>
      </c>
      <c r="I315" s="28" t="s">
        <v>980</v>
      </c>
      <c r="J315" s="28" t="s">
        <v>1132</v>
      </c>
    </row>
    <row r="316" spans="1:10" x14ac:dyDescent="0.3">
      <c r="A316" s="28" t="s">
        <v>720</v>
      </c>
      <c r="B316" s="28" t="s">
        <v>1133</v>
      </c>
      <c r="C316" s="28" t="s">
        <v>991</v>
      </c>
      <c r="D316" s="28">
        <v>2026</v>
      </c>
      <c r="E316" s="28" t="s">
        <v>665</v>
      </c>
      <c r="F316" s="31">
        <v>8300</v>
      </c>
      <c r="G316" s="31">
        <v>0</v>
      </c>
      <c r="H316" s="31">
        <v>0</v>
      </c>
      <c r="I316" s="28" t="s">
        <v>980</v>
      </c>
      <c r="J316" s="28" t="s">
        <v>1134</v>
      </c>
    </row>
    <row r="317" spans="1:10" x14ac:dyDescent="0.3">
      <c r="A317" s="28" t="s">
        <v>721</v>
      </c>
      <c r="B317" s="28" t="s">
        <v>1131</v>
      </c>
      <c r="C317" s="28" t="s">
        <v>991</v>
      </c>
      <c r="D317" s="28">
        <v>2026</v>
      </c>
      <c r="E317" s="28" t="s">
        <v>665</v>
      </c>
      <c r="F317" s="31">
        <v>21400</v>
      </c>
      <c r="G317" s="31">
        <v>0</v>
      </c>
      <c r="H317" s="31">
        <v>0</v>
      </c>
      <c r="I317" s="28" t="s">
        <v>980</v>
      </c>
      <c r="J317" s="28" t="s">
        <v>1132</v>
      </c>
    </row>
    <row r="318" spans="1:10" x14ac:dyDescent="0.3">
      <c r="A318" s="28" t="s">
        <v>721</v>
      </c>
      <c r="B318" s="28" t="s">
        <v>1133</v>
      </c>
      <c r="C318" s="28" t="s">
        <v>991</v>
      </c>
      <c r="D318" s="28">
        <v>2026</v>
      </c>
      <c r="E318" s="28" t="s">
        <v>665</v>
      </c>
      <c r="F318" s="31">
        <v>21400</v>
      </c>
      <c r="G318" s="31">
        <v>0</v>
      </c>
      <c r="H318" s="31">
        <v>0</v>
      </c>
      <c r="I318" s="28" t="s">
        <v>980</v>
      </c>
      <c r="J318" s="28" t="s">
        <v>1134</v>
      </c>
    </row>
    <row r="319" spans="1:10" x14ac:dyDescent="0.3">
      <c r="A319" s="28" t="s">
        <v>725</v>
      </c>
      <c r="B319" s="28" t="s">
        <v>1135</v>
      </c>
      <c r="C319" s="28" t="s">
        <v>983</v>
      </c>
      <c r="D319" s="28">
        <v>2026</v>
      </c>
      <c r="E319" s="28" t="s">
        <v>726</v>
      </c>
      <c r="F319" s="31">
        <v>117600</v>
      </c>
      <c r="G319" s="31">
        <v>200</v>
      </c>
      <c r="H319" s="31">
        <v>300</v>
      </c>
      <c r="I319" s="28" t="s">
        <v>980</v>
      </c>
      <c r="J319" s="28" t="s">
        <v>1136</v>
      </c>
    </row>
    <row r="320" spans="1:10" x14ac:dyDescent="0.3">
      <c r="A320" s="28" t="s">
        <v>725</v>
      </c>
      <c r="B320" s="28" t="s">
        <v>1137</v>
      </c>
      <c r="C320" s="28" t="s">
        <v>991</v>
      </c>
      <c r="D320" s="28">
        <v>2026</v>
      </c>
      <c r="E320" s="28" t="s">
        <v>726</v>
      </c>
      <c r="F320" s="31">
        <v>89208</v>
      </c>
      <c r="G320" s="31">
        <v>0</v>
      </c>
      <c r="H320" s="31">
        <v>650</v>
      </c>
      <c r="I320" s="28" t="s">
        <v>985</v>
      </c>
      <c r="J320" s="28" t="s">
        <v>1138</v>
      </c>
    </row>
    <row r="321" spans="1:10" x14ac:dyDescent="0.3">
      <c r="A321" s="28" t="s">
        <v>728</v>
      </c>
      <c r="B321" s="28" t="s">
        <v>1135</v>
      </c>
      <c r="C321" s="28" t="s">
        <v>983</v>
      </c>
      <c r="D321" s="28">
        <v>2026</v>
      </c>
      <c r="E321" s="28" t="s">
        <v>726</v>
      </c>
      <c r="F321" s="31">
        <v>138720</v>
      </c>
      <c r="G321" s="31">
        <v>8535</v>
      </c>
      <c r="H321" s="31">
        <v>318</v>
      </c>
      <c r="I321" s="28" t="s">
        <v>980</v>
      </c>
      <c r="J321" s="28" t="s">
        <v>1136</v>
      </c>
    </row>
    <row r="322" spans="1:10" x14ac:dyDescent="0.3">
      <c r="A322" s="28" t="s">
        <v>728</v>
      </c>
      <c r="B322" s="28" t="s">
        <v>1137</v>
      </c>
      <c r="C322" s="28" t="s">
        <v>991</v>
      </c>
      <c r="D322" s="28">
        <v>2026</v>
      </c>
      <c r="E322" s="28" t="s">
        <v>726</v>
      </c>
      <c r="F322" s="31">
        <v>91728</v>
      </c>
      <c r="G322" s="31">
        <v>8154</v>
      </c>
      <c r="H322" s="31">
        <v>6148</v>
      </c>
      <c r="I322" s="28" t="s">
        <v>985</v>
      </c>
      <c r="J322" s="28" t="s">
        <v>1139</v>
      </c>
    </row>
    <row r="323" spans="1:10" x14ac:dyDescent="0.3">
      <c r="A323" s="28" t="s">
        <v>732</v>
      </c>
      <c r="B323" s="28" t="s">
        <v>1135</v>
      </c>
      <c r="C323" s="28" t="s">
        <v>983</v>
      </c>
      <c r="D323" s="28">
        <v>2026</v>
      </c>
      <c r="E323" s="28" t="s">
        <v>726</v>
      </c>
      <c r="F323" s="31">
        <v>60480</v>
      </c>
      <c r="G323" s="31">
        <v>200</v>
      </c>
      <c r="H323" s="31">
        <v>300</v>
      </c>
      <c r="I323" s="28" t="s">
        <v>980</v>
      </c>
      <c r="J323" s="28" t="s">
        <v>1136</v>
      </c>
    </row>
    <row r="324" spans="1:10" x14ac:dyDescent="0.3">
      <c r="A324" s="28" t="s">
        <v>732</v>
      </c>
      <c r="B324" s="28" t="s">
        <v>1137</v>
      </c>
      <c r="C324" s="28" t="s">
        <v>991</v>
      </c>
      <c r="D324" s="28">
        <v>2026</v>
      </c>
      <c r="E324" s="28" t="s">
        <v>726</v>
      </c>
      <c r="F324" s="31">
        <v>49029</v>
      </c>
      <c r="G324" s="31">
        <v>0</v>
      </c>
      <c r="H324" s="31">
        <v>650</v>
      </c>
      <c r="I324" s="28" t="s">
        <v>985</v>
      </c>
      <c r="J324" s="28" t="s">
        <v>1140</v>
      </c>
    </row>
    <row r="325" spans="1:10" x14ac:dyDescent="0.3">
      <c r="A325" s="28" t="s">
        <v>734</v>
      </c>
      <c r="B325" s="28" t="s">
        <v>1135</v>
      </c>
      <c r="C325" s="28" t="s">
        <v>983</v>
      </c>
      <c r="D325" s="28">
        <v>2026</v>
      </c>
      <c r="E325" s="28" t="s">
        <v>726</v>
      </c>
      <c r="F325" s="31">
        <v>71040</v>
      </c>
      <c r="G325" s="31">
        <v>4474</v>
      </c>
      <c r="H325" s="31">
        <v>318</v>
      </c>
      <c r="I325" s="28" t="s">
        <v>980</v>
      </c>
      <c r="J325" s="28" t="s">
        <v>1136</v>
      </c>
    </row>
    <row r="326" spans="1:10" x14ac:dyDescent="0.3">
      <c r="A326" s="28" t="s">
        <v>734</v>
      </c>
      <c r="B326" s="28" t="s">
        <v>1137</v>
      </c>
      <c r="C326" s="28" t="s">
        <v>991</v>
      </c>
      <c r="D326" s="28">
        <v>2026</v>
      </c>
      <c r="E326" s="28" t="s">
        <v>726</v>
      </c>
      <c r="F326" s="31">
        <v>49776</v>
      </c>
      <c r="G326" s="31">
        <v>5637</v>
      </c>
      <c r="H326" s="31">
        <v>6148</v>
      </c>
      <c r="I326" s="28" t="s">
        <v>985</v>
      </c>
      <c r="J326" s="28" t="s">
        <v>1141</v>
      </c>
    </row>
    <row r="327" spans="1:10" x14ac:dyDescent="0.3">
      <c r="A327" s="28" t="s">
        <v>742</v>
      </c>
      <c r="B327" s="28" t="s">
        <v>1135</v>
      </c>
      <c r="C327" s="28" t="s">
        <v>983</v>
      </c>
      <c r="D327" s="28">
        <v>2026</v>
      </c>
      <c r="E327" s="28" t="s">
        <v>726</v>
      </c>
      <c r="F327" s="31">
        <v>54720</v>
      </c>
      <c r="G327" s="31">
        <v>200</v>
      </c>
      <c r="H327" s="31">
        <v>300</v>
      </c>
      <c r="I327" s="28" t="s">
        <v>980</v>
      </c>
      <c r="J327" s="28" t="s">
        <v>1136</v>
      </c>
    </row>
    <row r="328" spans="1:10" x14ac:dyDescent="0.3">
      <c r="A328" s="28" t="s">
        <v>742</v>
      </c>
      <c r="B328" s="28" t="s">
        <v>1137</v>
      </c>
      <c r="C328" s="28" t="s">
        <v>991</v>
      </c>
      <c r="D328" s="28">
        <v>2026</v>
      </c>
      <c r="E328" s="28" t="s">
        <v>726</v>
      </c>
      <c r="F328" s="31">
        <v>43288</v>
      </c>
      <c r="G328" s="31">
        <v>0</v>
      </c>
      <c r="H328" s="31">
        <v>650</v>
      </c>
      <c r="I328" s="28" t="s">
        <v>985</v>
      </c>
      <c r="J328" s="28" t="s">
        <v>1142</v>
      </c>
    </row>
    <row r="329" spans="1:10" x14ac:dyDescent="0.3">
      <c r="A329" s="28" t="s">
        <v>744</v>
      </c>
      <c r="B329" s="28" t="s">
        <v>1135</v>
      </c>
      <c r="C329" s="28" t="s">
        <v>983</v>
      </c>
      <c r="D329" s="28">
        <v>2026</v>
      </c>
      <c r="E329" s="28" t="s">
        <v>726</v>
      </c>
      <c r="F329" s="31">
        <v>64800</v>
      </c>
      <c r="G329" s="31">
        <v>4100</v>
      </c>
      <c r="H329" s="31">
        <v>318</v>
      </c>
      <c r="I329" s="28" t="s">
        <v>980</v>
      </c>
      <c r="J329" s="28" t="s">
        <v>1136</v>
      </c>
    </row>
    <row r="330" spans="1:10" x14ac:dyDescent="0.3">
      <c r="A330" s="28" t="s">
        <v>744</v>
      </c>
      <c r="B330" s="28" t="s">
        <v>1137</v>
      </c>
      <c r="C330" s="28" t="s">
        <v>991</v>
      </c>
      <c r="D330" s="28">
        <v>2026</v>
      </c>
      <c r="E330" s="28" t="s">
        <v>726</v>
      </c>
      <c r="F330" s="31">
        <v>44048</v>
      </c>
      <c r="G330" s="31">
        <v>5293</v>
      </c>
      <c r="H330" s="31">
        <v>6148</v>
      </c>
      <c r="I330" s="28" t="s">
        <v>985</v>
      </c>
      <c r="J330" s="28" t="s">
        <v>1143</v>
      </c>
    </row>
    <row r="331" spans="1:10" x14ac:dyDescent="0.3">
      <c r="A331" s="28" t="s">
        <v>745</v>
      </c>
      <c r="B331" s="28" t="s">
        <v>1135</v>
      </c>
      <c r="C331" s="28" t="s">
        <v>983</v>
      </c>
      <c r="D331" s="28">
        <v>2026</v>
      </c>
      <c r="E331" s="28" t="s">
        <v>726</v>
      </c>
      <c r="F331" s="31">
        <v>47040</v>
      </c>
      <c r="G331" s="31">
        <v>200</v>
      </c>
      <c r="H331" s="31">
        <v>300</v>
      </c>
      <c r="I331" s="28" t="s">
        <v>980</v>
      </c>
      <c r="J331" s="28" t="s">
        <v>1136</v>
      </c>
    </row>
    <row r="332" spans="1:10" x14ac:dyDescent="0.3">
      <c r="A332" s="28" t="s">
        <v>745</v>
      </c>
      <c r="B332" s="28" t="s">
        <v>1137</v>
      </c>
      <c r="C332" s="28" t="s">
        <v>991</v>
      </c>
      <c r="D332" s="28">
        <v>2026</v>
      </c>
      <c r="E332" s="28" t="s">
        <v>726</v>
      </c>
      <c r="F332" s="31">
        <v>41588</v>
      </c>
      <c r="G332" s="31">
        <v>0</v>
      </c>
      <c r="H332" s="31">
        <v>650</v>
      </c>
      <c r="I332" s="28" t="s">
        <v>985</v>
      </c>
      <c r="J332" s="28" t="s">
        <v>1144</v>
      </c>
    </row>
    <row r="333" spans="1:10" x14ac:dyDescent="0.3">
      <c r="A333" s="28" t="s">
        <v>747</v>
      </c>
      <c r="B333" s="28" t="s">
        <v>1135</v>
      </c>
      <c r="C333" s="28" t="s">
        <v>983</v>
      </c>
      <c r="D333" s="28">
        <v>2026</v>
      </c>
      <c r="E333" s="28" t="s">
        <v>726</v>
      </c>
      <c r="F333" s="31">
        <v>54720</v>
      </c>
      <c r="G333" s="31">
        <v>3495</v>
      </c>
      <c r="H333" s="31">
        <v>318</v>
      </c>
      <c r="I333" s="28" t="s">
        <v>980</v>
      </c>
      <c r="J333" s="28" t="s">
        <v>1136</v>
      </c>
    </row>
    <row r="334" spans="1:10" x14ac:dyDescent="0.3">
      <c r="A334" s="28" t="s">
        <v>747</v>
      </c>
      <c r="B334" s="28" t="s">
        <v>1137</v>
      </c>
      <c r="C334" s="28" t="s">
        <v>991</v>
      </c>
      <c r="D334" s="28">
        <v>2026</v>
      </c>
      <c r="E334" s="28" t="s">
        <v>726</v>
      </c>
      <c r="F334" s="31">
        <v>42592</v>
      </c>
      <c r="G334" s="31">
        <v>5206</v>
      </c>
      <c r="H334" s="31">
        <v>6148</v>
      </c>
      <c r="I334" s="28" t="s">
        <v>985</v>
      </c>
      <c r="J334" s="28" t="s">
        <v>1145</v>
      </c>
    </row>
    <row r="335" spans="1:10" x14ac:dyDescent="0.3">
      <c r="A335" s="28" t="s">
        <v>748</v>
      </c>
      <c r="B335" s="28" t="s">
        <v>1135</v>
      </c>
      <c r="C335" s="28" t="s">
        <v>983</v>
      </c>
      <c r="D335" s="28">
        <v>2026</v>
      </c>
      <c r="E335" s="28" t="s">
        <v>726</v>
      </c>
      <c r="F335" s="31">
        <v>54720</v>
      </c>
      <c r="G335" s="31">
        <v>200</v>
      </c>
      <c r="H335" s="31">
        <v>300</v>
      </c>
      <c r="I335" s="28" t="s">
        <v>980</v>
      </c>
      <c r="J335" s="28" t="s">
        <v>1136</v>
      </c>
    </row>
    <row r="336" spans="1:10" x14ac:dyDescent="0.3">
      <c r="A336" s="28" t="s">
        <v>748</v>
      </c>
      <c r="B336" s="28" t="s">
        <v>1137</v>
      </c>
      <c r="C336" s="28" t="s">
        <v>991</v>
      </c>
      <c r="D336" s="28">
        <v>2026</v>
      </c>
      <c r="E336" s="28" t="s">
        <v>726</v>
      </c>
      <c r="F336" s="31">
        <v>41588</v>
      </c>
      <c r="G336" s="31">
        <v>0</v>
      </c>
      <c r="H336" s="31">
        <v>650</v>
      </c>
      <c r="I336" s="28" t="s">
        <v>985</v>
      </c>
      <c r="J336" s="28" t="s">
        <v>1144</v>
      </c>
    </row>
    <row r="337" spans="1:10" x14ac:dyDescent="0.3">
      <c r="A337" s="28" t="s">
        <v>750</v>
      </c>
      <c r="B337" s="28" t="s">
        <v>1135</v>
      </c>
      <c r="C337" s="28" t="s">
        <v>983</v>
      </c>
      <c r="D337" s="28">
        <v>2026</v>
      </c>
      <c r="E337" s="28" t="s">
        <v>726</v>
      </c>
      <c r="F337" s="31">
        <v>64800</v>
      </c>
      <c r="G337" s="31">
        <v>4100</v>
      </c>
      <c r="H337" s="31">
        <v>318</v>
      </c>
      <c r="I337" s="28" t="s">
        <v>980</v>
      </c>
      <c r="J337" s="28" t="s">
        <v>1136</v>
      </c>
    </row>
    <row r="338" spans="1:10" x14ac:dyDescent="0.3">
      <c r="A338" s="28" t="s">
        <v>750</v>
      </c>
      <c r="B338" s="28" t="s">
        <v>1137</v>
      </c>
      <c r="C338" s="28" t="s">
        <v>991</v>
      </c>
      <c r="D338" s="28">
        <v>2026</v>
      </c>
      <c r="E338" s="28" t="s">
        <v>726</v>
      </c>
      <c r="F338" s="31">
        <v>42592</v>
      </c>
      <c r="G338" s="31">
        <v>5206</v>
      </c>
      <c r="H338" s="31">
        <v>6148</v>
      </c>
      <c r="I338" s="28" t="s">
        <v>985</v>
      </c>
      <c r="J338" s="28" t="s">
        <v>1145</v>
      </c>
    </row>
    <row r="339" spans="1:10" x14ac:dyDescent="0.3">
      <c r="A339" s="28" t="s">
        <v>751</v>
      </c>
      <c r="B339" s="28" t="s">
        <v>1135</v>
      </c>
      <c r="C339" s="28" t="s">
        <v>983</v>
      </c>
      <c r="D339" s="28">
        <v>2026</v>
      </c>
      <c r="E339" s="28" t="s">
        <v>726</v>
      </c>
      <c r="F339" s="31">
        <v>47040</v>
      </c>
      <c r="G339" s="31">
        <v>200</v>
      </c>
      <c r="H339" s="31">
        <v>300</v>
      </c>
      <c r="I339" s="28" t="s">
        <v>980</v>
      </c>
      <c r="J339" s="28" t="s">
        <v>1136</v>
      </c>
    </row>
    <row r="340" spans="1:10" x14ac:dyDescent="0.3">
      <c r="A340" s="28" t="s">
        <v>753</v>
      </c>
      <c r="B340" s="28" t="s">
        <v>1135</v>
      </c>
      <c r="C340" s="28" t="s">
        <v>983</v>
      </c>
      <c r="D340" s="28">
        <v>2026</v>
      </c>
      <c r="E340" s="28" t="s">
        <v>726</v>
      </c>
      <c r="F340" s="31">
        <v>54720</v>
      </c>
      <c r="G340" s="31">
        <v>3495</v>
      </c>
      <c r="H340" s="31">
        <v>318</v>
      </c>
      <c r="I340" s="28" t="s">
        <v>980</v>
      </c>
      <c r="J340" s="28" t="s">
        <v>1136</v>
      </c>
    </row>
    <row r="341" spans="1:10" x14ac:dyDescent="0.3">
      <c r="A341" s="28" t="s">
        <v>754</v>
      </c>
      <c r="B341" s="28" t="s">
        <v>1135</v>
      </c>
      <c r="C341" s="28" t="s">
        <v>983</v>
      </c>
      <c r="D341" s="28">
        <v>2026</v>
      </c>
      <c r="E341" s="28" t="s">
        <v>726</v>
      </c>
      <c r="F341" s="31">
        <v>47040</v>
      </c>
      <c r="G341" s="31">
        <v>200</v>
      </c>
      <c r="H341" s="31">
        <v>300</v>
      </c>
      <c r="I341" s="28" t="s">
        <v>980</v>
      </c>
      <c r="J341" s="28" t="s">
        <v>1136</v>
      </c>
    </row>
    <row r="342" spans="1:10" x14ac:dyDescent="0.3">
      <c r="A342" s="28" t="s">
        <v>754</v>
      </c>
      <c r="B342" s="28" t="s">
        <v>1135</v>
      </c>
      <c r="C342" s="28" t="s">
        <v>983</v>
      </c>
      <c r="D342" s="28">
        <v>2026</v>
      </c>
      <c r="E342" s="28" t="s">
        <v>726</v>
      </c>
      <c r="F342" s="31">
        <v>51360</v>
      </c>
      <c r="G342" s="31">
        <v>200</v>
      </c>
      <c r="H342" s="31">
        <v>300</v>
      </c>
      <c r="I342" s="28" t="s">
        <v>980</v>
      </c>
      <c r="J342" s="28" t="s">
        <v>1136</v>
      </c>
    </row>
    <row r="343" spans="1:10" x14ac:dyDescent="0.3">
      <c r="A343" s="28" t="s">
        <v>755</v>
      </c>
      <c r="B343" s="28" t="s">
        <v>1135</v>
      </c>
      <c r="C343" s="28" t="s">
        <v>983</v>
      </c>
      <c r="D343" s="28">
        <v>2026</v>
      </c>
      <c r="E343" s="28" t="s">
        <v>726</v>
      </c>
      <c r="F343" s="31">
        <v>54720</v>
      </c>
      <c r="G343" s="31">
        <v>3495</v>
      </c>
      <c r="H343" s="31">
        <v>318</v>
      </c>
      <c r="I343" s="28" t="s">
        <v>980</v>
      </c>
      <c r="J343" s="28" t="s">
        <v>1136</v>
      </c>
    </row>
    <row r="344" spans="1:10" x14ac:dyDescent="0.3">
      <c r="A344" s="28" t="s">
        <v>755</v>
      </c>
      <c r="B344" s="28" t="s">
        <v>1135</v>
      </c>
      <c r="C344" s="28" t="s">
        <v>983</v>
      </c>
      <c r="D344" s="28">
        <v>2026</v>
      </c>
      <c r="E344" s="28" t="s">
        <v>726</v>
      </c>
      <c r="F344" s="31">
        <v>60480</v>
      </c>
      <c r="G344" s="31">
        <v>3841</v>
      </c>
      <c r="H344" s="31">
        <v>318</v>
      </c>
      <c r="I344" s="28" t="s">
        <v>980</v>
      </c>
      <c r="J344" s="28" t="s">
        <v>1136</v>
      </c>
    </row>
    <row r="345" spans="1:10" x14ac:dyDescent="0.3">
      <c r="A345" s="28" t="s">
        <v>759</v>
      </c>
      <c r="B345" s="28" t="s">
        <v>1135</v>
      </c>
      <c r="C345" s="28" t="s">
        <v>983</v>
      </c>
      <c r="D345" s="28">
        <v>2026</v>
      </c>
      <c r="E345" s="28" t="s">
        <v>726</v>
      </c>
      <c r="F345" s="31">
        <v>44160</v>
      </c>
      <c r="G345" s="31">
        <v>200</v>
      </c>
      <c r="H345" s="31">
        <v>300</v>
      </c>
      <c r="I345" s="28" t="s">
        <v>980</v>
      </c>
      <c r="J345" s="28" t="s">
        <v>1136</v>
      </c>
    </row>
    <row r="346" spans="1:10" x14ac:dyDescent="0.3">
      <c r="A346" s="28" t="s">
        <v>759</v>
      </c>
      <c r="B346" s="28" t="s">
        <v>1137</v>
      </c>
      <c r="C346" s="28" t="s">
        <v>991</v>
      </c>
      <c r="D346" s="28">
        <v>2026</v>
      </c>
      <c r="E346" s="28" t="s">
        <v>726</v>
      </c>
      <c r="F346" s="31">
        <v>44396</v>
      </c>
      <c r="G346" s="31">
        <v>0</v>
      </c>
      <c r="H346" s="31">
        <v>650</v>
      </c>
      <c r="I346" s="28" t="s">
        <v>985</v>
      </c>
      <c r="J346" s="28" t="s">
        <v>1146</v>
      </c>
    </row>
    <row r="347" spans="1:10" x14ac:dyDescent="0.3">
      <c r="A347" s="28" t="s">
        <v>760</v>
      </c>
      <c r="B347" s="28" t="s">
        <v>1135</v>
      </c>
      <c r="C347" s="28" t="s">
        <v>983</v>
      </c>
      <c r="D347" s="28">
        <v>2026</v>
      </c>
      <c r="E347" s="28" t="s">
        <v>726</v>
      </c>
      <c r="F347" s="31">
        <v>51840</v>
      </c>
      <c r="G347" s="31">
        <v>3322</v>
      </c>
      <c r="H347" s="31">
        <v>318</v>
      </c>
      <c r="I347" s="28" t="s">
        <v>980</v>
      </c>
      <c r="J347" s="28" t="s">
        <v>1136</v>
      </c>
    </row>
    <row r="348" spans="1:10" x14ac:dyDescent="0.3">
      <c r="A348" s="28" t="s">
        <v>760</v>
      </c>
      <c r="B348" s="28" t="s">
        <v>1137</v>
      </c>
      <c r="C348" s="28" t="s">
        <v>991</v>
      </c>
      <c r="D348" s="28">
        <v>2026</v>
      </c>
      <c r="E348" s="28" t="s">
        <v>726</v>
      </c>
      <c r="F348" s="31">
        <v>45400</v>
      </c>
      <c r="G348" s="31">
        <v>5374</v>
      </c>
      <c r="H348" s="31">
        <v>6148</v>
      </c>
      <c r="I348" s="28" t="s">
        <v>985</v>
      </c>
      <c r="J348" s="28" t="s">
        <v>1147</v>
      </c>
    </row>
    <row r="349" spans="1:10" x14ac:dyDescent="0.3">
      <c r="A349" s="28" t="s">
        <v>761</v>
      </c>
      <c r="B349" s="28" t="s">
        <v>1135</v>
      </c>
      <c r="C349" s="28" t="s">
        <v>983</v>
      </c>
      <c r="D349" s="28">
        <v>2026</v>
      </c>
      <c r="E349" s="28" t="s">
        <v>726</v>
      </c>
      <c r="F349" s="31">
        <v>44160</v>
      </c>
      <c r="G349" s="31">
        <v>200</v>
      </c>
      <c r="H349" s="31">
        <v>300</v>
      </c>
      <c r="I349" s="28" t="s">
        <v>980</v>
      </c>
      <c r="J349" s="28" t="s">
        <v>1136</v>
      </c>
    </row>
    <row r="350" spans="1:10" x14ac:dyDescent="0.3">
      <c r="A350" s="28" t="s">
        <v>761</v>
      </c>
      <c r="B350" s="28" t="s">
        <v>1137</v>
      </c>
      <c r="C350" s="28" t="s">
        <v>991</v>
      </c>
      <c r="D350" s="28">
        <v>2026</v>
      </c>
      <c r="E350" s="28" t="s">
        <v>726</v>
      </c>
      <c r="F350" s="31">
        <v>41624</v>
      </c>
      <c r="G350" s="31">
        <v>0</v>
      </c>
      <c r="H350" s="31">
        <v>650</v>
      </c>
      <c r="I350" s="28" t="s">
        <v>985</v>
      </c>
      <c r="J350" s="28" t="s">
        <v>1146</v>
      </c>
    </row>
    <row r="351" spans="1:10" x14ac:dyDescent="0.3">
      <c r="A351" s="28" t="s">
        <v>762</v>
      </c>
      <c r="B351" s="28" t="s">
        <v>1135</v>
      </c>
      <c r="C351" s="28" t="s">
        <v>983</v>
      </c>
      <c r="D351" s="28">
        <v>2026</v>
      </c>
      <c r="E351" s="28" t="s">
        <v>726</v>
      </c>
      <c r="F351" s="31">
        <v>51840</v>
      </c>
      <c r="G351" s="31">
        <v>3322</v>
      </c>
      <c r="H351" s="31">
        <v>318</v>
      </c>
      <c r="I351" s="28" t="s">
        <v>980</v>
      </c>
      <c r="J351" s="28" t="s">
        <v>1136</v>
      </c>
    </row>
    <row r="352" spans="1:10" x14ac:dyDescent="0.3">
      <c r="A352" s="28" t="s">
        <v>762</v>
      </c>
      <c r="B352" s="28" t="s">
        <v>1137</v>
      </c>
      <c r="C352" s="28" t="s">
        <v>991</v>
      </c>
      <c r="D352" s="28">
        <v>2026</v>
      </c>
      <c r="E352" s="28" t="s">
        <v>726</v>
      </c>
      <c r="F352" s="31">
        <v>42628</v>
      </c>
      <c r="G352" s="31">
        <v>5208</v>
      </c>
      <c r="H352" s="31">
        <v>6148</v>
      </c>
      <c r="I352" s="28" t="s">
        <v>985</v>
      </c>
      <c r="J352" s="28" t="s">
        <v>1147</v>
      </c>
    </row>
    <row r="353" spans="1:10" x14ac:dyDescent="0.3">
      <c r="A353" s="28" t="s">
        <v>763</v>
      </c>
      <c r="B353" s="28" t="s">
        <v>1135</v>
      </c>
      <c r="C353" s="28" t="s">
        <v>983</v>
      </c>
      <c r="D353" s="28">
        <v>2026</v>
      </c>
      <c r="E353" s="28" t="s">
        <v>726</v>
      </c>
      <c r="F353" s="31">
        <v>44160</v>
      </c>
      <c r="G353" s="31">
        <v>200</v>
      </c>
      <c r="H353" s="31">
        <v>300</v>
      </c>
      <c r="I353" s="28" t="s">
        <v>980</v>
      </c>
      <c r="J353" s="28" t="s">
        <v>1136</v>
      </c>
    </row>
    <row r="354" spans="1:10" x14ac:dyDescent="0.3">
      <c r="A354" s="28" t="s">
        <v>763</v>
      </c>
      <c r="B354" s="28" t="s">
        <v>1137</v>
      </c>
      <c r="C354" s="28" t="s">
        <v>991</v>
      </c>
      <c r="D354" s="28">
        <v>2026</v>
      </c>
      <c r="E354" s="28" t="s">
        <v>726</v>
      </c>
      <c r="F354" s="31">
        <v>35674</v>
      </c>
      <c r="G354" s="31">
        <v>0</v>
      </c>
      <c r="H354" s="31">
        <v>650</v>
      </c>
      <c r="I354" s="28" t="s">
        <v>985</v>
      </c>
      <c r="J354" s="28" t="s">
        <v>1146</v>
      </c>
    </row>
    <row r="355" spans="1:10" x14ac:dyDescent="0.3">
      <c r="A355" s="28" t="s">
        <v>765</v>
      </c>
      <c r="B355" s="28" t="s">
        <v>1135</v>
      </c>
      <c r="C355" s="28" t="s">
        <v>983</v>
      </c>
      <c r="D355" s="28">
        <v>2026</v>
      </c>
      <c r="E355" s="28" t="s">
        <v>726</v>
      </c>
      <c r="F355" s="31">
        <v>51840</v>
      </c>
      <c r="G355" s="31">
        <v>3322</v>
      </c>
      <c r="H355" s="31">
        <v>318</v>
      </c>
      <c r="I355" s="28" t="s">
        <v>980</v>
      </c>
      <c r="J355" s="28" t="s">
        <v>1136</v>
      </c>
    </row>
    <row r="356" spans="1:10" x14ac:dyDescent="0.3">
      <c r="A356" s="28" t="s">
        <v>765</v>
      </c>
      <c r="B356" s="28" t="s">
        <v>1137</v>
      </c>
      <c r="C356" s="28" t="s">
        <v>991</v>
      </c>
      <c r="D356" s="28">
        <v>2026</v>
      </c>
      <c r="E356" s="28" t="s">
        <v>726</v>
      </c>
      <c r="F356" s="31">
        <v>36552</v>
      </c>
      <c r="G356" s="31">
        <v>4843</v>
      </c>
      <c r="H356" s="31">
        <v>6148</v>
      </c>
      <c r="I356" s="28" t="s">
        <v>985</v>
      </c>
      <c r="J356" s="28" t="s">
        <v>1147</v>
      </c>
    </row>
    <row r="357" spans="1:10" x14ac:dyDescent="0.3">
      <c r="A357" s="28" t="s">
        <v>773</v>
      </c>
      <c r="B357" s="28" t="s">
        <v>1137</v>
      </c>
      <c r="C357" s="28" t="s">
        <v>991</v>
      </c>
      <c r="D357" s="28">
        <v>2026</v>
      </c>
      <c r="E357" s="28" t="s">
        <v>726</v>
      </c>
      <c r="F357" s="31">
        <v>45116</v>
      </c>
      <c r="G357" s="31">
        <v>0</v>
      </c>
      <c r="H357" s="31">
        <v>650</v>
      </c>
      <c r="I357" s="28" t="s">
        <v>985</v>
      </c>
      <c r="J357" s="28" t="s">
        <v>1148</v>
      </c>
    </row>
    <row r="358" spans="1:10" x14ac:dyDescent="0.3">
      <c r="A358" s="28" t="s">
        <v>775</v>
      </c>
      <c r="B358" s="28" t="s">
        <v>1137</v>
      </c>
      <c r="C358" s="28" t="s">
        <v>991</v>
      </c>
      <c r="D358" s="28">
        <v>2026</v>
      </c>
      <c r="E358" s="28" t="s">
        <v>726</v>
      </c>
      <c r="F358" s="31">
        <v>46120</v>
      </c>
      <c r="G358" s="31">
        <v>5417</v>
      </c>
      <c r="H358" s="31">
        <v>6148</v>
      </c>
      <c r="I358" s="28" t="s">
        <v>985</v>
      </c>
      <c r="J358" s="28" t="s">
        <v>1149</v>
      </c>
    </row>
    <row r="359" spans="1:10" x14ac:dyDescent="0.3">
      <c r="A359" s="28" t="s">
        <v>776</v>
      </c>
      <c r="B359" s="28" t="s">
        <v>1137</v>
      </c>
      <c r="C359" s="28" t="s">
        <v>991</v>
      </c>
      <c r="D359" s="28">
        <v>2026</v>
      </c>
      <c r="E359" s="28" t="s">
        <v>726</v>
      </c>
      <c r="F359" s="31">
        <v>46268</v>
      </c>
      <c r="G359" s="31">
        <v>0</v>
      </c>
      <c r="H359" s="31">
        <v>650</v>
      </c>
      <c r="I359" s="28" t="s">
        <v>985</v>
      </c>
      <c r="J359" s="28" t="s">
        <v>1150</v>
      </c>
    </row>
    <row r="360" spans="1:10" x14ac:dyDescent="0.3">
      <c r="A360" s="28" t="s">
        <v>778</v>
      </c>
      <c r="B360" s="28" t="s">
        <v>1137</v>
      </c>
      <c r="C360" s="28" t="s">
        <v>991</v>
      </c>
      <c r="D360" s="28">
        <v>2026</v>
      </c>
      <c r="E360" s="28" t="s">
        <v>726</v>
      </c>
      <c r="F360" s="31">
        <v>47272</v>
      </c>
      <c r="G360" s="31">
        <v>5486</v>
      </c>
      <c r="H360" s="31">
        <v>6148</v>
      </c>
      <c r="I360" s="28" t="s">
        <v>985</v>
      </c>
      <c r="J360" s="28" t="s">
        <v>1151</v>
      </c>
    </row>
    <row r="361" spans="1:10" x14ac:dyDescent="0.3">
      <c r="A361" s="28" t="s">
        <v>779</v>
      </c>
      <c r="B361" s="28" t="s">
        <v>1135</v>
      </c>
      <c r="C361" s="28" t="s">
        <v>983</v>
      </c>
      <c r="D361" s="28">
        <v>2026</v>
      </c>
      <c r="E361" s="28" t="s">
        <v>726</v>
      </c>
      <c r="F361" s="31">
        <v>43200</v>
      </c>
      <c r="G361" s="31">
        <v>200</v>
      </c>
      <c r="H361" s="31">
        <v>300</v>
      </c>
      <c r="I361" s="28" t="s">
        <v>980</v>
      </c>
      <c r="J361" s="28" t="s">
        <v>1136</v>
      </c>
    </row>
    <row r="362" spans="1:10" x14ac:dyDescent="0.3">
      <c r="A362" s="28" t="s">
        <v>780</v>
      </c>
      <c r="B362" s="28" t="s">
        <v>1135</v>
      </c>
      <c r="C362" s="28" t="s">
        <v>983</v>
      </c>
      <c r="D362" s="28">
        <v>2026</v>
      </c>
      <c r="E362" s="28" t="s">
        <v>726</v>
      </c>
      <c r="F362" s="31">
        <v>49920</v>
      </c>
      <c r="G362" s="31">
        <v>3207</v>
      </c>
      <c r="H362" s="31">
        <v>318</v>
      </c>
      <c r="I362" s="28" t="s">
        <v>980</v>
      </c>
      <c r="J362" s="28" t="s">
        <v>1136</v>
      </c>
    </row>
    <row r="363" spans="1:10" x14ac:dyDescent="0.3">
      <c r="A363" s="28" t="s">
        <v>781</v>
      </c>
      <c r="B363" s="28" t="s">
        <v>1135</v>
      </c>
      <c r="C363" s="28" t="s">
        <v>983</v>
      </c>
      <c r="D363" s="28">
        <v>2026</v>
      </c>
      <c r="E363" s="28" t="s">
        <v>726</v>
      </c>
      <c r="F363" s="31">
        <v>51360</v>
      </c>
      <c r="G363" s="31">
        <v>200</v>
      </c>
      <c r="H363" s="31">
        <v>300</v>
      </c>
      <c r="I363" s="28" t="s">
        <v>980</v>
      </c>
      <c r="J363" s="28" t="s">
        <v>1136</v>
      </c>
    </row>
    <row r="364" spans="1:10" x14ac:dyDescent="0.3">
      <c r="A364" s="28" t="s">
        <v>781</v>
      </c>
      <c r="B364" s="28" t="s">
        <v>1137</v>
      </c>
      <c r="C364" s="28" t="s">
        <v>991</v>
      </c>
      <c r="D364" s="28">
        <v>2026</v>
      </c>
      <c r="E364" s="28" t="s">
        <v>726</v>
      </c>
      <c r="F364" s="31">
        <v>41192</v>
      </c>
      <c r="G364" s="31">
        <v>0</v>
      </c>
      <c r="H364" s="31">
        <v>650</v>
      </c>
      <c r="I364" s="28" t="s">
        <v>985</v>
      </c>
      <c r="J364" s="28" t="s">
        <v>1152</v>
      </c>
    </row>
    <row r="365" spans="1:10" x14ac:dyDescent="0.3">
      <c r="A365" s="28" t="s">
        <v>782</v>
      </c>
      <c r="B365" s="28" t="s">
        <v>1135</v>
      </c>
      <c r="C365" s="28" t="s">
        <v>983</v>
      </c>
      <c r="D365" s="28">
        <v>2026</v>
      </c>
      <c r="E365" s="28" t="s">
        <v>726</v>
      </c>
      <c r="F365" s="31">
        <v>60480</v>
      </c>
      <c r="G365" s="31">
        <v>3841</v>
      </c>
      <c r="H365" s="31">
        <v>318</v>
      </c>
      <c r="I365" s="28" t="s">
        <v>980</v>
      </c>
      <c r="J365" s="28" t="s">
        <v>1136</v>
      </c>
    </row>
    <row r="366" spans="1:10" x14ac:dyDescent="0.3">
      <c r="A366" s="28" t="s">
        <v>786</v>
      </c>
      <c r="B366" s="28" t="s">
        <v>1153</v>
      </c>
      <c r="C366" s="28" t="s">
        <v>991</v>
      </c>
      <c r="D366" s="28">
        <v>2026</v>
      </c>
      <c r="E366" s="28" t="s">
        <v>603</v>
      </c>
      <c r="F366" s="31">
        <v>2500</v>
      </c>
      <c r="G366" s="31">
        <v>254</v>
      </c>
      <c r="H366" s="31">
        <v>330</v>
      </c>
      <c r="I366" s="28" t="s">
        <v>980</v>
      </c>
      <c r="J366" s="28" t="s">
        <v>1154</v>
      </c>
    </row>
    <row r="367" spans="1:10" x14ac:dyDescent="0.3">
      <c r="A367" s="28" t="s">
        <v>788</v>
      </c>
      <c r="B367" s="28" t="s">
        <v>1155</v>
      </c>
      <c r="C367" s="28" t="s">
        <v>991</v>
      </c>
      <c r="D367" s="28">
        <v>2026</v>
      </c>
      <c r="E367" s="28" t="s">
        <v>603</v>
      </c>
      <c r="F367" s="31">
        <v>60000</v>
      </c>
      <c r="G367" s="31">
        <v>0</v>
      </c>
      <c r="H367" s="31">
        <v>0</v>
      </c>
      <c r="I367" s="28" t="s">
        <v>980</v>
      </c>
      <c r="J367" s="28" t="s">
        <v>1156</v>
      </c>
    </row>
    <row r="368" spans="1:10" x14ac:dyDescent="0.3">
      <c r="A368" s="28" t="s">
        <v>788</v>
      </c>
      <c r="B368" s="28" t="s">
        <v>1153</v>
      </c>
      <c r="C368" s="28" t="s">
        <v>991</v>
      </c>
      <c r="D368" s="28">
        <v>2026</v>
      </c>
      <c r="E368" s="28" t="s">
        <v>603</v>
      </c>
      <c r="F368" s="31">
        <v>63890</v>
      </c>
      <c r="G368" s="31">
        <v>0</v>
      </c>
      <c r="H368" s="31">
        <v>330</v>
      </c>
      <c r="I368" s="28" t="s">
        <v>980</v>
      </c>
      <c r="J368" s="28" t="s">
        <v>1157</v>
      </c>
    </row>
    <row r="369" spans="1:10" x14ac:dyDescent="0.3">
      <c r="A369" s="28" t="s">
        <v>790</v>
      </c>
      <c r="B369" s="28" t="s">
        <v>1155</v>
      </c>
      <c r="C369" s="28" t="s">
        <v>991</v>
      </c>
      <c r="D369" s="28">
        <v>2026</v>
      </c>
      <c r="E369" s="28" t="s">
        <v>603</v>
      </c>
      <c r="F369" s="31">
        <v>2500</v>
      </c>
      <c r="G369" s="31">
        <v>0</v>
      </c>
      <c r="H369" s="31">
        <v>0</v>
      </c>
      <c r="I369" s="28" t="s">
        <v>980</v>
      </c>
      <c r="J369" s="28" t="s">
        <v>1156</v>
      </c>
    </row>
    <row r="370" spans="1:10" x14ac:dyDescent="0.3">
      <c r="A370" s="28" t="s">
        <v>792</v>
      </c>
      <c r="B370" s="28" t="s">
        <v>1155</v>
      </c>
      <c r="C370" s="28" t="s">
        <v>991</v>
      </c>
      <c r="D370" s="28">
        <v>2026</v>
      </c>
      <c r="E370" s="28" t="s">
        <v>603</v>
      </c>
      <c r="F370" s="31">
        <v>60000</v>
      </c>
      <c r="G370" s="31">
        <v>0</v>
      </c>
      <c r="H370" s="31">
        <v>0</v>
      </c>
      <c r="I370" s="28" t="s">
        <v>980</v>
      </c>
      <c r="J370" s="28" t="s">
        <v>1156</v>
      </c>
    </row>
    <row r="371" spans="1:10" x14ac:dyDescent="0.3">
      <c r="A371" s="28" t="s">
        <v>793</v>
      </c>
      <c r="B371" s="28" t="s">
        <v>1155</v>
      </c>
      <c r="C371" s="28" t="s">
        <v>991</v>
      </c>
      <c r="D371" s="28">
        <v>2026</v>
      </c>
      <c r="E371" s="28" t="s">
        <v>603</v>
      </c>
      <c r="F371" s="31">
        <v>2500</v>
      </c>
      <c r="G371" s="31">
        <v>0</v>
      </c>
      <c r="H371" s="31">
        <v>0</v>
      </c>
      <c r="I371" s="28" t="s">
        <v>980</v>
      </c>
      <c r="J371" s="28" t="s">
        <v>1156</v>
      </c>
    </row>
    <row r="372" spans="1:10" x14ac:dyDescent="0.3">
      <c r="A372" s="28" t="s">
        <v>795</v>
      </c>
      <c r="B372" s="28" t="s">
        <v>1155</v>
      </c>
      <c r="C372" s="28" t="s">
        <v>991</v>
      </c>
      <c r="D372" s="28">
        <v>2026</v>
      </c>
      <c r="E372" s="28" t="s">
        <v>603</v>
      </c>
      <c r="F372" s="31">
        <v>21230</v>
      </c>
      <c r="G372" s="31">
        <v>0</v>
      </c>
      <c r="H372" s="31">
        <v>0</v>
      </c>
      <c r="I372" s="28" t="s">
        <v>980</v>
      </c>
      <c r="J372" s="28" t="s">
        <v>1156</v>
      </c>
    </row>
    <row r="373" spans="1:10" x14ac:dyDescent="0.3">
      <c r="A373" s="28" t="s">
        <v>796</v>
      </c>
      <c r="B373" s="28" t="s">
        <v>1153</v>
      </c>
      <c r="C373" s="28" t="s">
        <v>991</v>
      </c>
      <c r="D373" s="28">
        <v>2026</v>
      </c>
      <c r="E373" s="28" t="s">
        <v>603</v>
      </c>
      <c r="F373" s="31">
        <v>2500</v>
      </c>
      <c r="G373" s="31">
        <v>254</v>
      </c>
      <c r="H373" s="31">
        <v>0</v>
      </c>
      <c r="I373" s="28" t="s">
        <v>980</v>
      </c>
      <c r="J373" s="28" t="s">
        <v>1154</v>
      </c>
    </row>
    <row r="374" spans="1:10" x14ac:dyDescent="0.3">
      <c r="A374" s="28" t="s">
        <v>798</v>
      </c>
      <c r="B374" s="28" t="s">
        <v>1155</v>
      </c>
      <c r="C374" s="28" t="s">
        <v>991</v>
      </c>
      <c r="D374" s="28">
        <v>2026</v>
      </c>
      <c r="E374" s="28" t="s">
        <v>603</v>
      </c>
      <c r="F374" s="31">
        <v>25460</v>
      </c>
      <c r="G374" s="31">
        <v>0</v>
      </c>
      <c r="H374" s="31">
        <v>0</v>
      </c>
      <c r="I374" s="28" t="s">
        <v>980</v>
      </c>
      <c r="J374" s="28" t="s">
        <v>1156</v>
      </c>
    </row>
    <row r="375" spans="1:10" x14ac:dyDescent="0.3">
      <c r="A375" s="28" t="s">
        <v>798</v>
      </c>
      <c r="B375" s="28" t="s">
        <v>1153</v>
      </c>
      <c r="C375" s="28" t="s">
        <v>991</v>
      </c>
      <c r="D375" s="28">
        <v>2026</v>
      </c>
      <c r="E375" s="28" t="s">
        <v>603</v>
      </c>
      <c r="F375" s="31">
        <v>29500</v>
      </c>
      <c r="G375" s="31">
        <v>0</v>
      </c>
      <c r="H375" s="31">
        <v>0</v>
      </c>
      <c r="I375" s="28" t="s">
        <v>980</v>
      </c>
      <c r="J375" s="28" t="s">
        <v>1157</v>
      </c>
    </row>
    <row r="376" spans="1:10" x14ac:dyDescent="0.3">
      <c r="A376" s="28" t="s">
        <v>800</v>
      </c>
      <c r="B376" s="28" t="s">
        <v>1153</v>
      </c>
      <c r="C376" s="28" t="s">
        <v>991</v>
      </c>
      <c r="D376" s="28">
        <v>2026</v>
      </c>
      <c r="E376" s="28" t="s">
        <v>603</v>
      </c>
      <c r="F376" s="31">
        <v>2500</v>
      </c>
      <c r="G376" s="31">
        <v>254</v>
      </c>
      <c r="H376" s="31">
        <v>330</v>
      </c>
      <c r="I376" s="28" t="s">
        <v>980</v>
      </c>
      <c r="J376" s="28" t="s">
        <v>1154</v>
      </c>
    </row>
    <row r="377" spans="1:10" x14ac:dyDescent="0.3">
      <c r="A377" s="28" t="s">
        <v>801</v>
      </c>
      <c r="B377" s="28" t="s">
        <v>1155</v>
      </c>
      <c r="C377" s="28" t="s">
        <v>991</v>
      </c>
      <c r="D377" s="28">
        <v>2026</v>
      </c>
      <c r="E377" s="28" t="s">
        <v>603</v>
      </c>
      <c r="F377" s="31">
        <v>26880</v>
      </c>
      <c r="G377" s="31">
        <v>0</v>
      </c>
      <c r="H377" s="31">
        <v>0</v>
      </c>
      <c r="I377" s="28" t="s">
        <v>980</v>
      </c>
      <c r="J377" s="28" t="s">
        <v>1156</v>
      </c>
    </row>
    <row r="378" spans="1:10" x14ac:dyDescent="0.3">
      <c r="A378" s="28" t="s">
        <v>801</v>
      </c>
      <c r="B378" s="28" t="s">
        <v>1153</v>
      </c>
      <c r="C378" s="28" t="s">
        <v>991</v>
      </c>
      <c r="D378" s="28">
        <v>2026</v>
      </c>
      <c r="E378" s="28" t="s">
        <v>603</v>
      </c>
      <c r="F378" s="31">
        <v>29500</v>
      </c>
      <c r="G378" s="31">
        <v>0</v>
      </c>
      <c r="H378" s="31">
        <v>330</v>
      </c>
      <c r="I378" s="28" t="s">
        <v>980</v>
      </c>
      <c r="J378" s="28" t="s">
        <v>1157</v>
      </c>
    </row>
    <row r="379" spans="1:10" x14ac:dyDescent="0.3">
      <c r="A379" s="28" t="s">
        <v>802</v>
      </c>
      <c r="B379" s="28" t="s">
        <v>1153</v>
      </c>
      <c r="C379" s="28" t="s">
        <v>991</v>
      </c>
      <c r="D379" s="28">
        <v>2026</v>
      </c>
      <c r="E379" s="28" t="s">
        <v>603</v>
      </c>
      <c r="F379" s="31">
        <v>2500</v>
      </c>
      <c r="G379" s="31">
        <v>254</v>
      </c>
      <c r="H379" s="31">
        <v>0</v>
      </c>
      <c r="I379" s="28" t="s">
        <v>980</v>
      </c>
      <c r="J379" s="28" t="s">
        <v>1154</v>
      </c>
    </row>
    <row r="380" spans="1:10" x14ac:dyDescent="0.3">
      <c r="A380" s="28" t="s">
        <v>804</v>
      </c>
      <c r="B380" s="28" t="s">
        <v>1155</v>
      </c>
      <c r="C380" s="28" t="s">
        <v>991</v>
      </c>
      <c r="D380" s="28">
        <v>2026</v>
      </c>
      <c r="E380" s="28" t="s">
        <v>603</v>
      </c>
      <c r="F380" s="31">
        <v>29570</v>
      </c>
      <c r="G380" s="31">
        <v>0</v>
      </c>
      <c r="H380" s="31">
        <v>0</v>
      </c>
      <c r="I380" s="28" t="s">
        <v>980</v>
      </c>
      <c r="J380" s="28" t="s">
        <v>1156</v>
      </c>
    </row>
    <row r="381" spans="1:10" x14ac:dyDescent="0.3">
      <c r="A381" s="28" t="s">
        <v>804</v>
      </c>
      <c r="B381" s="28" t="s">
        <v>1153</v>
      </c>
      <c r="C381" s="28" t="s">
        <v>991</v>
      </c>
      <c r="D381" s="28">
        <v>2026</v>
      </c>
      <c r="E381" s="28" t="s">
        <v>603</v>
      </c>
      <c r="F381" s="31">
        <v>29500</v>
      </c>
      <c r="G381" s="31">
        <v>0</v>
      </c>
      <c r="H381" s="31">
        <v>0</v>
      </c>
      <c r="I381" s="28" t="s">
        <v>980</v>
      </c>
      <c r="J381" s="28" t="s">
        <v>1157</v>
      </c>
    </row>
    <row r="382" spans="1:10" x14ac:dyDescent="0.3">
      <c r="A382" s="28" t="s">
        <v>806</v>
      </c>
      <c r="B382" s="28" t="s">
        <v>1153</v>
      </c>
      <c r="C382" s="28" t="s">
        <v>991</v>
      </c>
      <c r="D382" s="28">
        <v>2026</v>
      </c>
      <c r="E382" s="28" t="s">
        <v>603</v>
      </c>
      <c r="F382" s="31">
        <v>2500</v>
      </c>
      <c r="G382" s="31">
        <v>254</v>
      </c>
      <c r="H382" s="31">
        <v>0</v>
      </c>
      <c r="I382" s="28" t="s">
        <v>980</v>
      </c>
      <c r="J382" s="28" t="s">
        <v>1154</v>
      </c>
    </row>
    <row r="383" spans="1:10" x14ac:dyDescent="0.3">
      <c r="A383" s="28" t="s">
        <v>808</v>
      </c>
      <c r="B383" s="28" t="s">
        <v>1155</v>
      </c>
      <c r="C383" s="28" t="s">
        <v>991</v>
      </c>
      <c r="D383" s="28">
        <v>2026</v>
      </c>
      <c r="E383" s="28" t="s">
        <v>603</v>
      </c>
      <c r="F383" s="31">
        <v>29570</v>
      </c>
      <c r="G383" s="31">
        <v>0</v>
      </c>
      <c r="H383" s="31">
        <v>0</v>
      </c>
      <c r="I383" s="28" t="s">
        <v>980</v>
      </c>
      <c r="J383" s="28" t="s">
        <v>1156</v>
      </c>
    </row>
    <row r="384" spans="1:10" x14ac:dyDescent="0.3">
      <c r="A384" s="28" t="s">
        <v>808</v>
      </c>
      <c r="B384" s="28" t="s">
        <v>1153</v>
      </c>
      <c r="C384" s="28" t="s">
        <v>991</v>
      </c>
      <c r="D384" s="28">
        <v>2026</v>
      </c>
      <c r="E384" s="28" t="s">
        <v>603</v>
      </c>
      <c r="F384" s="31">
        <v>29500</v>
      </c>
      <c r="G384" s="31">
        <v>0</v>
      </c>
      <c r="H384" s="31">
        <v>0</v>
      </c>
      <c r="I384" s="28" t="s">
        <v>980</v>
      </c>
      <c r="J384" s="28" t="s">
        <v>1157</v>
      </c>
    </row>
    <row r="385" spans="1:10" x14ac:dyDescent="0.3">
      <c r="A385" s="28" t="s">
        <v>819</v>
      </c>
      <c r="B385" s="28" t="s">
        <v>1153</v>
      </c>
      <c r="C385" s="28" t="s">
        <v>991</v>
      </c>
      <c r="D385" s="28">
        <v>2026</v>
      </c>
      <c r="E385" s="28" t="s">
        <v>603</v>
      </c>
      <c r="F385" s="31">
        <v>2500</v>
      </c>
      <c r="G385" s="31">
        <v>254</v>
      </c>
      <c r="H385" s="31">
        <v>0</v>
      </c>
      <c r="I385" s="28" t="s">
        <v>980</v>
      </c>
      <c r="J385" s="28" t="s">
        <v>1154</v>
      </c>
    </row>
    <row r="386" spans="1:10" x14ac:dyDescent="0.3">
      <c r="A386" s="28" t="s">
        <v>821</v>
      </c>
      <c r="B386" s="28" t="s">
        <v>1155</v>
      </c>
      <c r="C386" s="28" t="s">
        <v>991</v>
      </c>
      <c r="D386" s="28">
        <v>2026</v>
      </c>
      <c r="E386" s="28" t="s">
        <v>603</v>
      </c>
      <c r="F386" s="31">
        <v>22580</v>
      </c>
      <c r="G386" s="31">
        <v>0</v>
      </c>
      <c r="H386" s="31">
        <v>0</v>
      </c>
      <c r="I386" s="28" t="s">
        <v>980</v>
      </c>
      <c r="J386" s="28" t="s">
        <v>1156</v>
      </c>
    </row>
    <row r="387" spans="1:10" x14ac:dyDescent="0.3">
      <c r="A387" s="28" t="s">
        <v>821</v>
      </c>
      <c r="B387" s="28" t="s">
        <v>1153</v>
      </c>
      <c r="C387" s="28" t="s">
        <v>991</v>
      </c>
      <c r="D387" s="28">
        <v>2026</v>
      </c>
      <c r="E387" s="28" t="s">
        <v>603</v>
      </c>
      <c r="F387" s="31">
        <v>23170</v>
      </c>
      <c r="G387" s="31">
        <v>0</v>
      </c>
      <c r="H387" s="31">
        <v>0</v>
      </c>
      <c r="I387" s="28" t="s">
        <v>980</v>
      </c>
      <c r="J387" s="28" t="s">
        <v>1157</v>
      </c>
    </row>
    <row r="388" spans="1:10" x14ac:dyDescent="0.3">
      <c r="A388" s="28" t="s">
        <v>823</v>
      </c>
      <c r="B388" s="28" t="s">
        <v>1153</v>
      </c>
      <c r="C388" s="28" t="s">
        <v>991</v>
      </c>
      <c r="D388" s="28">
        <v>2026</v>
      </c>
      <c r="E388" s="28" t="s">
        <v>603</v>
      </c>
      <c r="F388" s="31">
        <v>2500</v>
      </c>
      <c r="G388" s="31">
        <v>254</v>
      </c>
      <c r="H388" s="31">
        <v>0</v>
      </c>
      <c r="I388" s="28" t="s">
        <v>980</v>
      </c>
      <c r="J388" s="28" t="s">
        <v>1154</v>
      </c>
    </row>
    <row r="389" spans="1:10" x14ac:dyDescent="0.3">
      <c r="A389" s="28" t="s">
        <v>824</v>
      </c>
      <c r="B389" s="28" t="s">
        <v>1153</v>
      </c>
      <c r="C389" s="28" t="s">
        <v>991</v>
      </c>
      <c r="D389" s="28">
        <v>2026</v>
      </c>
      <c r="E389" s="28" t="s">
        <v>603</v>
      </c>
      <c r="F389" s="31">
        <v>23170</v>
      </c>
      <c r="G389" s="31">
        <v>0</v>
      </c>
      <c r="H389" s="31">
        <v>0</v>
      </c>
      <c r="I389" s="28" t="s">
        <v>980</v>
      </c>
      <c r="J389" s="28" t="s">
        <v>1157</v>
      </c>
    </row>
    <row r="390" spans="1:10" x14ac:dyDescent="0.3">
      <c r="A390" s="28" t="s">
        <v>836</v>
      </c>
      <c r="B390" s="28" t="s">
        <v>1153</v>
      </c>
      <c r="C390" s="28" t="s">
        <v>991</v>
      </c>
      <c r="D390" s="28">
        <v>2026</v>
      </c>
      <c r="E390" s="28" t="s">
        <v>603</v>
      </c>
      <c r="F390" s="31">
        <v>2500</v>
      </c>
      <c r="G390" s="31">
        <v>254</v>
      </c>
      <c r="H390" s="31">
        <v>0</v>
      </c>
      <c r="I390" s="28" t="s">
        <v>980</v>
      </c>
      <c r="J390" s="28" t="s">
        <v>1154</v>
      </c>
    </row>
    <row r="391" spans="1:10" x14ac:dyDescent="0.3">
      <c r="A391" s="28" t="s">
        <v>838</v>
      </c>
      <c r="B391" s="28" t="s">
        <v>1155</v>
      </c>
      <c r="C391" s="28" t="s">
        <v>991</v>
      </c>
      <c r="D391" s="28">
        <v>2026</v>
      </c>
      <c r="E391" s="28" t="s">
        <v>603</v>
      </c>
      <c r="F391" s="31">
        <v>22580</v>
      </c>
      <c r="G391" s="31">
        <v>0</v>
      </c>
      <c r="H391" s="31">
        <v>0</v>
      </c>
      <c r="I391" s="28" t="s">
        <v>980</v>
      </c>
      <c r="J391" s="28" t="s">
        <v>1156</v>
      </c>
    </row>
    <row r="392" spans="1:10" x14ac:dyDescent="0.3">
      <c r="A392" s="28" t="s">
        <v>838</v>
      </c>
      <c r="B392" s="28" t="s">
        <v>1153</v>
      </c>
      <c r="C392" s="28" t="s">
        <v>991</v>
      </c>
      <c r="D392" s="28">
        <v>2026</v>
      </c>
      <c r="E392" s="28" t="s">
        <v>603</v>
      </c>
      <c r="F392" s="31">
        <v>22600</v>
      </c>
      <c r="G392" s="31">
        <v>0</v>
      </c>
      <c r="H392" s="31">
        <v>0</v>
      </c>
      <c r="I392" s="28" t="s">
        <v>980</v>
      </c>
      <c r="J392" s="28" t="s">
        <v>1157</v>
      </c>
    </row>
    <row r="393" spans="1:10" x14ac:dyDescent="0.3">
      <c r="A393" s="28" t="s">
        <v>840</v>
      </c>
      <c r="B393" s="28" t="s">
        <v>1153</v>
      </c>
      <c r="C393" s="28" t="s">
        <v>991</v>
      </c>
      <c r="D393" s="28">
        <v>2026</v>
      </c>
      <c r="E393" s="28" t="s">
        <v>603</v>
      </c>
      <c r="F393" s="31">
        <v>2500</v>
      </c>
      <c r="G393" s="31">
        <v>254</v>
      </c>
      <c r="H393" s="31">
        <v>0</v>
      </c>
      <c r="I393" s="28" t="s">
        <v>980</v>
      </c>
      <c r="J393" s="28" t="s">
        <v>1154</v>
      </c>
    </row>
    <row r="394" spans="1:10" x14ac:dyDescent="0.3">
      <c r="A394" s="28" t="s">
        <v>842</v>
      </c>
      <c r="B394" s="28" t="s">
        <v>1153</v>
      </c>
      <c r="C394" s="28" t="s">
        <v>991</v>
      </c>
      <c r="D394" s="28">
        <v>2026</v>
      </c>
      <c r="E394" s="28" t="s">
        <v>603</v>
      </c>
      <c r="F394" s="31">
        <v>29500</v>
      </c>
      <c r="G394" s="31">
        <v>0</v>
      </c>
      <c r="H394" s="31">
        <v>0</v>
      </c>
      <c r="I394" s="28" t="s">
        <v>980</v>
      </c>
      <c r="J394" s="28" t="s">
        <v>1157</v>
      </c>
    </row>
    <row r="395" spans="1:10" x14ac:dyDescent="0.3">
      <c r="A395" s="28" t="s">
        <v>843</v>
      </c>
      <c r="B395" s="28" t="s">
        <v>1153</v>
      </c>
      <c r="C395" s="28" t="s">
        <v>991</v>
      </c>
      <c r="D395" s="28">
        <v>2026</v>
      </c>
      <c r="E395" s="28" t="s">
        <v>603</v>
      </c>
      <c r="F395" s="31">
        <v>2500</v>
      </c>
      <c r="G395" s="31">
        <v>254</v>
      </c>
      <c r="H395" s="31">
        <v>0</v>
      </c>
      <c r="I395" s="28" t="s">
        <v>980</v>
      </c>
      <c r="J395" s="28" t="s">
        <v>1154</v>
      </c>
    </row>
    <row r="396" spans="1:10" x14ac:dyDescent="0.3">
      <c r="A396" s="28" t="s">
        <v>845</v>
      </c>
      <c r="B396" s="28" t="s">
        <v>1155</v>
      </c>
      <c r="C396" s="28" t="s">
        <v>991</v>
      </c>
      <c r="D396" s="28">
        <v>2026</v>
      </c>
      <c r="E396" s="28" t="s">
        <v>603</v>
      </c>
      <c r="F396" s="31">
        <v>22580</v>
      </c>
      <c r="G396" s="31">
        <v>0</v>
      </c>
      <c r="H396" s="31">
        <v>0</v>
      </c>
      <c r="I396" s="28" t="s">
        <v>980</v>
      </c>
      <c r="J396" s="28" t="s">
        <v>1156</v>
      </c>
    </row>
    <row r="397" spans="1:10" x14ac:dyDescent="0.3">
      <c r="A397" s="28" t="s">
        <v>845</v>
      </c>
      <c r="B397" s="28" t="s">
        <v>1153</v>
      </c>
      <c r="C397" s="28" t="s">
        <v>991</v>
      </c>
      <c r="D397" s="28">
        <v>2026</v>
      </c>
      <c r="E397" s="28" t="s">
        <v>603</v>
      </c>
      <c r="F397" s="31">
        <v>22600</v>
      </c>
      <c r="G397" s="31">
        <v>0</v>
      </c>
      <c r="H397" s="31">
        <v>0</v>
      </c>
      <c r="I397" s="28" t="s">
        <v>980</v>
      </c>
      <c r="J397" s="28" t="s">
        <v>1157</v>
      </c>
    </row>
    <row r="398" spans="1:10" x14ac:dyDescent="0.3">
      <c r="A398" s="28" t="s">
        <v>847</v>
      </c>
      <c r="B398" s="28" t="s">
        <v>1153</v>
      </c>
      <c r="C398" s="28" t="s">
        <v>991</v>
      </c>
      <c r="D398" s="28">
        <v>2026</v>
      </c>
      <c r="E398" s="28" t="s">
        <v>603</v>
      </c>
      <c r="F398" s="31">
        <v>2500</v>
      </c>
      <c r="G398" s="31">
        <v>254</v>
      </c>
      <c r="H398" s="31">
        <v>0</v>
      </c>
      <c r="I398" s="28" t="s">
        <v>980</v>
      </c>
      <c r="J398" s="28" t="s">
        <v>1154</v>
      </c>
    </row>
    <row r="399" spans="1:10" x14ac:dyDescent="0.3">
      <c r="A399" s="28" t="s">
        <v>848</v>
      </c>
      <c r="B399" s="28" t="s">
        <v>1155</v>
      </c>
      <c r="C399" s="28" t="s">
        <v>991</v>
      </c>
      <c r="D399" s="28">
        <v>2026</v>
      </c>
      <c r="E399" s="28" t="s">
        <v>603</v>
      </c>
      <c r="F399" s="31">
        <v>29570</v>
      </c>
      <c r="G399" s="31">
        <v>0</v>
      </c>
      <c r="H399" s="31">
        <v>0</v>
      </c>
      <c r="I399" s="28" t="s">
        <v>980</v>
      </c>
      <c r="J399" s="28" t="s">
        <v>1156</v>
      </c>
    </row>
    <row r="400" spans="1:10" x14ac:dyDescent="0.3">
      <c r="A400" s="28" t="s">
        <v>848</v>
      </c>
      <c r="B400" s="28" t="s">
        <v>1153</v>
      </c>
      <c r="C400" s="28" t="s">
        <v>991</v>
      </c>
      <c r="D400" s="28">
        <v>2026</v>
      </c>
      <c r="E400" s="28" t="s">
        <v>603</v>
      </c>
      <c r="F400" s="31">
        <v>29500</v>
      </c>
      <c r="G400" s="31">
        <v>0</v>
      </c>
      <c r="H400" s="31">
        <v>0</v>
      </c>
      <c r="I400" s="28" t="s">
        <v>980</v>
      </c>
      <c r="J400" s="28" t="s">
        <v>1157</v>
      </c>
    </row>
    <row r="401" spans="1:10" x14ac:dyDescent="0.3">
      <c r="A401" s="28" t="s">
        <v>855</v>
      </c>
      <c r="B401" s="28" t="s">
        <v>1158</v>
      </c>
      <c r="C401" s="28" t="s">
        <v>991</v>
      </c>
      <c r="D401" s="28">
        <v>2026</v>
      </c>
      <c r="E401" s="28" t="s">
        <v>853</v>
      </c>
      <c r="F401" s="31">
        <v>102033</v>
      </c>
      <c r="G401" s="31">
        <v>0</v>
      </c>
      <c r="H401" s="31">
        <v>0</v>
      </c>
      <c r="I401" s="28" t="s">
        <v>985</v>
      </c>
      <c r="J401" s="28" t="s">
        <v>1159</v>
      </c>
    </row>
    <row r="402" spans="1:10" x14ac:dyDescent="0.3">
      <c r="A402" s="28" t="s">
        <v>855</v>
      </c>
      <c r="B402" s="28" t="s">
        <v>1160</v>
      </c>
      <c r="C402" s="28" t="s">
        <v>1010</v>
      </c>
      <c r="D402" s="28">
        <v>2025</v>
      </c>
      <c r="E402" s="28" t="s">
        <v>853</v>
      </c>
      <c r="F402" s="31">
        <v>259988</v>
      </c>
      <c r="G402" s="31">
        <v>0</v>
      </c>
      <c r="H402" s="31">
        <v>0</v>
      </c>
      <c r="I402" s="28" t="s">
        <v>985</v>
      </c>
      <c r="J402" s="28" t="s">
        <v>1161</v>
      </c>
    </row>
    <row r="403" spans="1:10" x14ac:dyDescent="0.3">
      <c r="A403" s="28" t="s">
        <v>859</v>
      </c>
      <c r="B403" s="28" t="s">
        <v>1158</v>
      </c>
      <c r="C403" s="28" t="s">
        <v>991</v>
      </c>
      <c r="D403" s="28">
        <v>2026</v>
      </c>
      <c r="E403" s="28" t="s">
        <v>853</v>
      </c>
      <c r="F403" s="31">
        <v>102033</v>
      </c>
      <c r="G403" s="31">
        <v>0</v>
      </c>
      <c r="H403" s="31">
        <v>0</v>
      </c>
      <c r="I403" s="28" t="s">
        <v>985</v>
      </c>
      <c r="J403" s="28" t="s">
        <v>1159</v>
      </c>
    </row>
    <row r="404" spans="1:10" x14ac:dyDescent="0.3">
      <c r="A404" s="28" t="s">
        <v>863</v>
      </c>
      <c r="B404" s="28" t="s">
        <v>1158</v>
      </c>
      <c r="C404" s="28" t="s">
        <v>991</v>
      </c>
      <c r="D404" s="28">
        <v>2026</v>
      </c>
      <c r="E404" s="28" t="s">
        <v>853</v>
      </c>
      <c r="F404" s="31">
        <v>48000</v>
      </c>
      <c r="G404" s="31">
        <v>0</v>
      </c>
      <c r="H404" s="31">
        <v>0</v>
      </c>
      <c r="I404" s="28" t="s">
        <v>985</v>
      </c>
      <c r="J404" s="28" t="s">
        <v>1159</v>
      </c>
    </row>
    <row r="405" spans="1:10" x14ac:dyDescent="0.3">
      <c r="A405" s="28" t="s">
        <v>867</v>
      </c>
      <c r="B405" s="28" t="s">
        <v>1158</v>
      </c>
      <c r="C405" s="28" t="s">
        <v>991</v>
      </c>
      <c r="D405" s="28">
        <v>2026</v>
      </c>
      <c r="E405" s="28" t="s">
        <v>853</v>
      </c>
      <c r="F405" s="31">
        <v>42000</v>
      </c>
      <c r="G405" s="31">
        <v>0</v>
      </c>
      <c r="H405" s="31">
        <v>0</v>
      </c>
      <c r="I405" s="28" t="s">
        <v>985</v>
      </c>
      <c r="J405" s="28" t="s">
        <v>1159</v>
      </c>
    </row>
    <row r="406" spans="1:10" x14ac:dyDescent="0.3">
      <c r="A406" s="28" t="s">
        <v>872</v>
      </c>
      <c r="B406" s="28" t="s">
        <v>1158</v>
      </c>
      <c r="C406" s="28" t="s">
        <v>991</v>
      </c>
      <c r="D406" s="28">
        <v>2026</v>
      </c>
      <c r="E406" s="28" t="s">
        <v>853</v>
      </c>
      <c r="F406" s="31">
        <v>48000</v>
      </c>
      <c r="G406" s="31">
        <v>0</v>
      </c>
      <c r="H406" s="31">
        <v>0</v>
      </c>
      <c r="I406" s="28" t="s">
        <v>985</v>
      </c>
      <c r="J406" s="28" t="s">
        <v>1159</v>
      </c>
    </row>
    <row r="407" spans="1:10" x14ac:dyDescent="0.3">
      <c r="A407" s="28" t="s">
        <v>874</v>
      </c>
      <c r="B407" s="28" t="s">
        <v>1158</v>
      </c>
      <c r="C407" s="28" t="s">
        <v>991</v>
      </c>
      <c r="D407" s="28">
        <v>2026</v>
      </c>
      <c r="E407" s="28" t="s">
        <v>853</v>
      </c>
      <c r="F407" s="31">
        <v>48000</v>
      </c>
      <c r="G407" s="31">
        <v>0</v>
      </c>
      <c r="H407" s="31">
        <v>0</v>
      </c>
      <c r="I407" s="28" t="s">
        <v>985</v>
      </c>
      <c r="J407" s="28" t="s">
        <v>1159</v>
      </c>
    </row>
    <row r="408" spans="1:10" x14ac:dyDescent="0.3">
      <c r="A408" s="28" t="s">
        <v>874</v>
      </c>
      <c r="B408" s="28" t="s">
        <v>1162</v>
      </c>
      <c r="C408" s="28" t="s">
        <v>991</v>
      </c>
      <c r="D408" s="28">
        <v>2026</v>
      </c>
      <c r="E408" s="28" t="s">
        <v>853</v>
      </c>
      <c r="F408" s="31">
        <v>254412</v>
      </c>
      <c r="G408" s="31">
        <v>2964</v>
      </c>
      <c r="H408" s="31">
        <v>2730</v>
      </c>
      <c r="I408" s="28" t="s">
        <v>980</v>
      </c>
      <c r="J408" s="28" t="s">
        <v>1163</v>
      </c>
    </row>
    <row r="409" spans="1:10" x14ac:dyDescent="0.3">
      <c r="A409" s="28" t="s">
        <v>886</v>
      </c>
      <c r="B409" s="28" t="s">
        <v>1158</v>
      </c>
      <c r="C409" s="28" t="s">
        <v>991</v>
      </c>
      <c r="D409" s="28">
        <v>2026</v>
      </c>
      <c r="E409" s="28" t="s">
        <v>853</v>
      </c>
      <c r="F409" s="31">
        <v>42000</v>
      </c>
      <c r="G409" s="31">
        <v>0</v>
      </c>
      <c r="H409" s="31">
        <v>0</v>
      </c>
      <c r="I409" s="28" t="s">
        <v>985</v>
      </c>
      <c r="J409" s="28" t="s">
        <v>1159</v>
      </c>
    </row>
    <row r="410" spans="1:10" x14ac:dyDescent="0.3">
      <c r="A410" s="28" t="s">
        <v>886</v>
      </c>
      <c r="B410" s="28" t="s">
        <v>1162</v>
      </c>
      <c r="C410" s="28" t="s">
        <v>991</v>
      </c>
      <c r="D410" s="28">
        <v>2026</v>
      </c>
      <c r="E410" s="28" t="s">
        <v>853</v>
      </c>
      <c r="F410" s="31">
        <v>254412</v>
      </c>
      <c r="G410" s="31">
        <v>2964</v>
      </c>
      <c r="H410" s="31">
        <v>2730</v>
      </c>
      <c r="I410" s="28" t="s">
        <v>980</v>
      </c>
      <c r="J410" s="28" t="s">
        <v>1163</v>
      </c>
    </row>
    <row r="411" spans="1:10" x14ac:dyDescent="0.3">
      <c r="A411" s="28" t="s">
        <v>888</v>
      </c>
      <c r="B411" s="28" t="s">
        <v>1158</v>
      </c>
      <c r="C411" s="28" t="s">
        <v>991</v>
      </c>
      <c r="D411" s="28">
        <v>2026</v>
      </c>
      <c r="E411" s="28" t="s">
        <v>853</v>
      </c>
      <c r="F411" s="31">
        <v>42000</v>
      </c>
      <c r="G411" s="31">
        <v>0</v>
      </c>
      <c r="H411" s="31">
        <v>0</v>
      </c>
      <c r="I411" s="28" t="s">
        <v>985</v>
      </c>
      <c r="J411" s="28" t="s">
        <v>1159</v>
      </c>
    </row>
    <row r="412" spans="1:10" x14ac:dyDescent="0.3">
      <c r="A412" s="28" t="s">
        <v>890</v>
      </c>
      <c r="B412" s="28" t="s">
        <v>1158</v>
      </c>
      <c r="C412" s="28" t="s">
        <v>991</v>
      </c>
      <c r="D412" s="28">
        <v>2026</v>
      </c>
      <c r="E412" s="28" t="s">
        <v>853</v>
      </c>
      <c r="F412" s="31">
        <v>42000</v>
      </c>
      <c r="G412" s="31">
        <v>0</v>
      </c>
      <c r="H412" s="31">
        <v>0</v>
      </c>
      <c r="I412" s="28" t="s">
        <v>985</v>
      </c>
      <c r="J412" s="28" t="s">
        <v>1159</v>
      </c>
    </row>
    <row r="413" spans="1:10" x14ac:dyDescent="0.3">
      <c r="A413" s="28" t="s">
        <v>899</v>
      </c>
      <c r="B413" s="28" t="s">
        <v>1158</v>
      </c>
      <c r="C413" s="28" t="s">
        <v>991</v>
      </c>
      <c r="D413" s="28">
        <v>2026</v>
      </c>
      <c r="E413" s="28" t="s">
        <v>853</v>
      </c>
      <c r="F413" s="31">
        <v>36000</v>
      </c>
      <c r="G413" s="31">
        <v>0</v>
      </c>
      <c r="H413" s="31">
        <v>0</v>
      </c>
      <c r="I413" s="28" t="s">
        <v>985</v>
      </c>
      <c r="J413" s="28" t="s">
        <v>1159</v>
      </c>
    </row>
    <row r="414" spans="1:10" x14ac:dyDescent="0.3">
      <c r="A414" s="28" t="s">
        <v>901</v>
      </c>
      <c r="B414" s="28" t="s">
        <v>1158</v>
      </c>
      <c r="C414" s="28" t="s">
        <v>991</v>
      </c>
      <c r="D414" s="28">
        <v>2026</v>
      </c>
      <c r="E414" s="28" t="s">
        <v>853</v>
      </c>
      <c r="F414" s="31">
        <v>48000</v>
      </c>
      <c r="G414" s="31">
        <v>0</v>
      </c>
      <c r="H414" s="31">
        <v>0</v>
      </c>
      <c r="I414" s="28" t="s">
        <v>985</v>
      </c>
      <c r="J414" s="28" t="s">
        <v>1159</v>
      </c>
    </row>
    <row r="415" spans="1:10" x14ac:dyDescent="0.3">
      <c r="A415" s="28" t="s">
        <v>906</v>
      </c>
      <c r="B415" s="28" t="s">
        <v>1158</v>
      </c>
      <c r="C415" s="28" t="s">
        <v>991</v>
      </c>
      <c r="D415" s="28">
        <v>2026</v>
      </c>
      <c r="E415" s="28" t="s">
        <v>853</v>
      </c>
      <c r="F415" s="31">
        <v>42000</v>
      </c>
      <c r="G415" s="31">
        <v>0</v>
      </c>
      <c r="H415" s="31">
        <v>0</v>
      </c>
      <c r="I415" s="28" t="s">
        <v>985</v>
      </c>
      <c r="J415" s="28" t="s">
        <v>1159</v>
      </c>
    </row>
    <row r="416" spans="1:10" x14ac:dyDescent="0.3">
      <c r="A416" s="28" t="s">
        <v>906</v>
      </c>
      <c r="B416" s="28" t="s">
        <v>1162</v>
      </c>
      <c r="C416" s="28" t="s">
        <v>991</v>
      </c>
      <c r="D416" s="28">
        <v>2026</v>
      </c>
      <c r="E416" s="28" t="s">
        <v>853</v>
      </c>
      <c r="F416" s="31">
        <v>254412</v>
      </c>
      <c r="G416" s="31">
        <v>2964</v>
      </c>
      <c r="H416" s="31">
        <v>2730</v>
      </c>
      <c r="I416" s="28" t="s">
        <v>980</v>
      </c>
      <c r="J416" s="28" t="s">
        <v>1163</v>
      </c>
    </row>
    <row r="417" spans="1:10" x14ac:dyDescent="0.3">
      <c r="A417" s="28" t="s">
        <v>914</v>
      </c>
      <c r="B417" s="28" t="s">
        <v>1164</v>
      </c>
      <c r="C417" s="28" t="s">
        <v>991</v>
      </c>
      <c r="D417" s="28">
        <v>2026</v>
      </c>
      <c r="E417" s="28" t="s">
        <v>912</v>
      </c>
      <c r="F417" s="31">
        <v>127050</v>
      </c>
      <c r="G417" s="31">
        <v>0</v>
      </c>
      <c r="H417" s="31">
        <v>0</v>
      </c>
      <c r="I417" s="28" t="s">
        <v>980</v>
      </c>
      <c r="J417" s="28" t="s">
        <v>1165</v>
      </c>
    </row>
    <row r="418" spans="1:10" x14ac:dyDescent="0.3">
      <c r="A418" s="28" t="s">
        <v>918</v>
      </c>
      <c r="B418" s="28" t="s">
        <v>1164</v>
      </c>
      <c r="C418" s="28" t="s">
        <v>991</v>
      </c>
      <c r="D418" s="28">
        <v>2026</v>
      </c>
      <c r="E418" s="28" t="s">
        <v>912</v>
      </c>
      <c r="F418" s="31">
        <v>107254</v>
      </c>
      <c r="G418" s="31">
        <v>0</v>
      </c>
      <c r="H418" s="31">
        <v>0</v>
      </c>
      <c r="I418" s="28" t="s">
        <v>985</v>
      </c>
      <c r="J418" s="28" t="s">
        <v>1165</v>
      </c>
    </row>
    <row r="419" spans="1:10" x14ac:dyDescent="0.3">
      <c r="A419" s="28" t="s">
        <v>922</v>
      </c>
      <c r="B419" s="28" t="s">
        <v>1164</v>
      </c>
      <c r="C419" s="28" t="s">
        <v>991</v>
      </c>
      <c r="D419" s="28">
        <v>2026</v>
      </c>
      <c r="E419" s="28" t="s">
        <v>912</v>
      </c>
      <c r="F419" s="31">
        <v>50400</v>
      </c>
      <c r="G419" s="31">
        <v>0</v>
      </c>
      <c r="H419" s="31">
        <v>0</v>
      </c>
      <c r="I419" s="28" t="s">
        <v>985</v>
      </c>
      <c r="J419" s="28" t="s">
        <v>1165</v>
      </c>
    </row>
    <row r="420" spans="1:10" x14ac:dyDescent="0.3">
      <c r="A420" s="28" t="s">
        <v>925</v>
      </c>
      <c r="B420" s="28" t="s">
        <v>1164</v>
      </c>
      <c r="C420" s="28" t="s">
        <v>991</v>
      </c>
      <c r="D420" s="28">
        <v>2026</v>
      </c>
      <c r="E420" s="28" t="s">
        <v>912</v>
      </c>
      <c r="F420" s="31">
        <v>45060</v>
      </c>
      <c r="G420" s="31">
        <v>0</v>
      </c>
      <c r="H420" s="31">
        <v>0</v>
      </c>
      <c r="I420" s="28" t="s">
        <v>985</v>
      </c>
      <c r="J420" s="28" t="s">
        <v>1165</v>
      </c>
    </row>
    <row r="421" spans="1:10" x14ac:dyDescent="0.3">
      <c r="A421" s="28" t="s">
        <v>927</v>
      </c>
      <c r="B421" s="28" t="s">
        <v>1164</v>
      </c>
      <c r="C421" s="28" t="s">
        <v>991</v>
      </c>
      <c r="D421" s="28">
        <v>2026</v>
      </c>
      <c r="E421" s="28" t="s">
        <v>912</v>
      </c>
      <c r="F421" s="31">
        <v>56760</v>
      </c>
      <c r="G421" s="31">
        <v>0</v>
      </c>
      <c r="H421" s="31">
        <v>0</v>
      </c>
      <c r="I421" s="28" t="s">
        <v>985</v>
      </c>
      <c r="J421" s="28" t="s">
        <v>1165</v>
      </c>
    </row>
    <row r="422" spans="1:10" x14ac:dyDescent="0.3">
      <c r="A422" s="28" t="s">
        <v>929</v>
      </c>
      <c r="B422" s="28" t="s">
        <v>1166</v>
      </c>
      <c r="C422" s="28" t="s">
        <v>991</v>
      </c>
      <c r="D422" s="28">
        <v>2026</v>
      </c>
      <c r="E422" s="28" t="s">
        <v>912</v>
      </c>
      <c r="F422" s="31">
        <v>110876</v>
      </c>
      <c r="G422" s="31">
        <v>0</v>
      </c>
      <c r="H422" s="31">
        <v>400</v>
      </c>
      <c r="I422" s="28" t="s">
        <v>980</v>
      </c>
      <c r="J422" s="28" t="s">
        <v>1167</v>
      </c>
    </row>
    <row r="423" spans="1:10" x14ac:dyDescent="0.3">
      <c r="A423" s="28" t="s">
        <v>929</v>
      </c>
      <c r="B423" s="28" t="s">
        <v>1164</v>
      </c>
      <c r="C423" s="28" t="s">
        <v>991</v>
      </c>
      <c r="D423" s="28">
        <v>2026</v>
      </c>
      <c r="E423" s="28" t="s">
        <v>912</v>
      </c>
      <c r="F423" s="31">
        <v>50408</v>
      </c>
      <c r="G423" s="31">
        <v>0</v>
      </c>
      <c r="H423" s="31">
        <v>0</v>
      </c>
      <c r="I423" s="28" t="s">
        <v>985</v>
      </c>
      <c r="J423" s="28" t="s">
        <v>1165</v>
      </c>
    </row>
    <row r="424" spans="1:10" x14ac:dyDescent="0.3">
      <c r="A424" s="28" t="s">
        <v>931</v>
      </c>
      <c r="B424" s="28" t="s">
        <v>1166</v>
      </c>
      <c r="C424" s="28" t="s">
        <v>991</v>
      </c>
      <c r="D424" s="28">
        <v>2026</v>
      </c>
      <c r="E424" s="28" t="s">
        <v>912</v>
      </c>
      <c r="F424" s="31">
        <v>110876</v>
      </c>
      <c r="G424" s="31">
        <v>0</v>
      </c>
      <c r="H424" s="31">
        <v>400</v>
      </c>
      <c r="I424" s="28" t="s">
        <v>980</v>
      </c>
      <c r="J424" s="28" t="s">
        <v>1167</v>
      </c>
    </row>
    <row r="425" spans="1:10" x14ac:dyDescent="0.3">
      <c r="A425" s="28" t="s">
        <v>937</v>
      </c>
      <c r="B425" s="28" t="s">
        <v>1164</v>
      </c>
      <c r="C425" s="28" t="s">
        <v>991</v>
      </c>
      <c r="D425" s="28">
        <v>2026</v>
      </c>
      <c r="E425" s="28" t="s">
        <v>912</v>
      </c>
      <c r="F425" s="31">
        <v>47078</v>
      </c>
      <c r="G425" s="31">
        <v>0</v>
      </c>
      <c r="H425" s="31">
        <v>0</v>
      </c>
      <c r="I425" s="28" t="s">
        <v>985</v>
      </c>
      <c r="J425" s="28" t="s">
        <v>1165</v>
      </c>
    </row>
    <row r="426" spans="1:10" x14ac:dyDescent="0.3">
      <c r="A426" s="28" t="s">
        <v>940</v>
      </c>
      <c r="B426" s="28" t="s">
        <v>1164</v>
      </c>
      <c r="C426" s="28" t="s">
        <v>991</v>
      </c>
      <c r="D426" s="28">
        <v>2026</v>
      </c>
      <c r="E426" s="28" t="s">
        <v>912</v>
      </c>
      <c r="F426" s="31">
        <v>47078</v>
      </c>
      <c r="G426" s="31">
        <v>0</v>
      </c>
      <c r="H426" s="31">
        <v>0</v>
      </c>
      <c r="I426" s="28" t="s">
        <v>985</v>
      </c>
      <c r="J426" s="28" t="s">
        <v>1165</v>
      </c>
    </row>
    <row r="427" spans="1:10" x14ac:dyDescent="0.3">
      <c r="A427" s="28" t="s">
        <v>942</v>
      </c>
      <c r="B427" s="28" t="s">
        <v>1164</v>
      </c>
      <c r="C427" s="28" t="s">
        <v>991</v>
      </c>
      <c r="D427" s="28">
        <v>2026</v>
      </c>
      <c r="E427" s="28" t="s">
        <v>912</v>
      </c>
      <c r="F427" s="31">
        <v>47078</v>
      </c>
      <c r="G427" s="31">
        <v>0</v>
      </c>
      <c r="H427" s="31">
        <v>0</v>
      </c>
      <c r="I427" s="28" t="s">
        <v>985</v>
      </c>
      <c r="J427" s="28" t="s">
        <v>1165</v>
      </c>
    </row>
    <row r="428" spans="1:10" x14ac:dyDescent="0.3">
      <c r="A428" s="28" t="s">
        <v>944</v>
      </c>
      <c r="B428" s="28" t="s">
        <v>1166</v>
      </c>
      <c r="C428" s="28" t="s">
        <v>991</v>
      </c>
      <c r="D428" s="28">
        <v>2026</v>
      </c>
      <c r="E428" s="28" t="s">
        <v>912</v>
      </c>
      <c r="F428" s="31">
        <v>110876</v>
      </c>
      <c r="G428" s="31">
        <v>0</v>
      </c>
      <c r="H428" s="31">
        <v>400</v>
      </c>
      <c r="I428" s="28" t="s">
        <v>980</v>
      </c>
      <c r="J428" s="28" t="s">
        <v>1167</v>
      </c>
    </row>
    <row r="429" spans="1:10" x14ac:dyDescent="0.3">
      <c r="A429" s="28" t="s">
        <v>944</v>
      </c>
      <c r="B429" s="28" t="s">
        <v>1164</v>
      </c>
      <c r="C429" s="28" t="s">
        <v>991</v>
      </c>
      <c r="D429" s="28">
        <v>2026</v>
      </c>
      <c r="E429" s="28" t="s">
        <v>912</v>
      </c>
      <c r="F429" s="31">
        <v>45930</v>
      </c>
      <c r="G429" s="31">
        <v>0</v>
      </c>
      <c r="H429" s="31">
        <v>0</v>
      </c>
      <c r="I429" s="28" t="s">
        <v>985</v>
      </c>
      <c r="J429" s="28" t="s">
        <v>1165</v>
      </c>
    </row>
    <row r="430" spans="1:10" x14ac:dyDescent="0.3">
      <c r="A430" s="28" t="s">
        <v>946</v>
      </c>
      <c r="B430" s="28" t="s">
        <v>1166</v>
      </c>
      <c r="C430" s="28" t="s">
        <v>991</v>
      </c>
      <c r="D430" s="28">
        <v>2026</v>
      </c>
      <c r="E430" s="28" t="s">
        <v>912</v>
      </c>
      <c r="F430" s="31">
        <v>110876</v>
      </c>
      <c r="G430" s="31">
        <v>0</v>
      </c>
      <c r="H430" s="31">
        <v>400</v>
      </c>
      <c r="I430" s="28" t="s">
        <v>980</v>
      </c>
      <c r="J430" s="28" t="s">
        <v>1167</v>
      </c>
    </row>
    <row r="431" spans="1:10" x14ac:dyDescent="0.3">
      <c r="A431" s="28" t="s">
        <v>946</v>
      </c>
      <c r="B431" s="28" t="s">
        <v>1164</v>
      </c>
      <c r="C431" s="28" t="s">
        <v>991</v>
      </c>
      <c r="D431" s="28">
        <v>2026</v>
      </c>
      <c r="E431" s="28" t="s">
        <v>912</v>
      </c>
      <c r="F431" s="31">
        <v>45930</v>
      </c>
      <c r="G431" s="31">
        <v>0</v>
      </c>
      <c r="H431" s="31">
        <v>0</v>
      </c>
      <c r="I431" s="28" t="s">
        <v>985</v>
      </c>
      <c r="J431" s="28" t="s">
        <v>1165</v>
      </c>
    </row>
    <row r="432" spans="1:10" x14ac:dyDescent="0.3">
      <c r="A432" s="28" t="s">
        <v>948</v>
      </c>
      <c r="B432" s="28" t="s">
        <v>1166</v>
      </c>
      <c r="C432" s="28" t="s">
        <v>991</v>
      </c>
      <c r="D432" s="28">
        <v>2026</v>
      </c>
      <c r="E432" s="28" t="s">
        <v>912</v>
      </c>
      <c r="F432" s="31">
        <v>110876</v>
      </c>
      <c r="G432" s="31">
        <v>0</v>
      </c>
      <c r="H432" s="31">
        <v>400</v>
      </c>
      <c r="I432" s="28" t="s">
        <v>980</v>
      </c>
      <c r="J432" s="28" t="s">
        <v>1167</v>
      </c>
    </row>
    <row r="433" spans="1:10" x14ac:dyDescent="0.3">
      <c r="A433" s="28" t="s">
        <v>948</v>
      </c>
      <c r="B433" s="28" t="s">
        <v>1164</v>
      </c>
      <c r="C433" s="28" t="s">
        <v>991</v>
      </c>
      <c r="D433" s="28">
        <v>2026</v>
      </c>
      <c r="E433" s="28" t="s">
        <v>912</v>
      </c>
      <c r="F433" s="31">
        <v>45930</v>
      </c>
      <c r="G433" s="31">
        <v>0</v>
      </c>
      <c r="H433" s="31">
        <v>0</v>
      </c>
      <c r="I433" s="28" t="s">
        <v>985</v>
      </c>
      <c r="J433" s="28" t="s">
        <v>1165</v>
      </c>
    </row>
    <row r="434" spans="1:10" x14ac:dyDescent="0.3">
      <c r="A434" s="28" t="s">
        <v>956</v>
      </c>
      <c r="B434" s="28" t="s">
        <v>1164</v>
      </c>
      <c r="C434" s="28" t="s">
        <v>991</v>
      </c>
      <c r="D434" s="28">
        <v>2026</v>
      </c>
      <c r="E434" s="28" t="s">
        <v>912</v>
      </c>
      <c r="F434" s="31">
        <v>42570</v>
      </c>
      <c r="G434" s="31">
        <v>0</v>
      </c>
      <c r="H434" s="31">
        <v>0</v>
      </c>
      <c r="I434" s="28" t="s">
        <v>985</v>
      </c>
      <c r="J434" s="28" t="s">
        <v>1165</v>
      </c>
    </row>
    <row r="435" spans="1:10" x14ac:dyDescent="0.3">
      <c r="A435" s="28" t="s">
        <v>958</v>
      </c>
      <c r="B435" s="28" t="s">
        <v>1166</v>
      </c>
      <c r="C435" s="28" t="s">
        <v>991</v>
      </c>
      <c r="D435" s="28">
        <v>2026</v>
      </c>
      <c r="E435" s="28" t="s">
        <v>912</v>
      </c>
      <c r="F435" s="31">
        <v>110876</v>
      </c>
      <c r="G435" s="31">
        <v>0</v>
      </c>
      <c r="H435" s="31">
        <v>400</v>
      </c>
      <c r="I435" s="28" t="s">
        <v>980</v>
      </c>
      <c r="J435" s="28" t="s">
        <v>1167</v>
      </c>
    </row>
    <row r="436" spans="1:10" x14ac:dyDescent="0.3">
      <c r="A436" s="28" t="s">
        <v>958</v>
      </c>
      <c r="B436" s="28" t="s">
        <v>1164</v>
      </c>
      <c r="C436" s="28" t="s">
        <v>991</v>
      </c>
      <c r="D436" s="28">
        <v>2026</v>
      </c>
      <c r="E436" s="28" t="s">
        <v>912</v>
      </c>
      <c r="F436" s="31">
        <v>49140</v>
      </c>
      <c r="G436" s="31">
        <v>0</v>
      </c>
      <c r="H436" s="31">
        <v>0</v>
      </c>
      <c r="I436" s="28" t="s">
        <v>985</v>
      </c>
      <c r="J436" s="28" t="s">
        <v>1165</v>
      </c>
    </row>
    <row r="437" spans="1:10" x14ac:dyDescent="0.3">
      <c r="A437" s="28" t="s">
        <v>961</v>
      </c>
      <c r="B437" s="28" t="s">
        <v>1164</v>
      </c>
      <c r="C437" s="28" t="s">
        <v>991</v>
      </c>
      <c r="D437" s="28">
        <v>2026</v>
      </c>
      <c r="E437" s="28" t="s">
        <v>912</v>
      </c>
      <c r="F437" s="31">
        <v>40860</v>
      </c>
      <c r="G437" s="31">
        <v>0</v>
      </c>
      <c r="H437" s="31">
        <v>0</v>
      </c>
      <c r="I437" s="28" t="s">
        <v>985</v>
      </c>
      <c r="J437" s="28" t="s">
        <v>1165</v>
      </c>
    </row>
    <row r="438" spans="1:10" x14ac:dyDescent="0.3">
      <c r="A438" s="28" t="s">
        <v>963</v>
      </c>
      <c r="B438" s="28" t="s">
        <v>1166</v>
      </c>
      <c r="C438" s="28" t="s">
        <v>991</v>
      </c>
      <c r="D438" s="28">
        <v>2026</v>
      </c>
      <c r="E438" s="28" t="s">
        <v>912</v>
      </c>
      <c r="F438" s="31">
        <v>110876</v>
      </c>
      <c r="G438" s="31">
        <v>0</v>
      </c>
      <c r="H438" s="31">
        <v>400</v>
      </c>
      <c r="I438" s="28" t="s">
        <v>980</v>
      </c>
      <c r="J438" s="28" t="s">
        <v>1167</v>
      </c>
    </row>
  </sheetData>
  <sheetProtection sheet="1" objects="1" formatCells="0" formatColumns="0" formatRows="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6"/>
  <sheetViews>
    <sheetView workbookViewId="0"/>
  </sheetViews>
  <sheetFormatPr defaultRowHeight="14.4" x14ac:dyDescent="0.3"/>
  <cols>
    <col min="1" max="1" width="24" customWidth="1"/>
    <col min="2" max="2" width="12" customWidth="1"/>
    <col min="3" max="3" width="8" customWidth="1"/>
    <col min="4" max="4" width="7" customWidth="1"/>
    <col min="5" max="5" width="10" customWidth="1"/>
    <col min="6" max="6" width="12" customWidth="1"/>
    <col min="7" max="7" width="8" customWidth="1"/>
    <col min="8" max="8" width="7" customWidth="1"/>
    <col min="9" max="9" width="10" customWidth="1"/>
    <col min="10" max="10" width="12" customWidth="1"/>
    <col min="11" max="11" width="8" customWidth="1"/>
    <col min="12" max="12" width="7" customWidth="1"/>
    <col min="13" max="13" width="10" customWidth="1"/>
    <col min="14" max="14" width="12" customWidth="1"/>
    <col min="15" max="15" width="8" customWidth="1"/>
    <col min="16" max="16" width="7" customWidth="1"/>
    <col min="17" max="17" width="10" customWidth="1"/>
    <col min="18" max="18" width="12" customWidth="1"/>
    <col min="19" max="19" width="8" customWidth="1"/>
    <col min="20" max="20" width="7" customWidth="1"/>
    <col min="21" max="21" width="10" customWidth="1"/>
  </cols>
  <sheetData>
    <row r="1" spans="1:21" ht="21" x14ac:dyDescent="0.4">
      <c r="A1" s="5" t="s">
        <v>1168</v>
      </c>
    </row>
    <row r="2" spans="1:21" ht="40.049999999999997" customHeight="1" x14ac:dyDescent="0.3">
      <c r="A2" s="38" t="s">
        <v>1169</v>
      </c>
      <c r="B2" s="39"/>
      <c r="C2" s="39"/>
      <c r="D2" s="39"/>
      <c r="E2" s="39"/>
      <c r="F2" s="39"/>
      <c r="G2" s="39"/>
      <c r="H2" s="39"/>
      <c r="I2" s="39"/>
      <c r="J2" s="39"/>
      <c r="K2" s="39"/>
      <c r="L2" s="39"/>
    </row>
    <row r="4" spans="1:21" ht="79.2" x14ac:dyDescent="0.3">
      <c r="A4" s="22" t="s">
        <v>1170</v>
      </c>
      <c r="B4" s="22" t="s">
        <v>37</v>
      </c>
      <c r="C4" s="22" t="s">
        <v>1171</v>
      </c>
      <c r="D4" s="22" t="s">
        <v>1172</v>
      </c>
      <c r="E4" s="22" t="s">
        <v>1173</v>
      </c>
      <c r="F4" s="22" t="s">
        <v>38</v>
      </c>
      <c r="G4" s="22" t="s">
        <v>1174</v>
      </c>
      <c r="H4" s="22" t="s">
        <v>1175</v>
      </c>
      <c r="I4" s="22" t="s">
        <v>1176</v>
      </c>
      <c r="J4" s="22" t="s">
        <v>39</v>
      </c>
      <c r="K4" s="22" t="s">
        <v>1177</v>
      </c>
      <c r="L4" s="22" t="s">
        <v>1178</v>
      </c>
      <c r="M4" s="22" t="s">
        <v>1179</v>
      </c>
      <c r="N4" s="22" t="s">
        <v>40</v>
      </c>
      <c r="O4" s="22" t="s">
        <v>1180</v>
      </c>
      <c r="P4" s="22" t="s">
        <v>1181</v>
      </c>
      <c r="Q4" s="22" t="s">
        <v>1182</v>
      </c>
      <c r="R4" s="22" t="s">
        <v>41</v>
      </c>
      <c r="S4" s="22" t="s">
        <v>1183</v>
      </c>
      <c r="T4" s="22" t="s">
        <v>1184</v>
      </c>
      <c r="U4" s="22" t="s">
        <v>1185</v>
      </c>
    </row>
    <row r="5" spans="1:21" x14ac:dyDescent="0.3">
      <c r="A5" s="28" t="s">
        <v>1186</v>
      </c>
      <c r="B5" s="31">
        <v>211200</v>
      </c>
      <c r="C5" s="28" t="s">
        <v>203</v>
      </c>
      <c r="D5" s="28">
        <v>2025</v>
      </c>
      <c r="E5" s="28" t="s">
        <v>389</v>
      </c>
      <c r="F5" s="31">
        <v>248400</v>
      </c>
      <c r="G5" s="28" t="s">
        <v>203</v>
      </c>
      <c r="H5" s="28">
        <v>2025</v>
      </c>
      <c r="I5" s="28" t="s">
        <v>389</v>
      </c>
      <c r="J5" s="31">
        <v>48000</v>
      </c>
      <c r="K5" s="28" t="s">
        <v>203</v>
      </c>
      <c r="L5" s="28">
        <v>2025</v>
      </c>
      <c r="M5" s="28" t="s">
        <v>261</v>
      </c>
      <c r="N5" s="31">
        <v>0</v>
      </c>
      <c r="O5" s="28" t="s">
        <v>203</v>
      </c>
      <c r="P5" s="28">
        <v>2025</v>
      </c>
      <c r="Q5" s="28" t="s">
        <v>261</v>
      </c>
      <c r="R5" s="31">
        <v>30000</v>
      </c>
      <c r="S5" s="28" t="s">
        <v>203</v>
      </c>
      <c r="T5" s="28">
        <v>2025</v>
      </c>
      <c r="U5" s="28" t="s">
        <v>261</v>
      </c>
    </row>
    <row r="6" spans="1:21" x14ac:dyDescent="0.3">
      <c r="A6" s="28" t="s">
        <v>1187</v>
      </c>
      <c r="B6" s="31">
        <v>211200</v>
      </c>
      <c r="C6" s="28" t="s">
        <v>203</v>
      </c>
      <c r="D6" s="28">
        <v>2025</v>
      </c>
      <c r="E6" s="28" t="s">
        <v>389</v>
      </c>
      <c r="F6" s="31">
        <v>248400</v>
      </c>
      <c r="G6" s="28" t="s">
        <v>203</v>
      </c>
      <c r="H6" s="28">
        <v>2025</v>
      </c>
      <c r="I6" s="28" t="s">
        <v>389</v>
      </c>
      <c r="J6" s="31">
        <v>48000</v>
      </c>
      <c r="K6" s="28" t="s">
        <v>203</v>
      </c>
      <c r="L6" s="28">
        <v>2025</v>
      </c>
      <c r="M6" s="28" t="s">
        <v>261</v>
      </c>
      <c r="N6" s="31">
        <v>0</v>
      </c>
      <c r="O6" s="28" t="s">
        <v>203</v>
      </c>
      <c r="P6" s="28">
        <v>2025</v>
      </c>
      <c r="Q6" s="28" t="s">
        <v>261</v>
      </c>
      <c r="R6" s="31">
        <v>30000</v>
      </c>
      <c r="S6" s="28" t="s">
        <v>203</v>
      </c>
      <c r="T6" s="28">
        <v>2025</v>
      </c>
      <c r="U6" s="28" t="s">
        <v>261</v>
      </c>
    </row>
    <row r="7" spans="1:21" x14ac:dyDescent="0.3">
      <c r="A7" s="28" t="s">
        <v>1188</v>
      </c>
      <c r="B7" s="31">
        <v>68000</v>
      </c>
      <c r="C7" s="28" t="s">
        <v>304</v>
      </c>
      <c r="D7" s="28">
        <v>2024</v>
      </c>
      <c r="E7" s="28" t="s">
        <v>389</v>
      </c>
      <c r="F7" s="31">
        <v>50000</v>
      </c>
      <c r="G7" s="28" t="s">
        <v>304</v>
      </c>
      <c r="H7" s="28">
        <v>2024</v>
      </c>
      <c r="I7" s="28" t="s">
        <v>261</v>
      </c>
      <c r="J7" s="31">
        <v>18000</v>
      </c>
      <c r="K7" s="28" t="s">
        <v>304</v>
      </c>
      <c r="L7" s="28">
        <v>2024</v>
      </c>
      <c r="M7" s="28" t="s">
        <v>261</v>
      </c>
      <c r="N7" s="31">
        <v>5000</v>
      </c>
      <c r="O7" s="28" t="s">
        <v>304</v>
      </c>
      <c r="P7" s="28">
        <v>2024</v>
      </c>
      <c r="Q7" s="28" t="s">
        <v>261</v>
      </c>
      <c r="R7" s="31">
        <v>10000</v>
      </c>
      <c r="S7" s="28" t="s">
        <v>304</v>
      </c>
      <c r="T7" s="28">
        <v>2024</v>
      </c>
      <c r="U7" s="28" t="s">
        <v>261</v>
      </c>
    </row>
    <row r="8" spans="1:21" x14ac:dyDescent="0.3">
      <c r="A8" s="28" t="s">
        <v>1189</v>
      </c>
      <c r="B8" s="31">
        <v>68000</v>
      </c>
      <c r="C8" s="28" t="s">
        <v>304</v>
      </c>
      <c r="D8" s="28">
        <v>2024</v>
      </c>
      <c r="E8" s="28" t="s">
        <v>389</v>
      </c>
      <c r="F8" s="31">
        <v>50000</v>
      </c>
      <c r="G8" s="28" t="s">
        <v>304</v>
      </c>
      <c r="H8" s="28">
        <v>2024</v>
      </c>
      <c r="I8" s="28" t="s">
        <v>261</v>
      </c>
      <c r="J8" s="31">
        <v>18000</v>
      </c>
      <c r="K8" s="28" t="s">
        <v>304</v>
      </c>
      <c r="L8" s="28">
        <v>2024</v>
      </c>
      <c r="M8" s="28" t="s">
        <v>261</v>
      </c>
      <c r="N8" s="31">
        <v>10000</v>
      </c>
      <c r="O8" s="28" t="s">
        <v>304</v>
      </c>
      <c r="P8" s="28">
        <v>2024</v>
      </c>
      <c r="Q8" s="28" t="s">
        <v>261</v>
      </c>
      <c r="R8" s="31">
        <v>10000</v>
      </c>
      <c r="S8" s="28" t="s">
        <v>304</v>
      </c>
      <c r="T8" s="28">
        <v>2024</v>
      </c>
      <c r="U8" s="28" t="s">
        <v>261</v>
      </c>
    </row>
    <row r="9" spans="1:21" x14ac:dyDescent="0.3">
      <c r="A9" s="28" t="s">
        <v>1190</v>
      </c>
      <c r="B9" s="31">
        <v>17048</v>
      </c>
      <c r="C9" s="28" t="s">
        <v>12</v>
      </c>
      <c r="D9" s="28">
        <v>2026</v>
      </c>
      <c r="E9" s="28" t="s">
        <v>389</v>
      </c>
      <c r="F9" s="31">
        <v>0</v>
      </c>
      <c r="G9" s="28" t="s">
        <v>12</v>
      </c>
      <c r="H9" s="28">
        <v>2026</v>
      </c>
      <c r="I9" s="28" t="s">
        <v>389</v>
      </c>
      <c r="J9" s="31">
        <v>3418</v>
      </c>
      <c r="K9" s="28" t="s">
        <v>12</v>
      </c>
      <c r="L9" s="28">
        <v>2026</v>
      </c>
      <c r="M9" s="28" t="s">
        <v>389</v>
      </c>
      <c r="N9" s="31">
        <v>0</v>
      </c>
      <c r="O9" s="28" t="s">
        <v>12</v>
      </c>
      <c r="P9" s="28">
        <v>2026</v>
      </c>
      <c r="Q9" s="28" t="s">
        <v>261</v>
      </c>
      <c r="R9" s="31">
        <v>1200</v>
      </c>
      <c r="S9" s="28" t="s">
        <v>12</v>
      </c>
      <c r="T9" s="28">
        <v>2026</v>
      </c>
      <c r="U9" s="28" t="s">
        <v>389</v>
      </c>
    </row>
    <row r="10" spans="1:21" x14ac:dyDescent="0.3">
      <c r="A10" s="28" t="s">
        <v>1191</v>
      </c>
      <c r="B10" s="31">
        <v>17048</v>
      </c>
      <c r="C10" s="28" t="s">
        <v>12</v>
      </c>
      <c r="D10" s="28">
        <v>2026</v>
      </c>
      <c r="E10" s="28" t="s">
        <v>389</v>
      </c>
      <c r="F10" s="31">
        <v>0</v>
      </c>
      <c r="G10" s="28" t="s">
        <v>12</v>
      </c>
      <c r="H10" s="28">
        <v>2026</v>
      </c>
      <c r="I10" s="28" t="s">
        <v>389</v>
      </c>
      <c r="J10" s="31">
        <v>3418</v>
      </c>
      <c r="K10" s="28" t="s">
        <v>12</v>
      </c>
      <c r="L10" s="28">
        <v>2026</v>
      </c>
      <c r="M10" s="28" t="s">
        <v>389</v>
      </c>
      <c r="N10" s="31">
        <v>3720</v>
      </c>
      <c r="O10" s="28" t="s">
        <v>12</v>
      </c>
      <c r="P10" s="28">
        <v>2026</v>
      </c>
      <c r="Q10" s="28" t="s">
        <v>389</v>
      </c>
      <c r="R10" s="31">
        <v>1200</v>
      </c>
      <c r="S10" s="28" t="s">
        <v>12</v>
      </c>
      <c r="T10" s="28">
        <v>2026</v>
      </c>
      <c r="U10" s="28" t="s">
        <v>389</v>
      </c>
    </row>
    <row r="11" spans="1:21" x14ac:dyDescent="0.3">
      <c r="A11" s="28" t="s">
        <v>1192</v>
      </c>
      <c r="B11" s="31">
        <v>8820</v>
      </c>
      <c r="C11" s="28" t="s">
        <v>271</v>
      </c>
      <c r="D11" s="28">
        <v>2026</v>
      </c>
      <c r="E11" s="28" t="s">
        <v>389</v>
      </c>
      <c r="F11" s="31">
        <v>2232</v>
      </c>
      <c r="G11" s="28" t="s">
        <v>271</v>
      </c>
      <c r="H11" s="28">
        <v>2026</v>
      </c>
      <c r="I11" s="28" t="s">
        <v>389</v>
      </c>
      <c r="J11" s="31">
        <v>522</v>
      </c>
      <c r="K11" s="28" t="s">
        <v>271</v>
      </c>
      <c r="L11" s="28">
        <v>2026</v>
      </c>
      <c r="M11" s="28" t="s">
        <v>389</v>
      </c>
      <c r="N11" s="31">
        <v>0</v>
      </c>
      <c r="O11" s="28" t="s">
        <v>271</v>
      </c>
      <c r="P11" s="28">
        <v>2026</v>
      </c>
      <c r="Q11" s="28" t="s">
        <v>389</v>
      </c>
      <c r="R11" s="31">
        <v>300</v>
      </c>
      <c r="S11" s="28" t="s">
        <v>271</v>
      </c>
      <c r="T11" s="28">
        <v>2026</v>
      </c>
      <c r="U11" s="28" t="s">
        <v>261</v>
      </c>
    </row>
    <row r="12" spans="1:21" x14ac:dyDescent="0.3">
      <c r="A12" s="28" t="s">
        <v>1193</v>
      </c>
      <c r="B12" s="31">
        <v>8820</v>
      </c>
      <c r="C12" s="28" t="s">
        <v>271</v>
      </c>
      <c r="D12" s="28">
        <v>2026</v>
      </c>
      <c r="E12" s="28" t="s">
        <v>389</v>
      </c>
      <c r="F12" s="31">
        <v>2232</v>
      </c>
      <c r="G12" s="28" t="s">
        <v>271</v>
      </c>
      <c r="H12" s="28">
        <v>2026</v>
      </c>
      <c r="I12" s="28" t="s">
        <v>389</v>
      </c>
      <c r="J12" s="31">
        <v>522</v>
      </c>
      <c r="K12" s="28" t="s">
        <v>271</v>
      </c>
      <c r="L12" s="28">
        <v>2026</v>
      </c>
      <c r="M12" s="28" t="s">
        <v>389</v>
      </c>
      <c r="N12" s="31">
        <v>776</v>
      </c>
      <c r="O12" s="28" t="s">
        <v>271</v>
      </c>
      <c r="P12" s="28">
        <v>2026</v>
      </c>
      <c r="Q12" s="28" t="s">
        <v>389</v>
      </c>
      <c r="R12" s="31">
        <v>300</v>
      </c>
      <c r="S12" s="28" t="s">
        <v>271</v>
      </c>
      <c r="T12" s="28">
        <v>2026</v>
      </c>
      <c r="U12" s="28" t="s">
        <v>261</v>
      </c>
    </row>
    <row r="13" spans="1:21" x14ac:dyDescent="0.3">
      <c r="A13" s="28" t="s">
        <v>1194</v>
      </c>
      <c r="B13" s="31">
        <v>11760</v>
      </c>
      <c r="C13" s="28" t="s">
        <v>535</v>
      </c>
      <c r="D13" s="28">
        <v>2026</v>
      </c>
      <c r="E13" s="28" t="s">
        <v>389</v>
      </c>
      <c r="F13" s="31">
        <v>12000</v>
      </c>
      <c r="G13" s="28" t="s">
        <v>535</v>
      </c>
      <c r="H13" s="28">
        <v>2026</v>
      </c>
      <c r="I13" s="28" t="s">
        <v>389</v>
      </c>
      <c r="J13" s="31">
        <v>1560</v>
      </c>
      <c r="K13" s="28" t="s">
        <v>535</v>
      </c>
      <c r="L13" s="28">
        <v>2026</v>
      </c>
      <c r="M13" s="28" t="s">
        <v>389</v>
      </c>
      <c r="N13" s="31">
        <v>0</v>
      </c>
      <c r="O13" s="28" t="s">
        <v>535</v>
      </c>
      <c r="P13" s="28">
        <v>2026</v>
      </c>
      <c r="Q13" s="28" t="s">
        <v>389</v>
      </c>
      <c r="R13" s="31">
        <v>1000</v>
      </c>
      <c r="S13" s="28" t="s">
        <v>535</v>
      </c>
      <c r="T13" s="28">
        <v>2026</v>
      </c>
      <c r="U13" s="28" t="s">
        <v>389</v>
      </c>
    </row>
    <row r="14" spans="1:21" x14ac:dyDescent="0.3">
      <c r="A14" s="28" t="s">
        <v>1195</v>
      </c>
      <c r="B14" s="31">
        <v>11760</v>
      </c>
      <c r="C14" s="28" t="s">
        <v>535</v>
      </c>
      <c r="D14" s="28">
        <v>2026</v>
      </c>
      <c r="E14" s="28" t="s">
        <v>389</v>
      </c>
      <c r="F14" s="31">
        <v>12000</v>
      </c>
      <c r="G14" s="28" t="s">
        <v>535</v>
      </c>
      <c r="H14" s="28">
        <v>2026</v>
      </c>
      <c r="I14" s="28" t="s">
        <v>389</v>
      </c>
      <c r="J14" s="31">
        <v>1560</v>
      </c>
      <c r="K14" s="28" t="s">
        <v>535</v>
      </c>
      <c r="L14" s="28">
        <v>2026</v>
      </c>
      <c r="M14" s="28" t="s">
        <v>389</v>
      </c>
      <c r="N14" s="31">
        <v>700</v>
      </c>
      <c r="O14" s="28" t="s">
        <v>535</v>
      </c>
      <c r="P14" s="28">
        <v>2026</v>
      </c>
      <c r="Q14" s="28" t="s">
        <v>261</v>
      </c>
      <c r="R14" s="31">
        <v>1000</v>
      </c>
      <c r="S14" s="28" t="s">
        <v>535</v>
      </c>
      <c r="T14" s="28">
        <v>2026</v>
      </c>
      <c r="U14" s="28" t="s">
        <v>389</v>
      </c>
    </row>
    <row r="15" spans="1:21" x14ac:dyDescent="0.3">
      <c r="A15" s="28" t="s">
        <v>1196</v>
      </c>
      <c r="B15" s="31">
        <v>4920</v>
      </c>
      <c r="C15" s="28" t="s">
        <v>603</v>
      </c>
      <c r="D15" s="28">
        <v>2023</v>
      </c>
      <c r="E15" s="28" t="s">
        <v>389</v>
      </c>
      <c r="F15" s="31">
        <v>2376</v>
      </c>
      <c r="G15" s="28" t="s">
        <v>603</v>
      </c>
      <c r="H15" s="28">
        <v>2023</v>
      </c>
      <c r="I15" s="28" t="s">
        <v>389</v>
      </c>
      <c r="J15" s="31">
        <v>1068</v>
      </c>
      <c r="K15" s="28" t="s">
        <v>603</v>
      </c>
      <c r="L15" s="28">
        <v>2023</v>
      </c>
      <c r="M15" s="28" t="s">
        <v>389</v>
      </c>
      <c r="N15" s="31">
        <v>1200</v>
      </c>
      <c r="O15" s="28" t="s">
        <v>603</v>
      </c>
      <c r="P15" s="28">
        <v>2023</v>
      </c>
      <c r="Q15" s="28" t="s">
        <v>389</v>
      </c>
      <c r="R15" s="31">
        <v>372</v>
      </c>
      <c r="S15" s="28" t="s">
        <v>603</v>
      </c>
      <c r="T15" s="28">
        <v>2023</v>
      </c>
      <c r="U15" s="28" t="s">
        <v>389</v>
      </c>
    </row>
    <row r="16" spans="1:21" x14ac:dyDescent="0.3">
      <c r="A16" s="28" t="s">
        <v>1197</v>
      </c>
      <c r="B16" s="31">
        <v>4920</v>
      </c>
      <c r="C16" s="28" t="s">
        <v>603</v>
      </c>
      <c r="D16" s="28">
        <v>2023</v>
      </c>
      <c r="E16" s="28" t="s">
        <v>389</v>
      </c>
      <c r="F16" s="31">
        <v>2376</v>
      </c>
      <c r="G16" s="28" t="s">
        <v>603</v>
      </c>
      <c r="H16" s="28">
        <v>2023</v>
      </c>
      <c r="I16" s="28" t="s">
        <v>389</v>
      </c>
      <c r="J16" s="31">
        <v>1068</v>
      </c>
      <c r="K16" s="28" t="s">
        <v>603</v>
      </c>
      <c r="L16" s="28">
        <v>2023</v>
      </c>
      <c r="M16" s="28" t="s">
        <v>389</v>
      </c>
      <c r="N16" s="31">
        <v>1200</v>
      </c>
      <c r="O16" s="28" t="s">
        <v>603</v>
      </c>
      <c r="P16" s="28">
        <v>2023</v>
      </c>
      <c r="Q16" s="28" t="s">
        <v>389</v>
      </c>
      <c r="R16" s="31">
        <v>372</v>
      </c>
      <c r="S16" s="28" t="s">
        <v>603</v>
      </c>
      <c r="T16" s="28">
        <v>2023</v>
      </c>
      <c r="U16" s="28" t="s">
        <v>389</v>
      </c>
    </row>
    <row r="17" spans="1:21" x14ac:dyDescent="0.3">
      <c r="A17" s="28" t="s">
        <v>1198</v>
      </c>
      <c r="B17" s="31">
        <v>5750</v>
      </c>
      <c r="C17" s="28" t="s">
        <v>665</v>
      </c>
      <c r="D17" s="28">
        <v>2026</v>
      </c>
      <c r="E17" s="28" t="s">
        <v>389</v>
      </c>
      <c r="F17" s="31">
        <v>2600</v>
      </c>
      <c r="G17" s="28" t="s">
        <v>665</v>
      </c>
      <c r="H17" s="28">
        <v>2026</v>
      </c>
      <c r="I17" s="28" t="s">
        <v>389</v>
      </c>
      <c r="J17" s="31">
        <v>800</v>
      </c>
      <c r="K17" s="28" t="s">
        <v>665</v>
      </c>
      <c r="L17" s="28">
        <v>2026</v>
      </c>
      <c r="M17" s="28" t="s">
        <v>389</v>
      </c>
      <c r="N17" s="31">
        <v>330</v>
      </c>
      <c r="O17" s="28" t="s">
        <v>665</v>
      </c>
      <c r="P17" s="28">
        <v>2026</v>
      </c>
      <c r="Q17" s="28" t="s">
        <v>261</v>
      </c>
      <c r="R17" s="31">
        <v>400</v>
      </c>
      <c r="S17" s="28" t="s">
        <v>665</v>
      </c>
      <c r="T17" s="28">
        <v>2026</v>
      </c>
      <c r="U17" s="28" t="s">
        <v>389</v>
      </c>
    </row>
    <row r="18" spans="1:21" x14ac:dyDescent="0.3">
      <c r="A18" s="28" t="s">
        <v>1199</v>
      </c>
      <c r="B18" s="31">
        <v>5750</v>
      </c>
      <c r="C18" s="28" t="s">
        <v>665</v>
      </c>
      <c r="D18" s="28">
        <v>2026</v>
      </c>
      <c r="E18" s="28" t="s">
        <v>389</v>
      </c>
      <c r="F18" s="31">
        <v>2600</v>
      </c>
      <c r="G18" s="28" t="s">
        <v>665</v>
      </c>
      <c r="H18" s="28">
        <v>2026</v>
      </c>
      <c r="I18" s="28" t="s">
        <v>389</v>
      </c>
      <c r="J18" s="31">
        <v>800</v>
      </c>
      <c r="K18" s="28" t="s">
        <v>665</v>
      </c>
      <c r="L18" s="28">
        <v>2026</v>
      </c>
      <c r="M18" s="28" t="s">
        <v>389</v>
      </c>
      <c r="N18" s="31">
        <v>450</v>
      </c>
      <c r="O18" s="28" t="s">
        <v>665</v>
      </c>
      <c r="P18" s="28">
        <v>2026</v>
      </c>
      <c r="Q18" s="28" t="s">
        <v>261</v>
      </c>
      <c r="R18" s="31">
        <v>400</v>
      </c>
      <c r="S18" s="28" t="s">
        <v>665</v>
      </c>
      <c r="T18" s="28">
        <v>2026</v>
      </c>
      <c r="U18" s="28" t="s">
        <v>389</v>
      </c>
    </row>
    <row r="19" spans="1:21" x14ac:dyDescent="0.3">
      <c r="A19" s="28" t="s">
        <v>1200</v>
      </c>
      <c r="B19" s="31">
        <v>10200</v>
      </c>
      <c r="C19" s="28" t="s">
        <v>726</v>
      </c>
      <c r="D19" s="28">
        <v>2026</v>
      </c>
      <c r="E19" s="28" t="s">
        <v>389</v>
      </c>
      <c r="F19" s="31">
        <v>7200</v>
      </c>
      <c r="G19" s="28" t="s">
        <v>726</v>
      </c>
      <c r="H19" s="28">
        <v>2026</v>
      </c>
      <c r="I19" s="28" t="s">
        <v>389</v>
      </c>
      <c r="J19" s="31">
        <v>1200</v>
      </c>
      <c r="K19" s="28" t="s">
        <v>726</v>
      </c>
      <c r="L19" s="28">
        <v>2026</v>
      </c>
      <c r="M19" s="28" t="s">
        <v>389</v>
      </c>
      <c r="N19" s="31">
        <v>0</v>
      </c>
      <c r="O19" s="28" t="s">
        <v>726</v>
      </c>
      <c r="P19" s="28">
        <v>2026</v>
      </c>
      <c r="Q19" s="28" t="s">
        <v>389</v>
      </c>
      <c r="R19" s="31">
        <v>1000</v>
      </c>
      <c r="S19" s="28" t="s">
        <v>726</v>
      </c>
      <c r="T19" s="28">
        <v>2026</v>
      </c>
      <c r="U19" s="28" t="s">
        <v>261</v>
      </c>
    </row>
    <row r="20" spans="1:21" x14ac:dyDescent="0.3">
      <c r="A20" s="28" t="s">
        <v>1201</v>
      </c>
      <c r="B20" s="31">
        <v>10200</v>
      </c>
      <c r="C20" s="28" t="s">
        <v>726</v>
      </c>
      <c r="D20" s="28">
        <v>2026</v>
      </c>
      <c r="E20" s="28" t="s">
        <v>389</v>
      </c>
      <c r="F20" s="31">
        <v>7200</v>
      </c>
      <c r="G20" s="28" t="s">
        <v>726</v>
      </c>
      <c r="H20" s="28">
        <v>2026</v>
      </c>
      <c r="I20" s="28" t="s">
        <v>389</v>
      </c>
      <c r="J20" s="31">
        <v>1200</v>
      </c>
      <c r="K20" s="28" t="s">
        <v>726</v>
      </c>
      <c r="L20" s="28">
        <v>2026</v>
      </c>
      <c r="M20" s="28" t="s">
        <v>389</v>
      </c>
      <c r="N20" s="31">
        <v>644</v>
      </c>
      <c r="O20" s="28" t="s">
        <v>726</v>
      </c>
      <c r="P20" s="28">
        <v>2026</v>
      </c>
      <c r="Q20" s="28" t="s">
        <v>389</v>
      </c>
      <c r="R20" s="31">
        <v>1000</v>
      </c>
      <c r="S20" s="28" t="s">
        <v>726</v>
      </c>
      <c r="T20" s="28">
        <v>2026</v>
      </c>
      <c r="U20" s="28" t="s">
        <v>261</v>
      </c>
    </row>
    <row r="21" spans="1:21" x14ac:dyDescent="0.3">
      <c r="A21" s="28" t="s">
        <v>1202</v>
      </c>
      <c r="B21" s="31">
        <v>7227</v>
      </c>
      <c r="C21" s="28" t="s">
        <v>603</v>
      </c>
      <c r="D21" s="28">
        <v>2026</v>
      </c>
      <c r="E21" s="28" t="s">
        <v>389</v>
      </c>
      <c r="F21" s="31">
        <v>3000</v>
      </c>
      <c r="G21" s="28" t="s">
        <v>603</v>
      </c>
      <c r="H21" s="28">
        <v>2026</v>
      </c>
      <c r="I21" s="28" t="s">
        <v>389</v>
      </c>
      <c r="J21" s="31">
        <v>1000</v>
      </c>
      <c r="K21" s="28" t="s">
        <v>603</v>
      </c>
      <c r="L21" s="28">
        <v>2026</v>
      </c>
      <c r="M21" s="28" t="s">
        <v>389</v>
      </c>
      <c r="N21" s="31">
        <v>0</v>
      </c>
      <c r="O21" s="28" t="s">
        <v>603</v>
      </c>
      <c r="P21" s="28">
        <v>2026</v>
      </c>
      <c r="Q21" s="28" t="s">
        <v>389</v>
      </c>
      <c r="R21" s="31">
        <v>500</v>
      </c>
      <c r="S21" s="28" t="s">
        <v>603</v>
      </c>
      <c r="T21" s="28">
        <v>2026</v>
      </c>
      <c r="U21" s="28" t="s">
        <v>261</v>
      </c>
    </row>
    <row r="22" spans="1:21" x14ac:dyDescent="0.3">
      <c r="A22" s="28" t="s">
        <v>1203</v>
      </c>
      <c r="B22" s="31">
        <v>7227</v>
      </c>
      <c r="C22" s="28" t="s">
        <v>603</v>
      </c>
      <c r="D22" s="28">
        <v>2026</v>
      </c>
      <c r="E22" s="28" t="s">
        <v>389</v>
      </c>
      <c r="F22" s="31">
        <v>3000</v>
      </c>
      <c r="G22" s="28" t="s">
        <v>603</v>
      </c>
      <c r="H22" s="28">
        <v>2026</v>
      </c>
      <c r="I22" s="28" t="s">
        <v>389</v>
      </c>
      <c r="J22" s="31">
        <v>1000</v>
      </c>
      <c r="K22" s="28" t="s">
        <v>603</v>
      </c>
      <c r="L22" s="28">
        <v>2026</v>
      </c>
      <c r="M22" s="28" t="s">
        <v>389</v>
      </c>
      <c r="N22" s="31">
        <v>550</v>
      </c>
      <c r="O22" s="28" t="s">
        <v>603</v>
      </c>
      <c r="P22" s="28">
        <v>2026</v>
      </c>
      <c r="Q22" s="28" t="s">
        <v>389</v>
      </c>
      <c r="R22" s="31">
        <v>500</v>
      </c>
      <c r="S22" s="28" t="s">
        <v>603</v>
      </c>
      <c r="T22" s="28">
        <v>2026</v>
      </c>
      <c r="U22" s="28" t="s">
        <v>261</v>
      </c>
    </row>
    <row r="23" spans="1:21" x14ac:dyDescent="0.3">
      <c r="A23" s="28" t="s">
        <v>1204</v>
      </c>
      <c r="B23" s="31">
        <v>21492</v>
      </c>
      <c r="C23" s="28" t="s">
        <v>853</v>
      </c>
      <c r="D23" s="28">
        <v>2026</v>
      </c>
      <c r="E23" s="28" t="s">
        <v>389</v>
      </c>
      <c r="F23" s="31">
        <v>16060</v>
      </c>
      <c r="G23" s="28" t="s">
        <v>853</v>
      </c>
      <c r="H23" s="28">
        <v>2026</v>
      </c>
      <c r="I23" s="28" t="s">
        <v>389</v>
      </c>
      <c r="J23" s="31">
        <v>3600</v>
      </c>
      <c r="K23" s="28" t="s">
        <v>853</v>
      </c>
      <c r="L23" s="28">
        <v>2026</v>
      </c>
      <c r="M23" s="28" t="s">
        <v>261</v>
      </c>
      <c r="N23" s="31">
        <v>0</v>
      </c>
      <c r="O23" s="28" t="s">
        <v>853</v>
      </c>
      <c r="P23" s="28">
        <v>2026</v>
      </c>
      <c r="Q23" s="28" t="s">
        <v>389</v>
      </c>
      <c r="R23" s="31">
        <v>3650</v>
      </c>
      <c r="S23" s="28" t="s">
        <v>853</v>
      </c>
      <c r="T23" s="28">
        <v>2026</v>
      </c>
      <c r="U23" s="28" t="s">
        <v>389</v>
      </c>
    </row>
    <row r="24" spans="1:21" x14ac:dyDescent="0.3">
      <c r="A24" s="28" t="s">
        <v>1205</v>
      </c>
      <c r="B24" s="31">
        <v>21492</v>
      </c>
      <c r="C24" s="28" t="s">
        <v>853</v>
      </c>
      <c r="D24" s="28">
        <v>2026</v>
      </c>
      <c r="E24" s="28" t="s">
        <v>389</v>
      </c>
      <c r="F24" s="31">
        <v>16060</v>
      </c>
      <c r="G24" s="28" t="s">
        <v>853</v>
      </c>
      <c r="H24" s="28">
        <v>2026</v>
      </c>
      <c r="I24" s="28" t="s">
        <v>389</v>
      </c>
      <c r="J24" s="31">
        <v>3600</v>
      </c>
      <c r="K24" s="28" t="s">
        <v>853</v>
      </c>
      <c r="L24" s="28">
        <v>2026</v>
      </c>
      <c r="M24" s="28" t="s">
        <v>261</v>
      </c>
      <c r="N24" s="31">
        <v>3424</v>
      </c>
      <c r="O24" s="28" t="s">
        <v>853</v>
      </c>
      <c r="P24" s="28">
        <v>2026</v>
      </c>
      <c r="Q24" s="28" t="s">
        <v>389</v>
      </c>
      <c r="R24" s="31">
        <v>3650</v>
      </c>
      <c r="S24" s="28" t="s">
        <v>853</v>
      </c>
      <c r="T24" s="28">
        <v>2026</v>
      </c>
      <c r="U24" s="28" t="s">
        <v>389</v>
      </c>
    </row>
    <row r="25" spans="1:21" x14ac:dyDescent="0.3">
      <c r="A25" s="28" t="s">
        <v>1206</v>
      </c>
      <c r="B25" s="31">
        <v>22500</v>
      </c>
      <c r="C25" s="28" t="s">
        <v>912</v>
      </c>
      <c r="D25" s="28">
        <v>2026</v>
      </c>
      <c r="E25" s="28" t="s">
        <v>389</v>
      </c>
      <c r="F25" s="31">
        <v>12000</v>
      </c>
      <c r="G25" s="28" t="s">
        <v>912</v>
      </c>
      <c r="H25" s="28">
        <v>2026</v>
      </c>
      <c r="I25" s="28" t="s">
        <v>389</v>
      </c>
      <c r="J25" s="31">
        <v>6000</v>
      </c>
      <c r="K25" s="28" t="s">
        <v>912</v>
      </c>
      <c r="L25" s="28">
        <v>2026</v>
      </c>
      <c r="M25" s="28" t="s">
        <v>389</v>
      </c>
      <c r="N25" s="31">
        <v>0</v>
      </c>
      <c r="O25" s="28" t="s">
        <v>912</v>
      </c>
      <c r="P25" s="28">
        <v>2026</v>
      </c>
      <c r="Q25" s="28" t="s">
        <v>389</v>
      </c>
      <c r="R25" s="31">
        <v>2000</v>
      </c>
      <c r="S25" s="28" t="s">
        <v>912</v>
      </c>
      <c r="T25" s="28">
        <v>2026</v>
      </c>
      <c r="U25" s="28" t="s">
        <v>261</v>
      </c>
    </row>
    <row r="26" spans="1:21" x14ac:dyDescent="0.3">
      <c r="A26" s="28" t="s">
        <v>1207</v>
      </c>
      <c r="B26" s="31">
        <v>22500</v>
      </c>
      <c r="C26" s="28" t="s">
        <v>912</v>
      </c>
      <c r="D26" s="28">
        <v>2026</v>
      </c>
      <c r="E26" s="28" t="s">
        <v>389</v>
      </c>
      <c r="F26" s="31">
        <v>12000</v>
      </c>
      <c r="G26" s="28" t="s">
        <v>912</v>
      </c>
      <c r="H26" s="28">
        <v>2026</v>
      </c>
      <c r="I26" s="28" t="s">
        <v>389</v>
      </c>
      <c r="J26" s="31">
        <v>6000</v>
      </c>
      <c r="K26" s="28" t="s">
        <v>912</v>
      </c>
      <c r="L26" s="28">
        <v>2026</v>
      </c>
      <c r="M26" s="28" t="s">
        <v>389</v>
      </c>
      <c r="N26" s="31">
        <v>1500</v>
      </c>
      <c r="O26" s="28" t="s">
        <v>912</v>
      </c>
      <c r="P26" s="28">
        <v>2026</v>
      </c>
      <c r="Q26" s="28" t="s">
        <v>261</v>
      </c>
      <c r="R26" s="31">
        <v>2000</v>
      </c>
      <c r="S26" s="28" t="s">
        <v>912</v>
      </c>
      <c r="T26" s="28">
        <v>2026</v>
      </c>
      <c r="U26" s="28" t="s">
        <v>261</v>
      </c>
    </row>
  </sheetData>
  <sheetProtection sheet="1" objects="1" formatCells="0" formatColumns="0" formatRows="0"/>
  <mergeCells count="1">
    <mergeCell ref="A2:L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773"/>
  <sheetViews>
    <sheetView workbookViewId="0"/>
  </sheetViews>
  <sheetFormatPr defaultRowHeight="14.4" x14ac:dyDescent="0.3"/>
  <cols>
    <col min="1" max="1" width="30" customWidth="1"/>
    <col min="2" max="2" width="12" customWidth="1"/>
    <col min="3" max="3" width="9" customWidth="1"/>
    <col min="4" max="4" width="7" customWidth="1"/>
    <col min="5" max="5" width="11" customWidth="1"/>
    <col min="7" max="7" width="30" customWidth="1"/>
    <col min="8" max="8" width="12" customWidth="1"/>
    <col min="9" max="9" width="9" customWidth="1"/>
    <col min="10" max="10" width="7" customWidth="1"/>
    <col min="11" max="11" width="11" customWidth="1"/>
    <col min="13" max="13" width="90" customWidth="1"/>
  </cols>
  <sheetData>
    <row r="1" spans="1:13" ht="21" x14ac:dyDescent="0.4">
      <c r="A1" s="5" t="s">
        <v>1208</v>
      </c>
    </row>
    <row r="3" spans="1:13" ht="26.4" x14ac:dyDescent="0.3">
      <c r="A3" s="22" t="s">
        <v>1209</v>
      </c>
      <c r="B3" s="22" t="s">
        <v>1210</v>
      </c>
      <c r="C3" s="22" t="s">
        <v>973</v>
      </c>
      <c r="D3" s="22" t="s">
        <v>78</v>
      </c>
      <c r="E3" s="22" t="s">
        <v>132</v>
      </c>
      <c r="G3" s="22" t="s">
        <v>1211</v>
      </c>
      <c r="H3" s="22" t="s">
        <v>1212</v>
      </c>
      <c r="I3" s="22" t="s">
        <v>973</v>
      </c>
      <c r="J3" s="22" t="s">
        <v>78</v>
      </c>
      <c r="K3" s="22" t="s">
        <v>132</v>
      </c>
      <c r="M3" s="8" t="s">
        <v>1213</v>
      </c>
    </row>
    <row r="4" spans="1:13" ht="22.8" x14ac:dyDescent="0.3">
      <c r="A4" s="28" t="s">
        <v>1214</v>
      </c>
      <c r="B4" s="28">
        <v>0</v>
      </c>
      <c r="C4" s="28" t="s">
        <v>12</v>
      </c>
      <c r="D4" s="28">
        <v>2026</v>
      </c>
      <c r="E4" s="28" t="s">
        <v>1215</v>
      </c>
      <c r="G4" s="28" t="s">
        <v>1214</v>
      </c>
      <c r="H4" s="28">
        <v>300</v>
      </c>
      <c r="I4" s="28" t="s">
        <v>12</v>
      </c>
      <c r="J4" s="28">
        <v>2026</v>
      </c>
      <c r="K4" s="28" t="s">
        <v>261</v>
      </c>
      <c r="M4" s="32" t="s">
        <v>1216</v>
      </c>
    </row>
    <row r="5" spans="1:13" ht="22.8" x14ac:dyDescent="0.3">
      <c r="A5" s="28" t="s">
        <v>1217</v>
      </c>
      <c r="B5" s="28">
        <v>120</v>
      </c>
      <c r="C5" s="28" t="s">
        <v>12</v>
      </c>
      <c r="D5" s="28">
        <v>2026</v>
      </c>
      <c r="E5" s="28" t="s">
        <v>261</v>
      </c>
      <c r="G5" s="28" t="s">
        <v>1217</v>
      </c>
      <c r="H5" s="28">
        <v>750</v>
      </c>
      <c r="I5" s="28" t="s">
        <v>12</v>
      </c>
      <c r="J5" s="28">
        <v>2026</v>
      </c>
      <c r="K5" s="28" t="s">
        <v>261</v>
      </c>
      <c r="M5" s="32" t="s">
        <v>1218</v>
      </c>
    </row>
    <row r="6" spans="1:13" ht="22.8" x14ac:dyDescent="0.3">
      <c r="A6" s="28" t="s">
        <v>1219</v>
      </c>
      <c r="B6" s="28">
        <v>50</v>
      </c>
      <c r="C6" s="28" t="s">
        <v>12</v>
      </c>
      <c r="D6" s="28">
        <v>2026</v>
      </c>
      <c r="E6" s="28" t="s">
        <v>389</v>
      </c>
      <c r="G6" s="28" t="s">
        <v>1219</v>
      </c>
      <c r="H6" s="28">
        <v>750</v>
      </c>
      <c r="I6" s="28" t="s">
        <v>12</v>
      </c>
      <c r="J6" s="28">
        <v>2026</v>
      </c>
      <c r="K6" s="28" t="s">
        <v>261</v>
      </c>
      <c r="M6" s="32" t="s">
        <v>1220</v>
      </c>
    </row>
    <row r="7" spans="1:13" x14ac:dyDescent="0.3">
      <c r="A7" s="28" t="s">
        <v>1221</v>
      </c>
      <c r="B7" s="28">
        <v>120</v>
      </c>
      <c r="C7" s="28" t="s">
        <v>12</v>
      </c>
      <c r="D7" s="28">
        <v>2026</v>
      </c>
      <c r="E7" s="28" t="s">
        <v>261</v>
      </c>
      <c r="G7" s="28" t="s">
        <v>1221</v>
      </c>
      <c r="H7" s="28">
        <v>750</v>
      </c>
      <c r="I7" s="28" t="s">
        <v>12</v>
      </c>
      <c r="J7" s="28">
        <v>2026</v>
      </c>
      <c r="K7" s="28" t="s">
        <v>261</v>
      </c>
      <c r="M7" s="32" t="s">
        <v>1222</v>
      </c>
    </row>
    <row r="8" spans="1:13" ht="22.8" x14ac:dyDescent="0.3">
      <c r="A8" s="28" t="s">
        <v>1223</v>
      </c>
      <c r="B8" s="28">
        <v>120</v>
      </c>
      <c r="C8" s="28" t="s">
        <v>12</v>
      </c>
      <c r="D8" s="28">
        <v>2026</v>
      </c>
      <c r="E8" s="28" t="s">
        <v>261</v>
      </c>
      <c r="G8" s="28" t="s">
        <v>1223</v>
      </c>
      <c r="H8" s="28">
        <v>750</v>
      </c>
      <c r="I8" s="28" t="s">
        <v>12</v>
      </c>
      <c r="J8" s="28">
        <v>2026</v>
      </c>
      <c r="K8" s="28" t="s">
        <v>261</v>
      </c>
      <c r="M8" s="32" t="s">
        <v>1224</v>
      </c>
    </row>
    <row r="9" spans="1:13" ht="22.8" x14ac:dyDescent="0.3">
      <c r="A9" s="28" t="s">
        <v>1225</v>
      </c>
      <c r="B9" s="28">
        <v>120</v>
      </c>
      <c r="C9" s="28" t="s">
        <v>12</v>
      </c>
      <c r="D9" s="28">
        <v>2026</v>
      </c>
      <c r="E9" s="28" t="s">
        <v>261</v>
      </c>
      <c r="G9" s="28" t="s">
        <v>1225</v>
      </c>
      <c r="H9" s="28">
        <v>750</v>
      </c>
      <c r="I9" s="28" t="s">
        <v>12</v>
      </c>
      <c r="J9" s="28">
        <v>2026</v>
      </c>
      <c r="K9" s="28" t="s">
        <v>261</v>
      </c>
      <c r="M9" s="32" t="s">
        <v>1226</v>
      </c>
    </row>
    <row r="10" spans="1:13" ht="22.8" x14ac:dyDescent="0.3">
      <c r="A10" s="28" t="s">
        <v>1227</v>
      </c>
      <c r="B10" s="28">
        <v>120</v>
      </c>
      <c r="C10" s="28" t="s">
        <v>12</v>
      </c>
      <c r="D10" s="28">
        <v>2026</v>
      </c>
      <c r="E10" s="28" t="s">
        <v>261</v>
      </c>
      <c r="G10" s="28" t="s">
        <v>1227</v>
      </c>
      <c r="H10" s="28">
        <v>750</v>
      </c>
      <c r="I10" s="28" t="s">
        <v>12</v>
      </c>
      <c r="J10" s="28">
        <v>2026</v>
      </c>
      <c r="K10" s="28" t="s">
        <v>261</v>
      </c>
      <c r="M10" s="32" t="s">
        <v>1228</v>
      </c>
    </row>
    <row r="11" spans="1:13" ht="22.8" x14ac:dyDescent="0.3">
      <c r="A11" s="28" t="s">
        <v>1229</v>
      </c>
      <c r="B11" s="28">
        <v>70</v>
      </c>
      <c r="C11" s="28" t="s">
        <v>12</v>
      </c>
      <c r="D11" s="28">
        <v>2026</v>
      </c>
      <c r="E11" s="28" t="s">
        <v>389</v>
      </c>
      <c r="G11" s="28" t="s">
        <v>1229</v>
      </c>
      <c r="H11" s="28">
        <v>800</v>
      </c>
      <c r="I11" s="28" t="s">
        <v>12</v>
      </c>
      <c r="J11" s="28">
        <v>2026</v>
      </c>
      <c r="K11" s="28" t="s">
        <v>261</v>
      </c>
      <c r="M11" s="32" t="s">
        <v>1230</v>
      </c>
    </row>
    <row r="12" spans="1:13" ht="22.8" x14ac:dyDescent="0.3">
      <c r="A12" s="28" t="s">
        <v>1231</v>
      </c>
      <c r="B12" s="28">
        <v>0</v>
      </c>
      <c r="C12" s="28" t="s">
        <v>12</v>
      </c>
      <c r="D12" s="28">
        <v>2026</v>
      </c>
      <c r="E12" s="28" t="s">
        <v>389</v>
      </c>
      <c r="G12" s="28" t="s">
        <v>1231</v>
      </c>
      <c r="H12" s="28">
        <v>800</v>
      </c>
      <c r="I12" s="28" t="s">
        <v>12</v>
      </c>
      <c r="J12" s="28">
        <v>2026</v>
      </c>
      <c r="K12" s="28" t="s">
        <v>261</v>
      </c>
      <c r="M12" s="32" t="s">
        <v>1232</v>
      </c>
    </row>
    <row r="13" spans="1:13" ht="34.200000000000003" x14ac:dyDescent="0.3">
      <c r="A13" s="28" t="s">
        <v>1233</v>
      </c>
      <c r="B13" s="28">
        <v>0</v>
      </c>
      <c r="C13" s="28" t="s">
        <v>12</v>
      </c>
      <c r="D13" s="28">
        <v>2026</v>
      </c>
      <c r="E13" s="28" t="s">
        <v>389</v>
      </c>
      <c r="G13" s="28" t="s">
        <v>1233</v>
      </c>
      <c r="H13" s="28">
        <v>800</v>
      </c>
      <c r="I13" s="28" t="s">
        <v>12</v>
      </c>
      <c r="J13" s="28">
        <v>2026</v>
      </c>
      <c r="K13" s="28" t="s">
        <v>261</v>
      </c>
      <c r="M13" s="32" t="s">
        <v>1234</v>
      </c>
    </row>
    <row r="14" spans="1:13" ht="34.200000000000003" x14ac:dyDescent="0.3">
      <c r="A14" s="28" t="s">
        <v>1235</v>
      </c>
      <c r="B14" s="28">
        <v>120</v>
      </c>
      <c r="C14" s="28" t="s">
        <v>12</v>
      </c>
      <c r="D14" s="28">
        <v>2026</v>
      </c>
      <c r="E14" s="28" t="s">
        <v>261</v>
      </c>
      <c r="G14" s="28" t="s">
        <v>1235</v>
      </c>
      <c r="H14" s="28">
        <v>800</v>
      </c>
      <c r="I14" s="28" t="s">
        <v>12</v>
      </c>
      <c r="J14" s="28">
        <v>2026</v>
      </c>
      <c r="K14" s="28" t="s">
        <v>261</v>
      </c>
      <c r="M14" s="32" t="s">
        <v>1236</v>
      </c>
    </row>
    <row r="15" spans="1:13" x14ac:dyDescent="0.3">
      <c r="A15" s="28" t="s">
        <v>1237</v>
      </c>
      <c r="B15" s="28">
        <v>120</v>
      </c>
      <c r="C15" s="28" t="s">
        <v>12</v>
      </c>
      <c r="D15" s="28">
        <v>2026</v>
      </c>
      <c r="E15" s="28" t="s">
        <v>261</v>
      </c>
      <c r="G15" s="28" t="s">
        <v>1237</v>
      </c>
      <c r="H15" s="28">
        <v>800</v>
      </c>
      <c r="I15" s="28" t="s">
        <v>12</v>
      </c>
      <c r="J15" s="28">
        <v>2026</v>
      </c>
      <c r="K15" s="28" t="s">
        <v>261</v>
      </c>
    </row>
    <row r="16" spans="1:13" ht="34.200000000000003" x14ac:dyDescent="0.3">
      <c r="A16" s="28" t="s">
        <v>1238</v>
      </c>
      <c r="B16" s="28">
        <v>120</v>
      </c>
      <c r="C16" s="28" t="s">
        <v>12</v>
      </c>
      <c r="D16" s="28">
        <v>2026</v>
      </c>
      <c r="E16" s="28" t="s">
        <v>261</v>
      </c>
      <c r="G16" s="28" t="s">
        <v>1238</v>
      </c>
      <c r="H16" s="28">
        <v>800</v>
      </c>
      <c r="I16" s="28" t="s">
        <v>12</v>
      </c>
      <c r="J16" s="28">
        <v>2026</v>
      </c>
      <c r="K16" s="28" t="s">
        <v>261</v>
      </c>
      <c r="M16" s="32" t="s">
        <v>1239</v>
      </c>
    </row>
    <row r="17" spans="1:11" x14ac:dyDescent="0.3">
      <c r="A17" s="28" t="s">
        <v>1240</v>
      </c>
      <c r="B17" s="28">
        <v>120</v>
      </c>
      <c r="C17" s="28" t="s">
        <v>12</v>
      </c>
      <c r="D17" s="28">
        <v>2026</v>
      </c>
      <c r="E17" s="28" t="s">
        <v>261</v>
      </c>
      <c r="G17" s="28" t="s">
        <v>1240</v>
      </c>
      <c r="H17" s="28">
        <v>900</v>
      </c>
      <c r="I17" s="28" t="s">
        <v>12</v>
      </c>
      <c r="J17" s="28">
        <v>2026</v>
      </c>
      <c r="K17" s="28" t="s">
        <v>261</v>
      </c>
    </row>
    <row r="18" spans="1:11" x14ac:dyDescent="0.3">
      <c r="A18" s="28" t="s">
        <v>1241</v>
      </c>
      <c r="B18" s="28">
        <v>120</v>
      </c>
      <c r="C18" s="28" t="s">
        <v>12</v>
      </c>
      <c r="D18" s="28">
        <v>2026</v>
      </c>
      <c r="E18" s="28" t="s">
        <v>261</v>
      </c>
      <c r="G18" s="28" t="s">
        <v>1241</v>
      </c>
      <c r="H18" s="28">
        <v>900</v>
      </c>
      <c r="I18" s="28" t="s">
        <v>12</v>
      </c>
      <c r="J18" s="28">
        <v>2026</v>
      </c>
      <c r="K18" s="28" t="s">
        <v>261</v>
      </c>
    </row>
    <row r="19" spans="1:11" x14ac:dyDescent="0.3">
      <c r="A19" s="28" t="s">
        <v>1242</v>
      </c>
      <c r="B19" s="28">
        <v>120</v>
      </c>
      <c r="C19" s="28" t="s">
        <v>12</v>
      </c>
      <c r="D19" s="28">
        <v>2026</v>
      </c>
      <c r="E19" s="28" t="s">
        <v>261</v>
      </c>
      <c r="G19" s="28" t="s">
        <v>1242</v>
      </c>
      <c r="H19" s="28">
        <v>900</v>
      </c>
      <c r="I19" s="28" t="s">
        <v>12</v>
      </c>
      <c r="J19" s="28">
        <v>2026</v>
      </c>
      <c r="K19" s="28" t="s">
        <v>261</v>
      </c>
    </row>
    <row r="20" spans="1:11" x14ac:dyDescent="0.3">
      <c r="A20" s="28" t="s">
        <v>1243</v>
      </c>
      <c r="B20" s="28">
        <v>120</v>
      </c>
      <c r="C20" s="28" t="s">
        <v>12</v>
      </c>
      <c r="D20" s="28">
        <v>2026</v>
      </c>
      <c r="E20" s="28" t="s">
        <v>261</v>
      </c>
      <c r="G20" s="28" t="s">
        <v>1243</v>
      </c>
      <c r="H20" s="28">
        <v>900</v>
      </c>
      <c r="I20" s="28" t="s">
        <v>12</v>
      </c>
      <c r="J20" s="28">
        <v>2026</v>
      </c>
      <c r="K20" s="28" t="s">
        <v>261</v>
      </c>
    </row>
    <row r="21" spans="1:11" x14ac:dyDescent="0.3">
      <c r="A21" s="28" t="s">
        <v>1244</v>
      </c>
      <c r="B21" s="28">
        <v>120</v>
      </c>
      <c r="C21" s="28" t="s">
        <v>12</v>
      </c>
      <c r="D21" s="28">
        <v>2026</v>
      </c>
      <c r="E21" s="28" t="s">
        <v>261</v>
      </c>
      <c r="G21" s="28" t="s">
        <v>1244</v>
      </c>
      <c r="H21" s="28">
        <v>900</v>
      </c>
      <c r="I21" s="28" t="s">
        <v>12</v>
      </c>
      <c r="J21" s="28">
        <v>2026</v>
      </c>
      <c r="K21" s="28" t="s">
        <v>261</v>
      </c>
    </row>
    <row r="22" spans="1:11" x14ac:dyDescent="0.3">
      <c r="A22" s="28" t="s">
        <v>1245</v>
      </c>
      <c r="B22" s="28">
        <v>120</v>
      </c>
      <c r="C22" s="28" t="s">
        <v>12</v>
      </c>
      <c r="D22" s="28">
        <v>2026</v>
      </c>
      <c r="E22" s="28" t="s">
        <v>261</v>
      </c>
      <c r="G22" s="28" t="s">
        <v>1245</v>
      </c>
      <c r="H22" s="28">
        <v>900</v>
      </c>
      <c r="I22" s="28" t="s">
        <v>12</v>
      </c>
      <c r="J22" s="28">
        <v>2026</v>
      </c>
      <c r="K22" s="28" t="s">
        <v>261</v>
      </c>
    </row>
    <row r="23" spans="1:11" x14ac:dyDescent="0.3">
      <c r="A23" s="28" t="s">
        <v>1246</v>
      </c>
      <c r="B23" s="28">
        <v>120</v>
      </c>
      <c r="C23" s="28" t="s">
        <v>12</v>
      </c>
      <c r="D23" s="28">
        <v>2026</v>
      </c>
      <c r="E23" s="28" t="s">
        <v>389</v>
      </c>
      <c r="G23" s="28" t="s">
        <v>1246</v>
      </c>
      <c r="H23" s="28">
        <v>1200</v>
      </c>
      <c r="I23" s="28" t="s">
        <v>12</v>
      </c>
      <c r="J23" s="28">
        <v>2026</v>
      </c>
      <c r="K23" s="28" t="s">
        <v>261</v>
      </c>
    </row>
    <row r="24" spans="1:11" x14ac:dyDescent="0.3">
      <c r="A24" s="28" t="s">
        <v>1247</v>
      </c>
      <c r="B24" s="28">
        <v>120</v>
      </c>
      <c r="C24" s="28" t="s">
        <v>12</v>
      </c>
      <c r="D24" s="28">
        <v>2026</v>
      </c>
      <c r="E24" s="28" t="s">
        <v>261</v>
      </c>
      <c r="G24" s="28" t="s">
        <v>1247</v>
      </c>
      <c r="H24" s="28">
        <v>1200</v>
      </c>
      <c r="I24" s="28" t="s">
        <v>12</v>
      </c>
      <c r="J24" s="28">
        <v>2026</v>
      </c>
      <c r="K24" s="28" t="s">
        <v>261</v>
      </c>
    </row>
    <row r="25" spans="1:11" x14ac:dyDescent="0.3">
      <c r="A25" s="28" t="s">
        <v>1248</v>
      </c>
      <c r="B25" s="28">
        <v>100</v>
      </c>
      <c r="C25" s="28" t="s">
        <v>12</v>
      </c>
      <c r="D25" s="28">
        <v>2026</v>
      </c>
      <c r="E25" s="28" t="s">
        <v>389</v>
      </c>
      <c r="G25" s="28" t="s">
        <v>1248</v>
      </c>
      <c r="H25" s="28">
        <v>1200</v>
      </c>
      <c r="I25" s="28" t="s">
        <v>12</v>
      </c>
      <c r="J25" s="28">
        <v>2026</v>
      </c>
      <c r="K25" s="28" t="s">
        <v>261</v>
      </c>
    </row>
    <row r="26" spans="1:11" x14ac:dyDescent="0.3">
      <c r="A26" s="28" t="s">
        <v>1249</v>
      </c>
      <c r="B26" s="28">
        <v>120</v>
      </c>
      <c r="C26" s="28" t="s">
        <v>12</v>
      </c>
      <c r="D26" s="28">
        <v>2026</v>
      </c>
      <c r="E26" s="28" t="s">
        <v>261</v>
      </c>
      <c r="G26" s="28" t="s">
        <v>1249</v>
      </c>
      <c r="H26" s="28">
        <v>1200</v>
      </c>
      <c r="I26" s="28" t="s">
        <v>12</v>
      </c>
      <c r="J26" s="28">
        <v>2026</v>
      </c>
      <c r="K26" s="28" t="s">
        <v>261</v>
      </c>
    </row>
    <row r="27" spans="1:11" x14ac:dyDescent="0.3">
      <c r="A27" s="28" t="s">
        <v>1250</v>
      </c>
      <c r="B27" s="28">
        <v>120</v>
      </c>
      <c r="C27" s="28" t="s">
        <v>12</v>
      </c>
      <c r="D27" s="28">
        <v>2026</v>
      </c>
      <c r="E27" s="28" t="s">
        <v>261</v>
      </c>
      <c r="G27" s="28" t="s">
        <v>1250</v>
      </c>
      <c r="H27" s="28">
        <v>1200</v>
      </c>
      <c r="I27" s="28" t="s">
        <v>12</v>
      </c>
      <c r="J27" s="28">
        <v>2026</v>
      </c>
      <c r="K27" s="28" t="s">
        <v>261</v>
      </c>
    </row>
    <row r="28" spans="1:11" x14ac:dyDescent="0.3">
      <c r="A28" s="28" t="s">
        <v>1251</v>
      </c>
      <c r="B28" s="28">
        <v>120</v>
      </c>
      <c r="C28" s="28" t="s">
        <v>12</v>
      </c>
      <c r="D28" s="28">
        <v>2026</v>
      </c>
      <c r="E28" s="28" t="s">
        <v>261</v>
      </c>
      <c r="G28" s="28" t="s">
        <v>1251</v>
      </c>
      <c r="H28" s="28">
        <v>1200</v>
      </c>
      <c r="I28" s="28" t="s">
        <v>12</v>
      </c>
      <c r="J28" s="28">
        <v>2026</v>
      </c>
      <c r="K28" s="28" t="s">
        <v>261</v>
      </c>
    </row>
    <row r="29" spans="1:11" x14ac:dyDescent="0.3">
      <c r="A29" s="28" t="s">
        <v>1252</v>
      </c>
      <c r="B29" s="28">
        <v>120</v>
      </c>
      <c r="C29" s="28" t="s">
        <v>12</v>
      </c>
      <c r="D29" s="28">
        <v>2026</v>
      </c>
      <c r="E29" s="28" t="s">
        <v>261</v>
      </c>
      <c r="G29" s="28" t="s">
        <v>1252</v>
      </c>
      <c r="H29" s="28">
        <v>1200</v>
      </c>
      <c r="I29" s="28" t="s">
        <v>12</v>
      </c>
      <c r="J29" s="28">
        <v>2026</v>
      </c>
      <c r="K29" s="28" t="s">
        <v>261</v>
      </c>
    </row>
    <row r="30" spans="1:11" x14ac:dyDescent="0.3">
      <c r="A30" s="28" t="s">
        <v>1253</v>
      </c>
      <c r="B30" s="28">
        <v>120</v>
      </c>
      <c r="C30" s="28" t="s">
        <v>12</v>
      </c>
      <c r="D30" s="28">
        <v>2026</v>
      </c>
      <c r="E30" s="28" t="s">
        <v>261</v>
      </c>
      <c r="G30" s="28" t="s">
        <v>1253</v>
      </c>
      <c r="H30" s="28">
        <v>1200</v>
      </c>
      <c r="I30" s="28" t="s">
        <v>12</v>
      </c>
      <c r="J30" s="28">
        <v>2026</v>
      </c>
      <c r="K30" s="28" t="s">
        <v>261</v>
      </c>
    </row>
    <row r="31" spans="1:11" x14ac:dyDescent="0.3">
      <c r="A31" s="28" t="s">
        <v>1254</v>
      </c>
      <c r="B31" s="28">
        <v>120</v>
      </c>
      <c r="C31" s="28" t="s">
        <v>12</v>
      </c>
      <c r="D31" s="28">
        <v>2026</v>
      </c>
      <c r="E31" s="28" t="s">
        <v>261</v>
      </c>
      <c r="G31" s="28" t="s">
        <v>1254</v>
      </c>
      <c r="H31" s="28">
        <v>1200</v>
      </c>
      <c r="I31" s="28" t="s">
        <v>12</v>
      </c>
      <c r="J31" s="28">
        <v>2026</v>
      </c>
      <c r="K31" s="28" t="s">
        <v>261</v>
      </c>
    </row>
    <row r="32" spans="1:11" x14ac:dyDescent="0.3">
      <c r="A32" s="28" t="s">
        <v>1255</v>
      </c>
      <c r="B32" s="28">
        <v>120</v>
      </c>
      <c r="C32" s="28" t="s">
        <v>12</v>
      </c>
      <c r="D32" s="28">
        <v>2026</v>
      </c>
      <c r="E32" s="28" t="s">
        <v>261</v>
      </c>
      <c r="G32" s="28" t="s">
        <v>1255</v>
      </c>
      <c r="H32" s="28">
        <v>1200</v>
      </c>
      <c r="I32" s="28" t="s">
        <v>12</v>
      </c>
      <c r="J32" s="28">
        <v>2026</v>
      </c>
      <c r="K32" s="28" t="s">
        <v>261</v>
      </c>
    </row>
    <row r="33" spans="1:11" x14ac:dyDescent="0.3">
      <c r="A33" s="28" t="s">
        <v>1256</v>
      </c>
      <c r="B33" s="28">
        <v>120</v>
      </c>
      <c r="C33" s="28" t="s">
        <v>12</v>
      </c>
      <c r="D33" s="28">
        <v>2026</v>
      </c>
      <c r="E33" s="28" t="s">
        <v>261</v>
      </c>
      <c r="G33" s="28" t="s">
        <v>1256</v>
      </c>
      <c r="H33" s="28">
        <v>1200</v>
      </c>
      <c r="I33" s="28" t="s">
        <v>12</v>
      </c>
      <c r="J33" s="28">
        <v>2026</v>
      </c>
      <c r="K33" s="28" t="s">
        <v>261</v>
      </c>
    </row>
    <row r="34" spans="1:11" x14ac:dyDescent="0.3">
      <c r="A34" s="28" t="s">
        <v>1257</v>
      </c>
      <c r="B34" s="28">
        <v>120</v>
      </c>
      <c r="C34" s="28" t="s">
        <v>12</v>
      </c>
      <c r="D34" s="28">
        <v>2026</v>
      </c>
      <c r="E34" s="28" t="s">
        <v>261</v>
      </c>
      <c r="G34" s="28" t="s">
        <v>1257</v>
      </c>
      <c r="H34" s="28">
        <v>1200</v>
      </c>
      <c r="I34" s="28" t="s">
        <v>12</v>
      </c>
      <c r="J34" s="28">
        <v>2026</v>
      </c>
      <c r="K34" s="28" t="s">
        <v>261</v>
      </c>
    </row>
    <row r="35" spans="1:11" x14ac:dyDescent="0.3">
      <c r="A35" s="28" t="s">
        <v>1258</v>
      </c>
      <c r="B35" s="28">
        <v>120</v>
      </c>
      <c r="C35" s="28" t="s">
        <v>12</v>
      </c>
      <c r="D35" s="28">
        <v>2026</v>
      </c>
      <c r="E35" s="28" t="s">
        <v>261</v>
      </c>
      <c r="G35" s="28" t="s">
        <v>1258</v>
      </c>
      <c r="H35" s="28">
        <v>1200</v>
      </c>
      <c r="I35" s="28" t="s">
        <v>12</v>
      </c>
      <c r="J35" s="28">
        <v>2026</v>
      </c>
      <c r="K35" s="28" t="s">
        <v>261</v>
      </c>
    </row>
    <row r="36" spans="1:11" x14ac:dyDescent="0.3">
      <c r="A36" s="28" t="s">
        <v>1259</v>
      </c>
      <c r="B36" s="28">
        <v>120</v>
      </c>
      <c r="C36" s="28" t="s">
        <v>12</v>
      </c>
      <c r="D36" s="28">
        <v>2026</v>
      </c>
      <c r="E36" s="28" t="s">
        <v>261</v>
      </c>
      <c r="G36" s="28" t="s">
        <v>1259</v>
      </c>
      <c r="H36" s="28">
        <v>1200</v>
      </c>
      <c r="I36" s="28" t="s">
        <v>12</v>
      </c>
      <c r="J36" s="28">
        <v>2026</v>
      </c>
      <c r="K36" s="28" t="s">
        <v>261</v>
      </c>
    </row>
    <row r="37" spans="1:11" x14ac:dyDescent="0.3">
      <c r="A37" s="28" t="s">
        <v>1260</v>
      </c>
      <c r="B37" s="28">
        <v>120</v>
      </c>
      <c r="C37" s="28" t="s">
        <v>12</v>
      </c>
      <c r="D37" s="28">
        <v>2026</v>
      </c>
      <c r="E37" s="28" t="s">
        <v>261</v>
      </c>
      <c r="G37" s="28" t="s">
        <v>1260</v>
      </c>
      <c r="H37" s="28">
        <v>1200</v>
      </c>
      <c r="I37" s="28" t="s">
        <v>12</v>
      </c>
      <c r="J37" s="28">
        <v>2026</v>
      </c>
      <c r="K37" s="28" t="s">
        <v>261</v>
      </c>
    </row>
    <row r="38" spans="1:11" x14ac:dyDescent="0.3">
      <c r="A38" s="28" t="s">
        <v>1261</v>
      </c>
      <c r="B38" s="28">
        <v>120</v>
      </c>
      <c r="C38" s="28" t="s">
        <v>12</v>
      </c>
      <c r="D38" s="28">
        <v>2026</v>
      </c>
      <c r="E38" s="28" t="s">
        <v>261</v>
      </c>
      <c r="G38" s="28" t="s">
        <v>1261</v>
      </c>
      <c r="H38" s="28">
        <v>1200</v>
      </c>
      <c r="I38" s="28" t="s">
        <v>12</v>
      </c>
      <c r="J38" s="28">
        <v>2026</v>
      </c>
      <c r="K38" s="28" t="s">
        <v>261</v>
      </c>
    </row>
    <row r="39" spans="1:11" x14ac:dyDescent="0.3">
      <c r="A39" s="28" t="s">
        <v>1262</v>
      </c>
      <c r="B39" s="28">
        <v>120</v>
      </c>
      <c r="C39" s="28" t="s">
        <v>12</v>
      </c>
      <c r="D39" s="28">
        <v>2026</v>
      </c>
      <c r="E39" s="28" t="s">
        <v>261</v>
      </c>
      <c r="G39" s="28" t="s">
        <v>1262</v>
      </c>
      <c r="H39" s="28">
        <v>1200</v>
      </c>
      <c r="I39" s="28" t="s">
        <v>12</v>
      </c>
      <c r="J39" s="28">
        <v>2026</v>
      </c>
      <c r="K39" s="28" t="s">
        <v>261</v>
      </c>
    </row>
    <row r="40" spans="1:11" x14ac:dyDescent="0.3">
      <c r="A40" s="28" t="s">
        <v>1263</v>
      </c>
      <c r="B40" s="28">
        <v>120</v>
      </c>
      <c r="C40" s="28" t="s">
        <v>12</v>
      </c>
      <c r="D40" s="28">
        <v>2026</v>
      </c>
      <c r="E40" s="28" t="s">
        <v>261</v>
      </c>
      <c r="G40" s="28" t="s">
        <v>1263</v>
      </c>
      <c r="H40" s="28">
        <v>1200</v>
      </c>
      <c r="I40" s="28" t="s">
        <v>12</v>
      </c>
      <c r="J40" s="28">
        <v>2026</v>
      </c>
      <c r="K40" s="28" t="s">
        <v>261</v>
      </c>
    </row>
    <row r="41" spans="1:11" x14ac:dyDescent="0.3">
      <c r="A41" s="28" t="s">
        <v>1264</v>
      </c>
      <c r="B41" s="28">
        <v>120</v>
      </c>
      <c r="C41" s="28" t="s">
        <v>12</v>
      </c>
      <c r="D41" s="28">
        <v>2026</v>
      </c>
      <c r="E41" s="28" t="s">
        <v>261</v>
      </c>
      <c r="G41" s="28" t="s">
        <v>1264</v>
      </c>
      <c r="H41" s="28">
        <v>1200</v>
      </c>
      <c r="I41" s="28" t="s">
        <v>12</v>
      </c>
      <c r="J41" s="28">
        <v>2026</v>
      </c>
      <c r="K41" s="28" t="s">
        <v>261</v>
      </c>
    </row>
    <row r="42" spans="1:11" x14ac:dyDescent="0.3">
      <c r="A42" s="28" t="s">
        <v>1265</v>
      </c>
      <c r="B42" s="28">
        <v>120</v>
      </c>
      <c r="C42" s="28" t="s">
        <v>12</v>
      </c>
      <c r="D42" s="28">
        <v>2026</v>
      </c>
      <c r="E42" s="28" t="s">
        <v>261</v>
      </c>
      <c r="G42" s="28" t="s">
        <v>1265</v>
      </c>
      <c r="H42" s="28">
        <v>1200</v>
      </c>
      <c r="I42" s="28" t="s">
        <v>12</v>
      </c>
      <c r="J42" s="28">
        <v>2026</v>
      </c>
      <c r="K42" s="28" t="s">
        <v>261</v>
      </c>
    </row>
    <row r="43" spans="1:11" x14ac:dyDescent="0.3">
      <c r="A43" s="28" t="s">
        <v>1266</v>
      </c>
      <c r="B43" s="28">
        <v>120</v>
      </c>
      <c r="C43" s="28" t="s">
        <v>12</v>
      </c>
      <c r="D43" s="28">
        <v>2026</v>
      </c>
      <c r="E43" s="28" t="s">
        <v>261</v>
      </c>
      <c r="G43" s="28" t="s">
        <v>1266</v>
      </c>
      <c r="H43" s="28">
        <v>1200</v>
      </c>
      <c r="I43" s="28" t="s">
        <v>12</v>
      </c>
      <c r="J43" s="28">
        <v>2026</v>
      </c>
      <c r="K43" s="28" t="s">
        <v>261</v>
      </c>
    </row>
    <row r="44" spans="1:11" x14ac:dyDescent="0.3">
      <c r="A44" s="28" t="s">
        <v>1267</v>
      </c>
      <c r="B44" s="28">
        <v>120</v>
      </c>
      <c r="C44" s="28" t="s">
        <v>12</v>
      </c>
      <c r="D44" s="28">
        <v>2026</v>
      </c>
      <c r="E44" s="28" t="s">
        <v>261</v>
      </c>
      <c r="G44" s="28" t="s">
        <v>1267</v>
      </c>
      <c r="H44" s="28">
        <v>1200</v>
      </c>
      <c r="I44" s="28" t="s">
        <v>12</v>
      </c>
      <c r="J44" s="28">
        <v>2026</v>
      </c>
      <c r="K44" s="28" t="s">
        <v>261</v>
      </c>
    </row>
    <row r="45" spans="1:11" x14ac:dyDescent="0.3">
      <c r="A45" s="28" t="s">
        <v>1268</v>
      </c>
      <c r="B45" s="28">
        <v>120</v>
      </c>
      <c r="C45" s="28" t="s">
        <v>12</v>
      </c>
      <c r="D45" s="28">
        <v>2026</v>
      </c>
      <c r="E45" s="28" t="s">
        <v>389</v>
      </c>
      <c r="G45" s="28" t="s">
        <v>1268</v>
      </c>
      <c r="H45" s="28">
        <v>1600</v>
      </c>
      <c r="I45" s="28" t="s">
        <v>12</v>
      </c>
      <c r="J45" s="28">
        <v>2026</v>
      </c>
      <c r="K45" s="28" t="s">
        <v>261</v>
      </c>
    </row>
    <row r="46" spans="1:11" x14ac:dyDescent="0.3">
      <c r="A46" s="28" t="s">
        <v>1269</v>
      </c>
      <c r="B46" s="28">
        <v>120</v>
      </c>
      <c r="C46" s="28" t="s">
        <v>12</v>
      </c>
      <c r="D46" s="28">
        <v>2026</v>
      </c>
      <c r="E46" s="28" t="s">
        <v>389</v>
      </c>
      <c r="G46" s="28" t="s">
        <v>1269</v>
      </c>
      <c r="H46" s="28">
        <v>1600</v>
      </c>
      <c r="I46" s="28" t="s">
        <v>12</v>
      </c>
      <c r="J46" s="28">
        <v>2026</v>
      </c>
      <c r="K46" s="28" t="s">
        <v>261</v>
      </c>
    </row>
    <row r="47" spans="1:11" x14ac:dyDescent="0.3">
      <c r="A47" s="28" t="s">
        <v>1270</v>
      </c>
      <c r="B47" s="28">
        <v>120</v>
      </c>
      <c r="C47" s="28" t="s">
        <v>12</v>
      </c>
      <c r="D47" s="28">
        <v>2026</v>
      </c>
      <c r="E47" s="28" t="s">
        <v>261</v>
      </c>
      <c r="G47" s="28" t="s">
        <v>1270</v>
      </c>
      <c r="H47" s="28">
        <v>1600</v>
      </c>
      <c r="I47" s="28" t="s">
        <v>12</v>
      </c>
      <c r="J47" s="28">
        <v>2026</v>
      </c>
      <c r="K47" s="28" t="s">
        <v>261</v>
      </c>
    </row>
    <row r="48" spans="1:11" x14ac:dyDescent="0.3">
      <c r="A48" s="28" t="s">
        <v>1271</v>
      </c>
      <c r="B48" s="28">
        <v>120</v>
      </c>
      <c r="C48" s="28" t="s">
        <v>12</v>
      </c>
      <c r="D48" s="28">
        <v>2026</v>
      </c>
      <c r="E48" s="28" t="s">
        <v>389</v>
      </c>
      <c r="G48" s="28" t="s">
        <v>1271</v>
      </c>
      <c r="H48" s="28">
        <v>1500</v>
      </c>
      <c r="I48" s="28" t="s">
        <v>12</v>
      </c>
      <c r="J48" s="28">
        <v>2026</v>
      </c>
      <c r="K48" s="28" t="s">
        <v>261</v>
      </c>
    </row>
    <row r="49" spans="1:11" x14ac:dyDescent="0.3">
      <c r="A49" s="28" t="s">
        <v>1272</v>
      </c>
      <c r="B49" s="28">
        <v>120</v>
      </c>
      <c r="C49" s="28" t="s">
        <v>12</v>
      </c>
      <c r="D49" s="28">
        <v>2026</v>
      </c>
      <c r="E49" s="28" t="s">
        <v>261</v>
      </c>
      <c r="G49" s="28" t="s">
        <v>1272</v>
      </c>
      <c r="H49" s="28">
        <v>1500</v>
      </c>
      <c r="I49" s="28" t="s">
        <v>12</v>
      </c>
      <c r="J49" s="28">
        <v>2026</v>
      </c>
      <c r="K49" s="28" t="s">
        <v>261</v>
      </c>
    </row>
    <row r="50" spans="1:11" x14ac:dyDescent="0.3">
      <c r="A50" s="28" t="s">
        <v>1273</v>
      </c>
      <c r="B50" s="28">
        <v>0</v>
      </c>
      <c r="C50" s="28" t="s">
        <v>12</v>
      </c>
      <c r="D50" s="28">
        <v>2026</v>
      </c>
      <c r="E50" s="28" t="s">
        <v>389</v>
      </c>
      <c r="G50" s="28" t="s">
        <v>1273</v>
      </c>
      <c r="H50" s="28">
        <v>1100</v>
      </c>
      <c r="I50" s="28" t="s">
        <v>12</v>
      </c>
      <c r="J50" s="28">
        <v>2026</v>
      </c>
      <c r="K50" s="28" t="s">
        <v>261</v>
      </c>
    </row>
    <row r="51" spans="1:11" x14ac:dyDescent="0.3">
      <c r="A51" s="28" t="s">
        <v>1274</v>
      </c>
      <c r="B51" s="28">
        <v>120</v>
      </c>
      <c r="C51" s="28" t="s">
        <v>12</v>
      </c>
      <c r="D51" s="28">
        <v>2026</v>
      </c>
      <c r="E51" s="28" t="s">
        <v>261</v>
      </c>
      <c r="G51" s="28" t="s">
        <v>1274</v>
      </c>
      <c r="H51" s="28">
        <v>1100</v>
      </c>
      <c r="I51" s="28" t="s">
        <v>12</v>
      </c>
      <c r="J51" s="28">
        <v>2026</v>
      </c>
      <c r="K51" s="28" t="s">
        <v>261</v>
      </c>
    </row>
    <row r="52" spans="1:11" x14ac:dyDescent="0.3">
      <c r="A52" s="28" t="s">
        <v>1275</v>
      </c>
      <c r="B52" s="28">
        <v>120</v>
      </c>
      <c r="C52" s="28" t="s">
        <v>12</v>
      </c>
      <c r="D52" s="28">
        <v>2026</v>
      </c>
      <c r="E52" s="28" t="s">
        <v>261</v>
      </c>
      <c r="G52" s="28" t="s">
        <v>1275</v>
      </c>
      <c r="H52" s="28">
        <v>1100</v>
      </c>
      <c r="I52" s="28" t="s">
        <v>12</v>
      </c>
      <c r="J52" s="28">
        <v>2026</v>
      </c>
      <c r="K52" s="28" t="s">
        <v>261</v>
      </c>
    </row>
    <row r="53" spans="1:11" x14ac:dyDescent="0.3">
      <c r="A53" s="28" t="s">
        <v>1276</v>
      </c>
      <c r="B53" s="28">
        <v>120</v>
      </c>
      <c r="C53" s="28" t="s">
        <v>12</v>
      </c>
      <c r="D53" s="28">
        <v>2026</v>
      </c>
      <c r="E53" s="28" t="s">
        <v>261</v>
      </c>
      <c r="G53" s="28" t="s">
        <v>1276</v>
      </c>
      <c r="H53" s="28">
        <v>1100</v>
      </c>
      <c r="I53" s="28" t="s">
        <v>12</v>
      </c>
      <c r="J53" s="28">
        <v>2026</v>
      </c>
      <c r="K53" s="28" t="s">
        <v>261</v>
      </c>
    </row>
    <row r="54" spans="1:11" x14ac:dyDescent="0.3">
      <c r="A54" s="28" t="s">
        <v>1277</v>
      </c>
      <c r="B54" s="28">
        <v>120</v>
      </c>
      <c r="C54" s="28" t="s">
        <v>12</v>
      </c>
      <c r="D54" s="28">
        <v>2026</v>
      </c>
      <c r="E54" s="28" t="s">
        <v>261</v>
      </c>
      <c r="G54" s="28" t="s">
        <v>1277</v>
      </c>
      <c r="H54" s="28">
        <v>1100</v>
      </c>
      <c r="I54" s="28" t="s">
        <v>12</v>
      </c>
      <c r="J54" s="28">
        <v>2026</v>
      </c>
      <c r="K54" s="28" t="s">
        <v>261</v>
      </c>
    </row>
    <row r="55" spans="1:11" x14ac:dyDescent="0.3">
      <c r="A55" s="28" t="s">
        <v>1278</v>
      </c>
      <c r="B55" s="28">
        <v>120</v>
      </c>
      <c r="C55" s="28" t="s">
        <v>12</v>
      </c>
      <c r="D55" s="28">
        <v>2026</v>
      </c>
      <c r="E55" s="28" t="s">
        <v>261</v>
      </c>
      <c r="G55" s="28" t="s">
        <v>1278</v>
      </c>
      <c r="H55" s="28">
        <v>1100</v>
      </c>
      <c r="I55" s="28" t="s">
        <v>12</v>
      </c>
      <c r="J55" s="28">
        <v>2026</v>
      </c>
      <c r="K55" s="28" t="s">
        <v>261</v>
      </c>
    </row>
    <row r="56" spans="1:11" x14ac:dyDescent="0.3">
      <c r="A56" s="28" t="s">
        <v>1279</v>
      </c>
      <c r="B56" s="28">
        <v>120</v>
      </c>
      <c r="C56" s="28" t="s">
        <v>12</v>
      </c>
      <c r="D56" s="28">
        <v>2026</v>
      </c>
      <c r="E56" s="28" t="s">
        <v>261</v>
      </c>
      <c r="G56" s="28" t="s">
        <v>1279</v>
      </c>
      <c r="H56" s="28">
        <v>1100</v>
      </c>
      <c r="I56" s="28" t="s">
        <v>12</v>
      </c>
      <c r="J56" s="28">
        <v>2026</v>
      </c>
      <c r="K56" s="28" t="s">
        <v>261</v>
      </c>
    </row>
    <row r="57" spans="1:11" x14ac:dyDescent="0.3">
      <c r="A57" s="28" t="s">
        <v>1280</v>
      </c>
      <c r="B57" s="28">
        <v>120</v>
      </c>
      <c r="C57" s="28" t="s">
        <v>12</v>
      </c>
      <c r="D57" s="28">
        <v>2026</v>
      </c>
      <c r="E57" s="28" t="s">
        <v>261</v>
      </c>
      <c r="G57" s="28" t="s">
        <v>1280</v>
      </c>
      <c r="H57" s="28">
        <v>1100</v>
      </c>
      <c r="I57" s="28" t="s">
        <v>12</v>
      </c>
      <c r="J57" s="28">
        <v>2026</v>
      </c>
      <c r="K57" s="28" t="s">
        <v>261</v>
      </c>
    </row>
    <row r="58" spans="1:11" x14ac:dyDescent="0.3">
      <c r="A58" s="28" t="s">
        <v>1281</v>
      </c>
      <c r="B58" s="28">
        <v>120</v>
      </c>
      <c r="C58" s="28" t="s">
        <v>12</v>
      </c>
      <c r="D58" s="28">
        <v>2026</v>
      </c>
      <c r="E58" s="28" t="s">
        <v>261</v>
      </c>
      <c r="G58" s="28" t="s">
        <v>1281</v>
      </c>
      <c r="H58" s="28">
        <v>1100</v>
      </c>
      <c r="I58" s="28" t="s">
        <v>12</v>
      </c>
      <c r="J58" s="28">
        <v>2026</v>
      </c>
      <c r="K58" s="28" t="s">
        <v>261</v>
      </c>
    </row>
    <row r="59" spans="1:11" x14ac:dyDescent="0.3">
      <c r="A59" s="28" t="s">
        <v>1282</v>
      </c>
      <c r="B59" s="28">
        <v>120</v>
      </c>
      <c r="C59" s="28" t="s">
        <v>12</v>
      </c>
      <c r="D59" s="28">
        <v>2026</v>
      </c>
      <c r="E59" s="28" t="s">
        <v>261</v>
      </c>
      <c r="G59" s="28" t="s">
        <v>1282</v>
      </c>
      <c r="H59" s="28">
        <v>1100</v>
      </c>
      <c r="I59" s="28" t="s">
        <v>12</v>
      </c>
      <c r="J59" s="28">
        <v>2026</v>
      </c>
      <c r="K59" s="28" t="s">
        <v>261</v>
      </c>
    </row>
    <row r="60" spans="1:11" x14ac:dyDescent="0.3">
      <c r="A60" s="28" t="s">
        <v>1283</v>
      </c>
      <c r="B60" s="28">
        <v>40</v>
      </c>
      <c r="C60" s="28" t="s">
        <v>12</v>
      </c>
      <c r="D60" s="28">
        <v>2026</v>
      </c>
      <c r="E60" s="28" t="s">
        <v>389</v>
      </c>
      <c r="G60" s="28" t="s">
        <v>1283</v>
      </c>
      <c r="H60" s="28">
        <v>1300</v>
      </c>
      <c r="I60" s="28" t="s">
        <v>12</v>
      </c>
      <c r="J60" s="28">
        <v>2026</v>
      </c>
      <c r="K60" s="28" t="s">
        <v>261</v>
      </c>
    </row>
    <row r="61" spans="1:11" x14ac:dyDescent="0.3">
      <c r="A61" s="28" t="s">
        <v>1284</v>
      </c>
      <c r="B61" s="28">
        <v>120</v>
      </c>
      <c r="C61" s="28" t="s">
        <v>12</v>
      </c>
      <c r="D61" s="28">
        <v>2026</v>
      </c>
      <c r="E61" s="28" t="s">
        <v>261</v>
      </c>
      <c r="G61" s="28" t="s">
        <v>1284</v>
      </c>
      <c r="H61" s="28">
        <v>1300</v>
      </c>
      <c r="I61" s="28" t="s">
        <v>12</v>
      </c>
      <c r="J61" s="28">
        <v>2026</v>
      </c>
      <c r="K61" s="28" t="s">
        <v>261</v>
      </c>
    </row>
    <row r="62" spans="1:11" x14ac:dyDescent="0.3">
      <c r="A62" s="28" t="s">
        <v>1285</v>
      </c>
      <c r="B62" s="28">
        <v>120</v>
      </c>
      <c r="C62" s="28" t="s">
        <v>12</v>
      </c>
      <c r="D62" s="28">
        <v>2026</v>
      </c>
      <c r="E62" s="28" t="s">
        <v>261</v>
      </c>
      <c r="G62" s="28" t="s">
        <v>1285</v>
      </c>
      <c r="H62" s="28">
        <v>1300</v>
      </c>
      <c r="I62" s="28" t="s">
        <v>12</v>
      </c>
      <c r="J62" s="28">
        <v>2026</v>
      </c>
      <c r="K62" s="28" t="s">
        <v>261</v>
      </c>
    </row>
    <row r="63" spans="1:11" x14ac:dyDescent="0.3">
      <c r="A63" s="28" t="s">
        <v>1286</v>
      </c>
      <c r="B63" s="28">
        <v>120</v>
      </c>
      <c r="C63" s="28" t="s">
        <v>12</v>
      </c>
      <c r="D63" s="28">
        <v>2026</v>
      </c>
      <c r="E63" s="28" t="s">
        <v>261</v>
      </c>
      <c r="G63" s="28" t="s">
        <v>1286</v>
      </c>
      <c r="H63" s="28">
        <v>1300</v>
      </c>
      <c r="I63" s="28" t="s">
        <v>12</v>
      </c>
      <c r="J63" s="28">
        <v>2026</v>
      </c>
      <c r="K63" s="28" t="s">
        <v>261</v>
      </c>
    </row>
    <row r="64" spans="1:11" x14ac:dyDescent="0.3">
      <c r="A64" s="28" t="s">
        <v>1287</v>
      </c>
      <c r="B64" s="28">
        <v>120</v>
      </c>
      <c r="C64" s="28" t="s">
        <v>12</v>
      </c>
      <c r="D64" s="28">
        <v>2026</v>
      </c>
      <c r="E64" s="28" t="s">
        <v>261</v>
      </c>
      <c r="G64" s="28" t="s">
        <v>1287</v>
      </c>
      <c r="H64" s="28">
        <v>1300</v>
      </c>
      <c r="I64" s="28" t="s">
        <v>12</v>
      </c>
      <c r="J64" s="28">
        <v>2026</v>
      </c>
      <c r="K64" s="28" t="s">
        <v>261</v>
      </c>
    </row>
    <row r="65" spans="1:11" x14ac:dyDescent="0.3">
      <c r="A65" s="28" t="s">
        <v>1288</v>
      </c>
      <c r="B65" s="28">
        <v>120</v>
      </c>
      <c r="C65" s="28" t="s">
        <v>12</v>
      </c>
      <c r="D65" s="28">
        <v>2026</v>
      </c>
      <c r="E65" s="28" t="s">
        <v>261</v>
      </c>
      <c r="G65" s="28" t="s">
        <v>1288</v>
      </c>
      <c r="H65" s="28">
        <v>1300</v>
      </c>
      <c r="I65" s="28" t="s">
        <v>12</v>
      </c>
      <c r="J65" s="28">
        <v>2026</v>
      </c>
      <c r="K65" s="28" t="s">
        <v>261</v>
      </c>
    </row>
    <row r="66" spans="1:11" x14ac:dyDescent="0.3">
      <c r="A66" s="28" t="s">
        <v>1289</v>
      </c>
      <c r="B66" s="28">
        <v>120</v>
      </c>
      <c r="C66" s="28" t="s">
        <v>12</v>
      </c>
      <c r="D66" s="28">
        <v>2026</v>
      </c>
      <c r="E66" s="28" t="s">
        <v>261</v>
      </c>
      <c r="G66" s="28" t="s">
        <v>1289</v>
      </c>
      <c r="H66" s="28">
        <v>1300</v>
      </c>
      <c r="I66" s="28" t="s">
        <v>12</v>
      </c>
      <c r="J66" s="28">
        <v>2026</v>
      </c>
      <c r="K66" s="28" t="s">
        <v>261</v>
      </c>
    </row>
    <row r="67" spans="1:11" x14ac:dyDescent="0.3">
      <c r="A67" s="28" t="s">
        <v>1290</v>
      </c>
      <c r="B67" s="28">
        <v>120</v>
      </c>
      <c r="C67" s="28" t="s">
        <v>12</v>
      </c>
      <c r="D67" s="28">
        <v>2026</v>
      </c>
      <c r="E67" s="28" t="s">
        <v>261</v>
      </c>
      <c r="G67" s="28" t="s">
        <v>1290</v>
      </c>
      <c r="H67" s="28">
        <v>1300</v>
      </c>
      <c r="I67" s="28" t="s">
        <v>12</v>
      </c>
      <c r="J67" s="28">
        <v>2026</v>
      </c>
      <c r="K67" s="28" t="s">
        <v>261</v>
      </c>
    </row>
    <row r="68" spans="1:11" x14ac:dyDescent="0.3">
      <c r="A68" s="28" t="s">
        <v>1291</v>
      </c>
      <c r="B68" s="28">
        <v>120</v>
      </c>
      <c r="C68" s="28" t="s">
        <v>12</v>
      </c>
      <c r="D68" s="28">
        <v>2026</v>
      </c>
      <c r="E68" s="28" t="s">
        <v>261</v>
      </c>
      <c r="G68" s="28" t="s">
        <v>1291</v>
      </c>
      <c r="H68" s="28">
        <v>1900</v>
      </c>
      <c r="I68" s="28" t="s">
        <v>12</v>
      </c>
      <c r="J68" s="28">
        <v>2026</v>
      </c>
      <c r="K68" s="28" t="s">
        <v>261</v>
      </c>
    </row>
    <row r="69" spans="1:11" x14ac:dyDescent="0.3">
      <c r="A69" s="28" t="s">
        <v>1292</v>
      </c>
      <c r="B69" s="28">
        <v>120</v>
      </c>
      <c r="C69" s="28" t="s">
        <v>12</v>
      </c>
      <c r="D69" s="28">
        <v>2026</v>
      </c>
      <c r="E69" s="28" t="s">
        <v>261</v>
      </c>
      <c r="G69" s="28" t="s">
        <v>1292</v>
      </c>
      <c r="H69" s="28">
        <v>1900</v>
      </c>
      <c r="I69" s="28" t="s">
        <v>12</v>
      </c>
      <c r="J69" s="28">
        <v>2026</v>
      </c>
      <c r="K69" s="28" t="s">
        <v>261</v>
      </c>
    </row>
    <row r="70" spans="1:11" x14ac:dyDescent="0.3">
      <c r="A70" s="28" t="s">
        <v>1293</v>
      </c>
      <c r="B70" s="28">
        <v>120</v>
      </c>
      <c r="C70" s="28" t="s">
        <v>12</v>
      </c>
      <c r="D70" s="28">
        <v>2026</v>
      </c>
      <c r="E70" s="28" t="s">
        <v>261</v>
      </c>
      <c r="G70" s="28" t="s">
        <v>1293</v>
      </c>
      <c r="H70" s="28">
        <v>1900</v>
      </c>
      <c r="I70" s="28" t="s">
        <v>12</v>
      </c>
      <c r="J70" s="28">
        <v>2026</v>
      </c>
      <c r="K70" s="28" t="s">
        <v>261</v>
      </c>
    </row>
    <row r="71" spans="1:11" x14ac:dyDescent="0.3">
      <c r="A71" s="28" t="s">
        <v>1294</v>
      </c>
      <c r="B71" s="28">
        <v>120</v>
      </c>
      <c r="C71" s="28" t="s">
        <v>12</v>
      </c>
      <c r="D71" s="28">
        <v>2026</v>
      </c>
      <c r="E71" s="28" t="s">
        <v>261</v>
      </c>
      <c r="G71" s="28" t="s">
        <v>1294</v>
      </c>
      <c r="H71" s="28">
        <v>1900</v>
      </c>
      <c r="I71" s="28" t="s">
        <v>12</v>
      </c>
      <c r="J71" s="28">
        <v>2026</v>
      </c>
      <c r="K71" s="28" t="s">
        <v>261</v>
      </c>
    </row>
    <row r="72" spans="1:11" x14ac:dyDescent="0.3">
      <c r="A72" s="28" t="s">
        <v>1295</v>
      </c>
      <c r="B72" s="28">
        <v>120</v>
      </c>
      <c r="C72" s="28" t="s">
        <v>12</v>
      </c>
      <c r="D72" s="28">
        <v>2026</v>
      </c>
      <c r="E72" s="28" t="s">
        <v>261</v>
      </c>
      <c r="G72" s="28" t="s">
        <v>1295</v>
      </c>
      <c r="H72" s="28">
        <v>1900</v>
      </c>
      <c r="I72" s="28" t="s">
        <v>12</v>
      </c>
      <c r="J72" s="28">
        <v>2026</v>
      </c>
      <c r="K72" s="28" t="s">
        <v>261</v>
      </c>
    </row>
    <row r="73" spans="1:11" x14ac:dyDescent="0.3">
      <c r="A73" s="28" t="s">
        <v>1296</v>
      </c>
      <c r="B73" s="28">
        <v>120</v>
      </c>
      <c r="C73" s="28" t="s">
        <v>12</v>
      </c>
      <c r="D73" s="28">
        <v>2026</v>
      </c>
      <c r="E73" s="28" t="s">
        <v>261</v>
      </c>
      <c r="G73" s="28" t="s">
        <v>1296</v>
      </c>
      <c r="H73" s="28">
        <v>1400</v>
      </c>
      <c r="I73" s="28" t="s">
        <v>12</v>
      </c>
      <c r="J73" s="28">
        <v>2026</v>
      </c>
      <c r="K73" s="28" t="s">
        <v>261</v>
      </c>
    </row>
    <row r="74" spans="1:11" x14ac:dyDescent="0.3">
      <c r="A74" s="28" t="s">
        <v>1297</v>
      </c>
      <c r="B74" s="28">
        <v>100</v>
      </c>
      <c r="C74" s="28" t="s">
        <v>12</v>
      </c>
      <c r="D74" s="28">
        <v>2026</v>
      </c>
      <c r="E74" s="28" t="s">
        <v>261</v>
      </c>
      <c r="G74" s="28" t="s">
        <v>1297</v>
      </c>
      <c r="H74" s="28">
        <v>750</v>
      </c>
      <c r="I74" s="28" t="s">
        <v>12</v>
      </c>
      <c r="J74" s="28">
        <v>2026</v>
      </c>
      <c r="K74" s="28" t="s">
        <v>261</v>
      </c>
    </row>
    <row r="75" spans="1:11" x14ac:dyDescent="0.3">
      <c r="A75" s="28" t="s">
        <v>1298</v>
      </c>
      <c r="B75" s="28">
        <v>0</v>
      </c>
      <c r="C75" s="28" t="s">
        <v>12</v>
      </c>
      <c r="D75" s="28">
        <v>2026</v>
      </c>
      <c r="E75" s="28" t="s">
        <v>1215</v>
      </c>
      <c r="G75" s="28" t="s">
        <v>1298</v>
      </c>
      <c r="H75" s="28">
        <v>300</v>
      </c>
      <c r="I75" s="28" t="s">
        <v>12</v>
      </c>
      <c r="J75" s="28">
        <v>2026</v>
      </c>
      <c r="K75" s="28" t="s">
        <v>261</v>
      </c>
    </row>
    <row r="76" spans="1:11" x14ac:dyDescent="0.3">
      <c r="A76" s="28" t="s">
        <v>1299</v>
      </c>
      <c r="B76" s="28">
        <v>100</v>
      </c>
      <c r="C76" s="28" t="s">
        <v>12</v>
      </c>
      <c r="D76" s="28">
        <v>2026</v>
      </c>
      <c r="E76" s="28" t="s">
        <v>261</v>
      </c>
      <c r="G76" s="28" t="s">
        <v>1299</v>
      </c>
      <c r="H76" s="28">
        <v>750</v>
      </c>
      <c r="I76" s="28" t="s">
        <v>12</v>
      </c>
      <c r="J76" s="28">
        <v>2026</v>
      </c>
      <c r="K76" s="28" t="s">
        <v>261</v>
      </c>
    </row>
    <row r="77" spans="1:11" x14ac:dyDescent="0.3">
      <c r="A77" s="28" t="s">
        <v>1300</v>
      </c>
      <c r="B77" s="28">
        <v>100</v>
      </c>
      <c r="C77" s="28" t="s">
        <v>12</v>
      </c>
      <c r="D77" s="28">
        <v>2026</v>
      </c>
      <c r="E77" s="28" t="s">
        <v>261</v>
      </c>
      <c r="G77" s="28" t="s">
        <v>1300</v>
      </c>
      <c r="H77" s="28">
        <v>750</v>
      </c>
      <c r="I77" s="28" t="s">
        <v>12</v>
      </c>
      <c r="J77" s="28">
        <v>2026</v>
      </c>
      <c r="K77" s="28" t="s">
        <v>261</v>
      </c>
    </row>
    <row r="78" spans="1:11" x14ac:dyDescent="0.3">
      <c r="A78" s="28" t="s">
        <v>1301</v>
      </c>
      <c r="B78" s="28">
        <v>100</v>
      </c>
      <c r="C78" s="28" t="s">
        <v>12</v>
      </c>
      <c r="D78" s="28">
        <v>2026</v>
      </c>
      <c r="E78" s="28" t="s">
        <v>261</v>
      </c>
      <c r="G78" s="28" t="s">
        <v>1301</v>
      </c>
      <c r="H78" s="28">
        <v>750</v>
      </c>
      <c r="I78" s="28" t="s">
        <v>12</v>
      </c>
      <c r="J78" s="28">
        <v>2026</v>
      </c>
      <c r="K78" s="28" t="s">
        <v>261</v>
      </c>
    </row>
    <row r="79" spans="1:11" x14ac:dyDescent="0.3">
      <c r="A79" s="28" t="s">
        <v>1302</v>
      </c>
      <c r="B79" s="28">
        <v>100</v>
      </c>
      <c r="C79" s="28" t="s">
        <v>12</v>
      </c>
      <c r="D79" s="28">
        <v>2026</v>
      </c>
      <c r="E79" s="28" t="s">
        <v>261</v>
      </c>
      <c r="G79" s="28" t="s">
        <v>1302</v>
      </c>
      <c r="H79" s="28">
        <v>750</v>
      </c>
      <c r="I79" s="28" t="s">
        <v>12</v>
      </c>
      <c r="J79" s="28">
        <v>2026</v>
      </c>
      <c r="K79" s="28" t="s">
        <v>261</v>
      </c>
    </row>
    <row r="80" spans="1:11" x14ac:dyDescent="0.3">
      <c r="A80" s="28" t="s">
        <v>1303</v>
      </c>
      <c r="B80" s="28">
        <v>100</v>
      </c>
      <c r="C80" s="28" t="s">
        <v>12</v>
      </c>
      <c r="D80" s="28">
        <v>2026</v>
      </c>
      <c r="E80" s="28" t="s">
        <v>261</v>
      </c>
      <c r="G80" s="28" t="s">
        <v>1303</v>
      </c>
      <c r="H80" s="28">
        <v>750</v>
      </c>
      <c r="I80" s="28" t="s">
        <v>12</v>
      </c>
      <c r="J80" s="28">
        <v>2026</v>
      </c>
      <c r="K80" s="28" t="s">
        <v>261</v>
      </c>
    </row>
    <row r="81" spans="1:11" x14ac:dyDescent="0.3">
      <c r="A81" s="28" t="s">
        <v>1304</v>
      </c>
      <c r="B81" s="28">
        <v>100</v>
      </c>
      <c r="C81" s="28" t="s">
        <v>12</v>
      </c>
      <c r="D81" s="28">
        <v>2026</v>
      </c>
      <c r="E81" s="28" t="s">
        <v>261</v>
      </c>
      <c r="G81" s="28" t="s">
        <v>1304</v>
      </c>
      <c r="H81" s="28">
        <v>800</v>
      </c>
      <c r="I81" s="28" t="s">
        <v>12</v>
      </c>
      <c r="J81" s="28">
        <v>2026</v>
      </c>
      <c r="K81" s="28" t="s">
        <v>261</v>
      </c>
    </row>
    <row r="82" spans="1:11" x14ac:dyDescent="0.3">
      <c r="A82" s="28" t="s">
        <v>1305</v>
      </c>
      <c r="B82" s="28">
        <v>100</v>
      </c>
      <c r="C82" s="28" t="s">
        <v>12</v>
      </c>
      <c r="D82" s="28">
        <v>2026</v>
      </c>
      <c r="E82" s="28" t="s">
        <v>261</v>
      </c>
      <c r="G82" s="28" t="s">
        <v>1305</v>
      </c>
      <c r="H82" s="28">
        <v>800</v>
      </c>
      <c r="I82" s="28" t="s">
        <v>12</v>
      </c>
      <c r="J82" s="28">
        <v>2026</v>
      </c>
      <c r="K82" s="28" t="s">
        <v>261</v>
      </c>
    </row>
    <row r="83" spans="1:11" x14ac:dyDescent="0.3">
      <c r="A83" s="28" t="s">
        <v>1306</v>
      </c>
      <c r="B83" s="28">
        <v>100</v>
      </c>
      <c r="C83" s="28" t="s">
        <v>12</v>
      </c>
      <c r="D83" s="28">
        <v>2026</v>
      </c>
      <c r="E83" s="28" t="s">
        <v>261</v>
      </c>
      <c r="G83" s="28" t="s">
        <v>1306</v>
      </c>
      <c r="H83" s="28">
        <v>800</v>
      </c>
      <c r="I83" s="28" t="s">
        <v>12</v>
      </c>
      <c r="J83" s="28">
        <v>2026</v>
      </c>
      <c r="K83" s="28" t="s">
        <v>261</v>
      </c>
    </row>
    <row r="84" spans="1:11" x14ac:dyDescent="0.3">
      <c r="A84" s="28" t="s">
        <v>1307</v>
      </c>
      <c r="B84" s="28">
        <v>100</v>
      </c>
      <c r="C84" s="28" t="s">
        <v>12</v>
      </c>
      <c r="D84" s="28">
        <v>2026</v>
      </c>
      <c r="E84" s="28" t="s">
        <v>261</v>
      </c>
      <c r="G84" s="28" t="s">
        <v>1307</v>
      </c>
      <c r="H84" s="28">
        <v>800</v>
      </c>
      <c r="I84" s="28" t="s">
        <v>12</v>
      </c>
      <c r="J84" s="28">
        <v>2026</v>
      </c>
      <c r="K84" s="28" t="s">
        <v>261</v>
      </c>
    </row>
    <row r="85" spans="1:11" x14ac:dyDescent="0.3">
      <c r="A85" s="28" t="s">
        <v>1308</v>
      </c>
      <c r="B85" s="28">
        <v>100</v>
      </c>
      <c r="C85" s="28" t="s">
        <v>12</v>
      </c>
      <c r="D85" s="28">
        <v>2026</v>
      </c>
      <c r="E85" s="28" t="s">
        <v>261</v>
      </c>
      <c r="G85" s="28" t="s">
        <v>1308</v>
      </c>
      <c r="H85" s="28">
        <v>800</v>
      </c>
      <c r="I85" s="28" t="s">
        <v>12</v>
      </c>
      <c r="J85" s="28">
        <v>2026</v>
      </c>
      <c r="K85" s="28" t="s">
        <v>261</v>
      </c>
    </row>
    <row r="86" spans="1:11" x14ac:dyDescent="0.3">
      <c r="A86" s="28" t="s">
        <v>1309</v>
      </c>
      <c r="B86" s="28">
        <v>100</v>
      </c>
      <c r="C86" s="28" t="s">
        <v>12</v>
      </c>
      <c r="D86" s="28">
        <v>2026</v>
      </c>
      <c r="E86" s="28" t="s">
        <v>261</v>
      </c>
      <c r="G86" s="28" t="s">
        <v>1309</v>
      </c>
      <c r="H86" s="28">
        <v>800</v>
      </c>
      <c r="I86" s="28" t="s">
        <v>12</v>
      </c>
      <c r="J86" s="28">
        <v>2026</v>
      </c>
      <c r="K86" s="28" t="s">
        <v>261</v>
      </c>
    </row>
    <row r="87" spans="1:11" x14ac:dyDescent="0.3">
      <c r="A87" s="28" t="s">
        <v>1310</v>
      </c>
      <c r="B87" s="28">
        <v>100</v>
      </c>
      <c r="C87" s="28" t="s">
        <v>12</v>
      </c>
      <c r="D87" s="28">
        <v>2026</v>
      </c>
      <c r="E87" s="28" t="s">
        <v>261</v>
      </c>
      <c r="G87" s="28" t="s">
        <v>1310</v>
      </c>
      <c r="H87" s="28">
        <v>900</v>
      </c>
      <c r="I87" s="28" t="s">
        <v>12</v>
      </c>
      <c r="J87" s="28">
        <v>2026</v>
      </c>
      <c r="K87" s="28" t="s">
        <v>261</v>
      </c>
    </row>
    <row r="88" spans="1:11" x14ac:dyDescent="0.3">
      <c r="A88" s="28" t="s">
        <v>1311</v>
      </c>
      <c r="B88" s="28">
        <v>100</v>
      </c>
      <c r="C88" s="28" t="s">
        <v>12</v>
      </c>
      <c r="D88" s="28">
        <v>2026</v>
      </c>
      <c r="E88" s="28" t="s">
        <v>261</v>
      </c>
      <c r="G88" s="28" t="s">
        <v>1311</v>
      </c>
      <c r="H88" s="28">
        <v>900</v>
      </c>
      <c r="I88" s="28" t="s">
        <v>12</v>
      </c>
      <c r="J88" s="28">
        <v>2026</v>
      </c>
      <c r="K88" s="28" t="s">
        <v>261</v>
      </c>
    </row>
    <row r="89" spans="1:11" x14ac:dyDescent="0.3">
      <c r="A89" s="28" t="s">
        <v>1312</v>
      </c>
      <c r="B89" s="28">
        <v>100</v>
      </c>
      <c r="C89" s="28" t="s">
        <v>12</v>
      </c>
      <c r="D89" s="28">
        <v>2026</v>
      </c>
      <c r="E89" s="28" t="s">
        <v>261</v>
      </c>
      <c r="G89" s="28" t="s">
        <v>1312</v>
      </c>
      <c r="H89" s="28">
        <v>900</v>
      </c>
      <c r="I89" s="28" t="s">
        <v>12</v>
      </c>
      <c r="J89" s="28">
        <v>2026</v>
      </c>
      <c r="K89" s="28" t="s">
        <v>261</v>
      </c>
    </row>
    <row r="90" spans="1:11" x14ac:dyDescent="0.3">
      <c r="A90" s="28" t="s">
        <v>1313</v>
      </c>
      <c r="B90" s="28">
        <v>100</v>
      </c>
      <c r="C90" s="28" t="s">
        <v>12</v>
      </c>
      <c r="D90" s="28">
        <v>2026</v>
      </c>
      <c r="E90" s="28" t="s">
        <v>261</v>
      </c>
      <c r="G90" s="28" t="s">
        <v>1313</v>
      </c>
      <c r="H90" s="28">
        <v>900</v>
      </c>
      <c r="I90" s="28" t="s">
        <v>12</v>
      </c>
      <c r="J90" s="28">
        <v>2026</v>
      </c>
      <c r="K90" s="28" t="s">
        <v>261</v>
      </c>
    </row>
    <row r="91" spans="1:11" x14ac:dyDescent="0.3">
      <c r="A91" s="28" t="s">
        <v>1314</v>
      </c>
      <c r="B91" s="28">
        <v>100</v>
      </c>
      <c r="C91" s="28" t="s">
        <v>12</v>
      </c>
      <c r="D91" s="28">
        <v>2026</v>
      </c>
      <c r="E91" s="28" t="s">
        <v>261</v>
      </c>
      <c r="G91" s="28" t="s">
        <v>1314</v>
      </c>
      <c r="H91" s="28">
        <v>900</v>
      </c>
      <c r="I91" s="28" t="s">
        <v>12</v>
      </c>
      <c r="J91" s="28">
        <v>2026</v>
      </c>
      <c r="K91" s="28" t="s">
        <v>261</v>
      </c>
    </row>
    <row r="92" spans="1:11" x14ac:dyDescent="0.3">
      <c r="A92" s="28" t="s">
        <v>1315</v>
      </c>
      <c r="B92" s="28">
        <v>100</v>
      </c>
      <c r="C92" s="28" t="s">
        <v>12</v>
      </c>
      <c r="D92" s="28">
        <v>2026</v>
      </c>
      <c r="E92" s="28" t="s">
        <v>261</v>
      </c>
      <c r="G92" s="28" t="s">
        <v>1315</v>
      </c>
      <c r="H92" s="28">
        <v>900</v>
      </c>
      <c r="I92" s="28" t="s">
        <v>12</v>
      </c>
      <c r="J92" s="28">
        <v>2026</v>
      </c>
      <c r="K92" s="28" t="s">
        <v>261</v>
      </c>
    </row>
    <row r="93" spans="1:11" x14ac:dyDescent="0.3">
      <c r="A93" s="28" t="s">
        <v>1316</v>
      </c>
      <c r="B93" s="28">
        <v>100</v>
      </c>
      <c r="C93" s="28" t="s">
        <v>12</v>
      </c>
      <c r="D93" s="28">
        <v>2026</v>
      </c>
      <c r="E93" s="28" t="s">
        <v>261</v>
      </c>
      <c r="G93" s="28" t="s">
        <v>1316</v>
      </c>
      <c r="H93" s="28">
        <v>1200</v>
      </c>
      <c r="I93" s="28" t="s">
        <v>12</v>
      </c>
      <c r="J93" s="28">
        <v>2026</v>
      </c>
      <c r="K93" s="28" t="s">
        <v>261</v>
      </c>
    </row>
    <row r="94" spans="1:11" x14ac:dyDescent="0.3">
      <c r="A94" s="28" t="s">
        <v>1317</v>
      </c>
      <c r="B94" s="28">
        <v>100</v>
      </c>
      <c r="C94" s="28" t="s">
        <v>12</v>
      </c>
      <c r="D94" s="28">
        <v>2026</v>
      </c>
      <c r="E94" s="28" t="s">
        <v>261</v>
      </c>
      <c r="G94" s="28" t="s">
        <v>1317</v>
      </c>
      <c r="H94" s="28">
        <v>1200</v>
      </c>
      <c r="I94" s="28" t="s">
        <v>12</v>
      </c>
      <c r="J94" s="28">
        <v>2026</v>
      </c>
      <c r="K94" s="28" t="s">
        <v>261</v>
      </c>
    </row>
    <row r="95" spans="1:11" x14ac:dyDescent="0.3">
      <c r="A95" s="28" t="s">
        <v>1318</v>
      </c>
      <c r="B95" s="28">
        <v>100</v>
      </c>
      <c r="C95" s="28" t="s">
        <v>12</v>
      </c>
      <c r="D95" s="28">
        <v>2026</v>
      </c>
      <c r="E95" s="28" t="s">
        <v>261</v>
      </c>
      <c r="G95" s="28" t="s">
        <v>1318</v>
      </c>
      <c r="H95" s="28">
        <v>1200</v>
      </c>
      <c r="I95" s="28" t="s">
        <v>12</v>
      </c>
      <c r="J95" s="28">
        <v>2026</v>
      </c>
      <c r="K95" s="28" t="s">
        <v>261</v>
      </c>
    </row>
    <row r="96" spans="1:11" x14ac:dyDescent="0.3">
      <c r="A96" s="28" t="s">
        <v>1319</v>
      </c>
      <c r="B96" s="28">
        <v>100</v>
      </c>
      <c r="C96" s="28" t="s">
        <v>12</v>
      </c>
      <c r="D96" s="28">
        <v>2026</v>
      </c>
      <c r="E96" s="28" t="s">
        <v>261</v>
      </c>
      <c r="G96" s="28" t="s">
        <v>1319</v>
      </c>
      <c r="H96" s="28">
        <v>1200</v>
      </c>
      <c r="I96" s="28" t="s">
        <v>12</v>
      </c>
      <c r="J96" s="28">
        <v>2026</v>
      </c>
      <c r="K96" s="28" t="s">
        <v>261</v>
      </c>
    </row>
    <row r="97" spans="1:11" x14ac:dyDescent="0.3">
      <c r="A97" s="28" t="s">
        <v>1320</v>
      </c>
      <c r="B97" s="28">
        <v>100</v>
      </c>
      <c r="C97" s="28" t="s">
        <v>12</v>
      </c>
      <c r="D97" s="28">
        <v>2026</v>
      </c>
      <c r="E97" s="28" t="s">
        <v>261</v>
      </c>
      <c r="G97" s="28" t="s">
        <v>1320</v>
      </c>
      <c r="H97" s="28">
        <v>1200</v>
      </c>
      <c r="I97" s="28" t="s">
        <v>12</v>
      </c>
      <c r="J97" s="28">
        <v>2026</v>
      </c>
      <c r="K97" s="28" t="s">
        <v>261</v>
      </c>
    </row>
    <row r="98" spans="1:11" x14ac:dyDescent="0.3">
      <c r="A98" s="28" t="s">
        <v>1321</v>
      </c>
      <c r="B98" s="28">
        <v>100</v>
      </c>
      <c r="C98" s="28" t="s">
        <v>12</v>
      </c>
      <c r="D98" s="28">
        <v>2026</v>
      </c>
      <c r="E98" s="28" t="s">
        <v>261</v>
      </c>
      <c r="G98" s="28" t="s">
        <v>1321</v>
      </c>
      <c r="H98" s="28">
        <v>1200</v>
      </c>
      <c r="I98" s="28" t="s">
        <v>12</v>
      </c>
      <c r="J98" s="28">
        <v>2026</v>
      </c>
      <c r="K98" s="28" t="s">
        <v>261</v>
      </c>
    </row>
    <row r="99" spans="1:11" x14ac:dyDescent="0.3">
      <c r="A99" s="28" t="s">
        <v>1322</v>
      </c>
      <c r="B99" s="28">
        <v>100</v>
      </c>
      <c r="C99" s="28" t="s">
        <v>12</v>
      </c>
      <c r="D99" s="28">
        <v>2026</v>
      </c>
      <c r="E99" s="28" t="s">
        <v>261</v>
      </c>
      <c r="G99" s="28" t="s">
        <v>1322</v>
      </c>
      <c r="H99" s="28">
        <v>1200</v>
      </c>
      <c r="I99" s="28" t="s">
        <v>12</v>
      </c>
      <c r="J99" s="28">
        <v>2026</v>
      </c>
      <c r="K99" s="28" t="s">
        <v>261</v>
      </c>
    </row>
    <row r="100" spans="1:11" x14ac:dyDescent="0.3">
      <c r="A100" s="28" t="s">
        <v>1323</v>
      </c>
      <c r="B100" s="28">
        <v>100</v>
      </c>
      <c r="C100" s="28" t="s">
        <v>12</v>
      </c>
      <c r="D100" s="28">
        <v>2026</v>
      </c>
      <c r="E100" s="28" t="s">
        <v>261</v>
      </c>
      <c r="G100" s="28" t="s">
        <v>1323</v>
      </c>
      <c r="H100" s="28">
        <v>1200</v>
      </c>
      <c r="I100" s="28" t="s">
        <v>12</v>
      </c>
      <c r="J100" s="28">
        <v>2026</v>
      </c>
      <c r="K100" s="28" t="s">
        <v>261</v>
      </c>
    </row>
    <row r="101" spans="1:11" x14ac:dyDescent="0.3">
      <c r="A101" s="28" t="s">
        <v>1324</v>
      </c>
      <c r="B101" s="28">
        <v>100</v>
      </c>
      <c r="C101" s="28" t="s">
        <v>12</v>
      </c>
      <c r="D101" s="28">
        <v>2026</v>
      </c>
      <c r="E101" s="28" t="s">
        <v>261</v>
      </c>
      <c r="G101" s="28" t="s">
        <v>1324</v>
      </c>
      <c r="H101" s="28">
        <v>1200</v>
      </c>
      <c r="I101" s="28" t="s">
        <v>12</v>
      </c>
      <c r="J101" s="28">
        <v>2026</v>
      </c>
      <c r="K101" s="28" t="s">
        <v>261</v>
      </c>
    </row>
    <row r="102" spans="1:11" x14ac:dyDescent="0.3">
      <c r="A102" s="28" t="s">
        <v>1325</v>
      </c>
      <c r="B102" s="28">
        <v>100</v>
      </c>
      <c r="C102" s="28" t="s">
        <v>12</v>
      </c>
      <c r="D102" s="28">
        <v>2026</v>
      </c>
      <c r="E102" s="28" t="s">
        <v>261</v>
      </c>
      <c r="G102" s="28" t="s">
        <v>1325</v>
      </c>
      <c r="H102" s="28">
        <v>1200</v>
      </c>
      <c r="I102" s="28" t="s">
        <v>12</v>
      </c>
      <c r="J102" s="28">
        <v>2026</v>
      </c>
      <c r="K102" s="28" t="s">
        <v>261</v>
      </c>
    </row>
    <row r="103" spans="1:11" x14ac:dyDescent="0.3">
      <c r="A103" s="28" t="s">
        <v>1326</v>
      </c>
      <c r="B103" s="28">
        <v>100</v>
      </c>
      <c r="C103" s="28" t="s">
        <v>12</v>
      </c>
      <c r="D103" s="28">
        <v>2026</v>
      </c>
      <c r="E103" s="28" t="s">
        <v>261</v>
      </c>
      <c r="G103" s="28" t="s">
        <v>1326</v>
      </c>
      <c r="H103" s="28">
        <v>1200</v>
      </c>
      <c r="I103" s="28" t="s">
        <v>12</v>
      </c>
      <c r="J103" s="28">
        <v>2026</v>
      </c>
      <c r="K103" s="28" t="s">
        <v>261</v>
      </c>
    </row>
    <row r="104" spans="1:11" x14ac:dyDescent="0.3">
      <c r="A104" s="28" t="s">
        <v>1327</v>
      </c>
      <c r="B104" s="28">
        <v>100</v>
      </c>
      <c r="C104" s="28" t="s">
        <v>12</v>
      </c>
      <c r="D104" s="28">
        <v>2026</v>
      </c>
      <c r="E104" s="28" t="s">
        <v>261</v>
      </c>
      <c r="G104" s="28" t="s">
        <v>1327</v>
      </c>
      <c r="H104" s="28">
        <v>1200</v>
      </c>
      <c r="I104" s="28" t="s">
        <v>12</v>
      </c>
      <c r="J104" s="28">
        <v>2026</v>
      </c>
      <c r="K104" s="28" t="s">
        <v>261</v>
      </c>
    </row>
    <row r="105" spans="1:11" x14ac:dyDescent="0.3">
      <c r="A105" s="28" t="s">
        <v>1328</v>
      </c>
      <c r="B105" s="28">
        <v>100</v>
      </c>
      <c r="C105" s="28" t="s">
        <v>12</v>
      </c>
      <c r="D105" s="28">
        <v>2026</v>
      </c>
      <c r="E105" s="28" t="s">
        <v>261</v>
      </c>
      <c r="G105" s="28" t="s">
        <v>1328</v>
      </c>
      <c r="H105" s="28">
        <v>1200</v>
      </c>
      <c r="I105" s="28" t="s">
        <v>12</v>
      </c>
      <c r="J105" s="28">
        <v>2026</v>
      </c>
      <c r="K105" s="28" t="s">
        <v>261</v>
      </c>
    </row>
    <row r="106" spans="1:11" x14ac:dyDescent="0.3">
      <c r="A106" s="28" t="s">
        <v>1329</v>
      </c>
      <c r="B106" s="28">
        <v>100</v>
      </c>
      <c r="C106" s="28" t="s">
        <v>12</v>
      </c>
      <c r="D106" s="28">
        <v>2026</v>
      </c>
      <c r="E106" s="28" t="s">
        <v>261</v>
      </c>
      <c r="G106" s="28" t="s">
        <v>1329</v>
      </c>
      <c r="H106" s="28">
        <v>1200</v>
      </c>
      <c r="I106" s="28" t="s">
        <v>12</v>
      </c>
      <c r="J106" s="28">
        <v>2026</v>
      </c>
      <c r="K106" s="28" t="s">
        <v>261</v>
      </c>
    </row>
    <row r="107" spans="1:11" x14ac:dyDescent="0.3">
      <c r="A107" s="28" t="s">
        <v>1330</v>
      </c>
      <c r="B107" s="28">
        <v>100</v>
      </c>
      <c r="C107" s="28" t="s">
        <v>12</v>
      </c>
      <c r="D107" s="28">
        <v>2026</v>
      </c>
      <c r="E107" s="28" t="s">
        <v>261</v>
      </c>
      <c r="G107" s="28" t="s">
        <v>1330</v>
      </c>
      <c r="H107" s="28">
        <v>1200</v>
      </c>
      <c r="I107" s="28" t="s">
        <v>12</v>
      </c>
      <c r="J107" s="28">
        <v>2026</v>
      </c>
      <c r="K107" s="28" t="s">
        <v>261</v>
      </c>
    </row>
    <row r="108" spans="1:11" x14ac:dyDescent="0.3">
      <c r="A108" s="28" t="s">
        <v>1331</v>
      </c>
      <c r="B108" s="28">
        <v>100</v>
      </c>
      <c r="C108" s="28" t="s">
        <v>12</v>
      </c>
      <c r="D108" s="28">
        <v>2026</v>
      </c>
      <c r="E108" s="28" t="s">
        <v>261</v>
      </c>
      <c r="G108" s="28" t="s">
        <v>1331</v>
      </c>
      <c r="H108" s="28">
        <v>1200</v>
      </c>
      <c r="I108" s="28" t="s">
        <v>12</v>
      </c>
      <c r="J108" s="28">
        <v>2026</v>
      </c>
      <c r="K108" s="28" t="s">
        <v>261</v>
      </c>
    </row>
    <row r="109" spans="1:11" x14ac:dyDescent="0.3">
      <c r="A109" s="28" t="s">
        <v>1332</v>
      </c>
      <c r="B109" s="28">
        <v>100</v>
      </c>
      <c r="C109" s="28" t="s">
        <v>12</v>
      </c>
      <c r="D109" s="28">
        <v>2026</v>
      </c>
      <c r="E109" s="28" t="s">
        <v>261</v>
      </c>
      <c r="G109" s="28" t="s">
        <v>1332</v>
      </c>
      <c r="H109" s="28">
        <v>1200</v>
      </c>
      <c r="I109" s="28" t="s">
        <v>12</v>
      </c>
      <c r="J109" s="28">
        <v>2026</v>
      </c>
      <c r="K109" s="28" t="s">
        <v>261</v>
      </c>
    </row>
    <row r="110" spans="1:11" x14ac:dyDescent="0.3">
      <c r="A110" s="28" t="s">
        <v>1333</v>
      </c>
      <c r="B110" s="28">
        <v>100</v>
      </c>
      <c r="C110" s="28" t="s">
        <v>12</v>
      </c>
      <c r="D110" s="28">
        <v>2026</v>
      </c>
      <c r="E110" s="28" t="s">
        <v>261</v>
      </c>
      <c r="G110" s="28" t="s">
        <v>1333</v>
      </c>
      <c r="H110" s="28">
        <v>1200</v>
      </c>
      <c r="I110" s="28" t="s">
        <v>12</v>
      </c>
      <c r="J110" s="28">
        <v>2026</v>
      </c>
      <c r="K110" s="28" t="s">
        <v>261</v>
      </c>
    </row>
    <row r="111" spans="1:11" x14ac:dyDescent="0.3">
      <c r="A111" s="28" t="s">
        <v>1334</v>
      </c>
      <c r="B111" s="28">
        <v>100</v>
      </c>
      <c r="C111" s="28" t="s">
        <v>12</v>
      </c>
      <c r="D111" s="28">
        <v>2026</v>
      </c>
      <c r="E111" s="28" t="s">
        <v>261</v>
      </c>
      <c r="G111" s="28" t="s">
        <v>1334</v>
      </c>
      <c r="H111" s="28">
        <v>1200</v>
      </c>
      <c r="I111" s="28" t="s">
        <v>12</v>
      </c>
      <c r="J111" s="28">
        <v>2026</v>
      </c>
      <c r="K111" s="28" t="s">
        <v>261</v>
      </c>
    </row>
    <row r="112" spans="1:11" x14ac:dyDescent="0.3">
      <c r="A112" s="28" t="s">
        <v>1335</v>
      </c>
      <c r="B112" s="28">
        <v>100</v>
      </c>
      <c r="C112" s="28" t="s">
        <v>12</v>
      </c>
      <c r="D112" s="28">
        <v>2026</v>
      </c>
      <c r="E112" s="28" t="s">
        <v>261</v>
      </c>
      <c r="G112" s="28" t="s">
        <v>1335</v>
      </c>
      <c r="H112" s="28">
        <v>1200</v>
      </c>
      <c r="I112" s="28" t="s">
        <v>12</v>
      </c>
      <c r="J112" s="28">
        <v>2026</v>
      </c>
      <c r="K112" s="28" t="s">
        <v>261</v>
      </c>
    </row>
    <row r="113" spans="1:11" x14ac:dyDescent="0.3">
      <c r="A113" s="28" t="s">
        <v>1336</v>
      </c>
      <c r="B113" s="28">
        <v>100</v>
      </c>
      <c r="C113" s="28" t="s">
        <v>12</v>
      </c>
      <c r="D113" s="28">
        <v>2026</v>
      </c>
      <c r="E113" s="28" t="s">
        <v>261</v>
      </c>
      <c r="G113" s="28" t="s">
        <v>1336</v>
      </c>
      <c r="H113" s="28">
        <v>1200</v>
      </c>
      <c r="I113" s="28" t="s">
        <v>12</v>
      </c>
      <c r="J113" s="28">
        <v>2026</v>
      </c>
      <c r="K113" s="28" t="s">
        <v>261</v>
      </c>
    </row>
    <row r="114" spans="1:11" x14ac:dyDescent="0.3">
      <c r="A114" s="28" t="s">
        <v>1337</v>
      </c>
      <c r="B114" s="28">
        <v>100</v>
      </c>
      <c r="C114" s="28" t="s">
        <v>12</v>
      </c>
      <c r="D114" s="28">
        <v>2026</v>
      </c>
      <c r="E114" s="28" t="s">
        <v>261</v>
      </c>
      <c r="G114" s="28" t="s">
        <v>1337</v>
      </c>
      <c r="H114" s="28">
        <v>1200</v>
      </c>
      <c r="I114" s="28" t="s">
        <v>12</v>
      </c>
      <c r="J114" s="28">
        <v>2026</v>
      </c>
      <c r="K114" s="28" t="s">
        <v>261</v>
      </c>
    </row>
    <row r="115" spans="1:11" x14ac:dyDescent="0.3">
      <c r="A115" s="28" t="s">
        <v>1338</v>
      </c>
      <c r="B115" s="28">
        <v>100</v>
      </c>
      <c r="C115" s="28" t="s">
        <v>12</v>
      </c>
      <c r="D115" s="28">
        <v>2026</v>
      </c>
      <c r="E115" s="28" t="s">
        <v>261</v>
      </c>
      <c r="G115" s="28" t="s">
        <v>1338</v>
      </c>
      <c r="H115" s="28">
        <v>1500</v>
      </c>
      <c r="I115" s="28" t="s">
        <v>12</v>
      </c>
      <c r="J115" s="28">
        <v>2026</v>
      </c>
      <c r="K115" s="28" t="s">
        <v>261</v>
      </c>
    </row>
    <row r="116" spans="1:11" x14ac:dyDescent="0.3">
      <c r="A116" s="28" t="s">
        <v>1339</v>
      </c>
      <c r="B116" s="28">
        <v>100</v>
      </c>
      <c r="C116" s="28" t="s">
        <v>12</v>
      </c>
      <c r="D116" s="28">
        <v>2026</v>
      </c>
      <c r="E116" s="28" t="s">
        <v>261</v>
      </c>
      <c r="G116" s="28" t="s">
        <v>1339</v>
      </c>
      <c r="H116" s="28">
        <v>1500</v>
      </c>
      <c r="I116" s="28" t="s">
        <v>12</v>
      </c>
      <c r="J116" s="28">
        <v>2026</v>
      </c>
      <c r="K116" s="28" t="s">
        <v>261</v>
      </c>
    </row>
    <row r="117" spans="1:11" x14ac:dyDescent="0.3">
      <c r="A117" s="28" t="s">
        <v>1340</v>
      </c>
      <c r="B117" s="28">
        <v>100</v>
      </c>
      <c r="C117" s="28" t="s">
        <v>12</v>
      </c>
      <c r="D117" s="28">
        <v>2026</v>
      </c>
      <c r="E117" s="28" t="s">
        <v>261</v>
      </c>
      <c r="G117" s="28" t="s">
        <v>1340</v>
      </c>
      <c r="H117" s="28">
        <v>1500</v>
      </c>
      <c r="I117" s="28" t="s">
        <v>12</v>
      </c>
      <c r="J117" s="28">
        <v>2026</v>
      </c>
      <c r="K117" s="28" t="s">
        <v>261</v>
      </c>
    </row>
    <row r="118" spans="1:11" x14ac:dyDescent="0.3">
      <c r="A118" s="28" t="s">
        <v>1341</v>
      </c>
      <c r="B118" s="28">
        <v>100</v>
      </c>
      <c r="C118" s="28" t="s">
        <v>12</v>
      </c>
      <c r="D118" s="28">
        <v>2026</v>
      </c>
      <c r="E118" s="28" t="s">
        <v>261</v>
      </c>
      <c r="G118" s="28" t="s">
        <v>1341</v>
      </c>
      <c r="H118" s="28">
        <v>1400</v>
      </c>
      <c r="I118" s="28" t="s">
        <v>12</v>
      </c>
      <c r="J118" s="28">
        <v>2026</v>
      </c>
      <c r="K118" s="28" t="s">
        <v>261</v>
      </c>
    </row>
    <row r="119" spans="1:11" x14ac:dyDescent="0.3">
      <c r="A119" s="28" t="s">
        <v>1342</v>
      </c>
      <c r="B119" s="28">
        <v>100</v>
      </c>
      <c r="C119" s="28" t="s">
        <v>12</v>
      </c>
      <c r="D119" s="28">
        <v>2026</v>
      </c>
      <c r="E119" s="28" t="s">
        <v>261</v>
      </c>
      <c r="G119" s="28" t="s">
        <v>1342</v>
      </c>
      <c r="H119" s="28">
        <v>1400</v>
      </c>
      <c r="I119" s="28" t="s">
        <v>12</v>
      </c>
      <c r="J119" s="28">
        <v>2026</v>
      </c>
      <c r="K119" s="28" t="s">
        <v>261</v>
      </c>
    </row>
    <row r="120" spans="1:11" x14ac:dyDescent="0.3">
      <c r="A120" s="28" t="s">
        <v>1343</v>
      </c>
      <c r="B120" s="28">
        <v>100</v>
      </c>
      <c r="C120" s="28" t="s">
        <v>12</v>
      </c>
      <c r="D120" s="28">
        <v>2026</v>
      </c>
      <c r="E120" s="28" t="s">
        <v>261</v>
      </c>
      <c r="G120" s="28" t="s">
        <v>1343</v>
      </c>
      <c r="H120" s="28">
        <v>1000</v>
      </c>
      <c r="I120" s="28" t="s">
        <v>12</v>
      </c>
      <c r="J120" s="28">
        <v>2026</v>
      </c>
      <c r="K120" s="28" t="s">
        <v>261</v>
      </c>
    </row>
    <row r="121" spans="1:11" x14ac:dyDescent="0.3">
      <c r="A121" s="28" t="s">
        <v>1344</v>
      </c>
      <c r="B121" s="28">
        <v>100</v>
      </c>
      <c r="C121" s="28" t="s">
        <v>12</v>
      </c>
      <c r="D121" s="28">
        <v>2026</v>
      </c>
      <c r="E121" s="28" t="s">
        <v>261</v>
      </c>
      <c r="G121" s="28" t="s">
        <v>1344</v>
      </c>
      <c r="H121" s="28">
        <v>1000</v>
      </c>
      <c r="I121" s="28" t="s">
        <v>12</v>
      </c>
      <c r="J121" s="28">
        <v>2026</v>
      </c>
      <c r="K121" s="28" t="s">
        <v>261</v>
      </c>
    </row>
    <row r="122" spans="1:11" x14ac:dyDescent="0.3">
      <c r="A122" s="28" t="s">
        <v>1345</v>
      </c>
      <c r="B122" s="28">
        <v>100</v>
      </c>
      <c r="C122" s="28" t="s">
        <v>12</v>
      </c>
      <c r="D122" s="28">
        <v>2026</v>
      </c>
      <c r="E122" s="28" t="s">
        <v>261</v>
      </c>
      <c r="G122" s="28" t="s">
        <v>1345</v>
      </c>
      <c r="H122" s="28">
        <v>1000</v>
      </c>
      <c r="I122" s="28" t="s">
        <v>12</v>
      </c>
      <c r="J122" s="28">
        <v>2026</v>
      </c>
      <c r="K122" s="28" t="s">
        <v>261</v>
      </c>
    </row>
    <row r="123" spans="1:11" x14ac:dyDescent="0.3">
      <c r="A123" s="28" t="s">
        <v>1346</v>
      </c>
      <c r="B123" s="28">
        <v>100</v>
      </c>
      <c r="C123" s="28" t="s">
        <v>12</v>
      </c>
      <c r="D123" s="28">
        <v>2026</v>
      </c>
      <c r="E123" s="28" t="s">
        <v>261</v>
      </c>
      <c r="G123" s="28" t="s">
        <v>1346</v>
      </c>
      <c r="H123" s="28">
        <v>1000</v>
      </c>
      <c r="I123" s="28" t="s">
        <v>12</v>
      </c>
      <c r="J123" s="28">
        <v>2026</v>
      </c>
      <c r="K123" s="28" t="s">
        <v>261</v>
      </c>
    </row>
    <row r="124" spans="1:11" x14ac:dyDescent="0.3">
      <c r="A124" s="28" t="s">
        <v>1347</v>
      </c>
      <c r="B124" s="28">
        <v>100</v>
      </c>
      <c r="C124" s="28" t="s">
        <v>12</v>
      </c>
      <c r="D124" s="28">
        <v>2026</v>
      </c>
      <c r="E124" s="28" t="s">
        <v>261</v>
      </c>
      <c r="G124" s="28" t="s">
        <v>1347</v>
      </c>
      <c r="H124" s="28">
        <v>1000</v>
      </c>
      <c r="I124" s="28" t="s">
        <v>12</v>
      </c>
      <c r="J124" s="28">
        <v>2026</v>
      </c>
      <c r="K124" s="28" t="s">
        <v>261</v>
      </c>
    </row>
    <row r="125" spans="1:11" x14ac:dyDescent="0.3">
      <c r="A125" s="28" t="s">
        <v>1348</v>
      </c>
      <c r="B125" s="28">
        <v>100</v>
      </c>
      <c r="C125" s="28" t="s">
        <v>12</v>
      </c>
      <c r="D125" s="28">
        <v>2026</v>
      </c>
      <c r="E125" s="28" t="s">
        <v>261</v>
      </c>
      <c r="G125" s="28" t="s">
        <v>1348</v>
      </c>
      <c r="H125" s="28">
        <v>1000</v>
      </c>
      <c r="I125" s="28" t="s">
        <v>12</v>
      </c>
      <c r="J125" s="28">
        <v>2026</v>
      </c>
      <c r="K125" s="28" t="s">
        <v>261</v>
      </c>
    </row>
    <row r="126" spans="1:11" x14ac:dyDescent="0.3">
      <c r="A126" s="28" t="s">
        <v>1349</v>
      </c>
      <c r="B126" s="28">
        <v>100</v>
      </c>
      <c r="C126" s="28" t="s">
        <v>12</v>
      </c>
      <c r="D126" s="28">
        <v>2026</v>
      </c>
      <c r="E126" s="28" t="s">
        <v>261</v>
      </c>
      <c r="G126" s="28" t="s">
        <v>1349</v>
      </c>
      <c r="H126" s="28">
        <v>1000</v>
      </c>
      <c r="I126" s="28" t="s">
        <v>12</v>
      </c>
      <c r="J126" s="28">
        <v>2026</v>
      </c>
      <c r="K126" s="28" t="s">
        <v>261</v>
      </c>
    </row>
    <row r="127" spans="1:11" x14ac:dyDescent="0.3">
      <c r="A127" s="28" t="s">
        <v>1350</v>
      </c>
      <c r="B127" s="28">
        <v>100</v>
      </c>
      <c r="C127" s="28" t="s">
        <v>12</v>
      </c>
      <c r="D127" s="28">
        <v>2026</v>
      </c>
      <c r="E127" s="28" t="s">
        <v>261</v>
      </c>
      <c r="G127" s="28" t="s">
        <v>1350</v>
      </c>
      <c r="H127" s="28">
        <v>1000</v>
      </c>
      <c r="I127" s="28" t="s">
        <v>12</v>
      </c>
      <c r="J127" s="28">
        <v>2026</v>
      </c>
      <c r="K127" s="28" t="s">
        <v>261</v>
      </c>
    </row>
    <row r="128" spans="1:11" x14ac:dyDescent="0.3">
      <c r="A128" s="28" t="s">
        <v>1351</v>
      </c>
      <c r="B128" s="28">
        <v>100</v>
      </c>
      <c r="C128" s="28" t="s">
        <v>12</v>
      </c>
      <c r="D128" s="28">
        <v>2026</v>
      </c>
      <c r="E128" s="28" t="s">
        <v>261</v>
      </c>
      <c r="G128" s="28" t="s">
        <v>1351</v>
      </c>
      <c r="H128" s="28">
        <v>1000</v>
      </c>
      <c r="I128" s="28" t="s">
        <v>12</v>
      </c>
      <c r="J128" s="28">
        <v>2026</v>
      </c>
      <c r="K128" s="28" t="s">
        <v>261</v>
      </c>
    </row>
    <row r="129" spans="1:11" x14ac:dyDescent="0.3">
      <c r="A129" s="28" t="s">
        <v>1352</v>
      </c>
      <c r="B129" s="28">
        <v>100</v>
      </c>
      <c r="C129" s="28" t="s">
        <v>12</v>
      </c>
      <c r="D129" s="28">
        <v>2026</v>
      </c>
      <c r="E129" s="28" t="s">
        <v>261</v>
      </c>
      <c r="G129" s="28" t="s">
        <v>1352</v>
      </c>
      <c r="H129" s="28">
        <v>1000</v>
      </c>
      <c r="I129" s="28" t="s">
        <v>12</v>
      </c>
      <c r="J129" s="28">
        <v>2026</v>
      </c>
      <c r="K129" s="28" t="s">
        <v>261</v>
      </c>
    </row>
    <row r="130" spans="1:11" x14ac:dyDescent="0.3">
      <c r="A130" s="28" t="s">
        <v>1353</v>
      </c>
      <c r="B130" s="28">
        <v>100</v>
      </c>
      <c r="C130" s="28" t="s">
        <v>12</v>
      </c>
      <c r="D130" s="28">
        <v>2026</v>
      </c>
      <c r="E130" s="28" t="s">
        <v>261</v>
      </c>
      <c r="G130" s="28" t="s">
        <v>1353</v>
      </c>
      <c r="H130" s="28">
        <v>1200</v>
      </c>
      <c r="I130" s="28" t="s">
        <v>12</v>
      </c>
      <c r="J130" s="28">
        <v>2026</v>
      </c>
      <c r="K130" s="28" t="s">
        <v>261</v>
      </c>
    </row>
    <row r="131" spans="1:11" x14ac:dyDescent="0.3">
      <c r="A131" s="28" t="s">
        <v>1354</v>
      </c>
      <c r="B131" s="28">
        <v>100</v>
      </c>
      <c r="C131" s="28" t="s">
        <v>12</v>
      </c>
      <c r="D131" s="28">
        <v>2026</v>
      </c>
      <c r="E131" s="28" t="s">
        <v>261</v>
      </c>
      <c r="G131" s="28" t="s">
        <v>1354</v>
      </c>
      <c r="H131" s="28">
        <v>1200</v>
      </c>
      <c r="I131" s="28" t="s">
        <v>12</v>
      </c>
      <c r="J131" s="28">
        <v>2026</v>
      </c>
      <c r="K131" s="28" t="s">
        <v>261</v>
      </c>
    </row>
    <row r="132" spans="1:11" x14ac:dyDescent="0.3">
      <c r="A132" s="28" t="s">
        <v>1355</v>
      </c>
      <c r="B132" s="28">
        <v>100</v>
      </c>
      <c r="C132" s="28" t="s">
        <v>12</v>
      </c>
      <c r="D132" s="28">
        <v>2026</v>
      </c>
      <c r="E132" s="28" t="s">
        <v>261</v>
      </c>
      <c r="G132" s="28" t="s">
        <v>1355</v>
      </c>
      <c r="H132" s="28">
        <v>1200</v>
      </c>
      <c r="I132" s="28" t="s">
        <v>12</v>
      </c>
      <c r="J132" s="28">
        <v>2026</v>
      </c>
      <c r="K132" s="28" t="s">
        <v>261</v>
      </c>
    </row>
    <row r="133" spans="1:11" x14ac:dyDescent="0.3">
      <c r="A133" s="28" t="s">
        <v>1356</v>
      </c>
      <c r="B133" s="28">
        <v>100</v>
      </c>
      <c r="C133" s="28" t="s">
        <v>12</v>
      </c>
      <c r="D133" s="28">
        <v>2026</v>
      </c>
      <c r="E133" s="28" t="s">
        <v>261</v>
      </c>
      <c r="G133" s="28" t="s">
        <v>1356</v>
      </c>
      <c r="H133" s="28">
        <v>1200</v>
      </c>
      <c r="I133" s="28" t="s">
        <v>12</v>
      </c>
      <c r="J133" s="28">
        <v>2026</v>
      </c>
      <c r="K133" s="28" t="s">
        <v>261</v>
      </c>
    </row>
    <row r="134" spans="1:11" x14ac:dyDescent="0.3">
      <c r="A134" s="28" t="s">
        <v>1357</v>
      </c>
      <c r="B134" s="28">
        <v>100</v>
      </c>
      <c r="C134" s="28" t="s">
        <v>12</v>
      </c>
      <c r="D134" s="28">
        <v>2026</v>
      </c>
      <c r="E134" s="28" t="s">
        <v>261</v>
      </c>
      <c r="G134" s="28" t="s">
        <v>1357</v>
      </c>
      <c r="H134" s="28">
        <v>1200</v>
      </c>
      <c r="I134" s="28" t="s">
        <v>12</v>
      </c>
      <c r="J134" s="28">
        <v>2026</v>
      </c>
      <c r="K134" s="28" t="s">
        <v>261</v>
      </c>
    </row>
    <row r="135" spans="1:11" x14ac:dyDescent="0.3">
      <c r="A135" s="28" t="s">
        <v>1358</v>
      </c>
      <c r="B135" s="28">
        <v>100</v>
      </c>
      <c r="C135" s="28" t="s">
        <v>12</v>
      </c>
      <c r="D135" s="28">
        <v>2026</v>
      </c>
      <c r="E135" s="28" t="s">
        <v>261</v>
      </c>
      <c r="G135" s="28" t="s">
        <v>1358</v>
      </c>
      <c r="H135" s="28">
        <v>1200</v>
      </c>
      <c r="I135" s="28" t="s">
        <v>12</v>
      </c>
      <c r="J135" s="28">
        <v>2026</v>
      </c>
      <c r="K135" s="28" t="s">
        <v>261</v>
      </c>
    </row>
    <row r="136" spans="1:11" x14ac:dyDescent="0.3">
      <c r="A136" s="28" t="s">
        <v>1359</v>
      </c>
      <c r="B136" s="28">
        <v>100</v>
      </c>
      <c r="C136" s="28" t="s">
        <v>12</v>
      </c>
      <c r="D136" s="28">
        <v>2026</v>
      </c>
      <c r="E136" s="28" t="s">
        <v>261</v>
      </c>
      <c r="G136" s="28" t="s">
        <v>1359</v>
      </c>
      <c r="H136" s="28">
        <v>1200</v>
      </c>
      <c r="I136" s="28" t="s">
        <v>12</v>
      </c>
      <c r="J136" s="28">
        <v>2026</v>
      </c>
      <c r="K136" s="28" t="s">
        <v>261</v>
      </c>
    </row>
    <row r="137" spans="1:11" x14ac:dyDescent="0.3">
      <c r="A137" s="28" t="s">
        <v>1360</v>
      </c>
      <c r="B137" s="28">
        <v>100</v>
      </c>
      <c r="C137" s="28" t="s">
        <v>12</v>
      </c>
      <c r="D137" s="28">
        <v>2026</v>
      </c>
      <c r="E137" s="28" t="s">
        <v>261</v>
      </c>
      <c r="G137" s="28" t="s">
        <v>1360</v>
      </c>
      <c r="H137" s="28">
        <v>1200</v>
      </c>
      <c r="I137" s="28" t="s">
        <v>12</v>
      </c>
      <c r="J137" s="28">
        <v>2026</v>
      </c>
      <c r="K137" s="28" t="s">
        <v>261</v>
      </c>
    </row>
    <row r="138" spans="1:11" x14ac:dyDescent="0.3">
      <c r="A138" s="28" t="s">
        <v>1361</v>
      </c>
      <c r="B138" s="28">
        <v>100</v>
      </c>
      <c r="C138" s="28" t="s">
        <v>12</v>
      </c>
      <c r="D138" s="28">
        <v>2026</v>
      </c>
      <c r="E138" s="28" t="s">
        <v>261</v>
      </c>
      <c r="G138" s="28" t="s">
        <v>1361</v>
      </c>
      <c r="H138" s="28">
        <v>1900</v>
      </c>
      <c r="I138" s="28" t="s">
        <v>12</v>
      </c>
      <c r="J138" s="28">
        <v>2026</v>
      </c>
      <c r="K138" s="28" t="s">
        <v>261</v>
      </c>
    </row>
    <row r="139" spans="1:11" x14ac:dyDescent="0.3">
      <c r="A139" s="28" t="s">
        <v>1362</v>
      </c>
      <c r="B139" s="28">
        <v>100</v>
      </c>
      <c r="C139" s="28" t="s">
        <v>12</v>
      </c>
      <c r="D139" s="28">
        <v>2026</v>
      </c>
      <c r="E139" s="28" t="s">
        <v>261</v>
      </c>
      <c r="G139" s="28" t="s">
        <v>1362</v>
      </c>
      <c r="H139" s="28">
        <v>1900</v>
      </c>
      <c r="I139" s="28" t="s">
        <v>12</v>
      </c>
      <c r="J139" s="28">
        <v>2026</v>
      </c>
      <c r="K139" s="28" t="s">
        <v>261</v>
      </c>
    </row>
    <row r="140" spans="1:11" x14ac:dyDescent="0.3">
      <c r="A140" s="28" t="s">
        <v>1363</v>
      </c>
      <c r="B140" s="28">
        <v>100</v>
      </c>
      <c r="C140" s="28" t="s">
        <v>12</v>
      </c>
      <c r="D140" s="28">
        <v>2026</v>
      </c>
      <c r="E140" s="28" t="s">
        <v>261</v>
      </c>
      <c r="G140" s="28" t="s">
        <v>1363</v>
      </c>
      <c r="H140" s="28">
        <v>1900</v>
      </c>
      <c r="I140" s="28" t="s">
        <v>12</v>
      </c>
      <c r="J140" s="28">
        <v>2026</v>
      </c>
      <c r="K140" s="28" t="s">
        <v>261</v>
      </c>
    </row>
    <row r="141" spans="1:11" x14ac:dyDescent="0.3">
      <c r="A141" s="28" t="s">
        <v>1364</v>
      </c>
      <c r="B141" s="28">
        <v>100</v>
      </c>
      <c r="C141" s="28" t="s">
        <v>12</v>
      </c>
      <c r="D141" s="28">
        <v>2026</v>
      </c>
      <c r="E141" s="28" t="s">
        <v>261</v>
      </c>
      <c r="G141" s="28" t="s">
        <v>1364</v>
      </c>
      <c r="H141" s="28">
        <v>1900</v>
      </c>
      <c r="I141" s="28" t="s">
        <v>12</v>
      </c>
      <c r="J141" s="28">
        <v>2026</v>
      </c>
      <c r="K141" s="28" t="s">
        <v>261</v>
      </c>
    </row>
    <row r="142" spans="1:11" x14ac:dyDescent="0.3">
      <c r="A142" s="28" t="s">
        <v>1365</v>
      </c>
      <c r="B142" s="28">
        <v>100</v>
      </c>
      <c r="C142" s="28" t="s">
        <v>12</v>
      </c>
      <c r="D142" s="28">
        <v>2026</v>
      </c>
      <c r="E142" s="28" t="s">
        <v>261</v>
      </c>
      <c r="G142" s="28" t="s">
        <v>1365</v>
      </c>
      <c r="H142" s="28">
        <v>1900</v>
      </c>
      <c r="I142" s="28" t="s">
        <v>12</v>
      </c>
      <c r="J142" s="28">
        <v>2026</v>
      </c>
      <c r="K142" s="28" t="s">
        <v>261</v>
      </c>
    </row>
    <row r="143" spans="1:11" x14ac:dyDescent="0.3">
      <c r="A143" s="28" t="s">
        <v>1366</v>
      </c>
      <c r="B143" s="28">
        <v>100</v>
      </c>
      <c r="C143" s="28" t="s">
        <v>12</v>
      </c>
      <c r="D143" s="28">
        <v>2026</v>
      </c>
      <c r="E143" s="28" t="s">
        <v>261</v>
      </c>
      <c r="G143" s="28" t="s">
        <v>1366</v>
      </c>
      <c r="H143" s="28">
        <v>1400</v>
      </c>
      <c r="I143" s="28" t="s">
        <v>12</v>
      </c>
      <c r="J143" s="28">
        <v>2026</v>
      </c>
      <c r="K143" s="28" t="s">
        <v>261</v>
      </c>
    </row>
    <row r="144" spans="1:11" x14ac:dyDescent="0.3">
      <c r="A144" s="28" t="s">
        <v>1367</v>
      </c>
      <c r="B144" s="28">
        <v>785</v>
      </c>
      <c r="C144" s="28" t="s">
        <v>12</v>
      </c>
      <c r="D144" s="28">
        <v>2026</v>
      </c>
      <c r="E144" s="28" t="s">
        <v>389</v>
      </c>
      <c r="G144" s="28" t="s">
        <v>1367</v>
      </c>
      <c r="H144" s="28">
        <v>1600</v>
      </c>
      <c r="I144" s="28" t="s">
        <v>12</v>
      </c>
      <c r="J144" s="28">
        <v>2026</v>
      </c>
      <c r="K144" s="28" t="s">
        <v>261</v>
      </c>
    </row>
    <row r="145" spans="1:11" x14ac:dyDescent="0.3">
      <c r="A145" s="28" t="s">
        <v>1368</v>
      </c>
      <c r="B145" s="28">
        <v>785</v>
      </c>
      <c r="C145" s="28" t="s">
        <v>12</v>
      </c>
      <c r="D145" s="28">
        <v>2026</v>
      </c>
      <c r="E145" s="28" t="s">
        <v>389</v>
      </c>
      <c r="G145" s="28" t="s">
        <v>1368</v>
      </c>
      <c r="H145" s="28">
        <v>1600</v>
      </c>
      <c r="I145" s="28" t="s">
        <v>12</v>
      </c>
      <c r="J145" s="28">
        <v>2026</v>
      </c>
      <c r="K145" s="28" t="s">
        <v>261</v>
      </c>
    </row>
    <row r="146" spans="1:11" x14ac:dyDescent="0.3">
      <c r="A146" s="28" t="s">
        <v>1369</v>
      </c>
      <c r="B146" s="28">
        <v>785</v>
      </c>
      <c r="C146" s="28" t="s">
        <v>12</v>
      </c>
      <c r="D146" s="28">
        <v>2026</v>
      </c>
      <c r="E146" s="28" t="s">
        <v>389</v>
      </c>
      <c r="G146" s="28" t="s">
        <v>1369</v>
      </c>
      <c r="H146" s="28">
        <v>1600</v>
      </c>
      <c r="I146" s="28" t="s">
        <v>12</v>
      </c>
      <c r="J146" s="28">
        <v>2026</v>
      </c>
      <c r="K146" s="28" t="s">
        <v>261</v>
      </c>
    </row>
    <row r="147" spans="1:11" x14ac:dyDescent="0.3">
      <c r="A147" s="28" t="s">
        <v>1370</v>
      </c>
      <c r="B147" s="28">
        <v>785</v>
      </c>
      <c r="C147" s="28" t="s">
        <v>12</v>
      </c>
      <c r="D147" s="28">
        <v>2026</v>
      </c>
      <c r="E147" s="28" t="s">
        <v>389</v>
      </c>
      <c r="G147" s="28" t="s">
        <v>1370</v>
      </c>
      <c r="H147" s="28">
        <v>1600</v>
      </c>
      <c r="I147" s="28" t="s">
        <v>12</v>
      </c>
      <c r="J147" s="28">
        <v>2026</v>
      </c>
      <c r="K147" s="28" t="s">
        <v>261</v>
      </c>
    </row>
    <row r="148" spans="1:11" x14ac:dyDescent="0.3">
      <c r="A148" s="28" t="s">
        <v>1371</v>
      </c>
      <c r="B148" s="28">
        <v>785</v>
      </c>
      <c r="C148" s="28" t="s">
        <v>12</v>
      </c>
      <c r="D148" s="28">
        <v>2026</v>
      </c>
      <c r="E148" s="28" t="s">
        <v>389</v>
      </c>
      <c r="G148" s="28" t="s">
        <v>1371</v>
      </c>
      <c r="H148" s="28">
        <v>1600</v>
      </c>
      <c r="I148" s="28" t="s">
        <v>12</v>
      </c>
      <c r="J148" s="28">
        <v>2026</v>
      </c>
      <c r="K148" s="28" t="s">
        <v>261</v>
      </c>
    </row>
    <row r="149" spans="1:11" x14ac:dyDescent="0.3">
      <c r="A149" s="28" t="s">
        <v>1372</v>
      </c>
      <c r="B149" s="28">
        <v>785</v>
      </c>
      <c r="C149" s="28" t="s">
        <v>12</v>
      </c>
      <c r="D149" s="28">
        <v>2026</v>
      </c>
      <c r="E149" s="28" t="s">
        <v>389</v>
      </c>
      <c r="G149" s="28" t="s">
        <v>1372</v>
      </c>
      <c r="H149" s="28">
        <v>1600</v>
      </c>
      <c r="I149" s="28" t="s">
        <v>12</v>
      </c>
      <c r="J149" s="28">
        <v>2026</v>
      </c>
      <c r="K149" s="28" t="s">
        <v>261</v>
      </c>
    </row>
    <row r="150" spans="1:11" x14ac:dyDescent="0.3">
      <c r="A150" s="28" t="s">
        <v>1373</v>
      </c>
      <c r="B150" s="28">
        <v>785</v>
      </c>
      <c r="C150" s="28" t="s">
        <v>12</v>
      </c>
      <c r="D150" s="28">
        <v>2026</v>
      </c>
      <c r="E150" s="28" t="s">
        <v>389</v>
      </c>
      <c r="G150" s="28" t="s">
        <v>1373</v>
      </c>
      <c r="H150" s="28">
        <v>1600</v>
      </c>
      <c r="I150" s="28" t="s">
        <v>12</v>
      </c>
      <c r="J150" s="28">
        <v>2026</v>
      </c>
      <c r="K150" s="28" t="s">
        <v>261</v>
      </c>
    </row>
    <row r="151" spans="1:11" x14ac:dyDescent="0.3">
      <c r="A151" s="28" t="s">
        <v>1374</v>
      </c>
      <c r="B151" s="28">
        <v>785</v>
      </c>
      <c r="C151" s="28" t="s">
        <v>12</v>
      </c>
      <c r="D151" s="28">
        <v>2026</v>
      </c>
      <c r="E151" s="28" t="s">
        <v>389</v>
      </c>
      <c r="G151" s="28" t="s">
        <v>1374</v>
      </c>
      <c r="H151" s="28">
        <v>1500</v>
      </c>
      <c r="I151" s="28" t="s">
        <v>12</v>
      </c>
      <c r="J151" s="28">
        <v>2026</v>
      </c>
      <c r="K151" s="28" t="s">
        <v>261</v>
      </c>
    </row>
    <row r="152" spans="1:11" x14ac:dyDescent="0.3">
      <c r="A152" s="28" t="s">
        <v>1375</v>
      </c>
      <c r="B152" s="28">
        <v>785</v>
      </c>
      <c r="C152" s="28" t="s">
        <v>12</v>
      </c>
      <c r="D152" s="28">
        <v>2026</v>
      </c>
      <c r="E152" s="28" t="s">
        <v>389</v>
      </c>
      <c r="G152" s="28" t="s">
        <v>1375</v>
      </c>
      <c r="H152" s="28">
        <v>1500</v>
      </c>
      <c r="I152" s="28" t="s">
        <v>12</v>
      </c>
      <c r="J152" s="28">
        <v>2026</v>
      </c>
      <c r="K152" s="28" t="s">
        <v>261</v>
      </c>
    </row>
    <row r="153" spans="1:11" x14ac:dyDescent="0.3">
      <c r="A153" s="28" t="s">
        <v>1376</v>
      </c>
      <c r="B153" s="28">
        <v>785</v>
      </c>
      <c r="C153" s="28" t="s">
        <v>12</v>
      </c>
      <c r="D153" s="28">
        <v>2026</v>
      </c>
      <c r="E153" s="28" t="s">
        <v>389</v>
      </c>
      <c r="G153" s="28" t="s">
        <v>1376</v>
      </c>
      <c r="H153" s="28">
        <v>1500</v>
      </c>
      <c r="I153" s="28" t="s">
        <v>12</v>
      </c>
      <c r="J153" s="28">
        <v>2026</v>
      </c>
      <c r="K153" s="28" t="s">
        <v>261</v>
      </c>
    </row>
    <row r="154" spans="1:11" x14ac:dyDescent="0.3">
      <c r="A154" s="28" t="s">
        <v>1377</v>
      </c>
      <c r="B154" s="28">
        <v>785</v>
      </c>
      <c r="C154" s="28" t="s">
        <v>12</v>
      </c>
      <c r="D154" s="28">
        <v>2026</v>
      </c>
      <c r="E154" s="28" t="s">
        <v>389</v>
      </c>
      <c r="G154" s="28" t="s">
        <v>1377</v>
      </c>
      <c r="H154" s="28">
        <v>1500</v>
      </c>
      <c r="I154" s="28" t="s">
        <v>12</v>
      </c>
      <c r="J154" s="28">
        <v>2026</v>
      </c>
      <c r="K154" s="28" t="s">
        <v>261</v>
      </c>
    </row>
    <row r="155" spans="1:11" x14ac:dyDescent="0.3">
      <c r="A155" s="28" t="s">
        <v>1378</v>
      </c>
      <c r="B155" s="28">
        <v>785</v>
      </c>
      <c r="C155" s="28" t="s">
        <v>12</v>
      </c>
      <c r="D155" s="28">
        <v>2026</v>
      </c>
      <c r="E155" s="28" t="s">
        <v>389</v>
      </c>
      <c r="G155" s="28" t="s">
        <v>1378</v>
      </c>
      <c r="H155" s="28">
        <v>1500</v>
      </c>
      <c r="I155" s="28" t="s">
        <v>12</v>
      </c>
      <c r="J155" s="28">
        <v>2026</v>
      </c>
      <c r="K155" s="28" t="s">
        <v>261</v>
      </c>
    </row>
    <row r="156" spans="1:11" x14ac:dyDescent="0.3">
      <c r="A156" s="28" t="s">
        <v>1379</v>
      </c>
      <c r="B156" s="28">
        <v>785</v>
      </c>
      <c r="C156" s="28" t="s">
        <v>12</v>
      </c>
      <c r="D156" s="28">
        <v>2026</v>
      </c>
      <c r="E156" s="28" t="s">
        <v>389</v>
      </c>
      <c r="G156" s="28" t="s">
        <v>1379</v>
      </c>
      <c r="H156" s="28">
        <v>1500</v>
      </c>
      <c r="I156" s="28" t="s">
        <v>12</v>
      </c>
      <c r="J156" s="28">
        <v>2026</v>
      </c>
      <c r="K156" s="28" t="s">
        <v>261</v>
      </c>
    </row>
    <row r="157" spans="1:11" x14ac:dyDescent="0.3">
      <c r="A157" s="28" t="s">
        <v>1380</v>
      </c>
      <c r="B157" s="28">
        <v>785</v>
      </c>
      <c r="C157" s="28" t="s">
        <v>12</v>
      </c>
      <c r="D157" s="28">
        <v>2026</v>
      </c>
      <c r="E157" s="28" t="s">
        <v>389</v>
      </c>
      <c r="G157" s="28" t="s">
        <v>1380</v>
      </c>
      <c r="H157" s="28">
        <v>1400</v>
      </c>
      <c r="I157" s="28" t="s">
        <v>12</v>
      </c>
      <c r="J157" s="28">
        <v>2026</v>
      </c>
      <c r="K157" s="28" t="s">
        <v>261</v>
      </c>
    </row>
    <row r="158" spans="1:11" x14ac:dyDescent="0.3">
      <c r="A158" s="28" t="s">
        <v>1381</v>
      </c>
      <c r="B158" s="28">
        <v>785</v>
      </c>
      <c r="C158" s="28" t="s">
        <v>12</v>
      </c>
      <c r="D158" s="28">
        <v>2026</v>
      </c>
      <c r="E158" s="28" t="s">
        <v>389</v>
      </c>
      <c r="G158" s="28" t="s">
        <v>1381</v>
      </c>
      <c r="H158" s="28">
        <v>1400</v>
      </c>
      <c r="I158" s="28" t="s">
        <v>12</v>
      </c>
      <c r="J158" s="28">
        <v>2026</v>
      </c>
      <c r="K158" s="28" t="s">
        <v>261</v>
      </c>
    </row>
    <row r="159" spans="1:11" x14ac:dyDescent="0.3">
      <c r="A159" s="28" t="s">
        <v>1382</v>
      </c>
      <c r="B159" s="28">
        <v>785</v>
      </c>
      <c r="C159" s="28" t="s">
        <v>12</v>
      </c>
      <c r="D159" s="28">
        <v>2026</v>
      </c>
      <c r="E159" s="28" t="s">
        <v>389</v>
      </c>
      <c r="G159" s="28" t="s">
        <v>1382</v>
      </c>
      <c r="H159" s="28">
        <v>1400</v>
      </c>
      <c r="I159" s="28" t="s">
        <v>12</v>
      </c>
      <c r="J159" s="28">
        <v>2026</v>
      </c>
      <c r="K159" s="28" t="s">
        <v>261</v>
      </c>
    </row>
    <row r="160" spans="1:11" x14ac:dyDescent="0.3">
      <c r="A160" s="28" t="s">
        <v>1383</v>
      </c>
      <c r="B160" s="28">
        <v>785</v>
      </c>
      <c r="C160" s="28" t="s">
        <v>12</v>
      </c>
      <c r="D160" s="28">
        <v>2026</v>
      </c>
      <c r="E160" s="28" t="s">
        <v>389</v>
      </c>
      <c r="G160" s="28" t="s">
        <v>1383</v>
      </c>
      <c r="H160" s="28">
        <v>1400</v>
      </c>
      <c r="I160" s="28" t="s">
        <v>12</v>
      </c>
      <c r="J160" s="28">
        <v>2026</v>
      </c>
      <c r="K160" s="28" t="s">
        <v>261</v>
      </c>
    </row>
    <row r="161" spans="1:11" x14ac:dyDescent="0.3">
      <c r="A161" s="28" t="s">
        <v>1384</v>
      </c>
      <c r="B161" s="28">
        <v>785</v>
      </c>
      <c r="C161" s="28" t="s">
        <v>12</v>
      </c>
      <c r="D161" s="28">
        <v>2026</v>
      </c>
      <c r="E161" s="28" t="s">
        <v>389</v>
      </c>
      <c r="G161" s="28" t="s">
        <v>1384</v>
      </c>
      <c r="H161" s="28">
        <v>1400</v>
      </c>
      <c r="I161" s="28" t="s">
        <v>12</v>
      </c>
      <c r="J161" s="28">
        <v>2026</v>
      </c>
      <c r="K161" s="28" t="s">
        <v>261</v>
      </c>
    </row>
    <row r="162" spans="1:11" x14ac:dyDescent="0.3">
      <c r="A162" s="28" t="s">
        <v>1385</v>
      </c>
      <c r="B162" s="28">
        <v>785</v>
      </c>
      <c r="C162" s="28" t="s">
        <v>12</v>
      </c>
      <c r="D162" s="28">
        <v>2026</v>
      </c>
      <c r="E162" s="28" t="s">
        <v>389</v>
      </c>
      <c r="G162" s="28" t="s">
        <v>1385</v>
      </c>
      <c r="H162" s="28">
        <v>1400</v>
      </c>
      <c r="I162" s="28" t="s">
        <v>12</v>
      </c>
      <c r="J162" s="28">
        <v>2026</v>
      </c>
      <c r="K162" s="28" t="s">
        <v>261</v>
      </c>
    </row>
    <row r="163" spans="1:11" x14ac:dyDescent="0.3">
      <c r="A163" s="28" t="s">
        <v>1386</v>
      </c>
      <c r="B163" s="28">
        <v>785</v>
      </c>
      <c r="C163" s="28" t="s">
        <v>12</v>
      </c>
      <c r="D163" s="28">
        <v>2026</v>
      </c>
      <c r="E163" s="28" t="s">
        <v>389</v>
      </c>
      <c r="G163" s="28" t="s">
        <v>1386</v>
      </c>
      <c r="H163" s="28">
        <v>1100</v>
      </c>
      <c r="I163" s="28" t="s">
        <v>12</v>
      </c>
      <c r="J163" s="28">
        <v>2026</v>
      </c>
      <c r="K163" s="28" t="s">
        <v>261</v>
      </c>
    </row>
    <row r="164" spans="1:11" x14ac:dyDescent="0.3">
      <c r="A164" s="28" t="s">
        <v>1387</v>
      </c>
      <c r="B164" s="28">
        <v>785</v>
      </c>
      <c r="C164" s="28" t="s">
        <v>12</v>
      </c>
      <c r="D164" s="28">
        <v>2026</v>
      </c>
      <c r="E164" s="28" t="s">
        <v>389</v>
      </c>
      <c r="G164" s="28" t="s">
        <v>1387</v>
      </c>
      <c r="H164" s="28">
        <v>1100</v>
      </c>
      <c r="I164" s="28" t="s">
        <v>12</v>
      </c>
      <c r="J164" s="28">
        <v>2026</v>
      </c>
      <c r="K164" s="28" t="s">
        <v>261</v>
      </c>
    </row>
    <row r="165" spans="1:11" x14ac:dyDescent="0.3">
      <c r="A165" s="28" t="s">
        <v>1388</v>
      </c>
      <c r="B165" s="28">
        <v>785</v>
      </c>
      <c r="C165" s="28" t="s">
        <v>12</v>
      </c>
      <c r="D165" s="28">
        <v>2026</v>
      </c>
      <c r="E165" s="28" t="s">
        <v>389</v>
      </c>
      <c r="G165" s="28" t="s">
        <v>1388</v>
      </c>
      <c r="H165" s="28">
        <v>1100</v>
      </c>
      <c r="I165" s="28" t="s">
        <v>12</v>
      </c>
      <c r="J165" s="28">
        <v>2026</v>
      </c>
      <c r="K165" s="28" t="s">
        <v>261</v>
      </c>
    </row>
    <row r="166" spans="1:11" x14ac:dyDescent="0.3">
      <c r="A166" s="28" t="s">
        <v>1389</v>
      </c>
      <c r="B166" s="28">
        <v>785</v>
      </c>
      <c r="C166" s="28" t="s">
        <v>12</v>
      </c>
      <c r="D166" s="28">
        <v>2026</v>
      </c>
      <c r="E166" s="28" t="s">
        <v>389</v>
      </c>
      <c r="G166" s="28" t="s">
        <v>1389</v>
      </c>
      <c r="H166" s="28">
        <v>1100</v>
      </c>
      <c r="I166" s="28" t="s">
        <v>12</v>
      </c>
      <c r="J166" s="28">
        <v>2026</v>
      </c>
      <c r="K166" s="28" t="s">
        <v>261</v>
      </c>
    </row>
    <row r="167" spans="1:11" x14ac:dyDescent="0.3">
      <c r="A167" s="28" t="s">
        <v>1390</v>
      </c>
      <c r="B167" s="28">
        <v>785</v>
      </c>
      <c r="C167" s="28" t="s">
        <v>12</v>
      </c>
      <c r="D167" s="28">
        <v>2026</v>
      </c>
      <c r="E167" s="28" t="s">
        <v>389</v>
      </c>
      <c r="G167" s="28" t="s">
        <v>1390</v>
      </c>
      <c r="H167" s="28">
        <v>1100</v>
      </c>
      <c r="I167" s="28" t="s">
        <v>12</v>
      </c>
      <c r="J167" s="28">
        <v>2026</v>
      </c>
      <c r="K167" s="28" t="s">
        <v>261</v>
      </c>
    </row>
    <row r="168" spans="1:11" x14ac:dyDescent="0.3">
      <c r="A168" s="28" t="s">
        <v>1391</v>
      </c>
      <c r="B168" s="28">
        <v>785</v>
      </c>
      <c r="C168" s="28" t="s">
        <v>12</v>
      </c>
      <c r="D168" s="28">
        <v>2026</v>
      </c>
      <c r="E168" s="28" t="s">
        <v>389</v>
      </c>
      <c r="G168" s="28" t="s">
        <v>1391</v>
      </c>
      <c r="H168" s="28">
        <v>1100</v>
      </c>
      <c r="I168" s="28" t="s">
        <v>12</v>
      </c>
      <c r="J168" s="28">
        <v>2026</v>
      </c>
      <c r="K168" s="28" t="s">
        <v>261</v>
      </c>
    </row>
    <row r="169" spans="1:11" x14ac:dyDescent="0.3">
      <c r="A169" s="28" t="s">
        <v>1392</v>
      </c>
      <c r="B169" s="28">
        <v>785</v>
      </c>
      <c r="C169" s="28" t="s">
        <v>12</v>
      </c>
      <c r="D169" s="28">
        <v>2026</v>
      </c>
      <c r="E169" s="28" t="s">
        <v>389</v>
      </c>
      <c r="G169" s="28" t="s">
        <v>1392</v>
      </c>
      <c r="H169" s="28">
        <v>1100</v>
      </c>
      <c r="I169" s="28" t="s">
        <v>12</v>
      </c>
      <c r="J169" s="28">
        <v>2026</v>
      </c>
      <c r="K169" s="28" t="s">
        <v>261</v>
      </c>
    </row>
    <row r="170" spans="1:11" x14ac:dyDescent="0.3">
      <c r="A170" s="28" t="s">
        <v>1393</v>
      </c>
      <c r="B170" s="28">
        <v>785</v>
      </c>
      <c r="C170" s="28" t="s">
        <v>12</v>
      </c>
      <c r="D170" s="28">
        <v>2026</v>
      </c>
      <c r="E170" s="28" t="s">
        <v>389</v>
      </c>
      <c r="G170" s="28" t="s">
        <v>1393</v>
      </c>
      <c r="H170" s="28">
        <v>1100</v>
      </c>
      <c r="I170" s="28" t="s">
        <v>12</v>
      </c>
      <c r="J170" s="28">
        <v>2026</v>
      </c>
      <c r="K170" s="28" t="s">
        <v>261</v>
      </c>
    </row>
    <row r="171" spans="1:11" x14ac:dyDescent="0.3">
      <c r="A171" s="28" t="s">
        <v>1394</v>
      </c>
      <c r="B171" s="28">
        <v>785</v>
      </c>
      <c r="C171" s="28" t="s">
        <v>12</v>
      </c>
      <c r="D171" s="28">
        <v>2026</v>
      </c>
      <c r="E171" s="28" t="s">
        <v>389</v>
      </c>
      <c r="G171" s="28" t="s">
        <v>1394</v>
      </c>
      <c r="H171" s="28">
        <v>1100</v>
      </c>
      <c r="I171" s="28" t="s">
        <v>12</v>
      </c>
      <c r="J171" s="28">
        <v>2026</v>
      </c>
      <c r="K171" s="28" t="s">
        <v>261</v>
      </c>
    </row>
    <row r="172" spans="1:11" x14ac:dyDescent="0.3">
      <c r="A172" s="28" t="s">
        <v>1395</v>
      </c>
      <c r="B172" s="28">
        <v>785</v>
      </c>
      <c r="C172" s="28" t="s">
        <v>12</v>
      </c>
      <c r="D172" s="28">
        <v>2026</v>
      </c>
      <c r="E172" s="28" t="s">
        <v>389</v>
      </c>
      <c r="G172" s="28" t="s">
        <v>1395</v>
      </c>
      <c r="H172" s="28">
        <v>1100</v>
      </c>
      <c r="I172" s="28" t="s">
        <v>12</v>
      </c>
      <c r="J172" s="28">
        <v>2026</v>
      </c>
      <c r="K172" s="28" t="s">
        <v>261</v>
      </c>
    </row>
    <row r="173" spans="1:11" x14ac:dyDescent="0.3">
      <c r="A173" s="28" t="s">
        <v>1396</v>
      </c>
      <c r="B173" s="28">
        <v>785</v>
      </c>
      <c r="C173" s="28" t="s">
        <v>12</v>
      </c>
      <c r="D173" s="28">
        <v>2026</v>
      </c>
      <c r="E173" s="28" t="s">
        <v>389</v>
      </c>
      <c r="G173" s="28" t="s">
        <v>1396</v>
      </c>
      <c r="H173" s="28">
        <v>1100</v>
      </c>
      <c r="I173" s="28" t="s">
        <v>12</v>
      </c>
      <c r="J173" s="28">
        <v>2026</v>
      </c>
      <c r="K173" s="28" t="s">
        <v>261</v>
      </c>
    </row>
    <row r="174" spans="1:11" x14ac:dyDescent="0.3">
      <c r="A174" s="28" t="s">
        <v>1397</v>
      </c>
      <c r="B174" s="28">
        <v>785</v>
      </c>
      <c r="C174" s="28" t="s">
        <v>12</v>
      </c>
      <c r="D174" s="28">
        <v>2026</v>
      </c>
      <c r="E174" s="28" t="s">
        <v>389</v>
      </c>
      <c r="G174" s="28" t="s">
        <v>1397</v>
      </c>
      <c r="H174" s="28">
        <v>1100</v>
      </c>
      <c r="I174" s="28" t="s">
        <v>12</v>
      </c>
      <c r="J174" s="28">
        <v>2026</v>
      </c>
      <c r="K174" s="28" t="s">
        <v>261</v>
      </c>
    </row>
    <row r="175" spans="1:11" x14ac:dyDescent="0.3">
      <c r="A175" s="28" t="s">
        <v>1398</v>
      </c>
      <c r="B175" s="28">
        <v>785</v>
      </c>
      <c r="C175" s="28" t="s">
        <v>12</v>
      </c>
      <c r="D175" s="28">
        <v>2026</v>
      </c>
      <c r="E175" s="28" t="s">
        <v>389</v>
      </c>
      <c r="G175" s="28" t="s">
        <v>1398</v>
      </c>
      <c r="H175" s="28">
        <v>1100</v>
      </c>
      <c r="I175" s="28" t="s">
        <v>12</v>
      </c>
      <c r="J175" s="28">
        <v>2026</v>
      </c>
      <c r="K175" s="28" t="s">
        <v>261</v>
      </c>
    </row>
    <row r="176" spans="1:11" x14ac:dyDescent="0.3">
      <c r="A176" s="28" t="s">
        <v>1399</v>
      </c>
      <c r="B176" s="28">
        <v>785</v>
      </c>
      <c r="C176" s="28" t="s">
        <v>12</v>
      </c>
      <c r="D176" s="28">
        <v>2026</v>
      </c>
      <c r="E176" s="28" t="s">
        <v>389</v>
      </c>
      <c r="G176" s="28" t="s">
        <v>1399</v>
      </c>
      <c r="H176" s="28">
        <v>1100</v>
      </c>
      <c r="I176" s="28" t="s">
        <v>12</v>
      </c>
      <c r="J176" s="28">
        <v>2026</v>
      </c>
      <c r="K176" s="28" t="s">
        <v>261</v>
      </c>
    </row>
    <row r="177" spans="1:11" x14ac:dyDescent="0.3">
      <c r="A177" s="28" t="s">
        <v>1400</v>
      </c>
      <c r="B177" s="28">
        <v>785</v>
      </c>
      <c r="C177" s="28" t="s">
        <v>12</v>
      </c>
      <c r="D177" s="28">
        <v>2026</v>
      </c>
      <c r="E177" s="28" t="s">
        <v>389</v>
      </c>
      <c r="G177" s="28" t="s">
        <v>1400</v>
      </c>
      <c r="H177" s="28">
        <v>1100</v>
      </c>
      <c r="I177" s="28" t="s">
        <v>12</v>
      </c>
      <c r="J177" s="28">
        <v>2026</v>
      </c>
      <c r="K177" s="28" t="s">
        <v>261</v>
      </c>
    </row>
    <row r="178" spans="1:11" x14ac:dyDescent="0.3">
      <c r="A178" s="28" t="s">
        <v>1401</v>
      </c>
      <c r="B178" s="28">
        <v>785</v>
      </c>
      <c r="C178" s="28" t="s">
        <v>12</v>
      </c>
      <c r="D178" s="28">
        <v>2026</v>
      </c>
      <c r="E178" s="28" t="s">
        <v>389</v>
      </c>
      <c r="G178" s="28" t="s">
        <v>1401</v>
      </c>
      <c r="H178" s="28">
        <v>1100</v>
      </c>
      <c r="I178" s="28" t="s">
        <v>12</v>
      </c>
      <c r="J178" s="28">
        <v>2026</v>
      </c>
      <c r="K178" s="28" t="s">
        <v>261</v>
      </c>
    </row>
    <row r="179" spans="1:11" x14ac:dyDescent="0.3">
      <c r="A179" s="28" t="s">
        <v>1402</v>
      </c>
      <c r="B179" s="28">
        <v>785</v>
      </c>
      <c r="C179" s="28" t="s">
        <v>12</v>
      </c>
      <c r="D179" s="28">
        <v>2026</v>
      </c>
      <c r="E179" s="28" t="s">
        <v>389</v>
      </c>
      <c r="G179" s="28" t="s">
        <v>1402</v>
      </c>
      <c r="H179" s="28">
        <v>1100</v>
      </c>
      <c r="I179" s="28" t="s">
        <v>12</v>
      </c>
      <c r="J179" s="28">
        <v>2026</v>
      </c>
      <c r="K179" s="28" t="s">
        <v>261</v>
      </c>
    </row>
    <row r="180" spans="1:11" x14ac:dyDescent="0.3">
      <c r="A180" s="28" t="s">
        <v>1403</v>
      </c>
      <c r="B180" s="28">
        <v>785</v>
      </c>
      <c r="C180" s="28" t="s">
        <v>12</v>
      </c>
      <c r="D180" s="28">
        <v>2026</v>
      </c>
      <c r="E180" s="28" t="s">
        <v>389</v>
      </c>
      <c r="G180" s="28" t="s">
        <v>1403</v>
      </c>
      <c r="H180" s="28">
        <v>1100</v>
      </c>
      <c r="I180" s="28" t="s">
        <v>12</v>
      </c>
      <c r="J180" s="28">
        <v>2026</v>
      </c>
      <c r="K180" s="28" t="s">
        <v>261</v>
      </c>
    </row>
    <row r="181" spans="1:11" x14ac:dyDescent="0.3">
      <c r="A181" s="28" t="s">
        <v>1404</v>
      </c>
      <c r="B181" s="28">
        <v>785</v>
      </c>
      <c r="C181" s="28" t="s">
        <v>12</v>
      </c>
      <c r="D181" s="28">
        <v>2026</v>
      </c>
      <c r="E181" s="28" t="s">
        <v>389</v>
      </c>
      <c r="G181" s="28" t="s">
        <v>1404</v>
      </c>
      <c r="H181" s="28">
        <v>1100</v>
      </c>
      <c r="I181" s="28" t="s">
        <v>12</v>
      </c>
      <c r="J181" s="28">
        <v>2026</v>
      </c>
      <c r="K181" s="28" t="s">
        <v>261</v>
      </c>
    </row>
    <row r="182" spans="1:11" x14ac:dyDescent="0.3">
      <c r="A182" s="28" t="s">
        <v>1405</v>
      </c>
      <c r="B182" s="28">
        <v>785</v>
      </c>
      <c r="C182" s="28" t="s">
        <v>12</v>
      </c>
      <c r="D182" s="28">
        <v>2026</v>
      </c>
      <c r="E182" s="28" t="s">
        <v>389</v>
      </c>
      <c r="G182" s="28" t="s">
        <v>1405</v>
      </c>
      <c r="H182" s="28">
        <v>1100</v>
      </c>
      <c r="I182" s="28" t="s">
        <v>12</v>
      </c>
      <c r="J182" s="28">
        <v>2026</v>
      </c>
      <c r="K182" s="28" t="s">
        <v>261</v>
      </c>
    </row>
    <row r="183" spans="1:11" x14ac:dyDescent="0.3">
      <c r="A183" s="28" t="s">
        <v>1406</v>
      </c>
      <c r="B183" s="28">
        <v>785</v>
      </c>
      <c r="C183" s="28" t="s">
        <v>12</v>
      </c>
      <c r="D183" s="28">
        <v>2026</v>
      </c>
      <c r="E183" s="28" t="s">
        <v>389</v>
      </c>
      <c r="G183" s="28" t="s">
        <v>1406</v>
      </c>
      <c r="H183" s="28">
        <v>1100</v>
      </c>
      <c r="I183" s="28" t="s">
        <v>12</v>
      </c>
      <c r="J183" s="28">
        <v>2026</v>
      </c>
      <c r="K183" s="28" t="s">
        <v>261</v>
      </c>
    </row>
    <row r="184" spans="1:11" x14ac:dyDescent="0.3">
      <c r="A184" s="28" t="s">
        <v>1407</v>
      </c>
      <c r="B184" s="28">
        <v>785</v>
      </c>
      <c r="C184" s="28" t="s">
        <v>12</v>
      </c>
      <c r="D184" s="28">
        <v>2026</v>
      </c>
      <c r="E184" s="28" t="s">
        <v>389</v>
      </c>
      <c r="G184" s="28" t="s">
        <v>1407</v>
      </c>
      <c r="H184" s="28">
        <v>1100</v>
      </c>
      <c r="I184" s="28" t="s">
        <v>12</v>
      </c>
      <c r="J184" s="28">
        <v>2026</v>
      </c>
      <c r="K184" s="28" t="s">
        <v>261</v>
      </c>
    </row>
    <row r="185" spans="1:11" x14ac:dyDescent="0.3">
      <c r="A185" s="28" t="s">
        <v>1408</v>
      </c>
      <c r="B185" s="28">
        <v>0</v>
      </c>
      <c r="C185" s="28" t="s">
        <v>12</v>
      </c>
      <c r="D185" s="28">
        <v>2026</v>
      </c>
      <c r="E185" s="28" t="s">
        <v>1215</v>
      </c>
      <c r="G185" s="28" t="s">
        <v>1408</v>
      </c>
      <c r="H185" s="28">
        <v>500</v>
      </c>
      <c r="I185" s="28" t="s">
        <v>12</v>
      </c>
      <c r="J185" s="28">
        <v>2026</v>
      </c>
      <c r="K185" s="28" t="s">
        <v>261</v>
      </c>
    </row>
    <row r="186" spans="1:11" x14ac:dyDescent="0.3">
      <c r="A186" s="28" t="s">
        <v>1409</v>
      </c>
      <c r="B186" s="28">
        <v>785</v>
      </c>
      <c r="C186" s="28" t="s">
        <v>12</v>
      </c>
      <c r="D186" s="28">
        <v>2026</v>
      </c>
      <c r="E186" s="28" t="s">
        <v>389</v>
      </c>
      <c r="G186" s="28" t="s">
        <v>1409</v>
      </c>
      <c r="H186" s="28">
        <v>800</v>
      </c>
      <c r="I186" s="28" t="s">
        <v>12</v>
      </c>
      <c r="J186" s="28">
        <v>2026</v>
      </c>
      <c r="K186" s="28" t="s">
        <v>261</v>
      </c>
    </row>
    <row r="187" spans="1:11" x14ac:dyDescent="0.3">
      <c r="A187" s="28" t="s">
        <v>1410</v>
      </c>
      <c r="B187" s="28">
        <v>785</v>
      </c>
      <c r="C187" s="28" t="s">
        <v>12</v>
      </c>
      <c r="D187" s="28">
        <v>2026</v>
      </c>
      <c r="E187" s="28" t="s">
        <v>389</v>
      </c>
      <c r="G187" s="28" t="s">
        <v>1410</v>
      </c>
      <c r="H187" s="28">
        <v>800</v>
      </c>
      <c r="I187" s="28" t="s">
        <v>12</v>
      </c>
      <c r="J187" s="28">
        <v>2026</v>
      </c>
      <c r="K187" s="28" t="s">
        <v>261</v>
      </c>
    </row>
    <row r="188" spans="1:11" x14ac:dyDescent="0.3">
      <c r="A188" s="28" t="s">
        <v>1411</v>
      </c>
      <c r="B188" s="28">
        <v>785</v>
      </c>
      <c r="C188" s="28" t="s">
        <v>12</v>
      </c>
      <c r="D188" s="28">
        <v>2026</v>
      </c>
      <c r="E188" s="28" t="s">
        <v>389</v>
      </c>
      <c r="G188" s="28" t="s">
        <v>1411</v>
      </c>
      <c r="H188" s="28">
        <v>1700</v>
      </c>
      <c r="I188" s="28" t="s">
        <v>12</v>
      </c>
      <c r="J188" s="28">
        <v>2026</v>
      </c>
      <c r="K188" s="28" t="s">
        <v>261</v>
      </c>
    </row>
    <row r="189" spans="1:11" x14ac:dyDescent="0.3">
      <c r="A189" s="28" t="s">
        <v>1412</v>
      </c>
      <c r="B189" s="28">
        <v>785</v>
      </c>
      <c r="C189" s="28" t="s">
        <v>12</v>
      </c>
      <c r="D189" s="28">
        <v>2026</v>
      </c>
      <c r="E189" s="28" t="s">
        <v>389</v>
      </c>
      <c r="G189" s="28" t="s">
        <v>1412</v>
      </c>
      <c r="H189" s="28">
        <v>1700</v>
      </c>
      <c r="I189" s="28" t="s">
        <v>12</v>
      </c>
      <c r="J189" s="28">
        <v>2026</v>
      </c>
      <c r="K189" s="28" t="s">
        <v>261</v>
      </c>
    </row>
    <row r="190" spans="1:11" x14ac:dyDescent="0.3">
      <c r="A190" s="28" t="s">
        <v>1413</v>
      </c>
      <c r="B190" s="28">
        <v>785</v>
      </c>
      <c r="C190" s="28" t="s">
        <v>12</v>
      </c>
      <c r="D190" s="28">
        <v>2026</v>
      </c>
      <c r="E190" s="28" t="s">
        <v>389</v>
      </c>
      <c r="G190" s="28" t="s">
        <v>1413</v>
      </c>
      <c r="H190" s="28">
        <v>1400</v>
      </c>
      <c r="I190" s="28" t="s">
        <v>12</v>
      </c>
      <c r="J190" s="28">
        <v>2026</v>
      </c>
      <c r="K190" s="28" t="s">
        <v>261</v>
      </c>
    </row>
    <row r="191" spans="1:11" x14ac:dyDescent="0.3">
      <c r="A191" s="28" t="s">
        <v>1414</v>
      </c>
      <c r="B191" s="28">
        <v>785</v>
      </c>
      <c r="C191" s="28" t="s">
        <v>12</v>
      </c>
      <c r="D191" s="28">
        <v>2026</v>
      </c>
      <c r="E191" s="28" t="s">
        <v>389</v>
      </c>
      <c r="G191" s="28" t="s">
        <v>1414</v>
      </c>
      <c r="H191" s="28">
        <v>1400</v>
      </c>
      <c r="I191" s="28" t="s">
        <v>12</v>
      </c>
      <c r="J191" s="28">
        <v>2026</v>
      </c>
      <c r="K191" s="28" t="s">
        <v>261</v>
      </c>
    </row>
    <row r="192" spans="1:11" x14ac:dyDescent="0.3">
      <c r="A192" s="28" t="s">
        <v>1415</v>
      </c>
      <c r="B192" s="28">
        <v>785</v>
      </c>
      <c r="C192" s="28" t="s">
        <v>12</v>
      </c>
      <c r="D192" s="28">
        <v>2026</v>
      </c>
      <c r="E192" s="28" t="s">
        <v>389</v>
      </c>
      <c r="G192" s="28" t="s">
        <v>1415</v>
      </c>
      <c r="H192" s="28">
        <v>1400</v>
      </c>
      <c r="I192" s="28" t="s">
        <v>12</v>
      </c>
      <c r="J192" s="28">
        <v>2026</v>
      </c>
      <c r="K192" s="28" t="s">
        <v>261</v>
      </c>
    </row>
    <row r="193" spans="1:11" x14ac:dyDescent="0.3">
      <c r="A193" s="28" t="s">
        <v>1416</v>
      </c>
      <c r="B193" s="28">
        <v>785</v>
      </c>
      <c r="C193" s="28" t="s">
        <v>12</v>
      </c>
      <c r="D193" s="28">
        <v>2026</v>
      </c>
      <c r="E193" s="28" t="s">
        <v>389</v>
      </c>
      <c r="G193" s="28" t="s">
        <v>1416</v>
      </c>
      <c r="H193" s="28">
        <v>1400</v>
      </c>
      <c r="I193" s="28" t="s">
        <v>12</v>
      </c>
      <c r="J193" s="28">
        <v>2026</v>
      </c>
      <c r="K193" s="28" t="s">
        <v>261</v>
      </c>
    </row>
    <row r="194" spans="1:11" x14ac:dyDescent="0.3">
      <c r="A194" s="28" t="s">
        <v>1417</v>
      </c>
      <c r="B194" s="28">
        <v>785</v>
      </c>
      <c r="C194" s="28" t="s">
        <v>12</v>
      </c>
      <c r="D194" s="28">
        <v>2026</v>
      </c>
      <c r="E194" s="28" t="s">
        <v>389</v>
      </c>
      <c r="G194" s="28" t="s">
        <v>1417</v>
      </c>
      <c r="H194" s="28">
        <v>1400</v>
      </c>
      <c r="I194" s="28" t="s">
        <v>12</v>
      </c>
      <c r="J194" s="28">
        <v>2026</v>
      </c>
      <c r="K194" s="28" t="s">
        <v>261</v>
      </c>
    </row>
    <row r="195" spans="1:11" x14ac:dyDescent="0.3">
      <c r="A195" s="28" t="s">
        <v>1418</v>
      </c>
      <c r="B195" s="28">
        <v>785</v>
      </c>
      <c r="C195" s="28" t="s">
        <v>12</v>
      </c>
      <c r="D195" s="28">
        <v>2026</v>
      </c>
      <c r="E195" s="28" t="s">
        <v>389</v>
      </c>
      <c r="G195" s="28" t="s">
        <v>1418</v>
      </c>
      <c r="H195" s="28">
        <v>1400</v>
      </c>
      <c r="I195" s="28" t="s">
        <v>12</v>
      </c>
      <c r="J195" s="28">
        <v>2026</v>
      </c>
      <c r="K195" s="28" t="s">
        <v>261</v>
      </c>
    </row>
    <row r="196" spans="1:11" x14ac:dyDescent="0.3">
      <c r="A196" s="28" t="s">
        <v>1419</v>
      </c>
      <c r="B196" s="28">
        <v>785</v>
      </c>
      <c r="C196" s="28" t="s">
        <v>12</v>
      </c>
      <c r="D196" s="28">
        <v>2026</v>
      </c>
      <c r="E196" s="28" t="s">
        <v>389</v>
      </c>
      <c r="G196" s="28" t="s">
        <v>1419</v>
      </c>
      <c r="H196" s="28">
        <v>1400</v>
      </c>
      <c r="I196" s="28" t="s">
        <v>12</v>
      </c>
      <c r="J196" s="28">
        <v>2026</v>
      </c>
      <c r="K196" s="28" t="s">
        <v>261</v>
      </c>
    </row>
    <row r="197" spans="1:11" x14ac:dyDescent="0.3">
      <c r="A197" s="28" t="s">
        <v>1420</v>
      </c>
      <c r="B197" s="28">
        <v>785</v>
      </c>
      <c r="C197" s="28" t="s">
        <v>12</v>
      </c>
      <c r="D197" s="28">
        <v>2026</v>
      </c>
      <c r="E197" s="28" t="s">
        <v>389</v>
      </c>
      <c r="G197" s="28" t="s">
        <v>1420</v>
      </c>
      <c r="H197" s="28">
        <v>1400</v>
      </c>
      <c r="I197" s="28" t="s">
        <v>12</v>
      </c>
      <c r="J197" s="28">
        <v>2026</v>
      </c>
      <c r="K197" s="28" t="s">
        <v>261</v>
      </c>
    </row>
    <row r="198" spans="1:11" x14ac:dyDescent="0.3">
      <c r="A198" s="28" t="s">
        <v>1421</v>
      </c>
      <c r="B198" s="28">
        <v>785</v>
      </c>
      <c r="C198" s="28" t="s">
        <v>12</v>
      </c>
      <c r="D198" s="28">
        <v>2026</v>
      </c>
      <c r="E198" s="28" t="s">
        <v>389</v>
      </c>
      <c r="G198" s="28" t="s">
        <v>1421</v>
      </c>
      <c r="H198" s="28">
        <v>1400</v>
      </c>
      <c r="I198" s="28" t="s">
        <v>12</v>
      </c>
      <c r="J198" s="28">
        <v>2026</v>
      </c>
      <c r="K198" s="28" t="s">
        <v>261</v>
      </c>
    </row>
    <row r="199" spans="1:11" x14ac:dyDescent="0.3">
      <c r="A199" s="28" t="s">
        <v>1422</v>
      </c>
      <c r="B199" s="28">
        <v>785</v>
      </c>
      <c r="C199" s="28" t="s">
        <v>12</v>
      </c>
      <c r="D199" s="28">
        <v>2026</v>
      </c>
      <c r="E199" s="28" t="s">
        <v>389</v>
      </c>
      <c r="G199" s="28" t="s">
        <v>1422</v>
      </c>
      <c r="H199" s="28">
        <v>1400</v>
      </c>
      <c r="I199" s="28" t="s">
        <v>12</v>
      </c>
      <c r="J199" s="28">
        <v>2026</v>
      </c>
      <c r="K199" s="28" t="s">
        <v>261</v>
      </c>
    </row>
    <row r="200" spans="1:11" x14ac:dyDescent="0.3">
      <c r="A200" s="28" t="s">
        <v>1423</v>
      </c>
      <c r="B200" s="28">
        <v>785</v>
      </c>
      <c r="C200" s="28" t="s">
        <v>12</v>
      </c>
      <c r="D200" s="28">
        <v>2026</v>
      </c>
      <c r="E200" s="28" t="s">
        <v>389</v>
      </c>
      <c r="G200" s="28" t="s">
        <v>1423</v>
      </c>
      <c r="H200" s="28">
        <v>1600</v>
      </c>
      <c r="I200" s="28" t="s">
        <v>12</v>
      </c>
      <c r="J200" s="28">
        <v>2026</v>
      </c>
      <c r="K200" s="28" t="s">
        <v>261</v>
      </c>
    </row>
    <row r="201" spans="1:11" x14ac:dyDescent="0.3">
      <c r="A201" s="28" t="s">
        <v>1424</v>
      </c>
      <c r="B201" s="28">
        <v>785</v>
      </c>
      <c r="C201" s="28" t="s">
        <v>12</v>
      </c>
      <c r="D201" s="28">
        <v>2026</v>
      </c>
      <c r="E201" s="28" t="s">
        <v>389</v>
      </c>
      <c r="G201" s="28" t="s">
        <v>1424</v>
      </c>
      <c r="H201" s="28">
        <v>1600</v>
      </c>
      <c r="I201" s="28" t="s">
        <v>12</v>
      </c>
      <c r="J201" s="28">
        <v>2026</v>
      </c>
      <c r="K201" s="28" t="s">
        <v>261</v>
      </c>
    </row>
    <row r="202" spans="1:11" x14ac:dyDescent="0.3">
      <c r="A202" s="28" t="s">
        <v>1425</v>
      </c>
      <c r="B202" s="28">
        <v>785</v>
      </c>
      <c r="C202" s="28" t="s">
        <v>12</v>
      </c>
      <c r="D202" s="28">
        <v>2026</v>
      </c>
      <c r="E202" s="28" t="s">
        <v>389</v>
      </c>
      <c r="G202" s="28" t="s">
        <v>1425</v>
      </c>
      <c r="H202" s="28">
        <v>1600</v>
      </c>
      <c r="I202" s="28" t="s">
        <v>12</v>
      </c>
      <c r="J202" s="28">
        <v>2026</v>
      </c>
      <c r="K202" s="28" t="s">
        <v>261</v>
      </c>
    </row>
    <row r="203" spans="1:11" x14ac:dyDescent="0.3">
      <c r="A203" s="28" t="s">
        <v>1426</v>
      </c>
      <c r="B203" s="28">
        <v>785</v>
      </c>
      <c r="C203" s="28" t="s">
        <v>12</v>
      </c>
      <c r="D203" s="28">
        <v>2026</v>
      </c>
      <c r="E203" s="28" t="s">
        <v>389</v>
      </c>
      <c r="G203" s="28" t="s">
        <v>1426</v>
      </c>
      <c r="H203" s="28">
        <v>1600</v>
      </c>
      <c r="I203" s="28" t="s">
        <v>12</v>
      </c>
      <c r="J203" s="28">
        <v>2026</v>
      </c>
      <c r="K203" s="28" t="s">
        <v>261</v>
      </c>
    </row>
    <row r="204" spans="1:11" x14ac:dyDescent="0.3">
      <c r="A204" s="28" t="s">
        <v>1427</v>
      </c>
      <c r="B204" s="28">
        <v>785</v>
      </c>
      <c r="C204" s="28" t="s">
        <v>12</v>
      </c>
      <c r="D204" s="28">
        <v>2026</v>
      </c>
      <c r="E204" s="28" t="s">
        <v>389</v>
      </c>
      <c r="G204" s="28" t="s">
        <v>1427</v>
      </c>
      <c r="H204" s="28">
        <v>1600</v>
      </c>
      <c r="I204" s="28" t="s">
        <v>12</v>
      </c>
      <c r="J204" s="28">
        <v>2026</v>
      </c>
      <c r="K204" s="28" t="s">
        <v>261</v>
      </c>
    </row>
    <row r="205" spans="1:11" x14ac:dyDescent="0.3">
      <c r="A205" s="28" t="s">
        <v>1428</v>
      </c>
      <c r="B205" s="28">
        <v>785</v>
      </c>
      <c r="C205" s="28" t="s">
        <v>12</v>
      </c>
      <c r="D205" s="28">
        <v>2026</v>
      </c>
      <c r="E205" s="28" t="s">
        <v>389</v>
      </c>
      <c r="G205" s="28" t="s">
        <v>1428</v>
      </c>
      <c r="H205" s="28">
        <v>1600</v>
      </c>
      <c r="I205" s="28" t="s">
        <v>12</v>
      </c>
      <c r="J205" s="28">
        <v>2026</v>
      </c>
      <c r="K205" s="28" t="s">
        <v>261</v>
      </c>
    </row>
    <row r="206" spans="1:11" x14ac:dyDescent="0.3">
      <c r="A206" s="28" t="s">
        <v>1429</v>
      </c>
      <c r="B206" s="28">
        <v>785</v>
      </c>
      <c r="C206" s="28" t="s">
        <v>12</v>
      </c>
      <c r="D206" s="28">
        <v>2026</v>
      </c>
      <c r="E206" s="28" t="s">
        <v>389</v>
      </c>
      <c r="G206" s="28" t="s">
        <v>1429</v>
      </c>
      <c r="H206" s="28">
        <v>1600</v>
      </c>
      <c r="I206" s="28" t="s">
        <v>12</v>
      </c>
      <c r="J206" s="28">
        <v>2026</v>
      </c>
      <c r="K206" s="28" t="s">
        <v>261</v>
      </c>
    </row>
    <row r="207" spans="1:11" x14ac:dyDescent="0.3">
      <c r="A207" s="28" t="s">
        <v>1430</v>
      </c>
      <c r="B207" s="28">
        <v>785</v>
      </c>
      <c r="C207" s="28" t="s">
        <v>12</v>
      </c>
      <c r="D207" s="28">
        <v>2026</v>
      </c>
      <c r="E207" s="28" t="s">
        <v>389</v>
      </c>
      <c r="G207" s="28" t="s">
        <v>1430</v>
      </c>
      <c r="H207" s="28">
        <v>1600</v>
      </c>
      <c r="I207" s="28" t="s">
        <v>12</v>
      </c>
      <c r="J207" s="28">
        <v>2026</v>
      </c>
      <c r="K207" s="28" t="s">
        <v>261</v>
      </c>
    </row>
    <row r="208" spans="1:11" x14ac:dyDescent="0.3">
      <c r="A208" s="28" t="s">
        <v>1431</v>
      </c>
      <c r="B208" s="28">
        <v>785</v>
      </c>
      <c r="C208" s="28" t="s">
        <v>12</v>
      </c>
      <c r="D208" s="28">
        <v>2026</v>
      </c>
      <c r="E208" s="28" t="s">
        <v>389</v>
      </c>
      <c r="G208" s="28" t="s">
        <v>1431</v>
      </c>
      <c r="H208" s="28">
        <v>1000</v>
      </c>
      <c r="I208" s="28" t="s">
        <v>12</v>
      </c>
      <c r="J208" s="28">
        <v>2026</v>
      </c>
      <c r="K208" s="28" t="s">
        <v>261</v>
      </c>
    </row>
    <row r="209" spans="1:11" x14ac:dyDescent="0.3">
      <c r="A209" s="28" t="s">
        <v>1432</v>
      </c>
      <c r="B209" s="28">
        <v>785</v>
      </c>
      <c r="C209" s="28" t="s">
        <v>12</v>
      </c>
      <c r="D209" s="28">
        <v>2026</v>
      </c>
      <c r="E209" s="28" t="s">
        <v>389</v>
      </c>
      <c r="G209" s="28" t="s">
        <v>1432</v>
      </c>
      <c r="H209" s="28">
        <v>1000</v>
      </c>
      <c r="I209" s="28" t="s">
        <v>12</v>
      </c>
      <c r="J209" s="28">
        <v>2026</v>
      </c>
      <c r="K209" s="28" t="s">
        <v>261</v>
      </c>
    </row>
    <row r="210" spans="1:11" x14ac:dyDescent="0.3">
      <c r="A210" s="28" t="s">
        <v>1433</v>
      </c>
      <c r="B210" s="28">
        <v>785</v>
      </c>
      <c r="C210" s="28" t="s">
        <v>12</v>
      </c>
      <c r="D210" s="28">
        <v>2026</v>
      </c>
      <c r="E210" s="28" t="s">
        <v>389</v>
      </c>
      <c r="G210" s="28" t="s">
        <v>1433</v>
      </c>
      <c r="H210" s="28">
        <v>1000</v>
      </c>
      <c r="I210" s="28" t="s">
        <v>12</v>
      </c>
      <c r="J210" s="28">
        <v>2026</v>
      </c>
      <c r="K210" s="28" t="s">
        <v>261</v>
      </c>
    </row>
    <row r="211" spans="1:11" x14ac:dyDescent="0.3">
      <c r="A211" s="28" t="s">
        <v>1434</v>
      </c>
      <c r="B211" s="28">
        <v>785</v>
      </c>
      <c r="C211" s="28" t="s">
        <v>12</v>
      </c>
      <c r="D211" s="28">
        <v>2026</v>
      </c>
      <c r="E211" s="28" t="s">
        <v>389</v>
      </c>
      <c r="G211" s="28" t="s">
        <v>1434</v>
      </c>
      <c r="H211" s="28">
        <v>1000</v>
      </c>
      <c r="I211" s="28" t="s">
        <v>12</v>
      </c>
      <c r="J211" s="28">
        <v>2026</v>
      </c>
      <c r="K211" s="28" t="s">
        <v>261</v>
      </c>
    </row>
    <row r="212" spans="1:11" x14ac:dyDescent="0.3">
      <c r="A212" s="28" t="s">
        <v>1435</v>
      </c>
      <c r="B212" s="28">
        <v>785</v>
      </c>
      <c r="C212" s="28" t="s">
        <v>12</v>
      </c>
      <c r="D212" s="28">
        <v>2026</v>
      </c>
      <c r="E212" s="28" t="s">
        <v>389</v>
      </c>
      <c r="G212" s="28" t="s">
        <v>1435</v>
      </c>
      <c r="H212" s="28">
        <v>1000</v>
      </c>
      <c r="I212" s="28" t="s">
        <v>12</v>
      </c>
      <c r="J212" s="28">
        <v>2026</v>
      </c>
      <c r="K212" s="28" t="s">
        <v>261</v>
      </c>
    </row>
    <row r="213" spans="1:11" x14ac:dyDescent="0.3">
      <c r="A213" s="28" t="s">
        <v>1436</v>
      </c>
      <c r="B213" s="28">
        <v>785</v>
      </c>
      <c r="C213" s="28" t="s">
        <v>12</v>
      </c>
      <c r="D213" s="28">
        <v>2026</v>
      </c>
      <c r="E213" s="28" t="s">
        <v>389</v>
      </c>
      <c r="G213" s="28" t="s">
        <v>1436</v>
      </c>
      <c r="H213" s="28">
        <v>1500</v>
      </c>
      <c r="I213" s="28" t="s">
        <v>12</v>
      </c>
      <c r="J213" s="28">
        <v>2026</v>
      </c>
      <c r="K213" s="28" t="s">
        <v>261</v>
      </c>
    </row>
    <row r="214" spans="1:11" x14ac:dyDescent="0.3">
      <c r="A214" s="28" t="s">
        <v>1437</v>
      </c>
      <c r="B214" s="28">
        <v>558</v>
      </c>
      <c r="C214" s="28" t="s">
        <v>271</v>
      </c>
      <c r="D214" s="28">
        <v>2026</v>
      </c>
      <c r="E214" s="28" t="s">
        <v>389</v>
      </c>
      <c r="G214" s="28" t="s">
        <v>1437</v>
      </c>
      <c r="H214" s="28">
        <v>1200</v>
      </c>
      <c r="I214" s="28" t="s">
        <v>12</v>
      </c>
      <c r="J214" s="28">
        <v>2026</v>
      </c>
      <c r="K214" s="28" t="s">
        <v>261</v>
      </c>
    </row>
    <row r="215" spans="1:11" x14ac:dyDescent="0.3">
      <c r="A215" s="28" t="s">
        <v>1438</v>
      </c>
      <c r="B215" s="28">
        <v>558</v>
      </c>
      <c r="C215" s="28" t="s">
        <v>271</v>
      </c>
      <c r="D215" s="28">
        <v>2026</v>
      </c>
      <c r="E215" s="28" t="s">
        <v>389</v>
      </c>
      <c r="G215" s="28" t="s">
        <v>1438</v>
      </c>
      <c r="H215" s="28">
        <v>1200</v>
      </c>
      <c r="I215" s="28" t="s">
        <v>12</v>
      </c>
      <c r="J215" s="28">
        <v>2026</v>
      </c>
      <c r="K215" s="28" t="s">
        <v>261</v>
      </c>
    </row>
    <row r="216" spans="1:11" x14ac:dyDescent="0.3">
      <c r="A216" s="28" t="s">
        <v>1439</v>
      </c>
      <c r="B216" s="28">
        <v>558</v>
      </c>
      <c r="C216" s="28" t="s">
        <v>271</v>
      </c>
      <c r="D216" s="28">
        <v>2026</v>
      </c>
      <c r="E216" s="28" t="s">
        <v>389</v>
      </c>
      <c r="G216" s="28" t="s">
        <v>1439</v>
      </c>
      <c r="H216" s="28">
        <v>1200</v>
      </c>
      <c r="I216" s="28" t="s">
        <v>12</v>
      </c>
      <c r="J216" s="28">
        <v>2026</v>
      </c>
      <c r="K216" s="28" t="s">
        <v>261</v>
      </c>
    </row>
    <row r="217" spans="1:11" x14ac:dyDescent="0.3">
      <c r="A217" s="28" t="s">
        <v>1440</v>
      </c>
      <c r="B217" s="28">
        <v>558</v>
      </c>
      <c r="C217" s="28" t="s">
        <v>271</v>
      </c>
      <c r="D217" s="28">
        <v>2026</v>
      </c>
      <c r="E217" s="28" t="s">
        <v>389</v>
      </c>
      <c r="G217" s="28" t="s">
        <v>1440</v>
      </c>
      <c r="H217" s="28">
        <v>1200</v>
      </c>
      <c r="I217" s="28" t="s">
        <v>12</v>
      </c>
      <c r="J217" s="28">
        <v>2026</v>
      </c>
      <c r="K217" s="28" t="s">
        <v>261</v>
      </c>
    </row>
    <row r="218" spans="1:11" x14ac:dyDescent="0.3">
      <c r="A218" s="28" t="s">
        <v>1441</v>
      </c>
      <c r="B218" s="28">
        <v>558</v>
      </c>
      <c r="C218" s="28" t="s">
        <v>271</v>
      </c>
      <c r="D218" s="28">
        <v>2026</v>
      </c>
      <c r="E218" s="28" t="s">
        <v>389</v>
      </c>
      <c r="G218" s="28" t="s">
        <v>1441</v>
      </c>
      <c r="H218" s="28">
        <v>1200</v>
      </c>
      <c r="I218" s="28" t="s">
        <v>12</v>
      </c>
      <c r="J218" s="28">
        <v>2026</v>
      </c>
      <c r="K218" s="28" t="s">
        <v>261</v>
      </c>
    </row>
    <row r="219" spans="1:11" x14ac:dyDescent="0.3">
      <c r="A219" s="28" t="s">
        <v>1442</v>
      </c>
      <c r="B219" s="28">
        <v>558</v>
      </c>
      <c r="C219" s="28" t="s">
        <v>271</v>
      </c>
      <c r="D219" s="28">
        <v>2026</v>
      </c>
      <c r="E219" s="28" t="s">
        <v>389</v>
      </c>
      <c r="G219" s="28" t="s">
        <v>1442</v>
      </c>
      <c r="H219" s="28">
        <v>1200</v>
      </c>
      <c r="I219" s="28" t="s">
        <v>12</v>
      </c>
      <c r="J219" s="28">
        <v>2026</v>
      </c>
      <c r="K219" s="28" t="s">
        <v>261</v>
      </c>
    </row>
    <row r="220" spans="1:11" x14ac:dyDescent="0.3">
      <c r="A220" s="28" t="s">
        <v>1443</v>
      </c>
      <c r="B220" s="28">
        <v>558</v>
      </c>
      <c r="C220" s="28" t="s">
        <v>271</v>
      </c>
      <c r="D220" s="28">
        <v>2026</v>
      </c>
      <c r="E220" s="28" t="s">
        <v>389</v>
      </c>
      <c r="G220" s="28" t="s">
        <v>1443</v>
      </c>
      <c r="H220" s="28">
        <v>1200</v>
      </c>
      <c r="I220" s="28" t="s">
        <v>12</v>
      </c>
      <c r="J220" s="28">
        <v>2026</v>
      </c>
      <c r="K220" s="28" t="s">
        <v>261</v>
      </c>
    </row>
    <row r="221" spans="1:11" x14ac:dyDescent="0.3">
      <c r="A221" s="28" t="s">
        <v>1444</v>
      </c>
      <c r="B221" s="28">
        <v>558</v>
      </c>
      <c r="C221" s="28" t="s">
        <v>271</v>
      </c>
      <c r="D221" s="28">
        <v>2026</v>
      </c>
      <c r="E221" s="28" t="s">
        <v>389</v>
      </c>
      <c r="G221" s="28" t="s">
        <v>1444</v>
      </c>
      <c r="H221" s="28">
        <v>1000</v>
      </c>
      <c r="I221" s="28" t="s">
        <v>12</v>
      </c>
      <c r="J221" s="28">
        <v>2026</v>
      </c>
      <c r="K221" s="28" t="s">
        <v>261</v>
      </c>
    </row>
    <row r="222" spans="1:11" x14ac:dyDescent="0.3">
      <c r="A222" s="28" t="s">
        <v>1445</v>
      </c>
      <c r="B222" s="28">
        <v>558</v>
      </c>
      <c r="C222" s="28" t="s">
        <v>271</v>
      </c>
      <c r="D222" s="28">
        <v>2026</v>
      </c>
      <c r="E222" s="28" t="s">
        <v>389</v>
      </c>
      <c r="G222" s="28" t="s">
        <v>1445</v>
      </c>
      <c r="H222" s="28">
        <v>1000</v>
      </c>
      <c r="I222" s="28" t="s">
        <v>12</v>
      </c>
      <c r="J222" s="28">
        <v>2026</v>
      </c>
      <c r="K222" s="28" t="s">
        <v>261</v>
      </c>
    </row>
    <row r="223" spans="1:11" x14ac:dyDescent="0.3">
      <c r="A223" s="28" t="s">
        <v>1446</v>
      </c>
      <c r="B223" s="28">
        <v>558</v>
      </c>
      <c r="C223" s="28" t="s">
        <v>271</v>
      </c>
      <c r="D223" s="28">
        <v>2026</v>
      </c>
      <c r="E223" s="28" t="s">
        <v>389</v>
      </c>
      <c r="G223" s="28" t="s">
        <v>1446</v>
      </c>
      <c r="H223" s="28">
        <v>1000</v>
      </c>
      <c r="I223" s="28" t="s">
        <v>12</v>
      </c>
      <c r="J223" s="28">
        <v>2026</v>
      </c>
      <c r="K223" s="28" t="s">
        <v>261</v>
      </c>
    </row>
    <row r="224" spans="1:11" x14ac:dyDescent="0.3">
      <c r="A224" s="28" t="s">
        <v>1447</v>
      </c>
      <c r="B224" s="28">
        <v>558</v>
      </c>
      <c r="C224" s="28" t="s">
        <v>271</v>
      </c>
      <c r="D224" s="28">
        <v>2026</v>
      </c>
      <c r="E224" s="28" t="s">
        <v>389</v>
      </c>
      <c r="G224" s="28" t="s">
        <v>1447</v>
      </c>
      <c r="H224" s="28">
        <v>1000</v>
      </c>
      <c r="I224" s="28" t="s">
        <v>12</v>
      </c>
      <c r="J224" s="28">
        <v>2026</v>
      </c>
      <c r="K224" s="28" t="s">
        <v>261</v>
      </c>
    </row>
    <row r="225" spans="1:11" x14ac:dyDescent="0.3">
      <c r="A225" s="28" t="s">
        <v>1448</v>
      </c>
      <c r="B225" s="28">
        <v>558</v>
      </c>
      <c r="C225" s="28" t="s">
        <v>271</v>
      </c>
      <c r="D225" s="28">
        <v>2026</v>
      </c>
      <c r="E225" s="28" t="s">
        <v>389</v>
      </c>
      <c r="G225" s="28" t="s">
        <v>1448</v>
      </c>
      <c r="H225" s="28">
        <v>1000</v>
      </c>
      <c r="I225" s="28" t="s">
        <v>12</v>
      </c>
      <c r="J225" s="28">
        <v>2026</v>
      </c>
      <c r="K225" s="28" t="s">
        <v>261</v>
      </c>
    </row>
    <row r="226" spans="1:11" x14ac:dyDescent="0.3">
      <c r="A226" s="28" t="s">
        <v>1449</v>
      </c>
      <c r="B226" s="28">
        <v>558</v>
      </c>
      <c r="C226" s="28" t="s">
        <v>271</v>
      </c>
      <c r="D226" s="28">
        <v>2026</v>
      </c>
      <c r="E226" s="28" t="s">
        <v>389</v>
      </c>
      <c r="G226" s="28" t="s">
        <v>1449</v>
      </c>
      <c r="H226" s="28">
        <v>1000</v>
      </c>
      <c r="I226" s="28" t="s">
        <v>12</v>
      </c>
      <c r="J226" s="28">
        <v>2026</v>
      </c>
      <c r="K226" s="28" t="s">
        <v>261</v>
      </c>
    </row>
    <row r="227" spans="1:11" x14ac:dyDescent="0.3">
      <c r="A227" s="28" t="s">
        <v>1450</v>
      </c>
      <c r="B227" s="28">
        <v>558</v>
      </c>
      <c r="C227" s="28" t="s">
        <v>271</v>
      </c>
      <c r="D227" s="28">
        <v>2026</v>
      </c>
      <c r="E227" s="28" t="s">
        <v>389</v>
      </c>
      <c r="G227" s="28" t="s">
        <v>1450</v>
      </c>
      <c r="H227" s="28">
        <v>900</v>
      </c>
      <c r="I227" s="28" t="s">
        <v>12</v>
      </c>
      <c r="J227" s="28">
        <v>2026</v>
      </c>
      <c r="K227" s="28" t="s">
        <v>261</v>
      </c>
    </row>
    <row r="228" spans="1:11" x14ac:dyDescent="0.3">
      <c r="A228" s="28" t="s">
        <v>1451</v>
      </c>
      <c r="B228" s="28">
        <v>558</v>
      </c>
      <c r="C228" s="28" t="s">
        <v>271</v>
      </c>
      <c r="D228" s="28">
        <v>2026</v>
      </c>
      <c r="E228" s="28" t="s">
        <v>389</v>
      </c>
      <c r="G228" s="28" t="s">
        <v>1451</v>
      </c>
      <c r="H228" s="28">
        <v>900</v>
      </c>
      <c r="I228" s="28" t="s">
        <v>12</v>
      </c>
      <c r="J228" s="28">
        <v>2026</v>
      </c>
      <c r="K228" s="28" t="s">
        <v>261</v>
      </c>
    </row>
    <row r="229" spans="1:11" x14ac:dyDescent="0.3">
      <c r="A229" s="28" t="s">
        <v>1452</v>
      </c>
      <c r="B229" s="28">
        <v>558</v>
      </c>
      <c r="C229" s="28" t="s">
        <v>271</v>
      </c>
      <c r="D229" s="28">
        <v>2026</v>
      </c>
      <c r="E229" s="28" t="s">
        <v>389</v>
      </c>
      <c r="G229" s="28" t="s">
        <v>1452</v>
      </c>
      <c r="H229" s="28">
        <v>900</v>
      </c>
      <c r="I229" s="28" t="s">
        <v>12</v>
      </c>
      <c r="J229" s="28">
        <v>2026</v>
      </c>
      <c r="K229" s="28" t="s">
        <v>261</v>
      </c>
    </row>
    <row r="230" spans="1:11" x14ac:dyDescent="0.3">
      <c r="A230" s="28" t="s">
        <v>1453</v>
      </c>
      <c r="B230" s="28">
        <v>558</v>
      </c>
      <c r="C230" s="28" t="s">
        <v>271</v>
      </c>
      <c r="D230" s="28">
        <v>2026</v>
      </c>
      <c r="E230" s="28" t="s">
        <v>389</v>
      </c>
      <c r="G230" s="28" t="s">
        <v>1453</v>
      </c>
      <c r="H230" s="28">
        <v>900</v>
      </c>
      <c r="I230" s="28" t="s">
        <v>12</v>
      </c>
      <c r="J230" s="28">
        <v>2026</v>
      </c>
      <c r="K230" s="28" t="s">
        <v>261</v>
      </c>
    </row>
    <row r="231" spans="1:11" x14ac:dyDescent="0.3">
      <c r="A231" s="28" t="s">
        <v>1454</v>
      </c>
      <c r="B231" s="28">
        <v>558</v>
      </c>
      <c r="C231" s="28" t="s">
        <v>271</v>
      </c>
      <c r="D231" s="28">
        <v>2026</v>
      </c>
      <c r="E231" s="28" t="s">
        <v>389</v>
      </c>
      <c r="G231" s="28" t="s">
        <v>1454</v>
      </c>
      <c r="H231" s="28">
        <v>900</v>
      </c>
      <c r="I231" s="28" t="s">
        <v>12</v>
      </c>
      <c r="J231" s="28">
        <v>2026</v>
      </c>
      <c r="K231" s="28" t="s">
        <v>261</v>
      </c>
    </row>
    <row r="232" spans="1:11" x14ac:dyDescent="0.3">
      <c r="A232" s="28" t="s">
        <v>1455</v>
      </c>
      <c r="B232" s="28">
        <v>558</v>
      </c>
      <c r="C232" s="28" t="s">
        <v>271</v>
      </c>
      <c r="D232" s="28">
        <v>2026</v>
      </c>
      <c r="E232" s="28" t="s">
        <v>389</v>
      </c>
      <c r="G232" s="28" t="s">
        <v>1455</v>
      </c>
      <c r="H232" s="28">
        <v>900</v>
      </c>
      <c r="I232" s="28" t="s">
        <v>12</v>
      </c>
      <c r="J232" s="28">
        <v>2026</v>
      </c>
      <c r="K232" s="28" t="s">
        <v>261</v>
      </c>
    </row>
    <row r="233" spans="1:11" x14ac:dyDescent="0.3">
      <c r="A233" s="28" t="s">
        <v>1456</v>
      </c>
      <c r="B233" s="28">
        <v>0</v>
      </c>
      <c r="C233" s="28" t="s">
        <v>271</v>
      </c>
      <c r="D233" s="28">
        <v>2026</v>
      </c>
      <c r="E233" s="28" t="s">
        <v>1215</v>
      </c>
      <c r="G233" s="28" t="s">
        <v>1456</v>
      </c>
      <c r="H233" s="28">
        <v>300</v>
      </c>
      <c r="I233" s="28" t="s">
        <v>12</v>
      </c>
      <c r="J233" s="28">
        <v>2026</v>
      </c>
      <c r="K233" s="28" t="s">
        <v>261</v>
      </c>
    </row>
    <row r="234" spans="1:11" x14ac:dyDescent="0.3">
      <c r="A234" s="28" t="s">
        <v>1457</v>
      </c>
      <c r="B234" s="28">
        <v>0</v>
      </c>
      <c r="C234" s="28" t="s">
        <v>271</v>
      </c>
      <c r="D234" s="28">
        <v>2026</v>
      </c>
      <c r="E234" s="28" t="s">
        <v>1215</v>
      </c>
      <c r="G234" s="28" t="s">
        <v>1457</v>
      </c>
      <c r="H234" s="28">
        <v>650</v>
      </c>
      <c r="I234" s="28" t="s">
        <v>12</v>
      </c>
      <c r="J234" s="28">
        <v>2026</v>
      </c>
      <c r="K234" s="28" t="s">
        <v>261</v>
      </c>
    </row>
    <row r="235" spans="1:11" x14ac:dyDescent="0.3">
      <c r="A235" s="28" t="s">
        <v>1458</v>
      </c>
      <c r="B235" s="28">
        <v>558</v>
      </c>
      <c r="C235" s="28" t="s">
        <v>271</v>
      </c>
      <c r="D235" s="28">
        <v>2026</v>
      </c>
      <c r="E235" s="28" t="s">
        <v>389</v>
      </c>
      <c r="G235" s="28" t="s">
        <v>1458</v>
      </c>
      <c r="H235" s="28">
        <v>650</v>
      </c>
      <c r="I235" s="28" t="s">
        <v>12</v>
      </c>
      <c r="J235" s="28">
        <v>2026</v>
      </c>
      <c r="K235" s="28" t="s">
        <v>261</v>
      </c>
    </row>
    <row r="236" spans="1:11" x14ac:dyDescent="0.3">
      <c r="A236" s="28" t="s">
        <v>1459</v>
      </c>
      <c r="B236" s="28">
        <v>558</v>
      </c>
      <c r="C236" s="28" t="s">
        <v>271</v>
      </c>
      <c r="D236" s="28">
        <v>2026</v>
      </c>
      <c r="E236" s="28" t="s">
        <v>389</v>
      </c>
      <c r="G236" s="28" t="s">
        <v>1459</v>
      </c>
      <c r="H236" s="28">
        <v>650</v>
      </c>
      <c r="I236" s="28" t="s">
        <v>12</v>
      </c>
      <c r="J236" s="28">
        <v>2026</v>
      </c>
      <c r="K236" s="28" t="s">
        <v>261</v>
      </c>
    </row>
    <row r="237" spans="1:11" x14ac:dyDescent="0.3">
      <c r="A237" s="28" t="s">
        <v>1460</v>
      </c>
      <c r="B237" s="28">
        <v>558</v>
      </c>
      <c r="C237" s="28" t="s">
        <v>271</v>
      </c>
      <c r="D237" s="28">
        <v>2026</v>
      </c>
      <c r="E237" s="28" t="s">
        <v>389</v>
      </c>
      <c r="G237" s="28" t="s">
        <v>1460</v>
      </c>
      <c r="H237" s="28">
        <v>650</v>
      </c>
      <c r="I237" s="28" t="s">
        <v>12</v>
      </c>
      <c r="J237" s="28">
        <v>2026</v>
      </c>
      <c r="K237" s="28" t="s">
        <v>261</v>
      </c>
    </row>
    <row r="238" spans="1:11" x14ac:dyDescent="0.3">
      <c r="A238" s="28" t="s">
        <v>1461</v>
      </c>
      <c r="B238" s="28">
        <v>558</v>
      </c>
      <c r="C238" s="28" t="s">
        <v>271</v>
      </c>
      <c r="D238" s="28">
        <v>2026</v>
      </c>
      <c r="E238" s="28" t="s">
        <v>389</v>
      </c>
      <c r="G238" s="28" t="s">
        <v>1461</v>
      </c>
      <c r="H238" s="28">
        <v>650</v>
      </c>
      <c r="I238" s="28" t="s">
        <v>12</v>
      </c>
      <c r="J238" s="28">
        <v>2026</v>
      </c>
      <c r="K238" s="28" t="s">
        <v>261</v>
      </c>
    </row>
    <row r="239" spans="1:11" x14ac:dyDescent="0.3">
      <c r="A239" s="28" t="s">
        <v>1462</v>
      </c>
      <c r="B239" s="28">
        <v>558</v>
      </c>
      <c r="C239" s="28" t="s">
        <v>271</v>
      </c>
      <c r="D239" s="28">
        <v>2026</v>
      </c>
      <c r="E239" s="28" t="s">
        <v>389</v>
      </c>
      <c r="G239" s="28" t="s">
        <v>1462</v>
      </c>
      <c r="H239" s="28">
        <v>650</v>
      </c>
      <c r="I239" s="28" t="s">
        <v>12</v>
      </c>
      <c r="J239" s="28">
        <v>2026</v>
      </c>
      <c r="K239" s="28" t="s">
        <v>261</v>
      </c>
    </row>
    <row r="240" spans="1:11" x14ac:dyDescent="0.3">
      <c r="A240" s="28" t="s">
        <v>1463</v>
      </c>
      <c r="B240" s="28">
        <v>558</v>
      </c>
      <c r="C240" s="28" t="s">
        <v>271</v>
      </c>
      <c r="D240" s="28">
        <v>2026</v>
      </c>
      <c r="E240" s="28" t="s">
        <v>389</v>
      </c>
      <c r="G240" s="28" t="s">
        <v>1463</v>
      </c>
      <c r="H240" s="28">
        <v>650</v>
      </c>
      <c r="I240" s="28" t="s">
        <v>12</v>
      </c>
      <c r="J240" s="28">
        <v>2026</v>
      </c>
      <c r="K240" s="28" t="s">
        <v>261</v>
      </c>
    </row>
    <row r="241" spans="1:11" x14ac:dyDescent="0.3">
      <c r="A241" s="28" t="s">
        <v>1464</v>
      </c>
      <c r="B241" s="28">
        <v>558</v>
      </c>
      <c r="C241" s="28" t="s">
        <v>271</v>
      </c>
      <c r="D241" s="28">
        <v>2026</v>
      </c>
      <c r="E241" s="28" t="s">
        <v>389</v>
      </c>
      <c r="G241" s="28" t="s">
        <v>1464</v>
      </c>
      <c r="H241" s="28">
        <v>650</v>
      </c>
      <c r="I241" s="28" t="s">
        <v>12</v>
      </c>
      <c r="J241" s="28">
        <v>2026</v>
      </c>
      <c r="K241" s="28" t="s">
        <v>261</v>
      </c>
    </row>
    <row r="242" spans="1:11" x14ac:dyDescent="0.3">
      <c r="A242" s="28" t="s">
        <v>1465</v>
      </c>
      <c r="B242" s="28">
        <v>558</v>
      </c>
      <c r="C242" s="28" t="s">
        <v>271</v>
      </c>
      <c r="D242" s="28">
        <v>2026</v>
      </c>
      <c r="E242" s="28" t="s">
        <v>389</v>
      </c>
      <c r="G242" s="28" t="s">
        <v>1465</v>
      </c>
      <c r="H242" s="28">
        <v>650</v>
      </c>
      <c r="I242" s="28" t="s">
        <v>12</v>
      </c>
      <c r="J242" s="28">
        <v>2026</v>
      </c>
      <c r="K242" s="28" t="s">
        <v>261</v>
      </c>
    </row>
    <row r="243" spans="1:11" x14ac:dyDescent="0.3">
      <c r="A243" s="28" t="s">
        <v>1466</v>
      </c>
      <c r="B243" s="28">
        <v>558</v>
      </c>
      <c r="C243" s="28" t="s">
        <v>271</v>
      </c>
      <c r="D243" s="28">
        <v>2026</v>
      </c>
      <c r="E243" s="28" t="s">
        <v>389</v>
      </c>
      <c r="G243" s="28" t="s">
        <v>1466</v>
      </c>
      <c r="H243" s="28">
        <v>650</v>
      </c>
      <c r="I243" s="28" t="s">
        <v>12</v>
      </c>
      <c r="J243" s="28">
        <v>2026</v>
      </c>
      <c r="K243" s="28" t="s">
        <v>261</v>
      </c>
    </row>
    <row r="244" spans="1:11" x14ac:dyDescent="0.3">
      <c r="A244" s="28" t="s">
        <v>1467</v>
      </c>
      <c r="B244" s="28">
        <v>558</v>
      </c>
      <c r="C244" s="28" t="s">
        <v>271</v>
      </c>
      <c r="D244" s="28">
        <v>2026</v>
      </c>
      <c r="E244" s="28" t="s">
        <v>389</v>
      </c>
      <c r="G244" s="28" t="s">
        <v>1467</v>
      </c>
      <c r="H244" s="28">
        <v>650</v>
      </c>
      <c r="I244" s="28" t="s">
        <v>12</v>
      </c>
      <c r="J244" s="28">
        <v>2026</v>
      </c>
      <c r="K244" s="28" t="s">
        <v>261</v>
      </c>
    </row>
    <row r="245" spans="1:11" x14ac:dyDescent="0.3">
      <c r="A245" s="28" t="s">
        <v>1468</v>
      </c>
      <c r="B245" s="28">
        <v>558</v>
      </c>
      <c r="C245" s="28" t="s">
        <v>271</v>
      </c>
      <c r="D245" s="28">
        <v>2026</v>
      </c>
      <c r="E245" s="28" t="s">
        <v>389</v>
      </c>
      <c r="G245" s="28" t="s">
        <v>1468</v>
      </c>
      <c r="H245" s="28">
        <v>650</v>
      </c>
      <c r="I245" s="28" t="s">
        <v>12</v>
      </c>
      <c r="J245" s="28">
        <v>2026</v>
      </c>
      <c r="K245" s="28" t="s">
        <v>261</v>
      </c>
    </row>
    <row r="246" spans="1:11" x14ac:dyDescent="0.3">
      <c r="A246" s="28" t="s">
        <v>1469</v>
      </c>
      <c r="B246" s="28">
        <v>558</v>
      </c>
      <c r="C246" s="28" t="s">
        <v>271</v>
      </c>
      <c r="D246" s="28">
        <v>2026</v>
      </c>
      <c r="E246" s="28" t="s">
        <v>389</v>
      </c>
      <c r="G246" s="28" t="s">
        <v>1469</v>
      </c>
      <c r="H246" s="28">
        <v>650</v>
      </c>
      <c r="I246" s="28" t="s">
        <v>12</v>
      </c>
      <c r="J246" s="28">
        <v>2026</v>
      </c>
      <c r="K246" s="28" t="s">
        <v>261</v>
      </c>
    </row>
    <row r="247" spans="1:11" x14ac:dyDescent="0.3">
      <c r="A247" s="28" t="s">
        <v>1470</v>
      </c>
      <c r="B247" s="28">
        <v>558</v>
      </c>
      <c r="C247" s="28" t="s">
        <v>271</v>
      </c>
      <c r="D247" s="28">
        <v>2026</v>
      </c>
      <c r="E247" s="28" t="s">
        <v>389</v>
      </c>
      <c r="G247" s="28" t="s">
        <v>1470</v>
      </c>
      <c r="H247" s="28">
        <v>650</v>
      </c>
      <c r="I247" s="28" t="s">
        <v>12</v>
      </c>
      <c r="J247" s="28">
        <v>2026</v>
      </c>
      <c r="K247" s="28" t="s">
        <v>261</v>
      </c>
    </row>
    <row r="248" spans="1:11" x14ac:dyDescent="0.3">
      <c r="A248" s="28" t="s">
        <v>1471</v>
      </c>
      <c r="B248" s="28">
        <v>558</v>
      </c>
      <c r="C248" s="28" t="s">
        <v>271</v>
      </c>
      <c r="D248" s="28">
        <v>2026</v>
      </c>
      <c r="E248" s="28" t="s">
        <v>389</v>
      </c>
      <c r="G248" s="28" t="s">
        <v>1471</v>
      </c>
      <c r="H248" s="28">
        <v>650</v>
      </c>
      <c r="I248" s="28" t="s">
        <v>12</v>
      </c>
      <c r="J248" s="28">
        <v>2026</v>
      </c>
      <c r="K248" s="28" t="s">
        <v>261</v>
      </c>
    </row>
    <row r="249" spans="1:11" x14ac:dyDescent="0.3">
      <c r="A249" s="28" t="s">
        <v>1472</v>
      </c>
      <c r="B249" s="28">
        <v>558</v>
      </c>
      <c r="C249" s="28" t="s">
        <v>271</v>
      </c>
      <c r="D249" s="28">
        <v>2026</v>
      </c>
      <c r="E249" s="28" t="s">
        <v>389</v>
      </c>
      <c r="G249" s="28" t="s">
        <v>1472</v>
      </c>
      <c r="H249" s="28">
        <v>650</v>
      </c>
      <c r="I249" s="28" t="s">
        <v>12</v>
      </c>
      <c r="J249" s="28">
        <v>2026</v>
      </c>
      <c r="K249" s="28" t="s">
        <v>261</v>
      </c>
    </row>
    <row r="250" spans="1:11" x14ac:dyDescent="0.3">
      <c r="A250" s="28" t="s">
        <v>1473</v>
      </c>
      <c r="B250" s="28">
        <v>558</v>
      </c>
      <c r="C250" s="28" t="s">
        <v>271</v>
      </c>
      <c r="D250" s="28">
        <v>2026</v>
      </c>
      <c r="E250" s="28" t="s">
        <v>389</v>
      </c>
      <c r="G250" s="28" t="s">
        <v>1473</v>
      </c>
      <c r="H250" s="28">
        <v>650</v>
      </c>
      <c r="I250" s="28" t="s">
        <v>12</v>
      </c>
      <c r="J250" s="28">
        <v>2026</v>
      </c>
      <c r="K250" s="28" t="s">
        <v>261</v>
      </c>
    </row>
    <row r="251" spans="1:11" x14ac:dyDescent="0.3">
      <c r="A251" s="28" t="s">
        <v>1474</v>
      </c>
      <c r="B251" s="28">
        <v>558</v>
      </c>
      <c r="C251" s="28" t="s">
        <v>271</v>
      </c>
      <c r="D251" s="28">
        <v>2026</v>
      </c>
      <c r="E251" s="28" t="s">
        <v>389</v>
      </c>
      <c r="G251" s="28" t="s">
        <v>1474</v>
      </c>
      <c r="H251" s="28">
        <v>650</v>
      </c>
      <c r="I251" s="28" t="s">
        <v>12</v>
      </c>
      <c r="J251" s="28">
        <v>2026</v>
      </c>
      <c r="K251" s="28" t="s">
        <v>261</v>
      </c>
    </row>
    <row r="252" spans="1:11" x14ac:dyDescent="0.3">
      <c r="A252" s="28" t="s">
        <v>1475</v>
      </c>
      <c r="B252" s="28">
        <v>558</v>
      </c>
      <c r="C252" s="28" t="s">
        <v>271</v>
      </c>
      <c r="D252" s="28">
        <v>2026</v>
      </c>
      <c r="E252" s="28" t="s">
        <v>389</v>
      </c>
      <c r="G252" s="28" t="s">
        <v>1475</v>
      </c>
      <c r="H252" s="28">
        <v>650</v>
      </c>
      <c r="I252" s="28" t="s">
        <v>12</v>
      </c>
      <c r="J252" s="28">
        <v>2026</v>
      </c>
      <c r="K252" s="28" t="s">
        <v>261</v>
      </c>
    </row>
    <row r="253" spans="1:11" x14ac:dyDescent="0.3">
      <c r="A253" s="28" t="s">
        <v>1476</v>
      </c>
      <c r="B253" s="28">
        <v>558</v>
      </c>
      <c r="C253" s="28" t="s">
        <v>271</v>
      </c>
      <c r="D253" s="28">
        <v>2026</v>
      </c>
      <c r="E253" s="28" t="s">
        <v>389</v>
      </c>
      <c r="G253" s="28" t="s">
        <v>1476</v>
      </c>
      <c r="H253" s="28">
        <v>650</v>
      </c>
      <c r="I253" s="28" t="s">
        <v>12</v>
      </c>
      <c r="J253" s="28">
        <v>2026</v>
      </c>
      <c r="K253" s="28" t="s">
        <v>261</v>
      </c>
    </row>
    <row r="254" spans="1:11" x14ac:dyDescent="0.3">
      <c r="A254" s="28" t="s">
        <v>1477</v>
      </c>
      <c r="B254" s="28">
        <v>558</v>
      </c>
      <c r="C254" s="28" t="s">
        <v>271</v>
      </c>
      <c r="D254" s="28">
        <v>2026</v>
      </c>
      <c r="E254" s="28" t="s">
        <v>389</v>
      </c>
      <c r="G254" s="28" t="s">
        <v>1477</v>
      </c>
      <c r="H254" s="28">
        <v>650</v>
      </c>
      <c r="I254" s="28" t="s">
        <v>12</v>
      </c>
      <c r="J254" s="28">
        <v>2026</v>
      </c>
      <c r="K254" s="28" t="s">
        <v>261</v>
      </c>
    </row>
    <row r="255" spans="1:11" x14ac:dyDescent="0.3">
      <c r="A255" s="28" t="s">
        <v>1478</v>
      </c>
      <c r="B255" s="28">
        <v>558</v>
      </c>
      <c r="C255" s="28" t="s">
        <v>271</v>
      </c>
      <c r="D255" s="28">
        <v>2026</v>
      </c>
      <c r="E255" s="28" t="s">
        <v>389</v>
      </c>
      <c r="G255" s="28" t="s">
        <v>1478</v>
      </c>
      <c r="H255" s="28">
        <v>1100</v>
      </c>
      <c r="I255" s="28" t="s">
        <v>12</v>
      </c>
      <c r="J255" s="28">
        <v>2026</v>
      </c>
      <c r="K255" s="28" t="s">
        <v>261</v>
      </c>
    </row>
    <row r="256" spans="1:11" x14ac:dyDescent="0.3">
      <c r="A256" s="28" t="s">
        <v>1479</v>
      </c>
      <c r="B256" s="28">
        <v>558</v>
      </c>
      <c r="C256" s="28" t="s">
        <v>271</v>
      </c>
      <c r="D256" s="28">
        <v>2026</v>
      </c>
      <c r="E256" s="28" t="s">
        <v>389</v>
      </c>
      <c r="G256" s="28" t="s">
        <v>1479</v>
      </c>
      <c r="H256" s="28">
        <v>1100</v>
      </c>
      <c r="I256" s="28" t="s">
        <v>12</v>
      </c>
      <c r="J256" s="28">
        <v>2026</v>
      </c>
      <c r="K256" s="28" t="s">
        <v>261</v>
      </c>
    </row>
    <row r="257" spans="1:11" x14ac:dyDescent="0.3">
      <c r="A257" s="28" t="s">
        <v>1480</v>
      </c>
      <c r="B257" s="28">
        <v>558</v>
      </c>
      <c r="C257" s="28" t="s">
        <v>271</v>
      </c>
      <c r="D257" s="28">
        <v>2026</v>
      </c>
      <c r="E257" s="28" t="s">
        <v>389</v>
      </c>
      <c r="G257" s="28" t="s">
        <v>1480</v>
      </c>
      <c r="H257" s="28">
        <v>1100</v>
      </c>
      <c r="I257" s="28" t="s">
        <v>12</v>
      </c>
      <c r="J257" s="28">
        <v>2026</v>
      </c>
      <c r="K257" s="28" t="s">
        <v>261</v>
      </c>
    </row>
    <row r="258" spans="1:11" x14ac:dyDescent="0.3">
      <c r="A258" s="28" t="s">
        <v>1481</v>
      </c>
      <c r="B258" s="28">
        <v>558</v>
      </c>
      <c r="C258" s="28" t="s">
        <v>271</v>
      </c>
      <c r="D258" s="28">
        <v>2026</v>
      </c>
      <c r="E258" s="28" t="s">
        <v>389</v>
      </c>
      <c r="G258" s="28" t="s">
        <v>1481</v>
      </c>
      <c r="H258" s="28">
        <v>1800</v>
      </c>
      <c r="I258" s="28" t="s">
        <v>12</v>
      </c>
      <c r="J258" s="28">
        <v>2026</v>
      </c>
      <c r="K258" s="28" t="s">
        <v>261</v>
      </c>
    </row>
    <row r="259" spans="1:11" x14ac:dyDescent="0.3">
      <c r="A259" s="28" t="s">
        <v>1482</v>
      </c>
      <c r="B259" s="28">
        <v>558</v>
      </c>
      <c r="C259" s="28" t="s">
        <v>271</v>
      </c>
      <c r="D259" s="28">
        <v>2026</v>
      </c>
      <c r="E259" s="28" t="s">
        <v>389</v>
      </c>
      <c r="G259" s="28" t="s">
        <v>1482</v>
      </c>
      <c r="H259" s="28">
        <v>1800</v>
      </c>
      <c r="I259" s="28" t="s">
        <v>12</v>
      </c>
      <c r="J259" s="28">
        <v>2026</v>
      </c>
      <c r="K259" s="28" t="s">
        <v>261</v>
      </c>
    </row>
    <row r="260" spans="1:11" x14ac:dyDescent="0.3">
      <c r="A260" s="28" t="s">
        <v>1483</v>
      </c>
      <c r="B260" s="28">
        <v>558</v>
      </c>
      <c r="C260" s="28" t="s">
        <v>271</v>
      </c>
      <c r="D260" s="28">
        <v>2026</v>
      </c>
      <c r="E260" s="28" t="s">
        <v>389</v>
      </c>
      <c r="G260" s="28" t="s">
        <v>1483</v>
      </c>
      <c r="H260" s="28">
        <v>1300</v>
      </c>
      <c r="I260" s="28" t="s">
        <v>12</v>
      </c>
      <c r="J260" s="28">
        <v>2026</v>
      </c>
      <c r="K260" s="28" t="s">
        <v>261</v>
      </c>
    </row>
    <row r="261" spans="1:11" x14ac:dyDescent="0.3">
      <c r="A261" s="28" t="s">
        <v>1484</v>
      </c>
      <c r="B261" s="28">
        <v>558</v>
      </c>
      <c r="C261" s="28" t="s">
        <v>271</v>
      </c>
      <c r="D261" s="28">
        <v>2026</v>
      </c>
      <c r="E261" s="28" t="s">
        <v>389</v>
      </c>
      <c r="G261" s="28" t="s">
        <v>1484</v>
      </c>
      <c r="H261" s="28">
        <v>1300</v>
      </c>
      <c r="I261" s="28" t="s">
        <v>12</v>
      </c>
      <c r="J261" s="28">
        <v>2026</v>
      </c>
      <c r="K261" s="28" t="s">
        <v>261</v>
      </c>
    </row>
    <row r="262" spans="1:11" x14ac:dyDescent="0.3">
      <c r="A262" s="28" t="s">
        <v>1485</v>
      </c>
      <c r="B262" s="28">
        <v>558</v>
      </c>
      <c r="C262" s="28" t="s">
        <v>271</v>
      </c>
      <c r="D262" s="28">
        <v>2026</v>
      </c>
      <c r="E262" s="28" t="s">
        <v>389</v>
      </c>
      <c r="G262" s="28" t="s">
        <v>1485</v>
      </c>
      <c r="H262" s="28">
        <v>1300</v>
      </c>
      <c r="I262" s="28" t="s">
        <v>12</v>
      </c>
      <c r="J262" s="28">
        <v>2026</v>
      </c>
      <c r="K262" s="28" t="s">
        <v>261</v>
      </c>
    </row>
    <row r="263" spans="1:11" x14ac:dyDescent="0.3">
      <c r="A263" s="28" t="s">
        <v>1486</v>
      </c>
      <c r="B263" s="28">
        <v>558</v>
      </c>
      <c r="C263" s="28" t="s">
        <v>271</v>
      </c>
      <c r="D263" s="28">
        <v>2026</v>
      </c>
      <c r="E263" s="28" t="s">
        <v>389</v>
      </c>
      <c r="G263" s="28" t="s">
        <v>1486</v>
      </c>
      <c r="H263" s="28">
        <v>1300</v>
      </c>
      <c r="I263" s="28" t="s">
        <v>12</v>
      </c>
      <c r="J263" s="28">
        <v>2026</v>
      </c>
      <c r="K263" s="28" t="s">
        <v>261</v>
      </c>
    </row>
    <row r="264" spans="1:11" x14ac:dyDescent="0.3">
      <c r="A264" s="28" t="s">
        <v>1487</v>
      </c>
      <c r="B264" s="28">
        <v>558</v>
      </c>
      <c r="C264" s="28" t="s">
        <v>271</v>
      </c>
      <c r="D264" s="28">
        <v>2026</v>
      </c>
      <c r="E264" s="28" t="s">
        <v>389</v>
      </c>
      <c r="G264" s="28" t="s">
        <v>1487</v>
      </c>
      <c r="H264" s="28">
        <v>1300</v>
      </c>
      <c r="I264" s="28" t="s">
        <v>12</v>
      </c>
      <c r="J264" s="28">
        <v>2026</v>
      </c>
      <c r="K264" s="28" t="s">
        <v>261</v>
      </c>
    </row>
    <row r="265" spans="1:11" x14ac:dyDescent="0.3">
      <c r="A265" s="28" t="s">
        <v>1488</v>
      </c>
      <c r="B265" s="28">
        <v>558</v>
      </c>
      <c r="C265" s="28" t="s">
        <v>271</v>
      </c>
      <c r="D265" s="28">
        <v>2026</v>
      </c>
      <c r="E265" s="28" t="s">
        <v>389</v>
      </c>
      <c r="G265" s="28" t="s">
        <v>1488</v>
      </c>
      <c r="H265" s="28">
        <v>1300</v>
      </c>
      <c r="I265" s="28" t="s">
        <v>12</v>
      </c>
      <c r="J265" s="28">
        <v>2026</v>
      </c>
      <c r="K265" s="28" t="s">
        <v>261</v>
      </c>
    </row>
    <row r="266" spans="1:11" x14ac:dyDescent="0.3">
      <c r="A266" s="28" t="s">
        <v>1489</v>
      </c>
      <c r="B266" s="28">
        <v>558</v>
      </c>
      <c r="C266" s="28" t="s">
        <v>271</v>
      </c>
      <c r="D266" s="28">
        <v>2026</v>
      </c>
      <c r="E266" s="28" t="s">
        <v>389</v>
      </c>
      <c r="G266" s="28" t="s">
        <v>1489</v>
      </c>
      <c r="H266" s="28">
        <v>1300</v>
      </c>
      <c r="I266" s="28" t="s">
        <v>12</v>
      </c>
      <c r="J266" s="28">
        <v>2026</v>
      </c>
      <c r="K266" s="28" t="s">
        <v>261</v>
      </c>
    </row>
    <row r="267" spans="1:11" x14ac:dyDescent="0.3">
      <c r="A267" s="28" t="s">
        <v>1490</v>
      </c>
      <c r="B267" s="28">
        <v>558</v>
      </c>
      <c r="C267" s="28" t="s">
        <v>271</v>
      </c>
      <c r="D267" s="28">
        <v>2026</v>
      </c>
      <c r="E267" s="28" t="s">
        <v>389</v>
      </c>
      <c r="G267" s="28" t="s">
        <v>1490</v>
      </c>
      <c r="H267" s="28">
        <v>1300</v>
      </c>
      <c r="I267" s="28" t="s">
        <v>12</v>
      </c>
      <c r="J267" s="28">
        <v>2026</v>
      </c>
      <c r="K267" s="28" t="s">
        <v>261</v>
      </c>
    </row>
    <row r="268" spans="1:11" x14ac:dyDescent="0.3">
      <c r="A268" s="28" t="s">
        <v>1491</v>
      </c>
      <c r="B268" s="28">
        <v>558</v>
      </c>
      <c r="C268" s="28" t="s">
        <v>271</v>
      </c>
      <c r="D268" s="28">
        <v>2026</v>
      </c>
      <c r="E268" s="28" t="s">
        <v>389</v>
      </c>
      <c r="G268" s="28" t="s">
        <v>1491</v>
      </c>
      <c r="H268" s="28">
        <v>1300</v>
      </c>
      <c r="I268" s="28" t="s">
        <v>12</v>
      </c>
      <c r="J268" s="28">
        <v>2026</v>
      </c>
      <c r="K268" s="28" t="s">
        <v>261</v>
      </c>
    </row>
    <row r="269" spans="1:11" x14ac:dyDescent="0.3">
      <c r="A269" s="28" t="s">
        <v>1492</v>
      </c>
      <c r="B269" s="28">
        <v>558</v>
      </c>
      <c r="C269" s="28" t="s">
        <v>271</v>
      </c>
      <c r="D269" s="28">
        <v>2026</v>
      </c>
      <c r="E269" s="28" t="s">
        <v>389</v>
      </c>
      <c r="G269" s="28" t="s">
        <v>1492</v>
      </c>
      <c r="H269" s="28">
        <v>1300</v>
      </c>
      <c r="I269" s="28" t="s">
        <v>12</v>
      </c>
      <c r="J269" s="28">
        <v>2026</v>
      </c>
      <c r="K269" s="28" t="s">
        <v>261</v>
      </c>
    </row>
    <row r="270" spans="1:11" x14ac:dyDescent="0.3">
      <c r="A270" s="28" t="s">
        <v>1493</v>
      </c>
      <c r="B270" s="28">
        <v>558</v>
      </c>
      <c r="C270" s="28" t="s">
        <v>271</v>
      </c>
      <c r="D270" s="28">
        <v>2026</v>
      </c>
      <c r="E270" s="28" t="s">
        <v>389</v>
      </c>
      <c r="G270" s="28" t="s">
        <v>1493</v>
      </c>
      <c r="H270" s="28">
        <v>1200</v>
      </c>
      <c r="I270" s="28" t="s">
        <v>12</v>
      </c>
      <c r="J270" s="28">
        <v>2026</v>
      </c>
      <c r="K270" s="28" t="s">
        <v>261</v>
      </c>
    </row>
    <row r="271" spans="1:11" x14ac:dyDescent="0.3">
      <c r="A271" s="28" t="s">
        <v>1494</v>
      </c>
      <c r="B271" s="28">
        <v>558</v>
      </c>
      <c r="C271" s="28" t="s">
        <v>271</v>
      </c>
      <c r="D271" s="28">
        <v>2026</v>
      </c>
      <c r="E271" s="28" t="s">
        <v>389</v>
      </c>
      <c r="G271" s="28" t="s">
        <v>1494</v>
      </c>
      <c r="H271" s="28">
        <v>1200</v>
      </c>
      <c r="I271" s="28" t="s">
        <v>12</v>
      </c>
      <c r="J271" s="28">
        <v>2026</v>
      </c>
      <c r="K271" s="28" t="s">
        <v>261</v>
      </c>
    </row>
    <row r="272" spans="1:11" x14ac:dyDescent="0.3">
      <c r="A272" s="28" t="s">
        <v>1495</v>
      </c>
      <c r="B272" s="28">
        <v>558</v>
      </c>
      <c r="C272" s="28" t="s">
        <v>271</v>
      </c>
      <c r="D272" s="28">
        <v>2026</v>
      </c>
      <c r="E272" s="28" t="s">
        <v>389</v>
      </c>
      <c r="G272" s="28" t="s">
        <v>1495</v>
      </c>
      <c r="H272" s="28">
        <v>1200</v>
      </c>
      <c r="I272" s="28" t="s">
        <v>12</v>
      </c>
      <c r="J272" s="28">
        <v>2026</v>
      </c>
      <c r="K272" s="28" t="s">
        <v>261</v>
      </c>
    </row>
    <row r="273" spans="1:11" x14ac:dyDescent="0.3">
      <c r="A273" s="28" t="s">
        <v>1496</v>
      </c>
      <c r="B273" s="28">
        <v>558</v>
      </c>
      <c r="C273" s="28" t="s">
        <v>271</v>
      </c>
      <c r="D273" s="28">
        <v>2026</v>
      </c>
      <c r="E273" s="28" t="s">
        <v>389</v>
      </c>
      <c r="G273" s="28" t="s">
        <v>1496</v>
      </c>
      <c r="H273" s="28">
        <v>1200</v>
      </c>
      <c r="I273" s="28" t="s">
        <v>12</v>
      </c>
      <c r="J273" s="28">
        <v>2026</v>
      </c>
      <c r="K273" s="28" t="s">
        <v>261</v>
      </c>
    </row>
    <row r="274" spans="1:11" x14ac:dyDescent="0.3">
      <c r="A274" s="28" t="s">
        <v>1497</v>
      </c>
      <c r="B274" s="28">
        <v>558</v>
      </c>
      <c r="C274" s="28" t="s">
        <v>271</v>
      </c>
      <c r="D274" s="28">
        <v>2026</v>
      </c>
      <c r="E274" s="28" t="s">
        <v>389</v>
      </c>
      <c r="G274" s="28" t="s">
        <v>1497</v>
      </c>
      <c r="H274" s="28">
        <v>1200</v>
      </c>
      <c r="I274" s="28" t="s">
        <v>12</v>
      </c>
      <c r="J274" s="28">
        <v>2026</v>
      </c>
      <c r="K274" s="28" t="s">
        <v>261</v>
      </c>
    </row>
    <row r="275" spans="1:11" x14ac:dyDescent="0.3">
      <c r="A275" s="28" t="s">
        <v>1498</v>
      </c>
      <c r="B275" s="28">
        <v>558</v>
      </c>
      <c r="C275" s="28" t="s">
        <v>271</v>
      </c>
      <c r="D275" s="28">
        <v>2026</v>
      </c>
      <c r="E275" s="28" t="s">
        <v>389</v>
      </c>
      <c r="G275" s="28" t="s">
        <v>1498</v>
      </c>
      <c r="H275" s="28">
        <v>1200</v>
      </c>
      <c r="I275" s="28" t="s">
        <v>12</v>
      </c>
      <c r="J275" s="28">
        <v>2026</v>
      </c>
      <c r="K275" s="28" t="s">
        <v>261</v>
      </c>
    </row>
    <row r="276" spans="1:11" x14ac:dyDescent="0.3">
      <c r="A276" s="28" t="s">
        <v>1499</v>
      </c>
      <c r="B276" s="28">
        <v>558</v>
      </c>
      <c r="C276" s="28" t="s">
        <v>271</v>
      </c>
      <c r="D276" s="28">
        <v>2026</v>
      </c>
      <c r="E276" s="28" t="s">
        <v>389</v>
      </c>
      <c r="G276" s="28" t="s">
        <v>1499</v>
      </c>
      <c r="H276" s="28">
        <v>1200</v>
      </c>
      <c r="I276" s="28" t="s">
        <v>12</v>
      </c>
      <c r="J276" s="28">
        <v>2026</v>
      </c>
      <c r="K276" s="28" t="s">
        <v>261</v>
      </c>
    </row>
    <row r="277" spans="1:11" x14ac:dyDescent="0.3">
      <c r="A277" s="28" t="s">
        <v>1500</v>
      </c>
      <c r="B277" s="28">
        <v>558</v>
      </c>
      <c r="C277" s="28" t="s">
        <v>271</v>
      </c>
      <c r="D277" s="28">
        <v>2026</v>
      </c>
      <c r="E277" s="28" t="s">
        <v>389</v>
      </c>
      <c r="G277" s="28" t="s">
        <v>1500</v>
      </c>
      <c r="H277" s="28">
        <v>1200</v>
      </c>
      <c r="I277" s="28" t="s">
        <v>12</v>
      </c>
      <c r="J277" s="28">
        <v>2026</v>
      </c>
      <c r="K277" s="28" t="s">
        <v>261</v>
      </c>
    </row>
    <row r="278" spans="1:11" x14ac:dyDescent="0.3">
      <c r="A278" s="28" t="s">
        <v>1501</v>
      </c>
      <c r="B278" s="28">
        <v>558</v>
      </c>
      <c r="C278" s="28" t="s">
        <v>271</v>
      </c>
      <c r="D278" s="28">
        <v>2026</v>
      </c>
      <c r="E278" s="28" t="s">
        <v>389</v>
      </c>
      <c r="G278" s="28" t="s">
        <v>1501</v>
      </c>
      <c r="H278" s="28">
        <v>1400</v>
      </c>
      <c r="I278" s="28" t="s">
        <v>12</v>
      </c>
      <c r="J278" s="28">
        <v>2026</v>
      </c>
      <c r="K278" s="28" t="s">
        <v>261</v>
      </c>
    </row>
    <row r="279" spans="1:11" x14ac:dyDescent="0.3">
      <c r="A279" s="28" t="s">
        <v>1502</v>
      </c>
      <c r="B279" s="28">
        <v>558</v>
      </c>
      <c r="C279" s="28" t="s">
        <v>271</v>
      </c>
      <c r="D279" s="28">
        <v>2026</v>
      </c>
      <c r="E279" s="28" t="s">
        <v>389</v>
      </c>
      <c r="G279" s="28" t="s">
        <v>1502</v>
      </c>
      <c r="H279" s="28">
        <v>1400</v>
      </c>
      <c r="I279" s="28" t="s">
        <v>12</v>
      </c>
      <c r="J279" s="28">
        <v>2026</v>
      </c>
      <c r="K279" s="28" t="s">
        <v>261</v>
      </c>
    </row>
    <row r="280" spans="1:11" x14ac:dyDescent="0.3">
      <c r="A280" s="28" t="s">
        <v>1503</v>
      </c>
      <c r="B280" s="28">
        <v>558</v>
      </c>
      <c r="C280" s="28" t="s">
        <v>271</v>
      </c>
      <c r="D280" s="28">
        <v>2026</v>
      </c>
      <c r="E280" s="28" t="s">
        <v>389</v>
      </c>
      <c r="G280" s="28" t="s">
        <v>1503</v>
      </c>
      <c r="H280" s="28">
        <v>1400</v>
      </c>
      <c r="I280" s="28" t="s">
        <v>12</v>
      </c>
      <c r="J280" s="28">
        <v>2026</v>
      </c>
      <c r="K280" s="28" t="s">
        <v>261</v>
      </c>
    </row>
    <row r="281" spans="1:11" x14ac:dyDescent="0.3">
      <c r="A281" s="28" t="s">
        <v>1504</v>
      </c>
      <c r="B281" s="28">
        <v>558</v>
      </c>
      <c r="C281" s="28" t="s">
        <v>271</v>
      </c>
      <c r="D281" s="28">
        <v>2026</v>
      </c>
      <c r="E281" s="28" t="s">
        <v>389</v>
      </c>
      <c r="G281" s="28" t="s">
        <v>1504</v>
      </c>
      <c r="H281" s="28">
        <v>1400</v>
      </c>
      <c r="I281" s="28" t="s">
        <v>12</v>
      </c>
      <c r="J281" s="28">
        <v>2026</v>
      </c>
      <c r="K281" s="28" t="s">
        <v>261</v>
      </c>
    </row>
    <row r="282" spans="1:11" x14ac:dyDescent="0.3">
      <c r="A282" s="28" t="s">
        <v>1505</v>
      </c>
      <c r="B282" s="28">
        <v>558</v>
      </c>
      <c r="C282" s="28" t="s">
        <v>271</v>
      </c>
      <c r="D282" s="28">
        <v>2026</v>
      </c>
      <c r="E282" s="28" t="s">
        <v>389</v>
      </c>
      <c r="G282" s="28" t="s">
        <v>1505</v>
      </c>
      <c r="H282" s="28">
        <v>1400</v>
      </c>
      <c r="I282" s="28" t="s">
        <v>12</v>
      </c>
      <c r="J282" s="28">
        <v>2026</v>
      </c>
      <c r="K282" s="28" t="s">
        <v>261</v>
      </c>
    </row>
    <row r="283" spans="1:11" x14ac:dyDescent="0.3">
      <c r="A283" s="28" t="s">
        <v>1506</v>
      </c>
      <c r="B283" s="28">
        <v>558</v>
      </c>
      <c r="C283" s="28" t="s">
        <v>271</v>
      </c>
      <c r="D283" s="28">
        <v>2026</v>
      </c>
      <c r="E283" s="28" t="s">
        <v>389</v>
      </c>
      <c r="G283" s="28" t="s">
        <v>1506</v>
      </c>
      <c r="H283" s="28">
        <v>1300</v>
      </c>
      <c r="I283" s="28" t="s">
        <v>12</v>
      </c>
      <c r="J283" s="28">
        <v>2026</v>
      </c>
      <c r="K283" s="28" t="s">
        <v>261</v>
      </c>
    </row>
    <row r="284" spans="1:11" x14ac:dyDescent="0.3">
      <c r="A284" s="28" t="s">
        <v>1507</v>
      </c>
      <c r="B284" s="28">
        <v>2500</v>
      </c>
      <c r="C284" s="28" t="s">
        <v>535</v>
      </c>
      <c r="D284" s="28">
        <v>2026</v>
      </c>
      <c r="E284" s="28" t="s">
        <v>389</v>
      </c>
      <c r="G284" s="28" t="s">
        <v>1507</v>
      </c>
      <c r="H284" s="28">
        <v>1400</v>
      </c>
      <c r="I284" s="28" t="s">
        <v>12</v>
      </c>
      <c r="J284" s="28">
        <v>2026</v>
      </c>
      <c r="K284" s="28" t="s">
        <v>261</v>
      </c>
    </row>
    <row r="285" spans="1:11" x14ac:dyDescent="0.3">
      <c r="A285" s="28" t="s">
        <v>1508</v>
      </c>
      <c r="B285" s="28">
        <v>2500</v>
      </c>
      <c r="C285" s="28" t="s">
        <v>535</v>
      </c>
      <c r="D285" s="28">
        <v>2026</v>
      </c>
      <c r="E285" s="28" t="s">
        <v>389</v>
      </c>
      <c r="G285" s="28" t="s">
        <v>1508</v>
      </c>
      <c r="H285" s="28">
        <v>1400</v>
      </c>
      <c r="I285" s="28" t="s">
        <v>12</v>
      </c>
      <c r="J285" s="28">
        <v>2026</v>
      </c>
      <c r="K285" s="28" t="s">
        <v>261</v>
      </c>
    </row>
    <row r="286" spans="1:11" x14ac:dyDescent="0.3">
      <c r="A286" s="28" t="s">
        <v>1509</v>
      </c>
      <c r="B286" s="28">
        <v>2500</v>
      </c>
      <c r="C286" s="28" t="s">
        <v>535</v>
      </c>
      <c r="D286" s="28">
        <v>2026</v>
      </c>
      <c r="E286" s="28" t="s">
        <v>389</v>
      </c>
      <c r="G286" s="28" t="s">
        <v>1509</v>
      </c>
      <c r="H286" s="28">
        <v>1400</v>
      </c>
      <c r="I286" s="28" t="s">
        <v>12</v>
      </c>
      <c r="J286" s="28">
        <v>2026</v>
      </c>
      <c r="K286" s="28" t="s">
        <v>261</v>
      </c>
    </row>
    <row r="287" spans="1:11" x14ac:dyDescent="0.3">
      <c r="A287" s="28" t="s">
        <v>1510</v>
      </c>
      <c r="B287" s="28">
        <v>2500</v>
      </c>
      <c r="C287" s="28" t="s">
        <v>535</v>
      </c>
      <c r="D287" s="28">
        <v>2026</v>
      </c>
      <c r="E287" s="28" t="s">
        <v>389</v>
      </c>
      <c r="G287" s="28" t="s">
        <v>1510</v>
      </c>
      <c r="H287" s="28">
        <v>1400</v>
      </c>
      <c r="I287" s="28" t="s">
        <v>12</v>
      </c>
      <c r="J287" s="28">
        <v>2026</v>
      </c>
      <c r="K287" s="28" t="s">
        <v>261</v>
      </c>
    </row>
    <row r="288" spans="1:11" x14ac:dyDescent="0.3">
      <c r="A288" s="28" t="s">
        <v>1511</v>
      </c>
      <c r="B288" s="28">
        <v>2500</v>
      </c>
      <c r="C288" s="28" t="s">
        <v>535</v>
      </c>
      <c r="D288" s="28">
        <v>2026</v>
      </c>
      <c r="E288" s="28" t="s">
        <v>389</v>
      </c>
      <c r="G288" s="28" t="s">
        <v>1511</v>
      </c>
      <c r="H288" s="28">
        <v>1400</v>
      </c>
      <c r="I288" s="28" t="s">
        <v>12</v>
      </c>
      <c r="J288" s="28">
        <v>2026</v>
      </c>
      <c r="K288" s="28" t="s">
        <v>261</v>
      </c>
    </row>
    <row r="289" spans="1:11" x14ac:dyDescent="0.3">
      <c r="A289" s="28" t="s">
        <v>1512</v>
      </c>
      <c r="B289" s="28">
        <v>2500</v>
      </c>
      <c r="C289" s="28" t="s">
        <v>535</v>
      </c>
      <c r="D289" s="28">
        <v>2026</v>
      </c>
      <c r="E289" s="28" t="s">
        <v>389</v>
      </c>
      <c r="G289" s="28" t="s">
        <v>1512</v>
      </c>
      <c r="H289" s="28">
        <v>1400</v>
      </c>
      <c r="I289" s="28" t="s">
        <v>12</v>
      </c>
      <c r="J289" s="28">
        <v>2026</v>
      </c>
      <c r="K289" s="28" t="s">
        <v>261</v>
      </c>
    </row>
    <row r="290" spans="1:11" x14ac:dyDescent="0.3">
      <c r="A290" s="28" t="s">
        <v>1513</v>
      </c>
      <c r="B290" s="28">
        <v>2500</v>
      </c>
      <c r="C290" s="28" t="s">
        <v>535</v>
      </c>
      <c r="D290" s="28">
        <v>2026</v>
      </c>
      <c r="E290" s="28" t="s">
        <v>389</v>
      </c>
      <c r="G290" s="28" t="s">
        <v>1513</v>
      </c>
      <c r="H290" s="28">
        <v>1400</v>
      </c>
      <c r="I290" s="28" t="s">
        <v>12</v>
      </c>
      <c r="J290" s="28">
        <v>2026</v>
      </c>
      <c r="K290" s="28" t="s">
        <v>261</v>
      </c>
    </row>
    <row r="291" spans="1:11" x14ac:dyDescent="0.3">
      <c r="A291" s="28" t="s">
        <v>1514</v>
      </c>
      <c r="B291" s="28">
        <v>2500</v>
      </c>
      <c r="C291" s="28" t="s">
        <v>535</v>
      </c>
      <c r="D291" s="28">
        <v>2026</v>
      </c>
      <c r="E291" s="28" t="s">
        <v>389</v>
      </c>
      <c r="G291" s="28" t="s">
        <v>1514</v>
      </c>
      <c r="H291" s="28">
        <v>1400</v>
      </c>
      <c r="I291" s="28" t="s">
        <v>12</v>
      </c>
      <c r="J291" s="28">
        <v>2026</v>
      </c>
      <c r="K291" s="28" t="s">
        <v>261</v>
      </c>
    </row>
    <row r="292" spans="1:11" x14ac:dyDescent="0.3">
      <c r="A292" s="28" t="s">
        <v>1515</v>
      </c>
      <c r="B292" s="28">
        <v>2500</v>
      </c>
      <c r="C292" s="28" t="s">
        <v>535</v>
      </c>
      <c r="D292" s="28">
        <v>2026</v>
      </c>
      <c r="E292" s="28" t="s">
        <v>389</v>
      </c>
      <c r="G292" s="28" t="s">
        <v>1515</v>
      </c>
      <c r="H292" s="28">
        <v>1400</v>
      </c>
      <c r="I292" s="28" t="s">
        <v>12</v>
      </c>
      <c r="J292" s="28">
        <v>2026</v>
      </c>
      <c r="K292" s="28" t="s">
        <v>261</v>
      </c>
    </row>
    <row r="293" spans="1:11" x14ac:dyDescent="0.3">
      <c r="A293" s="28" t="s">
        <v>1516</v>
      </c>
      <c r="B293" s="28">
        <v>2500</v>
      </c>
      <c r="C293" s="28" t="s">
        <v>535</v>
      </c>
      <c r="D293" s="28">
        <v>2026</v>
      </c>
      <c r="E293" s="28" t="s">
        <v>389</v>
      </c>
      <c r="G293" s="28" t="s">
        <v>1516</v>
      </c>
      <c r="H293" s="28">
        <v>1400</v>
      </c>
      <c r="I293" s="28" t="s">
        <v>12</v>
      </c>
      <c r="J293" s="28">
        <v>2026</v>
      </c>
      <c r="K293" s="28" t="s">
        <v>261</v>
      </c>
    </row>
    <row r="294" spans="1:11" x14ac:dyDescent="0.3">
      <c r="A294" s="28" t="s">
        <v>1517</v>
      </c>
      <c r="B294" s="28">
        <v>2500</v>
      </c>
      <c r="C294" s="28" t="s">
        <v>535</v>
      </c>
      <c r="D294" s="28">
        <v>2026</v>
      </c>
      <c r="E294" s="28" t="s">
        <v>389</v>
      </c>
      <c r="G294" s="28" t="s">
        <v>1517</v>
      </c>
      <c r="H294" s="28">
        <v>1400</v>
      </c>
      <c r="I294" s="28" t="s">
        <v>12</v>
      </c>
      <c r="J294" s="28">
        <v>2026</v>
      </c>
      <c r="K294" s="28" t="s">
        <v>261</v>
      </c>
    </row>
    <row r="295" spans="1:11" x14ac:dyDescent="0.3">
      <c r="A295" s="28" t="s">
        <v>1518</v>
      </c>
      <c r="B295" s="28">
        <v>2500</v>
      </c>
      <c r="C295" s="28" t="s">
        <v>535</v>
      </c>
      <c r="D295" s="28">
        <v>2026</v>
      </c>
      <c r="E295" s="28" t="s">
        <v>389</v>
      </c>
      <c r="G295" s="28" t="s">
        <v>1518</v>
      </c>
      <c r="H295" s="28">
        <v>1400</v>
      </c>
      <c r="I295" s="28" t="s">
        <v>12</v>
      </c>
      <c r="J295" s="28">
        <v>2026</v>
      </c>
      <c r="K295" s="28" t="s">
        <v>261</v>
      </c>
    </row>
    <row r="296" spans="1:11" x14ac:dyDescent="0.3">
      <c r="A296" s="28" t="s">
        <v>1519</v>
      </c>
      <c r="B296" s="28">
        <v>2500</v>
      </c>
      <c r="C296" s="28" t="s">
        <v>535</v>
      </c>
      <c r="D296" s="28">
        <v>2026</v>
      </c>
      <c r="E296" s="28" t="s">
        <v>389</v>
      </c>
      <c r="G296" s="28" t="s">
        <v>1519</v>
      </c>
      <c r="H296" s="28">
        <v>1400</v>
      </c>
      <c r="I296" s="28" t="s">
        <v>12</v>
      </c>
      <c r="J296" s="28">
        <v>2026</v>
      </c>
      <c r="K296" s="28" t="s">
        <v>261</v>
      </c>
    </row>
    <row r="297" spans="1:11" x14ac:dyDescent="0.3">
      <c r="A297" s="28" t="s">
        <v>1520</v>
      </c>
      <c r="B297" s="28">
        <v>2500</v>
      </c>
      <c r="C297" s="28" t="s">
        <v>535</v>
      </c>
      <c r="D297" s="28">
        <v>2026</v>
      </c>
      <c r="E297" s="28" t="s">
        <v>389</v>
      </c>
      <c r="G297" s="28" t="s">
        <v>1520</v>
      </c>
      <c r="H297" s="28">
        <v>1500</v>
      </c>
      <c r="I297" s="28" t="s">
        <v>12</v>
      </c>
      <c r="J297" s="28">
        <v>2026</v>
      </c>
      <c r="K297" s="28" t="s">
        <v>261</v>
      </c>
    </row>
    <row r="298" spans="1:11" x14ac:dyDescent="0.3">
      <c r="A298" s="28" t="s">
        <v>1521</v>
      </c>
      <c r="B298" s="28">
        <v>2500</v>
      </c>
      <c r="C298" s="28" t="s">
        <v>535</v>
      </c>
      <c r="D298" s="28">
        <v>2026</v>
      </c>
      <c r="E298" s="28" t="s">
        <v>389</v>
      </c>
      <c r="G298" s="28" t="s">
        <v>1521</v>
      </c>
      <c r="H298" s="28">
        <v>1500</v>
      </c>
      <c r="I298" s="28" t="s">
        <v>12</v>
      </c>
      <c r="J298" s="28">
        <v>2026</v>
      </c>
      <c r="K298" s="28" t="s">
        <v>261</v>
      </c>
    </row>
    <row r="299" spans="1:11" x14ac:dyDescent="0.3">
      <c r="A299" s="28" t="s">
        <v>1522</v>
      </c>
      <c r="B299" s="28">
        <v>2500</v>
      </c>
      <c r="C299" s="28" t="s">
        <v>535</v>
      </c>
      <c r="D299" s="28">
        <v>2026</v>
      </c>
      <c r="E299" s="28" t="s">
        <v>389</v>
      </c>
      <c r="G299" s="28" t="s">
        <v>1522</v>
      </c>
      <c r="H299" s="28">
        <v>1500</v>
      </c>
      <c r="I299" s="28" t="s">
        <v>12</v>
      </c>
      <c r="J299" s="28">
        <v>2026</v>
      </c>
      <c r="K299" s="28" t="s">
        <v>261</v>
      </c>
    </row>
    <row r="300" spans="1:11" x14ac:dyDescent="0.3">
      <c r="A300" s="28" t="s">
        <v>1523</v>
      </c>
      <c r="B300" s="28">
        <v>2500</v>
      </c>
      <c r="C300" s="28" t="s">
        <v>535</v>
      </c>
      <c r="D300" s="28">
        <v>2026</v>
      </c>
      <c r="E300" s="28" t="s">
        <v>389</v>
      </c>
      <c r="G300" s="28" t="s">
        <v>1523</v>
      </c>
      <c r="H300" s="28">
        <v>1500</v>
      </c>
      <c r="I300" s="28" t="s">
        <v>12</v>
      </c>
      <c r="J300" s="28">
        <v>2026</v>
      </c>
      <c r="K300" s="28" t="s">
        <v>261</v>
      </c>
    </row>
    <row r="301" spans="1:11" x14ac:dyDescent="0.3">
      <c r="A301" s="28" t="s">
        <v>1524</v>
      </c>
      <c r="B301" s="28">
        <v>2500</v>
      </c>
      <c r="C301" s="28" t="s">
        <v>535</v>
      </c>
      <c r="D301" s="28">
        <v>2026</v>
      </c>
      <c r="E301" s="28" t="s">
        <v>389</v>
      </c>
      <c r="G301" s="28" t="s">
        <v>1524</v>
      </c>
      <c r="H301" s="28">
        <v>1500</v>
      </c>
      <c r="I301" s="28" t="s">
        <v>12</v>
      </c>
      <c r="J301" s="28">
        <v>2026</v>
      </c>
      <c r="K301" s="28" t="s">
        <v>261</v>
      </c>
    </row>
    <row r="302" spans="1:11" x14ac:dyDescent="0.3">
      <c r="A302" s="28" t="s">
        <v>1525</v>
      </c>
      <c r="B302" s="28">
        <v>2500</v>
      </c>
      <c r="C302" s="28" t="s">
        <v>535</v>
      </c>
      <c r="D302" s="28">
        <v>2026</v>
      </c>
      <c r="E302" s="28" t="s">
        <v>389</v>
      </c>
      <c r="G302" s="28" t="s">
        <v>1525</v>
      </c>
      <c r="H302" s="28">
        <v>1500</v>
      </c>
      <c r="I302" s="28" t="s">
        <v>12</v>
      </c>
      <c r="J302" s="28">
        <v>2026</v>
      </c>
      <c r="K302" s="28" t="s">
        <v>261</v>
      </c>
    </row>
    <row r="303" spans="1:11" x14ac:dyDescent="0.3">
      <c r="A303" s="28" t="s">
        <v>1526</v>
      </c>
      <c r="B303" s="28">
        <v>2500</v>
      </c>
      <c r="C303" s="28" t="s">
        <v>535</v>
      </c>
      <c r="D303" s="28">
        <v>2026</v>
      </c>
      <c r="E303" s="28" t="s">
        <v>389</v>
      </c>
      <c r="G303" s="28" t="s">
        <v>1526</v>
      </c>
      <c r="H303" s="28">
        <v>1800</v>
      </c>
      <c r="I303" s="28" t="s">
        <v>12</v>
      </c>
      <c r="J303" s="28">
        <v>2026</v>
      </c>
      <c r="K303" s="28" t="s">
        <v>261</v>
      </c>
    </row>
    <row r="304" spans="1:11" x14ac:dyDescent="0.3">
      <c r="A304" s="28" t="s">
        <v>1527</v>
      </c>
      <c r="B304" s="28">
        <v>2500</v>
      </c>
      <c r="C304" s="28" t="s">
        <v>535</v>
      </c>
      <c r="D304" s="28">
        <v>2026</v>
      </c>
      <c r="E304" s="28" t="s">
        <v>389</v>
      </c>
      <c r="G304" s="28" t="s">
        <v>1527</v>
      </c>
      <c r="H304" s="28">
        <v>1800</v>
      </c>
      <c r="I304" s="28" t="s">
        <v>12</v>
      </c>
      <c r="J304" s="28">
        <v>2026</v>
      </c>
      <c r="K304" s="28" t="s">
        <v>261</v>
      </c>
    </row>
    <row r="305" spans="1:11" x14ac:dyDescent="0.3">
      <c r="A305" s="28" t="s">
        <v>1528</v>
      </c>
      <c r="B305" s="28">
        <v>2500</v>
      </c>
      <c r="C305" s="28" t="s">
        <v>535</v>
      </c>
      <c r="D305" s="28">
        <v>2026</v>
      </c>
      <c r="E305" s="28" t="s">
        <v>389</v>
      </c>
      <c r="G305" s="28" t="s">
        <v>1528</v>
      </c>
      <c r="H305" s="28">
        <v>1800</v>
      </c>
      <c r="I305" s="28" t="s">
        <v>12</v>
      </c>
      <c r="J305" s="28">
        <v>2026</v>
      </c>
      <c r="K305" s="28" t="s">
        <v>261</v>
      </c>
    </row>
    <row r="306" spans="1:11" x14ac:dyDescent="0.3">
      <c r="A306" s="28" t="s">
        <v>1529</v>
      </c>
      <c r="B306" s="28">
        <v>2500</v>
      </c>
      <c r="C306" s="28" t="s">
        <v>535</v>
      </c>
      <c r="D306" s="28">
        <v>2026</v>
      </c>
      <c r="E306" s="28" t="s">
        <v>389</v>
      </c>
      <c r="G306" s="28" t="s">
        <v>1529</v>
      </c>
      <c r="H306" s="28">
        <v>1800</v>
      </c>
      <c r="I306" s="28" t="s">
        <v>12</v>
      </c>
      <c r="J306" s="28">
        <v>2026</v>
      </c>
      <c r="K306" s="28" t="s">
        <v>261</v>
      </c>
    </row>
    <row r="307" spans="1:11" x14ac:dyDescent="0.3">
      <c r="A307" s="28" t="s">
        <v>1530</v>
      </c>
      <c r="B307" s="28">
        <v>2500</v>
      </c>
      <c r="C307" s="28" t="s">
        <v>535</v>
      </c>
      <c r="D307" s="28">
        <v>2026</v>
      </c>
      <c r="E307" s="28" t="s">
        <v>389</v>
      </c>
      <c r="G307" s="28" t="s">
        <v>1530</v>
      </c>
      <c r="H307" s="28">
        <v>1800</v>
      </c>
      <c r="I307" s="28" t="s">
        <v>12</v>
      </c>
      <c r="J307" s="28">
        <v>2026</v>
      </c>
      <c r="K307" s="28" t="s">
        <v>261</v>
      </c>
    </row>
    <row r="308" spans="1:11" x14ac:dyDescent="0.3">
      <c r="A308" s="28" t="s">
        <v>1531</v>
      </c>
      <c r="B308" s="28">
        <v>2500</v>
      </c>
      <c r="C308" s="28" t="s">
        <v>535</v>
      </c>
      <c r="D308" s="28">
        <v>2026</v>
      </c>
      <c r="E308" s="28" t="s">
        <v>389</v>
      </c>
      <c r="G308" s="28" t="s">
        <v>1531</v>
      </c>
      <c r="H308" s="28">
        <v>1800</v>
      </c>
      <c r="I308" s="28" t="s">
        <v>12</v>
      </c>
      <c r="J308" s="28">
        <v>2026</v>
      </c>
      <c r="K308" s="28" t="s">
        <v>261</v>
      </c>
    </row>
    <row r="309" spans="1:11" x14ac:dyDescent="0.3">
      <c r="A309" s="28" t="s">
        <v>1532</v>
      </c>
      <c r="B309" s="28">
        <v>2500</v>
      </c>
      <c r="C309" s="28" t="s">
        <v>535</v>
      </c>
      <c r="D309" s="28">
        <v>2026</v>
      </c>
      <c r="E309" s="28" t="s">
        <v>389</v>
      </c>
      <c r="G309" s="28" t="s">
        <v>1532</v>
      </c>
      <c r="H309" s="28">
        <v>1800</v>
      </c>
      <c r="I309" s="28" t="s">
        <v>12</v>
      </c>
      <c r="J309" s="28">
        <v>2026</v>
      </c>
      <c r="K309" s="28" t="s">
        <v>261</v>
      </c>
    </row>
    <row r="310" spans="1:11" x14ac:dyDescent="0.3">
      <c r="A310" s="28" t="s">
        <v>1533</v>
      </c>
      <c r="B310" s="28">
        <v>2500</v>
      </c>
      <c r="C310" s="28" t="s">
        <v>535</v>
      </c>
      <c r="D310" s="28">
        <v>2026</v>
      </c>
      <c r="E310" s="28" t="s">
        <v>389</v>
      </c>
      <c r="G310" s="28" t="s">
        <v>1533</v>
      </c>
      <c r="H310" s="28">
        <v>1800</v>
      </c>
      <c r="I310" s="28" t="s">
        <v>12</v>
      </c>
      <c r="J310" s="28">
        <v>2026</v>
      </c>
      <c r="K310" s="28" t="s">
        <v>261</v>
      </c>
    </row>
    <row r="311" spans="1:11" x14ac:dyDescent="0.3">
      <c r="A311" s="28" t="s">
        <v>1534</v>
      </c>
      <c r="B311" s="28">
        <v>2500</v>
      </c>
      <c r="C311" s="28" t="s">
        <v>535</v>
      </c>
      <c r="D311" s="28">
        <v>2026</v>
      </c>
      <c r="E311" s="28" t="s">
        <v>389</v>
      </c>
      <c r="G311" s="28" t="s">
        <v>1534</v>
      </c>
      <c r="H311" s="28">
        <v>1800</v>
      </c>
      <c r="I311" s="28" t="s">
        <v>12</v>
      </c>
      <c r="J311" s="28">
        <v>2026</v>
      </c>
      <c r="K311" s="28" t="s">
        <v>261</v>
      </c>
    </row>
    <row r="312" spans="1:11" x14ac:dyDescent="0.3">
      <c r="A312" s="28" t="s">
        <v>1535</v>
      </c>
      <c r="B312" s="28">
        <v>2500</v>
      </c>
      <c r="C312" s="28" t="s">
        <v>535</v>
      </c>
      <c r="D312" s="28">
        <v>2026</v>
      </c>
      <c r="E312" s="28" t="s">
        <v>389</v>
      </c>
      <c r="G312" s="28" t="s">
        <v>1535</v>
      </c>
      <c r="H312" s="28">
        <v>1800</v>
      </c>
      <c r="I312" s="28" t="s">
        <v>12</v>
      </c>
      <c r="J312" s="28">
        <v>2026</v>
      </c>
      <c r="K312" s="28" t="s">
        <v>261</v>
      </c>
    </row>
    <row r="313" spans="1:11" x14ac:dyDescent="0.3">
      <c r="A313" s="28" t="s">
        <v>1536</v>
      </c>
      <c r="B313" s="28">
        <v>2500</v>
      </c>
      <c r="C313" s="28" t="s">
        <v>535</v>
      </c>
      <c r="D313" s="28">
        <v>2026</v>
      </c>
      <c r="E313" s="28" t="s">
        <v>389</v>
      </c>
      <c r="G313" s="28" t="s">
        <v>1536</v>
      </c>
      <c r="H313" s="28">
        <v>1800</v>
      </c>
      <c r="I313" s="28" t="s">
        <v>12</v>
      </c>
      <c r="J313" s="28">
        <v>2026</v>
      </c>
      <c r="K313" s="28" t="s">
        <v>261</v>
      </c>
    </row>
    <row r="314" spans="1:11" x14ac:dyDescent="0.3">
      <c r="A314" s="28" t="s">
        <v>1537</v>
      </c>
      <c r="B314" s="28">
        <v>2500</v>
      </c>
      <c r="C314" s="28" t="s">
        <v>535</v>
      </c>
      <c r="D314" s="28">
        <v>2026</v>
      </c>
      <c r="E314" s="28" t="s">
        <v>389</v>
      </c>
      <c r="G314" s="28" t="s">
        <v>1537</v>
      </c>
      <c r="H314" s="28">
        <v>1800</v>
      </c>
      <c r="I314" s="28" t="s">
        <v>12</v>
      </c>
      <c r="J314" s="28">
        <v>2026</v>
      </c>
      <c r="K314" s="28" t="s">
        <v>261</v>
      </c>
    </row>
    <row r="315" spans="1:11" x14ac:dyDescent="0.3">
      <c r="A315" s="28" t="s">
        <v>1538</v>
      </c>
      <c r="B315" s="28">
        <v>2500</v>
      </c>
      <c r="C315" s="28" t="s">
        <v>535</v>
      </c>
      <c r="D315" s="28">
        <v>2026</v>
      </c>
      <c r="E315" s="28" t="s">
        <v>389</v>
      </c>
      <c r="G315" s="28" t="s">
        <v>1538</v>
      </c>
      <c r="H315" s="28">
        <v>1800</v>
      </c>
      <c r="I315" s="28" t="s">
        <v>12</v>
      </c>
      <c r="J315" s="28">
        <v>2026</v>
      </c>
      <c r="K315" s="28" t="s">
        <v>261</v>
      </c>
    </row>
    <row r="316" spans="1:11" x14ac:dyDescent="0.3">
      <c r="A316" s="28" t="s">
        <v>1539</v>
      </c>
      <c r="B316" s="28">
        <v>2500</v>
      </c>
      <c r="C316" s="28" t="s">
        <v>535</v>
      </c>
      <c r="D316" s="28">
        <v>2026</v>
      </c>
      <c r="E316" s="28" t="s">
        <v>389</v>
      </c>
      <c r="G316" s="28" t="s">
        <v>1539</v>
      </c>
      <c r="H316" s="28">
        <v>1800</v>
      </c>
      <c r="I316" s="28" t="s">
        <v>12</v>
      </c>
      <c r="J316" s="28">
        <v>2026</v>
      </c>
      <c r="K316" s="28" t="s">
        <v>261</v>
      </c>
    </row>
    <row r="317" spans="1:11" x14ac:dyDescent="0.3">
      <c r="A317" s="28" t="s">
        <v>1540</v>
      </c>
      <c r="B317" s="28">
        <v>2500</v>
      </c>
      <c r="C317" s="28" t="s">
        <v>535</v>
      </c>
      <c r="D317" s="28">
        <v>2026</v>
      </c>
      <c r="E317" s="28" t="s">
        <v>389</v>
      </c>
      <c r="G317" s="28" t="s">
        <v>1540</v>
      </c>
      <c r="H317" s="28">
        <v>1800</v>
      </c>
      <c r="I317" s="28" t="s">
        <v>12</v>
      </c>
      <c r="J317" s="28">
        <v>2026</v>
      </c>
      <c r="K317" s="28" t="s">
        <v>261</v>
      </c>
    </row>
    <row r="318" spans="1:11" x14ac:dyDescent="0.3">
      <c r="A318" s="28" t="s">
        <v>1541</v>
      </c>
      <c r="B318" s="28">
        <v>2500</v>
      </c>
      <c r="C318" s="28" t="s">
        <v>535</v>
      </c>
      <c r="D318" s="28">
        <v>2026</v>
      </c>
      <c r="E318" s="28" t="s">
        <v>389</v>
      </c>
      <c r="G318" s="28" t="s">
        <v>1541</v>
      </c>
      <c r="H318" s="28">
        <v>1800</v>
      </c>
      <c r="I318" s="28" t="s">
        <v>12</v>
      </c>
      <c r="J318" s="28">
        <v>2026</v>
      </c>
      <c r="K318" s="28" t="s">
        <v>261</v>
      </c>
    </row>
    <row r="319" spans="1:11" x14ac:dyDescent="0.3">
      <c r="A319" s="28" t="s">
        <v>1542</v>
      </c>
      <c r="B319" s="28">
        <v>2500</v>
      </c>
      <c r="C319" s="28" t="s">
        <v>535</v>
      </c>
      <c r="D319" s="28">
        <v>2026</v>
      </c>
      <c r="E319" s="28" t="s">
        <v>389</v>
      </c>
      <c r="G319" s="28" t="s">
        <v>1542</v>
      </c>
      <c r="H319" s="28">
        <v>1800</v>
      </c>
      <c r="I319" s="28" t="s">
        <v>12</v>
      </c>
      <c r="J319" s="28">
        <v>2026</v>
      </c>
      <c r="K319" s="28" t="s">
        <v>261</v>
      </c>
    </row>
    <row r="320" spans="1:11" x14ac:dyDescent="0.3">
      <c r="A320" s="28" t="s">
        <v>1543</v>
      </c>
      <c r="B320" s="28">
        <v>2500</v>
      </c>
      <c r="C320" s="28" t="s">
        <v>535</v>
      </c>
      <c r="D320" s="28">
        <v>2026</v>
      </c>
      <c r="E320" s="28" t="s">
        <v>389</v>
      </c>
      <c r="G320" s="28" t="s">
        <v>1543</v>
      </c>
      <c r="H320" s="28">
        <v>1800</v>
      </c>
      <c r="I320" s="28" t="s">
        <v>12</v>
      </c>
      <c r="J320" s="28">
        <v>2026</v>
      </c>
      <c r="K320" s="28" t="s">
        <v>261</v>
      </c>
    </row>
    <row r="321" spans="1:11" x14ac:dyDescent="0.3">
      <c r="A321" s="28" t="s">
        <v>1544</v>
      </c>
      <c r="B321" s="28">
        <v>2500</v>
      </c>
      <c r="C321" s="28" t="s">
        <v>535</v>
      </c>
      <c r="D321" s="28">
        <v>2026</v>
      </c>
      <c r="E321" s="28" t="s">
        <v>389</v>
      </c>
      <c r="G321" s="28" t="s">
        <v>1544</v>
      </c>
      <c r="H321" s="28">
        <v>1800</v>
      </c>
      <c r="I321" s="28" t="s">
        <v>12</v>
      </c>
      <c r="J321" s="28">
        <v>2026</v>
      </c>
      <c r="K321" s="28" t="s">
        <v>261</v>
      </c>
    </row>
    <row r="322" spans="1:11" x14ac:dyDescent="0.3">
      <c r="A322" s="28" t="s">
        <v>1545</v>
      </c>
      <c r="B322" s="28">
        <v>2500</v>
      </c>
      <c r="C322" s="28" t="s">
        <v>535</v>
      </c>
      <c r="D322" s="28">
        <v>2026</v>
      </c>
      <c r="E322" s="28" t="s">
        <v>389</v>
      </c>
      <c r="G322" s="28" t="s">
        <v>1545</v>
      </c>
      <c r="H322" s="28">
        <v>1800</v>
      </c>
      <c r="I322" s="28" t="s">
        <v>12</v>
      </c>
      <c r="J322" s="28">
        <v>2026</v>
      </c>
      <c r="K322" s="28" t="s">
        <v>261</v>
      </c>
    </row>
    <row r="323" spans="1:11" x14ac:dyDescent="0.3">
      <c r="A323" s="28" t="s">
        <v>1546</v>
      </c>
      <c r="B323" s="28">
        <v>2500</v>
      </c>
      <c r="C323" s="28" t="s">
        <v>535</v>
      </c>
      <c r="D323" s="28">
        <v>2026</v>
      </c>
      <c r="E323" s="28" t="s">
        <v>389</v>
      </c>
      <c r="G323" s="28" t="s">
        <v>1546</v>
      </c>
      <c r="H323" s="28">
        <v>1800</v>
      </c>
      <c r="I323" s="28" t="s">
        <v>12</v>
      </c>
      <c r="J323" s="28">
        <v>2026</v>
      </c>
      <c r="K323" s="28" t="s">
        <v>261</v>
      </c>
    </row>
    <row r="324" spans="1:11" x14ac:dyDescent="0.3">
      <c r="A324" s="28" t="s">
        <v>1547</v>
      </c>
      <c r="B324" s="28">
        <v>2500</v>
      </c>
      <c r="C324" s="28" t="s">
        <v>535</v>
      </c>
      <c r="D324" s="28">
        <v>2026</v>
      </c>
      <c r="E324" s="28" t="s">
        <v>389</v>
      </c>
      <c r="G324" s="28" t="s">
        <v>1547</v>
      </c>
      <c r="H324" s="28">
        <v>1800</v>
      </c>
      <c r="I324" s="28" t="s">
        <v>12</v>
      </c>
      <c r="J324" s="28">
        <v>2026</v>
      </c>
      <c r="K324" s="28" t="s">
        <v>261</v>
      </c>
    </row>
    <row r="325" spans="1:11" x14ac:dyDescent="0.3">
      <c r="A325" s="28" t="s">
        <v>1548</v>
      </c>
      <c r="B325" s="28">
        <v>2500</v>
      </c>
      <c r="C325" s="28" t="s">
        <v>535</v>
      </c>
      <c r="D325" s="28">
        <v>2026</v>
      </c>
      <c r="E325" s="28" t="s">
        <v>389</v>
      </c>
      <c r="G325" s="28" t="s">
        <v>1548</v>
      </c>
      <c r="H325" s="28">
        <v>1700</v>
      </c>
      <c r="I325" s="28" t="s">
        <v>12</v>
      </c>
      <c r="J325" s="28">
        <v>2026</v>
      </c>
      <c r="K325" s="28" t="s">
        <v>261</v>
      </c>
    </row>
    <row r="326" spans="1:11" x14ac:dyDescent="0.3">
      <c r="A326" s="28" t="s">
        <v>1549</v>
      </c>
      <c r="B326" s="28">
        <v>2500</v>
      </c>
      <c r="C326" s="28" t="s">
        <v>535</v>
      </c>
      <c r="D326" s="28">
        <v>2026</v>
      </c>
      <c r="E326" s="28" t="s">
        <v>389</v>
      </c>
      <c r="G326" s="28" t="s">
        <v>1549</v>
      </c>
      <c r="H326" s="28">
        <v>1700</v>
      </c>
      <c r="I326" s="28" t="s">
        <v>12</v>
      </c>
      <c r="J326" s="28">
        <v>2026</v>
      </c>
      <c r="K326" s="28" t="s">
        <v>261</v>
      </c>
    </row>
    <row r="327" spans="1:11" x14ac:dyDescent="0.3">
      <c r="A327" s="28" t="s">
        <v>1550</v>
      </c>
      <c r="B327" s="28">
        <v>2500</v>
      </c>
      <c r="C327" s="28" t="s">
        <v>535</v>
      </c>
      <c r="D327" s="28">
        <v>2026</v>
      </c>
      <c r="E327" s="28" t="s">
        <v>389</v>
      </c>
      <c r="G327" s="28" t="s">
        <v>1550</v>
      </c>
      <c r="H327" s="28">
        <v>1700</v>
      </c>
      <c r="I327" s="28" t="s">
        <v>12</v>
      </c>
      <c r="J327" s="28">
        <v>2026</v>
      </c>
      <c r="K327" s="28" t="s">
        <v>261</v>
      </c>
    </row>
    <row r="328" spans="1:11" x14ac:dyDescent="0.3">
      <c r="A328" s="28" t="s">
        <v>1551</v>
      </c>
      <c r="B328" s="28">
        <v>0</v>
      </c>
      <c r="C328" s="28" t="s">
        <v>535</v>
      </c>
      <c r="D328" s="28">
        <v>2026</v>
      </c>
      <c r="E328" s="28" t="s">
        <v>1215</v>
      </c>
      <c r="G328" s="28" t="s">
        <v>1551</v>
      </c>
      <c r="H328" s="28">
        <v>450</v>
      </c>
      <c r="I328" s="28" t="s">
        <v>12</v>
      </c>
      <c r="J328" s="28">
        <v>2026</v>
      </c>
      <c r="K328" s="28" t="s">
        <v>261</v>
      </c>
    </row>
    <row r="329" spans="1:11" x14ac:dyDescent="0.3">
      <c r="A329" s="28" t="s">
        <v>1552</v>
      </c>
      <c r="B329" s="28">
        <v>0</v>
      </c>
      <c r="C329" s="28" t="s">
        <v>535</v>
      </c>
      <c r="D329" s="28">
        <v>2026</v>
      </c>
      <c r="E329" s="28" t="s">
        <v>1215</v>
      </c>
      <c r="G329" s="28" t="s">
        <v>1552</v>
      </c>
      <c r="H329" s="28">
        <v>800</v>
      </c>
      <c r="I329" s="28" t="s">
        <v>12</v>
      </c>
      <c r="J329" s="28">
        <v>2026</v>
      </c>
      <c r="K329" s="28" t="s">
        <v>261</v>
      </c>
    </row>
    <row r="330" spans="1:11" x14ac:dyDescent="0.3">
      <c r="A330" s="28" t="s">
        <v>1553</v>
      </c>
      <c r="B330" s="28">
        <v>2500</v>
      </c>
      <c r="C330" s="28" t="s">
        <v>535</v>
      </c>
      <c r="D330" s="28">
        <v>2026</v>
      </c>
      <c r="E330" s="28" t="s">
        <v>389</v>
      </c>
      <c r="G330" s="28" t="s">
        <v>1553</v>
      </c>
      <c r="H330" s="28">
        <v>1100</v>
      </c>
      <c r="I330" s="28" t="s">
        <v>12</v>
      </c>
      <c r="J330" s="28">
        <v>2026</v>
      </c>
      <c r="K330" s="28" t="s">
        <v>261</v>
      </c>
    </row>
    <row r="331" spans="1:11" x14ac:dyDescent="0.3">
      <c r="A331" s="28" t="s">
        <v>1554</v>
      </c>
      <c r="B331" s="28">
        <v>2500</v>
      </c>
      <c r="C331" s="28" t="s">
        <v>535</v>
      </c>
      <c r="D331" s="28">
        <v>2026</v>
      </c>
      <c r="E331" s="28" t="s">
        <v>389</v>
      </c>
      <c r="G331" s="28" t="s">
        <v>1554</v>
      </c>
      <c r="H331" s="28">
        <v>1100</v>
      </c>
      <c r="I331" s="28" t="s">
        <v>12</v>
      </c>
      <c r="J331" s="28">
        <v>2026</v>
      </c>
      <c r="K331" s="28" t="s">
        <v>261</v>
      </c>
    </row>
    <row r="332" spans="1:11" x14ac:dyDescent="0.3">
      <c r="A332" s="28" t="s">
        <v>1555</v>
      </c>
      <c r="B332" s="28">
        <v>2500</v>
      </c>
      <c r="C332" s="28" t="s">
        <v>535</v>
      </c>
      <c r="D332" s="28">
        <v>2026</v>
      </c>
      <c r="E332" s="28" t="s">
        <v>389</v>
      </c>
      <c r="G332" s="28" t="s">
        <v>1555</v>
      </c>
      <c r="H332" s="28">
        <v>1100</v>
      </c>
      <c r="I332" s="28" t="s">
        <v>12</v>
      </c>
      <c r="J332" s="28">
        <v>2026</v>
      </c>
      <c r="K332" s="28" t="s">
        <v>261</v>
      </c>
    </row>
    <row r="333" spans="1:11" x14ac:dyDescent="0.3">
      <c r="A333" s="28" t="s">
        <v>1556</v>
      </c>
      <c r="B333" s="28">
        <v>2500</v>
      </c>
      <c r="C333" s="28" t="s">
        <v>535</v>
      </c>
      <c r="D333" s="28">
        <v>2026</v>
      </c>
      <c r="E333" s="28" t="s">
        <v>389</v>
      </c>
      <c r="G333" s="28" t="s">
        <v>1556</v>
      </c>
      <c r="H333" s="28">
        <v>1100</v>
      </c>
      <c r="I333" s="28" t="s">
        <v>12</v>
      </c>
      <c r="J333" s="28">
        <v>2026</v>
      </c>
      <c r="K333" s="28" t="s">
        <v>261</v>
      </c>
    </row>
    <row r="334" spans="1:11" x14ac:dyDescent="0.3">
      <c r="A334" s="28" t="s">
        <v>1557</v>
      </c>
      <c r="B334" s="28">
        <v>2500</v>
      </c>
      <c r="C334" s="28" t="s">
        <v>535</v>
      </c>
      <c r="D334" s="28">
        <v>2026</v>
      </c>
      <c r="E334" s="28" t="s">
        <v>389</v>
      </c>
      <c r="G334" s="28" t="s">
        <v>1557</v>
      </c>
      <c r="H334" s="28">
        <v>1100</v>
      </c>
      <c r="I334" s="28" t="s">
        <v>12</v>
      </c>
      <c r="J334" s="28">
        <v>2026</v>
      </c>
      <c r="K334" s="28" t="s">
        <v>261</v>
      </c>
    </row>
    <row r="335" spans="1:11" x14ac:dyDescent="0.3">
      <c r="A335" s="28" t="s">
        <v>1558</v>
      </c>
      <c r="B335" s="28">
        <v>2500</v>
      </c>
      <c r="C335" s="28" t="s">
        <v>535</v>
      </c>
      <c r="D335" s="28">
        <v>2026</v>
      </c>
      <c r="E335" s="28" t="s">
        <v>389</v>
      </c>
      <c r="G335" s="28" t="s">
        <v>1558</v>
      </c>
      <c r="H335" s="28">
        <v>1100</v>
      </c>
      <c r="I335" s="28" t="s">
        <v>12</v>
      </c>
      <c r="J335" s="28">
        <v>2026</v>
      </c>
      <c r="K335" s="28" t="s">
        <v>261</v>
      </c>
    </row>
    <row r="336" spans="1:11" x14ac:dyDescent="0.3">
      <c r="A336" s="28" t="s">
        <v>1559</v>
      </c>
      <c r="B336" s="28">
        <v>2500</v>
      </c>
      <c r="C336" s="28" t="s">
        <v>535</v>
      </c>
      <c r="D336" s="28">
        <v>2026</v>
      </c>
      <c r="E336" s="28" t="s">
        <v>389</v>
      </c>
      <c r="G336" s="28" t="s">
        <v>1559</v>
      </c>
      <c r="H336" s="28">
        <v>1100</v>
      </c>
      <c r="I336" s="28" t="s">
        <v>12</v>
      </c>
      <c r="J336" s="28">
        <v>2026</v>
      </c>
      <c r="K336" s="28" t="s">
        <v>261</v>
      </c>
    </row>
    <row r="337" spans="1:11" x14ac:dyDescent="0.3">
      <c r="A337" s="28" t="s">
        <v>1560</v>
      </c>
      <c r="B337" s="28">
        <v>2500</v>
      </c>
      <c r="C337" s="28" t="s">
        <v>535</v>
      </c>
      <c r="D337" s="28">
        <v>2026</v>
      </c>
      <c r="E337" s="28" t="s">
        <v>389</v>
      </c>
      <c r="G337" s="28" t="s">
        <v>1560</v>
      </c>
      <c r="H337" s="28">
        <v>1100</v>
      </c>
      <c r="I337" s="28" t="s">
        <v>12</v>
      </c>
      <c r="J337" s="28">
        <v>2026</v>
      </c>
      <c r="K337" s="28" t="s">
        <v>261</v>
      </c>
    </row>
    <row r="338" spans="1:11" x14ac:dyDescent="0.3">
      <c r="A338" s="28" t="s">
        <v>1561</v>
      </c>
      <c r="B338" s="28">
        <v>2500</v>
      </c>
      <c r="C338" s="28" t="s">
        <v>535</v>
      </c>
      <c r="D338" s="28">
        <v>2026</v>
      </c>
      <c r="E338" s="28" t="s">
        <v>389</v>
      </c>
      <c r="G338" s="28" t="s">
        <v>1561</v>
      </c>
      <c r="H338" s="28">
        <v>1100</v>
      </c>
      <c r="I338" s="28" t="s">
        <v>12</v>
      </c>
      <c r="J338" s="28">
        <v>2026</v>
      </c>
      <c r="K338" s="28" t="s">
        <v>261</v>
      </c>
    </row>
    <row r="339" spans="1:11" x14ac:dyDescent="0.3">
      <c r="A339" s="28" t="s">
        <v>1562</v>
      </c>
      <c r="B339" s="28">
        <v>2500</v>
      </c>
      <c r="C339" s="28" t="s">
        <v>535</v>
      </c>
      <c r="D339" s="28">
        <v>2026</v>
      </c>
      <c r="E339" s="28" t="s">
        <v>389</v>
      </c>
      <c r="G339" s="28" t="s">
        <v>1562</v>
      </c>
      <c r="H339" s="28">
        <v>1100</v>
      </c>
      <c r="I339" s="28" t="s">
        <v>12</v>
      </c>
      <c r="J339" s="28">
        <v>2026</v>
      </c>
      <c r="K339" s="28" t="s">
        <v>261</v>
      </c>
    </row>
    <row r="340" spans="1:11" x14ac:dyDescent="0.3">
      <c r="A340" s="28" t="s">
        <v>1563</v>
      </c>
      <c r="B340" s="28">
        <v>2500</v>
      </c>
      <c r="C340" s="28" t="s">
        <v>535</v>
      </c>
      <c r="D340" s="28">
        <v>2026</v>
      </c>
      <c r="E340" s="28" t="s">
        <v>389</v>
      </c>
      <c r="G340" s="28" t="s">
        <v>1563</v>
      </c>
      <c r="H340" s="28">
        <v>1800</v>
      </c>
      <c r="I340" s="28" t="s">
        <v>12</v>
      </c>
      <c r="J340" s="28">
        <v>2026</v>
      </c>
      <c r="K340" s="28" t="s">
        <v>261</v>
      </c>
    </row>
    <row r="341" spans="1:11" x14ac:dyDescent="0.3">
      <c r="A341" s="28" t="s">
        <v>1564</v>
      </c>
      <c r="B341" s="28">
        <v>2500</v>
      </c>
      <c r="C341" s="28" t="s">
        <v>535</v>
      </c>
      <c r="D341" s="28">
        <v>2026</v>
      </c>
      <c r="E341" s="28" t="s">
        <v>389</v>
      </c>
      <c r="G341" s="28" t="s">
        <v>1564</v>
      </c>
      <c r="H341" s="28">
        <v>1800</v>
      </c>
      <c r="I341" s="28" t="s">
        <v>12</v>
      </c>
      <c r="J341" s="28">
        <v>2026</v>
      </c>
      <c r="K341" s="28" t="s">
        <v>261</v>
      </c>
    </row>
    <row r="342" spans="1:11" x14ac:dyDescent="0.3">
      <c r="A342" s="28" t="s">
        <v>1565</v>
      </c>
      <c r="B342" s="28">
        <v>2500</v>
      </c>
      <c r="C342" s="28" t="s">
        <v>535</v>
      </c>
      <c r="D342" s="28">
        <v>2026</v>
      </c>
      <c r="E342" s="28" t="s">
        <v>389</v>
      </c>
      <c r="G342" s="28" t="s">
        <v>1565</v>
      </c>
      <c r="H342" s="28">
        <v>1800</v>
      </c>
      <c r="I342" s="28" t="s">
        <v>12</v>
      </c>
      <c r="J342" s="28">
        <v>2026</v>
      </c>
      <c r="K342" s="28" t="s">
        <v>261</v>
      </c>
    </row>
    <row r="343" spans="1:11" x14ac:dyDescent="0.3">
      <c r="A343" s="28" t="s">
        <v>1566</v>
      </c>
      <c r="B343" s="28">
        <v>2500</v>
      </c>
      <c r="C343" s="28" t="s">
        <v>535</v>
      </c>
      <c r="D343" s="28">
        <v>2026</v>
      </c>
      <c r="E343" s="28" t="s">
        <v>389</v>
      </c>
      <c r="G343" s="28" t="s">
        <v>1566</v>
      </c>
      <c r="H343" s="28">
        <v>1800</v>
      </c>
      <c r="I343" s="28" t="s">
        <v>12</v>
      </c>
      <c r="J343" s="28">
        <v>2026</v>
      </c>
      <c r="K343" s="28" t="s">
        <v>261</v>
      </c>
    </row>
    <row r="344" spans="1:11" x14ac:dyDescent="0.3">
      <c r="A344" s="28" t="s">
        <v>1567</v>
      </c>
      <c r="B344" s="28">
        <v>2500</v>
      </c>
      <c r="C344" s="28" t="s">
        <v>535</v>
      </c>
      <c r="D344" s="28">
        <v>2026</v>
      </c>
      <c r="E344" s="28" t="s">
        <v>389</v>
      </c>
      <c r="G344" s="28" t="s">
        <v>1567</v>
      </c>
      <c r="H344" s="28">
        <v>1800</v>
      </c>
      <c r="I344" s="28" t="s">
        <v>12</v>
      </c>
      <c r="J344" s="28">
        <v>2026</v>
      </c>
      <c r="K344" s="28" t="s">
        <v>261</v>
      </c>
    </row>
    <row r="345" spans="1:11" x14ac:dyDescent="0.3">
      <c r="A345" s="28" t="s">
        <v>1568</v>
      </c>
      <c r="B345" s="28">
        <v>2500</v>
      </c>
      <c r="C345" s="28" t="s">
        <v>535</v>
      </c>
      <c r="D345" s="28">
        <v>2026</v>
      </c>
      <c r="E345" s="28" t="s">
        <v>389</v>
      </c>
      <c r="G345" s="28" t="s">
        <v>1568</v>
      </c>
      <c r="H345" s="28">
        <v>1800</v>
      </c>
      <c r="I345" s="28" t="s">
        <v>12</v>
      </c>
      <c r="J345" s="28">
        <v>2026</v>
      </c>
      <c r="K345" s="28" t="s">
        <v>261</v>
      </c>
    </row>
    <row r="346" spans="1:11" x14ac:dyDescent="0.3">
      <c r="A346" s="28" t="s">
        <v>1569</v>
      </c>
      <c r="B346" s="28">
        <v>2500</v>
      </c>
      <c r="C346" s="28" t="s">
        <v>535</v>
      </c>
      <c r="D346" s="28">
        <v>2026</v>
      </c>
      <c r="E346" s="28" t="s">
        <v>389</v>
      </c>
      <c r="G346" s="28" t="s">
        <v>1569</v>
      </c>
      <c r="H346" s="28">
        <v>1800</v>
      </c>
      <c r="I346" s="28" t="s">
        <v>12</v>
      </c>
      <c r="J346" s="28">
        <v>2026</v>
      </c>
      <c r="K346" s="28" t="s">
        <v>261</v>
      </c>
    </row>
    <row r="347" spans="1:11" x14ac:dyDescent="0.3">
      <c r="A347" s="28" t="s">
        <v>1570</v>
      </c>
      <c r="B347" s="28">
        <v>2500</v>
      </c>
      <c r="C347" s="28" t="s">
        <v>535</v>
      </c>
      <c r="D347" s="28">
        <v>2026</v>
      </c>
      <c r="E347" s="28" t="s">
        <v>389</v>
      </c>
      <c r="G347" s="28" t="s">
        <v>1570</v>
      </c>
      <c r="H347" s="28">
        <v>1800</v>
      </c>
      <c r="I347" s="28" t="s">
        <v>12</v>
      </c>
      <c r="J347" s="28">
        <v>2026</v>
      </c>
      <c r="K347" s="28" t="s">
        <v>261</v>
      </c>
    </row>
    <row r="348" spans="1:11" x14ac:dyDescent="0.3">
      <c r="A348" s="28" t="s">
        <v>1571</v>
      </c>
      <c r="B348" s="28">
        <v>2500</v>
      </c>
      <c r="C348" s="28" t="s">
        <v>535</v>
      </c>
      <c r="D348" s="28">
        <v>2026</v>
      </c>
      <c r="E348" s="28" t="s">
        <v>389</v>
      </c>
      <c r="G348" s="28" t="s">
        <v>1571</v>
      </c>
      <c r="H348" s="28">
        <v>2000</v>
      </c>
      <c r="I348" s="28" t="s">
        <v>12</v>
      </c>
      <c r="J348" s="28">
        <v>2026</v>
      </c>
      <c r="K348" s="28" t="s">
        <v>261</v>
      </c>
    </row>
    <row r="349" spans="1:11" x14ac:dyDescent="0.3">
      <c r="A349" s="28" t="s">
        <v>1572</v>
      </c>
      <c r="B349" s="28">
        <v>2500</v>
      </c>
      <c r="C349" s="28" t="s">
        <v>535</v>
      </c>
      <c r="D349" s="28">
        <v>2026</v>
      </c>
      <c r="E349" s="28" t="s">
        <v>389</v>
      </c>
      <c r="G349" s="28" t="s">
        <v>1572</v>
      </c>
      <c r="H349" s="28">
        <v>2000</v>
      </c>
      <c r="I349" s="28" t="s">
        <v>12</v>
      </c>
      <c r="J349" s="28">
        <v>2026</v>
      </c>
      <c r="K349" s="28" t="s">
        <v>261</v>
      </c>
    </row>
    <row r="350" spans="1:11" x14ac:dyDescent="0.3">
      <c r="A350" s="28" t="s">
        <v>1573</v>
      </c>
      <c r="B350" s="28">
        <v>2500</v>
      </c>
      <c r="C350" s="28" t="s">
        <v>535</v>
      </c>
      <c r="D350" s="28">
        <v>2026</v>
      </c>
      <c r="E350" s="28" t="s">
        <v>389</v>
      </c>
      <c r="G350" s="28" t="s">
        <v>1573</v>
      </c>
      <c r="H350" s="28">
        <v>2000</v>
      </c>
      <c r="I350" s="28" t="s">
        <v>12</v>
      </c>
      <c r="J350" s="28">
        <v>2026</v>
      </c>
      <c r="K350" s="28" t="s">
        <v>261</v>
      </c>
    </row>
    <row r="351" spans="1:11" x14ac:dyDescent="0.3">
      <c r="A351" s="28" t="s">
        <v>1574</v>
      </c>
      <c r="B351" s="28">
        <v>2500</v>
      </c>
      <c r="C351" s="28" t="s">
        <v>535</v>
      </c>
      <c r="D351" s="28">
        <v>2026</v>
      </c>
      <c r="E351" s="28" t="s">
        <v>389</v>
      </c>
      <c r="G351" s="28" t="s">
        <v>1574</v>
      </c>
      <c r="H351" s="28">
        <v>2000</v>
      </c>
      <c r="I351" s="28" t="s">
        <v>12</v>
      </c>
      <c r="J351" s="28">
        <v>2026</v>
      </c>
      <c r="K351" s="28" t="s">
        <v>261</v>
      </c>
    </row>
    <row r="352" spans="1:11" x14ac:dyDescent="0.3">
      <c r="A352" s="28" t="s">
        <v>1575</v>
      </c>
      <c r="B352" s="28">
        <v>2500</v>
      </c>
      <c r="C352" s="28" t="s">
        <v>535</v>
      </c>
      <c r="D352" s="28">
        <v>2026</v>
      </c>
      <c r="E352" s="28" t="s">
        <v>389</v>
      </c>
      <c r="G352" s="28" t="s">
        <v>1575</v>
      </c>
      <c r="H352" s="28">
        <v>2000</v>
      </c>
      <c r="I352" s="28" t="s">
        <v>12</v>
      </c>
      <c r="J352" s="28">
        <v>2026</v>
      </c>
      <c r="K352" s="28" t="s">
        <v>261</v>
      </c>
    </row>
    <row r="353" spans="1:11" x14ac:dyDescent="0.3">
      <c r="A353" s="28" t="s">
        <v>1576</v>
      </c>
      <c r="B353" s="28">
        <v>2500</v>
      </c>
      <c r="C353" s="28" t="s">
        <v>535</v>
      </c>
      <c r="D353" s="28">
        <v>2026</v>
      </c>
      <c r="E353" s="28" t="s">
        <v>389</v>
      </c>
      <c r="G353" s="28" t="s">
        <v>1576</v>
      </c>
      <c r="H353" s="28">
        <v>1700</v>
      </c>
      <c r="I353" s="28" t="s">
        <v>12</v>
      </c>
      <c r="J353" s="28">
        <v>2026</v>
      </c>
      <c r="K353" s="28" t="s">
        <v>261</v>
      </c>
    </row>
    <row r="354" spans="1:11" x14ac:dyDescent="0.3">
      <c r="A354" s="28" t="s">
        <v>1577</v>
      </c>
      <c r="B354" s="28">
        <v>75</v>
      </c>
      <c r="C354" s="28" t="s">
        <v>603</v>
      </c>
      <c r="D354" s="28">
        <v>2026</v>
      </c>
      <c r="E354" s="28" t="s">
        <v>389</v>
      </c>
      <c r="G354" s="28" t="s">
        <v>1577</v>
      </c>
      <c r="H354" s="28">
        <v>1150</v>
      </c>
      <c r="I354" s="28" t="s">
        <v>12</v>
      </c>
      <c r="J354" s="28">
        <v>2026</v>
      </c>
      <c r="K354" s="28" t="s">
        <v>261</v>
      </c>
    </row>
    <row r="355" spans="1:11" x14ac:dyDescent="0.3">
      <c r="A355" s="28" t="s">
        <v>1578</v>
      </c>
      <c r="B355" s="28">
        <v>75</v>
      </c>
      <c r="C355" s="28" t="s">
        <v>603</v>
      </c>
      <c r="D355" s="28">
        <v>2026</v>
      </c>
      <c r="E355" s="28" t="s">
        <v>389</v>
      </c>
      <c r="G355" s="28" t="s">
        <v>1578</v>
      </c>
      <c r="H355" s="28">
        <v>1150</v>
      </c>
      <c r="I355" s="28" t="s">
        <v>12</v>
      </c>
      <c r="J355" s="28">
        <v>2026</v>
      </c>
      <c r="K355" s="28" t="s">
        <v>261</v>
      </c>
    </row>
    <row r="356" spans="1:11" x14ac:dyDescent="0.3">
      <c r="A356" s="28" t="s">
        <v>1579</v>
      </c>
      <c r="B356" s="28">
        <v>75</v>
      </c>
      <c r="C356" s="28" t="s">
        <v>603</v>
      </c>
      <c r="D356" s="28">
        <v>2026</v>
      </c>
      <c r="E356" s="28" t="s">
        <v>389</v>
      </c>
      <c r="G356" s="28" t="s">
        <v>1579</v>
      </c>
      <c r="H356" s="28">
        <v>1150</v>
      </c>
      <c r="I356" s="28" t="s">
        <v>12</v>
      </c>
      <c r="J356" s="28">
        <v>2026</v>
      </c>
      <c r="K356" s="28" t="s">
        <v>261</v>
      </c>
    </row>
    <row r="357" spans="1:11" x14ac:dyDescent="0.3">
      <c r="A357" s="28" t="s">
        <v>1580</v>
      </c>
      <c r="B357" s="28">
        <v>75</v>
      </c>
      <c r="C357" s="28" t="s">
        <v>603</v>
      </c>
      <c r="D357" s="28">
        <v>2026</v>
      </c>
      <c r="E357" s="28" t="s">
        <v>389</v>
      </c>
      <c r="G357" s="28" t="s">
        <v>1580</v>
      </c>
      <c r="H357" s="28">
        <v>1150</v>
      </c>
      <c r="I357" s="28" t="s">
        <v>12</v>
      </c>
      <c r="J357" s="28">
        <v>2026</v>
      </c>
      <c r="K357" s="28" t="s">
        <v>261</v>
      </c>
    </row>
    <row r="358" spans="1:11" x14ac:dyDescent="0.3">
      <c r="A358" s="28" t="s">
        <v>1581</v>
      </c>
      <c r="B358" s="28">
        <v>75</v>
      </c>
      <c r="C358" s="28" t="s">
        <v>603</v>
      </c>
      <c r="D358" s="28">
        <v>2026</v>
      </c>
      <c r="E358" s="28" t="s">
        <v>389</v>
      </c>
      <c r="G358" s="28" t="s">
        <v>1581</v>
      </c>
      <c r="H358" s="28">
        <v>1150</v>
      </c>
      <c r="I358" s="28" t="s">
        <v>12</v>
      </c>
      <c r="J358" s="28">
        <v>2026</v>
      </c>
      <c r="K358" s="28" t="s">
        <v>261</v>
      </c>
    </row>
    <row r="359" spans="1:11" x14ac:dyDescent="0.3">
      <c r="A359" s="28" t="s">
        <v>1582</v>
      </c>
      <c r="B359" s="28">
        <v>75</v>
      </c>
      <c r="C359" s="28" t="s">
        <v>603</v>
      </c>
      <c r="D359" s="28">
        <v>2026</v>
      </c>
      <c r="E359" s="28" t="s">
        <v>389</v>
      </c>
      <c r="G359" s="28" t="s">
        <v>1582</v>
      </c>
      <c r="H359" s="28">
        <v>1150</v>
      </c>
      <c r="I359" s="28" t="s">
        <v>12</v>
      </c>
      <c r="J359" s="28">
        <v>2026</v>
      </c>
      <c r="K359" s="28" t="s">
        <v>261</v>
      </c>
    </row>
    <row r="360" spans="1:11" x14ac:dyDescent="0.3">
      <c r="A360" s="28" t="s">
        <v>1583</v>
      </c>
      <c r="B360" s="28">
        <v>75</v>
      </c>
      <c r="C360" s="28" t="s">
        <v>603</v>
      </c>
      <c r="D360" s="28">
        <v>2026</v>
      </c>
      <c r="E360" s="28" t="s">
        <v>389</v>
      </c>
      <c r="G360" s="28" t="s">
        <v>1583</v>
      </c>
      <c r="H360" s="28">
        <v>1150</v>
      </c>
      <c r="I360" s="28" t="s">
        <v>12</v>
      </c>
      <c r="J360" s="28">
        <v>2026</v>
      </c>
      <c r="K360" s="28" t="s">
        <v>261</v>
      </c>
    </row>
    <row r="361" spans="1:11" x14ac:dyDescent="0.3">
      <c r="A361" s="28" t="s">
        <v>1584</v>
      </c>
      <c r="B361" s="28">
        <v>75</v>
      </c>
      <c r="C361" s="28" t="s">
        <v>603</v>
      </c>
      <c r="D361" s="28">
        <v>2026</v>
      </c>
      <c r="E361" s="28" t="s">
        <v>389</v>
      </c>
      <c r="G361" s="28" t="s">
        <v>1584</v>
      </c>
      <c r="H361" s="28">
        <v>1000</v>
      </c>
      <c r="I361" s="28" t="s">
        <v>12</v>
      </c>
      <c r="J361" s="28">
        <v>2026</v>
      </c>
      <c r="K361" s="28" t="s">
        <v>261</v>
      </c>
    </row>
    <row r="362" spans="1:11" x14ac:dyDescent="0.3">
      <c r="A362" s="28" t="s">
        <v>1585</v>
      </c>
      <c r="B362" s="28">
        <v>75</v>
      </c>
      <c r="C362" s="28" t="s">
        <v>603</v>
      </c>
      <c r="D362" s="28">
        <v>2026</v>
      </c>
      <c r="E362" s="28" t="s">
        <v>389</v>
      </c>
      <c r="G362" s="28" t="s">
        <v>1585</v>
      </c>
      <c r="H362" s="28">
        <v>1000</v>
      </c>
      <c r="I362" s="28" t="s">
        <v>12</v>
      </c>
      <c r="J362" s="28">
        <v>2026</v>
      </c>
      <c r="K362" s="28" t="s">
        <v>261</v>
      </c>
    </row>
    <row r="363" spans="1:11" x14ac:dyDescent="0.3">
      <c r="A363" s="28" t="s">
        <v>1586</v>
      </c>
      <c r="B363" s="28">
        <v>75</v>
      </c>
      <c r="C363" s="28" t="s">
        <v>603</v>
      </c>
      <c r="D363" s="28">
        <v>2026</v>
      </c>
      <c r="E363" s="28" t="s">
        <v>389</v>
      </c>
      <c r="G363" s="28" t="s">
        <v>1586</v>
      </c>
      <c r="H363" s="28">
        <v>1000</v>
      </c>
      <c r="I363" s="28" t="s">
        <v>12</v>
      </c>
      <c r="J363" s="28">
        <v>2026</v>
      </c>
      <c r="K363" s="28" t="s">
        <v>261</v>
      </c>
    </row>
    <row r="364" spans="1:11" x14ac:dyDescent="0.3">
      <c r="A364" s="28" t="s">
        <v>1587</v>
      </c>
      <c r="B364" s="28">
        <v>75</v>
      </c>
      <c r="C364" s="28" t="s">
        <v>603</v>
      </c>
      <c r="D364" s="28">
        <v>2026</v>
      </c>
      <c r="E364" s="28" t="s">
        <v>389</v>
      </c>
      <c r="G364" s="28" t="s">
        <v>1587</v>
      </c>
      <c r="H364" s="28">
        <v>1000</v>
      </c>
      <c r="I364" s="28" t="s">
        <v>12</v>
      </c>
      <c r="J364" s="28">
        <v>2026</v>
      </c>
      <c r="K364" s="28" t="s">
        <v>261</v>
      </c>
    </row>
    <row r="365" spans="1:11" x14ac:dyDescent="0.3">
      <c r="A365" s="28" t="s">
        <v>1588</v>
      </c>
      <c r="B365" s="28">
        <v>75</v>
      </c>
      <c r="C365" s="28" t="s">
        <v>603</v>
      </c>
      <c r="D365" s="28">
        <v>2026</v>
      </c>
      <c r="E365" s="28" t="s">
        <v>389</v>
      </c>
      <c r="G365" s="28" t="s">
        <v>1588</v>
      </c>
      <c r="H365" s="28">
        <v>1000</v>
      </c>
      <c r="I365" s="28" t="s">
        <v>12</v>
      </c>
      <c r="J365" s="28">
        <v>2026</v>
      </c>
      <c r="K365" s="28" t="s">
        <v>261</v>
      </c>
    </row>
    <row r="366" spans="1:11" x14ac:dyDescent="0.3">
      <c r="A366" s="28" t="s">
        <v>1589</v>
      </c>
      <c r="B366" s="28">
        <v>75</v>
      </c>
      <c r="C366" s="28" t="s">
        <v>603</v>
      </c>
      <c r="D366" s="28">
        <v>2026</v>
      </c>
      <c r="E366" s="28" t="s">
        <v>389</v>
      </c>
      <c r="G366" s="28" t="s">
        <v>1589</v>
      </c>
      <c r="H366" s="28">
        <v>1000</v>
      </c>
      <c r="I366" s="28" t="s">
        <v>12</v>
      </c>
      <c r="J366" s="28">
        <v>2026</v>
      </c>
      <c r="K366" s="28" t="s">
        <v>261</v>
      </c>
    </row>
    <row r="367" spans="1:11" x14ac:dyDescent="0.3">
      <c r="A367" s="28" t="s">
        <v>1590</v>
      </c>
      <c r="B367" s="28">
        <v>75</v>
      </c>
      <c r="C367" s="28" t="s">
        <v>603</v>
      </c>
      <c r="D367" s="28">
        <v>2026</v>
      </c>
      <c r="E367" s="28" t="s">
        <v>389</v>
      </c>
      <c r="G367" s="28" t="s">
        <v>1590</v>
      </c>
      <c r="H367" s="28">
        <v>850</v>
      </c>
      <c r="I367" s="28" t="s">
        <v>12</v>
      </c>
      <c r="J367" s="28">
        <v>2026</v>
      </c>
      <c r="K367" s="28" t="s">
        <v>261</v>
      </c>
    </row>
    <row r="368" spans="1:11" x14ac:dyDescent="0.3">
      <c r="A368" s="28" t="s">
        <v>1591</v>
      </c>
      <c r="B368" s="28">
        <v>75</v>
      </c>
      <c r="C368" s="28" t="s">
        <v>603</v>
      </c>
      <c r="D368" s="28">
        <v>2026</v>
      </c>
      <c r="E368" s="28" t="s">
        <v>389</v>
      </c>
      <c r="G368" s="28" t="s">
        <v>1591</v>
      </c>
      <c r="H368" s="28">
        <v>850</v>
      </c>
      <c r="I368" s="28" t="s">
        <v>12</v>
      </c>
      <c r="J368" s="28">
        <v>2026</v>
      </c>
      <c r="K368" s="28" t="s">
        <v>261</v>
      </c>
    </row>
    <row r="369" spans="1:11" x14ac:dyDescent="0.3">
      <c r="A369" s="28" t="s">
        <v>1592</v>
      </c>
      <c r="B369" s="28">
        <v>75</v>
      </c>
      <c r="C369" s="28" t="s">
        <v>603</v>
      </c>
      <c r="D369" s="28">
        <v>2026</v>
      </c>
      <c r="E369" s="28" t="s">
        <v>389</v>
      </c>
      <c r="G369" s="28" t="s">
        <v>1592</v>
      </c>
      <c r="H369" s="28">
        <v>850</v>
      </c>
      <c r="I369" s="28" t="s">
        <v>12</v>
      </c>
      <c r="J369" s="28">
        <v>2026</v>
      </c>
      <c r="K369" s="28" t="s">
        <v>261</v>
      </c>
    </row>
    <row r="370" spans="1:11" x14ac:dyDescent="0.3">
      <c r="A370" s="28" t="s">
        <v>1593</v>
      </c>
      <c r="B370" s="28">
        <v>75</v>
      </c>
      <c r="C370" s="28" t="s">
        <v>603</v>
      </c>
      <c r="D370" s="28">
        <v>2026</v>
      </c>
      <c r="E370" s="28" t="s">
        <v>389</v>
      </c>
      <c r="G370" s="28" t="s">
        <v>1593</v>
      </c>
      <c r="H370" s="28">
        <v>850</v>
      </c>
      <c r="I370" s="28" t="s">
        <v>12</v>
      </c>
      <c r="J370" s="28">
        <v>2026</v>
      </c>
      <c r="K370" s="28" t="s">
        <v>261</v>
      </c>
    </row>
    <row r="371" spans="1:11" x14ac:dyDescent="0.3">
      <c r="A371" s="28" t="s">
        <v>1594</v>
      </c>
      <c r="B371" s="28">
        <v>75</v>
      </c>
      <c r="C371" s="28" t="s">
        <v>603</v>
      </c>
      <c r="D371" s="28">
        <v>2026</v>
      </c>
      <c r="E371" s="28" t="s">
        <v>389</v>
      </c>
      <c r="G371" s="28" t="s">
        <v>1594</v>
      </c>
      <c r="H371" s="28">
        <v>850</v>
      </c>
      <c r="I371" s="28" t="s">
        <v>12</v>
      </c>
      <c r="J371" s="28">
        <v>2026</v>
      </c>
      <c r="K371" s="28" t="s">
        <v>261</v>
      </c>
    </row>
    <row r="372" spans="1:11" x14ac:dyDescent="0.3">
      <c r="A372" s="28" t="s">
        <v>1595</v>
      </c>
      <c r="B372" s="28">
        <v>75</v>
      </c>
      <c r="C372" s="28" t="s">
        <v>603</v>
      </c>
      <c r="D372" s="28">
        <v>2026</v>
      </c>
      <c r="E372" s="28" t="s">
        <v>389</v>
      </c>
      <c r="G372" s="28" t="s">
        <v>1595</v>
      </c>
      <c r="H372" s="28">
        <v>850</v>
      </c>
      <c r="I372" s="28" t="s">
        <v>12</v>
      </c>
      <c r="J372" s="28">
        <v>2026</v>
      </c>
      <c r="K372" s="28" t="s">
        <v>261</v>
      </c>
    </row>
    <row r="373" spans="1:11" x14ac:dyDescent="0.3">
      <c r="A373" s="28" t="s">
        <v>1596</v>
      </c>
      <c r="B373" s="28">
        <v>75</v>
      </c>
      <c r="C373" s="28" t="s">
        <v>603</v>
      </c>
      <c r="D373" s="28">
        <v>2026</v>
      </c>
      <c r="E373" s="28" t="s">
        <v>389</v>
      </c>
      <c r="G373" s="28" t="s">
        <v>1596</v>
      </c>
      <c r="H373" s="28">
        <v>650</v>
      </c>
      <c r="I373" s="28" t="s">
        <v>12</v>
      </c>
      <c r="J373" s="28">
        <v>2026</v>
      </c>
      <c r="K373" s="28" t="s">
        <v>261</v>
      </c>
    </row>
    <row r="374" spans="1:11" x14ac:dyDescent="0.3">
      <c r="A374" s="28" t="s">
        <v>1597</v>
      </c>
      <c r="B374" s="28">
        <v>0</v>
      </c>
      <c r="C374" s="28" t="s">
        <v>603</v>
      </c>
      <c r="D374" s="28">
        <v>2026</v>
      </c>
      <c r="E374" s="28" t="s">
        <v>1215</v>
      </c>
      <c r="G374" s="28" t="s">
        <v>1597</v>
      </c>
      <c r="H374" s="28">
        <v>650</v>
      </c>
      <c r="I374" s="28" t="s">
        <v>12</v>
      </c>
      <c r="J374" s="28">
        <v>2026</v>
      </c>
      <c r="K374" s="28" t="s">
        <v>261</v>
      </c>
    </row>
    <row r="375" spans="1:11" x14ac:dyDescent="0.3">
      <c r="A375" s="28" t="s">
        <v>1598</v>
      </c>
      <c r="B375" s="28">
        <v>0</v>
      </c>
      <c r="C375" s="28" t="s">
        <v>603</v>
      </c>
      <c r="D375" s="28">
        <v>2026</v>
      </c>
      <c r="E375" s="28" t="s">
        <v>1215</v>
      </c>
      <c r="G375" s="28" t="s">
        <v>1598</v>
      </c>
      <c r="H375" s="28">
        <v>300</v>
      </c>
      <c r="I375" s="28" t="s">
        <v>12</v>
      </c>
      <c r="J375" s="28">
        <v>2026</v>
      </c>
      <c r="K375" s="28" t="s">
        <v>261</v>
      </c>
    </row>
    <row r="376" spans="1:11" x14ac:dyDescent="0.3">
      <c r="A376" s="28" t="s">
        <v>1599</v>
      </c>
      <c r="B376" s="28">
        <v>0</v>
      </c>
      <c r="C376" s="28" t="s">
        <v>603</v>
      </c>
      <c r="D376" s="28">
        <v>2026</v>
      </c>
      <c r="E376" s="28" t="s">
        <v>1215</v>
      </c>
      <c r="G376" s="28" t="s">
        <v>1599</v>
      </c>
      <c r="H376" s="28">
        <v>650</v>
      </c>
      <c r="I376" s="28" t="s">
        <v>12</v>
      </c>
      <c r="J376" s="28">
        <v>2026</v>
      </c>
      <c r="K376" s="28" t="s">
        <v>261</v>
      </c>
    </row>
    <row r="377" spans="1:11" x14ac:dyDescent="0.3">
      <c r="A377" s="28" t="s">
        <v>1600</v>
      </c>
      <c r="B377" s="28">
        <v>0</v>
      </c>
      <c r="C377" s="28" t="s">
        <v>603</v>
      </c>
      <c r="D377" s="28">
        <v>2026</v>
      </c>
      <c r="E377" s="28" t="s">
        <v>1215</v>
      </c>
      <c r="G377" s="28" t="s">
        <v>1600</v>
      </c>
      <c r="H377" s="28">
        <v>650</v>
      </c>
      <c r="I377" s="28" t="s">
        <v>12</v>
      </c>
      <c r="J377" s="28">
        <v>2026</v>
      </c>
      <c r="K377" s="28" t="s">
        <v>261</v>
      </c>
    </row>
    <row r="378" spans="1:11" x14ac:dyDescent="0.3">
      <c r="A378" s="28" t="s">
        <v>1601</v>
      </c>
      <c r="B378" s="28">
        <v>0</v>
      </c>
      <c r="C378" s="28" t="s">
        <v>603</v>
      </c>
      <c r="D378" s="28">
        <v>2026</v>
      </c>
      <c r="E378" s="28" t="s">
        <v>1215</v>
      </c>
      <c r="G378" s="28" t="s">
        <v>1601</v>
      </c>
      <c r="H378" s="28">
        <v>650</v>
      </c>
      <c r="I378" s="28" t="s">
        <v>12</v>
      </c>
      <c r="J378" s="28">
        <v>2026</v>
      </c>
      <c r="K378" s="28" t="s">
        <v>261</v>
      </c>
    </row>
    <row r="379" spans="1:11" x14ac:dyDescent="0.3">
      <c r="A379" s="28" t="s">
        <v>1602</v>
      </c>
      <c r="B379" s="28">
        <v>0</v>
      </c>
      <c r="C379" s="28" t="s">
        <v>603</v>
      </c>
      <c r="D379" s="28">
        <v>2026</v>
      </c>
      <c r="E379" s="28" t="s">
        <v>1215</v>
      </c>
      <c r="G379" s="28" t="s">
        <v>1602</v>
      </c>
      <c r="H379" s="28">
        <v>650</v>
      </c>
      <c r="I379" s="28" t="s">
        <v>12</v>
      </c>
      <c r="J379" s="28">
        <v>2026</v>
      </c>
      <c r="K379" s="28" t="s">
        <v>261</v>
      </c>
    </row>
    <row r="380" spans="1:11" x14ac:dyDescent="0.3">
      <c r="A380" s="28" t="s">
        <v>1603</v>
      </c>
      <c r="B380" s="28">
        <v>0</v>
      </c>
      <c r="C380" s="28" t="s">
        <v>603</v>
      </c>
      <c r="D380" s="28">
        <v>2026</v>
      </c>
      <c r="E380" s="28" t="s">
        <v>1215</v>
      </c>
      <c r="G380" s="28" t="s">
        <v>1603</v>
      </c>
      <c r="H380" s="28">
        <v>650</v>
      </c>
      <c r="I380" s="28" t="s">
        <v>12</v>
      </c>
      <c r="J380" s="28">
        <v>2026</v>
      </c>
      <c r="K380" s="28" t="s">
        <v>261</v>
      </c>
    </row>
    <row r="381" spans="1:11" x14ac:dyDescent="0.3">
      <c r="A381" s="28" t="s">
        <v>1604</v>
      </c>
      <c r="B381" s="28">
        <v>0</v>
      </c>
      <c r="C381" s="28" t="s">
        <v>603</v>
      </c>
      <c r="D381" s="28">
        <v>2026</v>
      </c>
      <c r="E381" s="28" t="s">
        <v>1215</v>
      </c>
      <c r="G381" s="28" t="s">
        <v>1604</v>
      </c>
      <c r="H381" s="28">
        <v>650</v>
      </c>
      <c r="I381" s="28" t="s">
        <v>12</v>
      </c>
      <c r="J381" s="28">
        <v>2026</v>
      </c>
      <c r="K381" s="28" t="s">
        <v>261</v>
      </c>
    </row>
    <row r="382" spans="1:11" x14ac:dyDescent="0.3">
      <c r="A382" s="28" t="s">
        <v>1605</v>
      </c>
      <c r="B382" s="28">
        <v>0</v>
      </c>
      <c r="C382" s="28" t="s">
        <v>603</v>
      </c>
      <c r="D382" s="28">
        <v>2026</v>
      </c>
      <c r="E382" s="28" t="s">
        <v>1215</v>
      </c>
      <c r="G382" s="28" t="s">
        <v>1605</v>
      </c>
      <c r="H382" s="28">
        <v>650</v>
      </c>
      <c r="I382" s="28" t="s">
        <v>12</v>
      </c>
      <c r="J382" s="28">
        <v>2026</v>
      </c>
      <c r="K382" s="28" t="s">
        <v>261</v>
      </c>
    </row>
    <row r="383" spans="1:11" x14ac:dyDescent="0.3">
      <c r="A383" s="28" t="s">
        <v>1606</v>
      </c>
      <c r="B383" s="28">
        <v>75</v>
      </c>
      <c r="C383" s="28" t="s">
        <v>603</v>
      </c>
      <c r="D383" s="28">
        <v>2026</v>
      </c>
      <c r="E383" s="28" t="s">
        <v>389</v>
      </c>
      <c r="G383" s="28" t="s">
        <v>1606</v>
      </c>
      <c r="H383" s="28">
        <v>650</v>
      </c>
      <c r="I383" s="28" t="s">
        <v>12</v>
      </c>
      <c r="J383" s="28">
        <v>2026</v>
      </c>
      <c r="K383" s="28" t="s">
        <v>261</v>
      </c>
    </row>
    <row r="384" spans="1:11" x14ac:dyDescent="0.3">
      <c r="A384" s="28" t="s">
        <v>1607</v>
      </c>
      <c r="B384" s="28">
        <v>0</v>
      </c>
      <c r="C384" s="28" t="s">
        <v>603</v>
      </c>
      <c r="D384" s="28">
        <v>2026</v>
      </c>
      <c r="E384" s="28" t="s">
        <v>1215</v>
      </c>
      <c r="G384" s="28" t="s">
        <v>1607</v>
      </c>
      <c r="H384" s="28">
        <v>650</v>
      </c>
      <c r="I384" s="28" t="s">
        <v>12</v>
      </c>
      <c r="J384" s="28">
        <v>2026</v>
      </c>
      <c r="K384" s="28" t="s">
        <v>261</v>
      </c>
    </row>
    <row r="385" spans="1:11" x14ac:dyDescent="0.3">
      <c r="A385" s="28" t="s">
        <v>1608</v>
      </c>
      <c r="B385" s="28">
        <v>0</v>
      </c>
      <c r="C385" s="28" t="s">
        <v>603</v>
      </c>
      <c r="D385" s="28">
        <v>2026</v>
      </c>
      <c r="E385" s="28" t="s">
        <v>1215</v>
      </c>
      <c r="G385" s="28" t="s">
        <v>1608</v>
      </c>
      <c r="H385" s="28">
        <v>650</v>
      </c>
      <c r="I385" s="28" t="s">
        <v>12</v>
      </c>
      <c r="J385" s="28">
        <v>2026</v>
      </c>
      <c r="K385" s="28" t="s">
        <v>261</v>
      </c>
    </row>
    <row r="386" spans="1:11" x14ac:dyDescent="0.3">
      <c r="A386" s="28" t="s">
        <v>1609</v>
      </c>
      <c r="B386" s="28">
        <v>0</v>
      </c>
      <c r="C386" s="28" t="s">
        <v>603</v>
      </c>
      <c r="D386" s="28">
        <v>2026</v>
      </c>
      <c r="E386" s="28" t="s">
        <v>1215</v>
      </c>
      <c r="G386" s="28" t="s">
        <v>1609</v>
      </c>
      <c r="H386" s="28">
        <v>650</v>
      </c>
      <c r="I386" s="28" t="s">
        <v>12</v>
      </c>
      <c r="J386" s="28">
        <v>2026</v>
      </c>
      <c r="K386" s="28" t="s">
        <v>261</v>
      </c>
    </row>
    <row r="387" spans="1:11" x14ac:dyDescent="0.3">
      <c r="A387" s="28" t="s">
        <v>1610</v>
      </c>
      <c r="B387" s="28">
        <v>0</v>
      </c>
      <c r="C387" s="28" t="s">
        <v>603</v>
      </c>
      <c r="D387" s="28">
        <v>2026</v>
      </c>
      <c r="E387" s="28" t="s">
        <v>1215</v>
      </c>
      <c r="G387" s="28" t="s">
        <v>1610</v>
      </c>
      <c r="H387" s="28">
        <v>650</v>
      </c>
      <c r="I387" s="28" t="s">
        <v>12</v>
      </c>
      <c r="J387" s="28">
        <v>2026</v>
      </c>
      <c r="K387" s="28" t="s">
        <v>261</v>
      </c>
    </row>
    <row r="388" spans="1:11" x14ac:dyDescent="0.3">
      <c r="A388" s="28" t="s">
        <v>1611</v>
      </c>
      <c r="B388" s="28">
        <v>0</v>
      </c>
      <c r="C388" s="28" t="s">
        <v>603</v>
      </c>
      <c r="D388" s="28">
        <v>2026</v>
      </c>
      <c r="E388" s="28" t="s">
        <v>1215</v>
      </c>
      <c r="G388" s="28" t="s">
        <v>1611</v>
      </c>
      <c r="H388" s="28">
        <v>650</v>
      </c>
      <c r="I388" s="28" t="s">
        <v>12</v>
      </c>
      <c r="J388" s="28">
        <v>2026</v>
      </c>
      <c r="K388" s="28" t="s">
        <v>261</v>
      </c>
    </row>
    <row r="389" spans="1:11" x14ac:dyDescent="0.3">
      <c r="A389" s="28" t="s">
        <v>1612</v>
      </c>
      <c r="B389" s="28">
        <v>0</v>
      </c>
      <c r="C389" s="28" t="s">
        <v>603</v>
      </c>
      <c r="D389" s="28">
        <v>2026</v>
      </c>
      <c r="E389" s="28" t="s">
        <v>1215</v>
      </c>
      <c r="G389" s="28" t="s">
        <v>1612</v>
      </c>
      <c r="H389" s="28">
        <v>650</v>
      </c>
      <c r="I389" s="28" t="s">
        <v>12</v>
      </c>
      <c r="J389" s="28">
        <v>2026</v>
      </c>
      <c r="K389" s="28" t="s">
        <v>261</v>
      </c>
    </row>
    <row r="390" spans="1:11" x14ac:dyDescent="0.3">
      <c r="A390" s="28" t="s">
        <v>1613</v>
      </c>
      <c r="B390" s="28">
        <v>0</v>
      </c>
      <c r="C390" s="28" t="s">
        <v>603</v>
      </c>
      <c r="D390" s="28">
        <v>2026</v>
      </c>
      <c r="E390" s="28" t="s">
        <v>1215</v>
      </c>
      <c r="G390" s="28" t="s">
        <v>1613</v>
      </c>
      <c r="H390" s="28">
        <v>650</v>
      </c>
      <c r="I390" s="28" t="s">
        <v>12</v>
      </c>
      <c r="J390" s="28">
        <v>2026</v>
      </c>
      <c r="K390" s="28" t="s">
        <v>261</v>
      </c>
    </row>
    <row r="391" spans="1:11" x14ac:dyDescent="0.3">
      <c r="A391" s="28" t="s">
        <v>1614</v>
      </c>
      <c r="B391" s="28">
        <v>0</v>
      </c>
      <c r="C391" s="28" t="s">
        <v>603</v>
      </c>
      <c r="D391" s="28">
        <v>2026</v>
      </c>
      <c r="E391" s="28" t="s">
        <v>1215</v>
      </c>
      <c r="G391" s="28" t="s">
        <v>1614</v>
      </c>
      <c r="H391" s="28">
        <v>650</v>
      </c>
      <c r="I391" s="28" t="s">
        <v>12</v>
      </c>
      <c r="J391" s="28">
        <v>2026</v>
      </c>
      <c r="K391" s="28" t="s">
        <v>261</v>
      </c>
    </row>
    <row r="392" spans="1:11" x14ac:dyDescent="0.3">
      <c r="A392" s="28" t="s">
        <v>1615</v>
      </c>
      <c r="B392" s="28">
        <v>0</v>
      </c>
      <c r="C392" s="28" t="s">
        <v>603</v>
      </c>
      <c r="D392" s="28">
        <v>2026</v>
      </c>
      <c r="E392" s="28" t="s">
        <v>1215</v>
      </c>
      <c r="G392" s="28" t="s">
        <v>1615</v>
      </c>
      <c r="H392" s="28">
        <v>650</v>
      </c>
      <c r="I392" s="28" t="s">
        <v>12</v>
      </c>
      <c r="J392" s="28">
        <v>2026</v>
      </c>
      <c r="K392" s="28" t="s">
        <v>261</v>
      </c>
    </row>
    <row r="393" spans="1:11" x14ac:dyDescent="0.3">
      <c r="A393" s="28" t="s">
        <v>1616</v>
      </c>
      <c r="B393" s="28">
        <v>75</v>
      </c>
      <c r="C393" s="28" t="s">
        <v>603</v>
      </c>
      <c r="D393" s="28">
        <v>2026</v>
      </c>
      <c r="E393" s="28" t="s">
        <v>389</v>
      </c>
      <c r="G393" s="28" t="s">
        <v>1616</v>
      </c>
      <c r="H393" s="28">
        <v>650</v>
      </c>
      <c r="I393" s="28" t="s">
        <v>12</v>
      </c>
      <c r="J393" s="28">
        <v>2026</v>
      </c>
      <c r="K393" s="28" t="s">
        <v>261</v>
      </c>
    </row>
    <row r="394" spans="1:11" x14ac:dyDescent="0.3">
      <c r="A394" s="28" t="s">
        <v>1617</v>
      </c>
      <c r="B394" s="28">
        <v>75</v>
      </c>
      <c r="C394" s="28" t="s">
        <v>603</v>
      </c>
      <c r="D394" s="28">
        <v>2026</v>
      </c>
      <c r="E394" s="28" t="s">
        <v>389</v>
      </c>
      <c r="G394" s="28" t="s">
        <v>1617</v>
      </c>
      <c r="H394" s="28">
        <v>650</v>
      </c>
      <c r="I394" s="28" t="s">
        <v>12</v>
      </c>
      <c r="J394" s="28">
        <v>2026</v>
      </c>
      <c r="K394" s="28" t="s">
        <v>261</v>
      </c>
    </row>
    <row r="395" spans="1:11" x14ac:dyDescent="0.3">
      <c r="A395" s="28" t="s">
        <v>1618</v>
      </c>
      <c r="B395" s="28">
        <v>75</v>
      </c>
      <c r="C395" s="28" t="s">
        <v>603</v>
      </c>
      <c r="D395" s="28">
        <v>2026</v>
      </c>
      <c r="E395" s="28" t="s">
        <v>389</v>
      </c>
      <c r="G395" s="28" t="s">
        <v>1618</v>
      </c>
      <c r="H395" s="28">
        <v>1100</v>
      </c>
      <c r="I395" s="28" t="s">
        <v>12</v>
      </c>
      <c r="J395" s="28">
        <v>2026</v>
      </c>
      <c r="K395" s="28" t="s">
        <v>261</v>
      </c>
    </row>
    <row r="396" spans="1:11" x14ac:dyDescent="0.3">
      <c r="A396" s="28" t="s">
        <v>1619</v>
      </c>
      <c r="B396" s="28">
        <v>75</v>
      </c>
      <c r="C396" s="28" t="s">
        <v>603</v>
      </c>
      <c r="D396" s="28">
        <v>2026</v>
      </c>
      <c r="E396" s="28" t="s">
        <v>389</v>
      </c>
      <c r="G396" s="28" t="s">
        <v>1619</v>
      </c>
      <c r="H396" s="28">
        <v>1100</v>
      </c>
      <c r="I396" s="28" t="s">
        <v>12</v>
      </c>
      <c r="J396" s="28">
        <v>2026</v>
      </c>
      <c r="K396" s="28" t="s">
        <v>261</v>
      </c>
    </row>
    <row r="397" spans="1:11" x14ac:dyDescent="0.3">
      <c r="A397" s="28" t="s">
        <v>1620</v>
      </c>
      <c r="B397" s="28">
        <v>75</v>
      </c>
      <c r="C397" s="28" t="s">
        <v>603</v>
      </c>
      <c r="D397" s="28">
        <v>2026</v>
      </c>
      <c r="E397" s="28" t="s">
        <v>389</v>
      </c>
      <c r="G397" s="28" t="s">
        <v>1620</v>
      </c>
      <c r="H397" s="28">
        <v>1100</v>
      </c>
      <c r="I397" s="28" t="s">
        <v>12</v>
      </c>
      <c r="J397" s="28">
        <v>2026</v>
      </c>
      <c r="K397" s="28" t="s">
        <v>261</v>
      </c>
    </row>
    <row r="398" spans="1:11" x14ac:dyDescent="0.3">
      <c r="A398" s="28" t="s">
        <v>1621</v>
      </c>
      <c r="B398" s="28">
        <v>75</v>
      </c>
      <c r="C398" s="28" t="s">
        <v>603</v>
      </c>
      <c r="D398" s="28">
        <v>2026</v>
      </c>
      <c r="E398" s="28" t="s">
        <v>389</v>
      </c>
      <c r="G398" s="28" t="s">
        <v>1621</v>
      </c>
      <c r="H398" s="28">
        <v>1800</v>
      </c>
      <c r="I398" s="28" t="s">
        <v>12</v>
      </c>
      <c r="J398" s="28">
        <v>2026</v>
      </c>
      <c r="K398" s="28" t="s">
        <v>261</v>
      </c>
    </row>
    <row r="399" spans="1:11" x14ac:dyDescent="0.3">
      <c r="A399" s="28" t="s">
        <v>1622</v>
      </c>
      <c r="B399" s="28">
        <v>75</v>
      </c>
      <c r="C399" s="28" t="s">
        <v>603</v>
      </c>
      <c r="D399" s="28">
        <v>2026</v>
      </c>
      <c r="E399" s="28" t="s">
        <v>389</v>
      </c>
      <c r="G399" s="28" t="s">
        <v>1622</v>
      </c>
      <c r="H399" s="28">
        <v>1800</v>
      </c>
      <c r="I399" s="28" t="s">
        <v>12</v>
      </c>
      <c r="J399" s="28">
        <v>2026</v>
      </c>
      <c r="K399" s="28" t="s">
        <v>261</v>
      </c>
    </row>
    <row r="400" spans="1:11" x14ac:dyDescent="0.3">
      <c r="A400" s="28" t="s">
        <v>1623</v>
      </c>
      <c r="B400" s="28">
        <v>75</v>
      </c>
      <c r="C400" s="28" t="s">
        <v>603</v>
      </c>
      <c r="D400" s="28">
        <v>2026</v>
      </c>
      <c r="E400" s="28" t="s">
        <v>389</v>
      </c>
      <c r="G400" s="28" t="s">
        <v>1623</v>
      </c>
      <c r="H400" s="28">
        <v>1300</v>
      </c>
      <c r="I400" s="28" t="s">
        <v>12</v>
      </c>
      <c r="J400" s="28">
        <v>2026</v>
      </c>
      <c r="K400" s="28" t="s">
        <v>261</v>
      </c>
    </row>
    <row r="401" spans="1:11" x14ac:dyDescent="0.3">
      <c r="A401" s="28" t="s">
        <v>1624</v>
      </c>
      <c r="B401" s="28">
        <v>75</v>
      </c>
      <c r="C401" s="28" t="s">
        <v>603</v>
      </c>
      <c r="D401" s="28">
        <v>2026</v>
      </c>
      <c r="E401" s="28" t="s">
        <v>389</v>
      </c>
      <c r="G401" s="28" t="s">
        <v>1624</v>
      </c>
      <c r="H401" s="28">
        <v>1300</v>
      </c>
      <c r="I401" s="28" t="s">
        <v>12</v>
      </c>
      <c r="J401" s="28">
        <v>2026</v>
      </c>
      <c r="K401" s="28" t="s">
        <v>261</v>
      </c>
    </row>
    <row r="402" spans="1:11" x14ac:dyDescent="0.3">
      <c r="A402" s="28" t="s">
        <v>1625</v>
      </c>
      <c r="B402" s="28">
        <v>75</v>
      </c>
      <c r="C402" s="28" t="s">
        <v>603</v>
      </c>
      <c r="D402" s="28">
        <v>2026</v>
      </c>
      <c r="E402" s="28" t="s">
        <v>389</v>
      </c>
      <c r="G402" s="28" t="s">
        <v>1625</v>
      </c>
      <c r="H402" s="28">
        <v>1300</v>
      </c>
      <c r="I402" s="28" t="s">
        <v>12</v>
      </c>
      <c r="J402" s="28">
        <v>2026</v>
      </c>
      <c r="K402" s="28" t="s">
        <v>261</v>
      </c>
    </row>
    <row r="403" spans="1:11" x14ac:dyDescent="0.3">
      <c r="A403" s="28" t="s">
        <v>1626</v>
      </c>
      <c r="B403" s="28">
        <v>75</v>
      </c>
      <c r="C403" s="28" t="s">
        <v>603</v>
      </c>
      <c r="D403" s="28">
        <v>2026</v>
      </c>
      <c r="E403" s="28" t="s">
        <v>389</v>
      </c>
      <c r="G403" s="28" t="s">
        <v>1626</v>
      </c>
      <c r="H403" s="28">
        <v>1300</v>
      </c>
      <c r="I403" s="28" t="s">
        <v>12</v>
      </c>
      <c r="J403" s="28">
        <v>2026</v>
      </c>
      <c r="K403" s="28" t="s">
        <v>261</v>
      </c>
    </row>
    <row r="404" spans="1:11" x14ac:dyDescent="0.3">
      <c r="A404" s="28" t="s">
        <v>1627</v>
      </c>
      <c r="B404" s="28">
        <v>75</v>
      </c>
      <c r="C404" s="28" t="s">
        <v>603</v>
      </c>
      <c r="D404" s="28">
        <v>2026</v>
      </c>
      <c r="E404" s="28" t="s">
        <v>389</v>
      </c>
      <c r="G404" s="28" t="s">
        <v>1627</v>
      </c>
      <c r="H404" s="28">
        <v>1300</v>
      </c>
      <c r="I404" s="28" t="s">
        <v>12</v>
      </c>
      <c r="J404" s="28">
        <v>2026</v>
      </c>
      <c r="K404" s="28" t="s">
        <v>261</v>
      </c>
    </row>
    <row r="405" spans="1:11" x14ac:dyDescent="0.3">
      <c r="A405" s="28" t="s">
        <v>1628</v>
      </c>
      <c r="B405" s="28">
        <v>75</v>
      </c>
      <c r="C405" s="28" t="s">
        <v>603</v>
      </c>
      <c r="D405" s="28">
        <v>2026</v>
      </c>
      <c r="E405" s="28" t="s">
        <v>389</v>
      </c>
      <c r="G405" s="28" t="s">
        <v>1628</v>
      </c>
      <c r="H405" s="28">
        <v>1300</v>
      </c>
      <c r="I405" s="28" t="s">
        <v>12</v>
      </c>
      <c r="J405" s="28">
        <v>2026</v>
      </c>
      <c r="K405" s="28" t="s">
        <v>261</v>
      </c>
    </row>
    <row r="406" spans="1:11" x14ac:dyDescent="0.3">
      <c r="A406" s="28" t="s">
        <v>1629</v>
      </c>
      <c r="B406" s="28">
        <v>75</v>
      </c>
      <c r="C406" s="28" t="s">
        <v>603</v>
      </c>
      <c r="D406" s="28">
        <v>2026</v>
      </c>
      <c r="E406" s="28" t="s">
        <v>389</v>
      </c>
      <c r="G406" s="28" t="s">
        <v>1629</v>
      </c>
      <c r="H406" s="28">
        <v>1300</v>
      </c>
      <c r="I406" s="28" t="s">
        <v>12</v>
      </c>
      <c r="J406" s="28">
        <v>2026</v>
      </c>
      <c r="K406" s="28" t="s">
        <v>261</v>
      </c>
    </row>
    <row r="407" spans="1:11" x14ac:dyDescent="0.3">
      <c r="A407" s="28" t="s">
        <v>1630</v>
      </c>
      <c r="B407" s="28">
        <v>75</v>
      </c>
      <c r="C407" s="28" t="s">
        <v>603</v>
      </c>
      <c r="D407" s="28">
        <v>2026</v>
      </c>
      <c r="E407" s="28" t="s">
        <v>389</v>
      </c>
      <c r="G407" s="28" t="s">
        <v>1630</v>
      </c>
      <c r="H407" s="28">
        <v>1300</v>
      </c>
      <c r="I407" s="28" t="s">
        <v>12</v>
      </c>
      <c r="J407" s="28">
        <v>2026</v>
      </c>
      <c r="K407" s="28" t="s">
        <v>261</v>
      </c>
    </row>
    <row r="408" spans="1:11" x14ac:dyDescent="0.3">
      <c r="A408" s="28" t="s">
        <v>1631</v>
      </c>
      <c r="B408" s="28">
        <v>75</v>
      </c>
      <c r="C408" s="28" t="s">
        <v>603</v>
      </c>
      <c r="D408" s="28">
        <v>2026</v>
      </c>
      <c r="E408" s="28" t="s">
        <v>389</v>
      </c>
      <c r="G408" s="28" t="s">
        <v>1631</v>
      </c>
      <c r="H408" s="28">
        <v>1300</v>
      </c>
      <c r="I408" s="28" t="s">
        <v>12</v>
      </c>
      <c r="J408" s="28">
        <v>2026</v>
      </c>
      <c r="K408" s="28" t="s">
        <v>261</v>
      </c>
    </row>
    <row r="409" spans="1:11" x14ac:dyDescent="0.3">
      <c r="A409" s="28" t="s">
        <v>1632</v>
      </c>
      <c r="B409" s="28">
        <v>75</v>
      </c>
      <c r="C409" s="28" t="s">
        <v>603</v>
      </c>
      <c r="D409" s="28">
        <v>2026</v>
      </c>
      <c r="E409" s="28" t="s">
        <v>389</v>
      </c>
      <c r="G409" s="28" t="s">
        <v>1632</v>
      </c>
      <c r="H409" s="28">
        <v>1300</v>
      </c>
      <c r="I409" s="28" t="s">
        <v>12</v>
      </c>
      <c r="J409" s="28">
        <v>2026</v>
      </c>
      <c r="K409" s="28" t="s">
        <v>261</v>
      </c>
    </row>
    <row r="410" spans="1:11" x14ac:dyDescent="0.3">
      <c r="A410" s="28" t="s">
        <v>1633</v>
      </c>
      <c r="B410" s="28">
        <v>75</v>
      </c>
      <c r="C410" s="28" t="s">
        <v>603</v>
      </c>
      <c r="D410" s="28">
        <v>2026</v>
      </c>
      <c r="E410" s="28" t="s">
        <v>389</v>
      </c>
      <c r="G410" s="28" t="s">
        <v>1633</v>
      </c>
      <c r="H410" s="28">
        <v>1200</v>
      </c>
      <c r="I410" s="28" t="s">
        <v>12</v>
      </c>
      <c r="J410" s="28">
        <v>2026</v>
      </c>
      <c r="K410" s="28" t="s">
        <v>261</v>
      </c>
    </row>
    <row r="411" spans="1:11" x14ac:dyDescent="0.3">
      <c r="A411" s="28" t="s">
        <v>1634</v>
      </c>
      <c r="B411" s="28">
        <v>75</v>
      </c>
      <c r="C411" s="28" t="s">
        <v>603</v>
      </c>
      <c r="D411" s="28">
        <v>2026</v>
      </c>
      <c r="E411" s="28" t="s">
        <v>389</v>
      </c>
      <c r="G411" s="28" t="s">
        <v>1634</v>
      </c>
      <c r="H411" s="28">
        <v>1200</v>
      </c>
      <c r="I411" s="28" t="s">
        <v>12</v>
      </c>
      <c r="J411" s="28">
        <v>2026</v>
      </c>
      <c r="K411" s="28" t="s">
        <v>261</v>
      </c>
    </row>
    <row r="412" spans="1:11" x14ac:dyDescent="0.3">
      <c r="A412" s="28" t="s">
        <v>1635</v>
      </c>
      <c r="B412" s="28">
        <v>75</v>
      </c>
      <c r="C412" s="28" t="s">
        <v>603</v>
      </c>
      <c r="D412" s="28">
        <v>2026</v>
      </c>
      <c r="E412" s="28" t="s">
        <v>389</v>
      </c>
      <c r="G412" s="28" t="s">
        <v>1635</v>
      </c>
      <c r="H412" s="28">
        <v>1200</v>
      </c>
      <c r="I412" s="28" t="s">
        <v>12</v>
      </c>
      <c r="J412" s="28">
        <v>2026</v>
      </c>
      <c r="K412" s="28" t="s">
        <v>261</v>
      </c>
    </row>
    <row r="413" spans="1:11" x14ac:dyDescent="0.3">
      <c r="A413" s="28" t="s">
        <v>1636</v>
      </c>
      <c r="B413" s="28">
        <v>75</v>
      </c>
      <c r="C413" s="28" t="s">
        <v>603</v>
      </c>
      <c r="D413" s="28">
        <v>2026</v>
      </c>
      <c r="E413" s="28" t="s">
        <v>389</v>
      </c>
      <c r="G413" s="28" t="s">
        <v>1636</v>
      </c>
      <c r="H413" s="28">
        <v>1200</v>
      </c>
      <c r="I413" s="28" t="s">
        <v>12</v>
      </c>
      <c r="J413" s="28">
        <v>2026</v>
      </c>
      <c r="K413" s="28" t="s">
        <v>261</v>
      </c>
    </row>
    <row r="414" spans="1:11" x14ac:dyDescent="0.3">
      <c r="A414" s="28" t="s">
        <v>1637</v>
      </c>
      <c r="B414" s="28">
        <v>75</v>
      </c>
      <c r="C414" s="28" t="s">
        <v>603</v>
      </c>
      <c r="D414" s="28">
        <v>2026</v>
      </c>
      <c r="E414" s="28" t="s">
        <v>389</v>
      </c>
      <c r="G414" s="28" t="s">
        <v>1637</v>
      </c>
      <c r="H414" s="28">
        <v>1200</v>
      </c>
      <c r="I414" s="28" t="s">
        <v>12</v>
      </c>
      <c r="J414" s="28">
        <v>2026</v>
      </c>
      <c r="K414" s="28" t="s">
        <v>261</v>
      </c>
    </row>
    <row r="415" spans="1:11" x14ac:dyDescent="0.3">
      <c r="A415" s="28" t="s">
        <v>1638</v>
      </c>
      <c r="B415" s="28">
        <v>75</v>
      </c>
      <c r="C415" s="28" t="s">
        <v>603</v>
      </c>
      <c r="D415" s="28">
        <v>2026</v>
      </c>
      <c r="E415" s="28" t="s">
        <v>389</v>
      </c>
      <c r="G415" s="28" t="s">
        <v>1638</v>
      </c>
      <c r="H415" s="28">
        <v>1200</v>
      </c>
      <c r="I415" s="28" t="s">
        <v>12</v>
      </c>
      <c r="J415" s="28">
        <v>2026</v>
      </c>
      <c r="K415" s="28" t="s">
        <v>261</v>
      </c>
    </row>
    <row r="416" spans="1:11" x14ac:dyDescent="0.3">
      <c r="A416" s="28" t="s">
        <v>1639</v>
      </c>
      <c r="B416" s="28">
        <v>75</v>
      </c>
      <c r="C416" s="28" t="s">
        <v>603</v>
      </c>
      <c r="D416" s="28">
        <v>2026</v>
      </c>
      <c r="E416" s="28" t="s">
        <v>389</v>
      </c>
      <c r="G416" s="28" t="s">
        <v>1639</v>
      </c>
      <c r="H416" s="28">
        <v>1200</v>
      </c>
      <c r="I416" s="28" t="s">
        <v>12</v>
      </c>
      <c r="J416" s="28">
        <v>2026</v>
      </c>
      <c r="K416" s="28" t="s">
        <v>261</v>
      </c>
    </row>
    <row r="417" spans="1:11" x14ac:dyDescent="0.3">
      <c r="A417" s="28" t="s">
        <v>1640</v>
      </c>
      <c r="B417" s="28">
        <v>75</v>
      </c>
      <c r="C417" s="28" t="s">
        <v>603</v>
      </c>
      <c r="D417" s="28">
        <v>2026</v>
      </c>
      <c r="E417" s="28" t="s">
        <v>389</v>
      </c>
      <c r="G417" s="28" t="s">
        <v>1640</v>
      </c>
      <c r="H417" s="28">
        <v>1200</v>
      </c>
      <c r="I417" s="28" t="s">
        <v>12</v>
      </c>
      <c r="J417" s="28">
        <v>2026</v>
      </c>
      <c r="K417" s="28" t="s">
        <v>261</v>
      </c>
    </row>
    <row r="418" spans="1:11" x14ac:dyDescent="0.3">
      <c r="A418" s="28" t="s">
        <v>1641</v>
      </c>
      <c r="B418" s="28">
        <v>75</v>
      </c>
      <c r="C418" s="28" t="s">
        <v>603</v>
      </c>
      <c r="D418" s="28">
        <v>2026</v>
      </c>
      <c r="E418" s="28" t="s">
        <v>389</v>
      </c>
      <c r="G418" s="28" t="s">
        <v>1641</v>
      </c>
      <c r="H418" s="28">
        <v>1400</v>
      </c>
      <c r="I418" s="28" t="s">
        <v>12</v>
      </c>
      <c r="J418" s="28">
        <v>2026</v>
      </c>
      <c r="K418" s="28" t="s">
        <v>261</v>
      </c>
    </row>
    <row r="419" spans="1:11" x14ac:dyDescent="0.3">
      <c r="A419" s="28" t="s">
        <v>1642</v>
      </c>
      <c r="B419" s="28">
        <v>75</v>
      </c>
      <c r="C419" s="28" t="s">
        <v>603</v>
      </c>
      <c r="D419" s="28">
        <v>2026</v>
      </c>
      <c r="E419" s="28" t="s">
        <v>389</v>
      </c>
      <c r="G419" s="28" t="s">
        <v>1642</v>
      </c>
      <c r="H419" s="28">
        <v>1400</v>
      </c>
      <c r="I419" s="28" t="s">
        <v>12</v>
      </c>
      <c r="J419" s="28">
        <v>2026</v>
      </c>
      <c r="K419" s="28" t="s">
        <v>261</v>
      </c>
    </row>
    <row r="420" spans="1:11" x14ac:dyDescent="0.3">
      <c r="A420" s="28" t="s">
        <v>1643</v>
      </c>
      <c r="B420" s="28">
        <v>75</v>
      </c>
      <c r="C420" s="28" t="s">
        <v>603</v>
      </c>
      <c r="D420" s="28">
        <v>2026</v>
      </c>
      <c r="E420" s="28" t="s">
        <v>389</v>
      </c>
      <c r="G420" s="28" t="s">
        <v>1643</v>
      </c>
      <c r="H420" s="28">
        <v>1400</v>
      </c>
      <c r="I420" s="28" t="s">
        <v>12</v>
      </c>
      <c r="J420" s="28">
        <v>2026</v>
      </c>
      <c r="K420" s="28" t="s">
        <v>261</v>
      </c>
    </row>
    <row r="421" spans="1:11" x14ac:dyDescent="0.3">
      <c r="A421" s="28" t="s">
        <v>1644</v>
      </c>
      <c r="B421" s="28">
        <v>75</v>
      </c>
      <c r="C421" s="28" t="s">
        <v>603</v>
      </c>
      <c r="D421" s="28">
        <v>2026</v>
      </c>
      <c r="E421" s="28" t="s">
        <v>389</v>
      </c>
      <c r="G421" s="28" t="s">
        <v>1644</v>
      </c>
      <c r="H421" s="28">
        <v>1400</v>
      </c>
      <c r="I421" s="28" t="s">
        <v>12</v>
      </c>
      <c r="J421" s="28">
        <v>2026</v>
      </c>
      <c r="K421" s="28" t="s">
        <v>261</v>
      </c>
    </row>
    <row r="422" spans="1:11" x14ac:dyDescent="0.3">
      <c r="A422" s="28" t="s">
        <v>1645</v>
      </c>
      <c r="B422" s="28">
        <v>75</v>
      </c>
      <c r="C422" s="28" t="s">
        <v>603</v>
      </c>
      <c r="D422" s="28">
        <v>2026</v>
      </c>
      <c r="E422" s="28" t="s">
        <v>389</v>
      </c>
      <c r="G422" s="28" t="s">
        <v>1645</v>
      </c>
      <c r="H422" s="28">
        <v>1400</v>
      </c>
      <c r="I422" s="28" t="s">
        <v>12</v>
      </c>
      <c r="J422" s="28">
        <v>2026</v>
      </c>
      <c r="K422" s="28" t="s">
        <v>261</v>
      </c>
    </row>
    <row r="423" spans="1:11" x14ac:dyDescent="0.3">
      <c r="A423" s="28" t="s">
        <v>1646</v>
      </c>
      <c r="B423" s="28">
        <v>75</v>
      </c>
      <c r="C423" s="28" t="s">
        <v>603</v>
      </c>
      <c r="D423" s="28">
        <v>2026</v>
      </c>
      <c r="E423" s="28" t="s">
        <v>389</v>
      </c>
      <c r="G423" s="28" t="s">
        <v>1646</v>
      </c>
      <c r="H423" s="28">
        <v>1300</v>
      </c>
      <c r="I423" s="28" t="s">
        <v>12</v>
      </c>
      <c r="J423" s="28">
        <v>2026</v>
      </c>
      <c r="K423" s="28" t="s">
        <v>261</v>
      </c>
    </row>
    <row r="424" spans="1:11" x14ac:dyDescent="0.3">
      <c r="A424" s="28" t="s">
        <v>1647</v>
      </c>
      <c r="B424" s="28">
        <v>120</v>
      </c>
      <c r="C424" s="28" t="s">
        <v>665</v>
      </c>
      <c r="D424" s="28">
        <v>2026</v>
      </c>
      <c r="E424" s="28" t="s">
        <v>389</v>
      </c>
      <c r="G424" s="28" t="s">
        <v>1647</v>
      </c>
      <c r="H424" s="28">
        <v>900</v>
      </c>
      <c r="I424" s="28" t="s">
        <v>12</v>
      </c>
      <c r="J424" s="28">
        <v>2026</v>
      </c>
      <c r="K424" s="28" t="s">
        <v>261</v>
      </c>
    </row>
    <row r="425" spans="1:11" x14ac:dyDescent="0.3">
      <c r="A425" s="28" t="s">
        <v>1648</v>
      </c>
      <c r="B425" s="28">
        <v>120</v>
      </c>
      <c r="C425" s="28" t="s">
        <v>665</v>
      </c>
      <c r="D425" s="28">
        <v>2026</v>
      </c>
      <c r="E425" s="28" t="s">
        <v>389</v>
      </c>
      <c r="G425" s="28" t="s">
        <v>1648</v>
      </c>
      <c r="H425" s="28">
        <v>900</v>
      </c>
      <c r="I425" s="28" t="s">
        <v>12</v>
      </c>
      <c r="J425" s="28">
        <v>2026</v>
      </c>
      <c r="K425" s="28" t="s">
        <v>261</v>
      </c>
    </row>
    <row r="426" spans="1:11" x14ac:dyDescent="0.3">
      <c r="A426" s="28" t="s">
        <v>1649</v>
      </c>
      <c r="B426" s="28">
        <v>120</v>
      </c>
      <c r="C426" s="28" t="s">
        <v>665</v>
      </c>
      <c r="D426" s="28">
        <v>2026</v>
      </c>
      <c r="E426" s="28" t="s">
        <v>389</v>
      </c>
      <c r="G426" s="28" t="s">
        <v>1649</v>
      </c>
      <c r="H426" s="28">
        <v>900</v>
      </c>
      <c r="I426" s="28" t="s">
        <v>12</v>
      </c>
      <c r="J426" s="28">
        <v>2026</v>
      </c>
      <c r="K426" s="28" t="s">
        <v>261</v>
      </c>
    </row>
    <row r="427" spans="1:11" x14ac:dyDescent="0.3">
      <c r="A427" s="28" t="s">
        <v>1650</v>
      </c>
      <c r="B427" s="28">
        <v>120</v>
      </c>
      <c r="C427" s="28" t="s">
        <v>665</v>
      </c>
      <c r="D427" s="28">
        <v>2026</v>
      </c>
      <c r="E427" s="28" t="s">
        <v>389</v>
      </c>
      <c r="G427" s="28" t="s">
        <v>1650</v>
      </c>
      <c r="H427" s="28">
        <v>900</v>
      </c>
      <c r="I427" s="28" t="s">
        <v>12</v>
      </c>
      <c r="J427" s="28">
        <v>2026</v>
      </c>
      <c r="K427" s="28" t="s">
        <v>261</v>
      </c>
    </row>
    <row r="428" spans="1:11" x14ac:dyDescent="0.3">
      <c r="A428" s="28" t="s">
        <v>1651</v>
      </c>
      <c r="B428" s="28">
        <v>120</v>
      </c>
      <c r="C428" s="28" t="s">
        <v>665</v>
      </c>
      <c r="D428" s="28">
        <v>2026</v>
      </c>
      <c r="E428" s="28" t="s">
        <v>389</v>
      </c>
      <c r="G428" s="28" t="s">
        <v>1651</v>
      </c>
      <c r="H428" s="28">
        <v>900</v>
      </c>
      <c r="I428" s="28" t="s">
        <v>12</v>
      </c>
      <c r="J428" s="28">
        <v>2026</v>
      </c>
      <c r="K428" s="28" t="s">
        <v>261</v>
      </c>
    </row>
    <row r="429" spans="1:11" x14ac:dyDescent="0.3">
      <c r="A429" s="28" t="s">
        <v>1652</v>
      </c>
      <c r="B429" s="28">
        <v>120</v>
      </c>
      <c r="C429" s="28" t="s">
        <v>665</v>
      </c>
      <c r="D429" s="28">
        <v>2026</v>
      </c>
      <c r="E429" s="28" t="s">
        <v>389</v>
      </c>
      <c r="G429" s="28" t="s">
        <v>1652</v>
      </c>
      <c r="H429" s="28">
        <v>900</v>
      </c>
      <c r="I429" s="28" t="s">
        <v>12</v>
      </c>
      <c r="J429" s="28">
        <v>2026</v>
      </c>
      <c r="K429" s="28" t="s">
        <v>261</v>
      </c>
    </row>
    <row r="430" spans="1:11" x14ac:dyDescent="0.3">
      <c r="A430" s="28" t="s">
        <v>1653</v>
      </c>
      <c r="B430" s="28">
        <v>120</v>
      </c>
      <c r="C430" s="28" t="s">
        <v>665</v>
      </c>
      <c r="D430" s="28">
        <v>2026</v>
      </c>
      <c r="E430" s="28" t="s">
        <v>389</v>
      </c>
      <c r="G430" s="28" t="s">
        <v>1653</v>
      </c>
      <c r="H430" s="28">
        <v>900</v>
      </c>
      <c r="I430" s="28" t="s">
        <v>12</v>
      </c>
      <c r="J430" s="28">
        <v>2026</v>
      </c>
      <c r="K430" s="28" t="s">
        <v>261</v>
      </c>
    </row>
    <row r="431" spans="1:11" x14ac:dyDescent="0.3">
      <c r="A431" s="28" t="s">
        <v>1654</v>
      </c>
      <c r="B431" s="28">
        <v>90</v>
      </c>
      <c r="C431" s="28" t="s">
        <v>665</v>
      </c>
      <c r="D431" s="28">
        <v>2026</v>
      </c>
      <c r="E431" s="28" t="s">
        <v>389</v>
      </c>
      <c r="G431" s="28" t="s">
        <v>1654</v>
      </c>
      <c r="H431" s="28">
        <v>1100</v>
      </c>
      <c r="I431" s="28" t="s">
        <v>12</v>
      </c>
      <c r="J431" s="28">
        <v>2026</v>
      </c>
      <c r="K431" s="28" t="s">
        <v>261</v>
      </c>
    </row>
    <row r="432" spans="1:11" x14ac:dyDescent="0.3">
      <c r="A432" s="28" t="s">
        <v>1655</v>
      </c>
      <c r="B432" s="28">
        <v>90</v>
      </c>
      <c r="C432" s="28" t="s">
        <v>665</v>
      </c>
      <c r="D432" s="28">
        <v>2026</v>
      </c>
      <c r="E432" s="28" t="s">
        <v>389</v>
      </c>
      <c r="G432" s="28" t="s">
        <v>1655</v>
      </c>
      <c r="H432" s="28">
        <v>1100</v>
      </c>
      <c r="I432" s="28" t="s">
        <v>12</v>
      </c>
      <c r="J432" s="28">
        <v>2026</v>
      </c>
      <c r="K432" s="28" t="s">
        <v>261</v>
      </c>
    </row>
    <row r="433" spans="1:11" x14ac:dyDescent="0.3">
      <c r="A433" s="28" t="s">
        <v>1656</v>
      </c>
      <c r="B433" s="28">
        <v>120</v>
      </c>
      <c r="C433" s="28" t="s">
        <v>665</v>
      </c>
      <c r="D433" s="28">
        <v>2026</v>
      </c>
      <c r="E433" s="28" t="s">
        <v>389</v>
      </c>
      <c r="G433" s="28" t="s">
        <v>1656</v>
      </c>
      <c r="H433" s="28">
        <v>1100</v>
      </c>
      <c r="I433" s="28" t="s">
        <v>12</v>
      </c>
      <c r="J433" s="28">
        <v>2026</v>
      </c>
      <c r="K433" s="28" t="s">
        <v>261</v>
      </c>
    </row>
    <row r="434" spans="1:11" x14ac:dyDescent="0.3">
      <c r="A434" s="28" t="s">
        <v>1657</v>
      </c>
      <c r="B434" s="28">
        <v>120</v>
      </c>
      <c r="C434" s="28" t="s">
        <v>665</v>
      </c>
      <c r="D434" s="28">
        <v>2026</v>
      </c>
      <c r="E434" s="28" t="s">
        <v>389</v>
      </c>
      <c r="G434" s="28" t="s">
        <v>1657</v>
      </c>
      <c r="H434" s="28">
        <v>1100</v>
      </c>
      <c r="I434" s="28" t="s">
        <v>12</v>
      </c>
      <c r="J434" s="28">
        <v>2026</v>
      </c>
      <c r="K434" s="28" t="s">
        <v>261</v>
      </c>
    </row>
    <row r="435" spans="1:11" x14ac:dyDescent="0.3">
      <c r="A435" s="28" t="s">
        <v>1658</v>
      </c>
      <c r="B435" s="28">
        <v>120</v>
      </c>
      <c r="C435" s="28" t="s">
        <v>665</v>
      </c>
      <c r="D435" s="28">
        <v>2026</v>
      </c>
      <c r="E435" s="28" t="s">
        <v>389</v>
      </c>
      <c r="G435" s="28" t="s">
        <v>1658</v>
      </c>
      <c r="H435" s="28">
        <v>1100</v>
      </c>
      <c r="I435" s="28" t="s">
        <v>12</v>
      </c>
      <c r="J435" s="28">
        <v>2026</v>
      </c>
      <c r="K435" s="28" t="s">
        <v>261</v>
      </c>
    </row>
    <row r="436" spans="1:11" x14ac:dyDescent="0.3">
      <c r="A436" s="28" t="s">
        <v>1659</v>
      </c>
      <c r="B436" s="28">
        <v>120</v>
      </c>
      <c r="C436" s="28" t="s">
        <v>665</v>
      </c>
      <c r="D436" s="28">
        <v>2026</v>
      </c>
      <c r="E436" s="28" t="s">
        <v>389</v>
      </c>
      <c r="G436" s="28" t="s">
        <v>1659</v>
      </c>
      <c r="H436" s="28">
        <v>1100</v>
      </c>
      <c r="I436" s="28" t="s">
        <v>12</v>
      </c>
      <c r="J436" s="28">
        <v>2026</v>
      </c>
      <c r="K436" s="28" t="s">
        <v>261</v>
      </c>
    </row>
    <row r="437" spans="1:11" x14ac:dyDescent="0.3">
      <c r="A437" s="28" t="s">
        <v>1660</v>
      </c>
      <c r="B437" s="28">
        <v>120</v>
      </c>
      <c r="C437" s="28" t="s">
        <v>665</v>
      </c>
      <c r="D437" s="28">
        <v>2026</v>
      </c>
      <c r="E437" s="28" t="s">
        <v>389</v>
      </c>
      <c r="G437" s="28" t="s">
        <v>1660</v>
      </c>
      <c r="H437" s="28">
        <v>1200</v>
      </c>
      <c r="I437" s="28" t="s">
        <v>12</v>
      </c>
      <c r="J437" s="28">
        <v>2026</v>
      </c>
      <c r="K437" s="28" t="s">
        <v>261</v>
      </c>
    </row>
    <row r="438" spans="1:11" x14ac:dyDescent="0.3">
      <c r="A438" s="28" t="s">
        <v>1661</v>
      </c>
      <c r="B438" s="28">
        <v>120</v>
      </c>
      <c r="C438" s="28" t="s">
        <v>665</v>
      </c>
      <c r="D438" s="28">
        <v>2026</v>
      </c>
      <c r="E438" s="28" t="s">
        <v>389</v>
      </c>
      <c r="G438" s="28" t="s">
        <v>1661</v>
      </c>
      <c r="H438" s="28">
        <v>1200</v>
      </c>
      <c r="I438" s="28" t="s">
        <v>12</v>
      </c>
      <c r="J438" s="28">
        <v>2026</v>
      </c>
      <c r="K438" s="28" t="s">
        <v>261</v>
      </c>
    </row>
    <row r="439" spans="1:11" x14ac:dyDescent="0.3">
      <c r="A439" s="28" t="s">
        <v>1662</v>
      </c>
      <c r="B439" s="28">
        <v>120</v>
      </c>
      <c r="C439" s="28" t="s">
        <v>665</v>
      </c>
      <c r="D439" s="28">
        <v>2026</v>
      </c>
      <c r="E439" s="28" t="s">
        <v>389</v>
      </c>
      <c r="G439" s="28" t="s">
        <v>1662</v>
      </c>
      <c r="H439" s="28">
        <v>1200</v>
      </c>
      <c r="I439" s="28" t="s">
        <v>12</v>
      </c>
      <c r="J439" s="28">
        <v>2026</v>
      </c>
      <c r="K439" s="28" t="s">
        <v>261</v>
      </c>
    </row>
    <row r="440" spans="1:11" x14ac:dyDescent="0.3">
      <c r="A440" s="28" t="s">
        <v>1663</v>
      </c>
      <c r="B440" s="28">
        <v>120</v>
      </c>
      <c r="C440" s="28" t="s">
        <v>665</v>
      </c>
      <c r="D440" s="28">
        <v>2026</v>
      </c>
      <c r="E440" s="28" t="s">
        <v>389</v>
      </c>
      <c r="G440" s="28" t="s">
        <v>1663</v>
      </c>
      <c r="H440" s="28">
        <v>1200</v>
      </c>
      <c r="I440" s="28" t="s">
        <v>12</v>
      </c>
      <c r="J440" s="28">
        <v>2026</v>
      </c>
      <c r="K440" s="28" t="s">
        <v>261</v>
      </c>
    </row>
    <row r="441" spans="1:11" x14ac:dyDescent="0.3">
      <c r="A441" s="28" t="s">
        <v>1664</v>
      </c>
      <c r="B441" s="28">
        <v>120</v>
      </c>
      <c r="C441" s="28" t="s">
        <v>665</v>
      </c>
      <c r="D441" s="28">
        <v>2026</v>
      </c>
      <c r="E441" s="28" t="s">
        <v>389</v>
      </c>
      <c r="G441" s="28" t="s">
        <v>1664</v>
      </c>
      <c r="H441" s="28">
        <v>1200</v>
      </c>
      <c r="I441" s="28" t="s">
        <v>12</v>
      </c>
      <c r="J441" s="28">
        <v>2026</v>
      </c>
      <c r="K441" s="28" t="s">
        <v>261</v>
      </c>
    </row>
    <row r="442" spans="1:11" x14ac:dyDescent="0.3">
      <c r="A442" s="28" t="s">
        <v>1665</v>
      </c>
      <c r="B442" s="28">
        <v>120</v>
      </c>
      <c r="C442" s="28" t="s">
        <v>665</v>
      </c>
      <c r="D442" s="28">
        <v>2026</v>
      </c>
      <c r="E442" s="28" t="s">
        <v>389</v>
      </c>
      <c r="G442" s="28" t="s">
        <v>1665</v>
      </c>
      <c r="H442" s="28">
        <v>1200</v>
      </c>
      <c r="I442" s="28" t="s">
        <v>12</v>
      </c>
      <c r="J442" s="28">
        <v>2026</v>
      </c>
      <c r="K442" s="28" t="s">
        <v>261</v>
      </c>
    </row>
    <row r="443" spans="1:11" x14ac:dyDescent="0.3">
      <c r="A443" s="28" t="s">
        <v>1666</v>
      </c>
      <c r="B443" s="28">
        <v>90</v>
      </c>
      <c r="C443" s="28" t="s">
        <v>665</v>
      </c>
      <c r="D443" s="28">
        <v>2026</v>
      </c>
      <c r="E443" s="28" t="s">
        <v>389</v>
      </c>
      <c r="G443" s="28" t="s">
        <v>1666</v>
      </c>
      <c r="H443" s="28">
        <v>1400</v>
      </c>
      <c r="I443" s="28" t="s">
        <v>12</v>
      </c>
      <c r="J443" s="28">
        <v>2026</v>
      </c>
      <c r="K443" s="28" t="s">
        <v>261</v>
      </c>
    </row>
    <row r="444" spans="1:11" x14ac:dyDescent="0.3">
      <c r="A444" s="28" t="s">
        <v>1667</v>
      </c>
      <c r="B444" s="28">
        <v>90</v>
      </c>
      <c r="C444" s="28" t="s">
        <v>665</v>
      </c>
      <c r="D444" s="28">
        <v>2026</v>
      </c>
      <c r="E444" s="28" t="s">
        <v>389</v>
      </c>
      <c r="G444" s="28" t="s">
        <v>1667</v>
      </c>
      <c r="H444" s="28">
        <v>1400</v>
      </c>
      <c r="I444" s="28" t="s">
        <v>12</v>
      </c>
      <c r="J444" s="28">
        <v>2026</v>
      </c>
      <c r="K444" s="28" t="s">
        <v>261</v>
      </c>
    </row>
    <row r="445" spans="1:11" x14ac:dyDescent="0.3">
      <c r="A445" s="28" t="s">
        <v>1668</v>
      </c>
      <c r="B445" s="28">
        <v>90</v>
      </c>
      <c r="C445" s="28" t="s">
        <v>665</v>
      </c>
      <c r="D445" s="28">
        <v>2026</v>
      </c>
      <c r="E445" s="28" t="s">
        <v>389</v>
      </c>
      <c r="G445" s="28" t="s">
        <v>1668</v>
      </c>
      <c r="H445" s="28">
        <v>1400</v>
      </c>
      <c r="I445" s="28" t="s">
        <v>12</v>
      </c>
      <c r="J445" s="28">
        <v>2026</v>
      </c>
      <c r="K445" s="28" t="s">
        <v>261</v>
      </c>
    </row>
    <row r="446" spans="1:11" x14ac:dyDescent="0.3">
      <c r="A446" s="28" t="s">
        <v>1669</v>
      </c>
      <c r="B446" s="28">
        <v>90</v>
      </c>
      <c r="C446" s="28" t="s">
        <v>665</v>
      </c>
      <c r="D446" s="28">
        <v>2026</v>
      </c>
      <c r="E446" s="28" t="s">
        <v>389</v>
      </c>
      <c r="G446" s="28" t="s">
        <v>1669</v>
      </c>
      <c r="H446" s="28">
        <v>1400</v>
      </c>
      <c r="I446" s="28" t="s">
        <v>12</v>
      </c>
      <c r="J446" s="28">
        <v>2026</v>
      </c>
      <c r="K446" s="28" t="s">
        <v>261</v>
      </c>
    </row>
    <row r="447" spans="1:11" x14ac:dyDescent="0.3">
      <c r="A447" s="28" t="s">
        <v>1670</v>
      </c>
      <c r="B447" s="28">
        <v>90</v>
      </c>
      <c r="C447" s="28" t="s">
        <v>665</v>
      </c>
      <c r="D447" s="28">
        <v>2026</v>
      </c>
      <c r="E447" s="28" t="s">
        <v>389</v>
      </c>
      <c r="G447" s="28" t="s">
        <v>1670</v>
      </c>
      <c r="H447" s="28">
        <v>1400</v>
      </c>
      <c r="I447" s="28" t="s">
        <v>12</v>
      </c>
      <c r="J447" s="28">
        <v>2026</v>
      </c>
      <c r="K447" s="28" t="s">
        <v>261</v>
      </c>
    </row>
    <row r="448" spans="1:11" x14ac:dyDescent="0.3">
      <c r="A448" s="28" t="s">
        <v>1671</v>
      </c>
      <c r="B448" s="28">
        <v>120</v>
      </c>
      <c r="C448" s="28" t="s">
        <v>665</v>
      </c>
      <c r="D448" s="28">
        <v>2026</v>
      </c>
      <c r="E448" s="28" t="s">
        <v>389</v>
      </c>
      <c r="G448" s="28" t="s">
        <v>1671</v>
      </c>
      <c r="H448" s="28">
        <v>1400</v>
      </c>
      <c r="I448" s="28" t="s">
        <v>12</v>
      </c>
      <c r="J448" s="28">
        <v>2026</v>
      </c>
      <c r="K448" s="28" t="s">
        <v>261</v>
      </c>
    </row>
    <row r="449" spans="1:11" x14ac:dyDescent="0.3">
      <c r="A449" s="28" t="s">
        <v>1672</v>
      </c>
      <c r="B449" s="28">
        <v>90</v>
      </c>
      <c r="C449" s="28" t="s">
        <v>665</v>
      </c>
      <c r="D449" s="28">
        <v>2026</v>
      </c>
      <c r="E449" s="28" t="s">
        <v>389</v>
      </c>
      <c r="G449" s="28" t="s">
        <v>1672</v>
      </c>
      <c r="H449" s="28">
        <v>1400</v>
      </c>
      <c r="I449" s="28" t="s">
        <v>12</v>
      </c>
      <c r="J449" s="28">
        <v>2026</v>
      </c>
      <c r="K449" s="28" t="s">
        <v>261</v>
      </c>
    </row>
    <row r="450" spans="1:11" x14ac:dyDescent="0.3">
      <c r="A450" s="28" t="s">
        <v>1673</v>
      </c>
      <c r="B450" s="28">
        <v>90</v>
      </c>
      <c r="C450" s="28" t="s">
        <v>665</v>
      </c>
      <c r="D450" s="28">
        <v>2026</v>
      </c>
      <c r="E450" s="28" t="s">
        <v>389</v>
      </c>
      <c r="G450" s="28" t="s">
        <v>1673</v>
      </c>
      <c r="H450" s="28">
        <v>1400</v>
      </c>
      <c r="I450" s="28" t="s">
        <v>12</v>
      </c>
      <c r="J450" s="28">
        <v>2026</v>
      </c>
      <c r="K450" s="28" t="s">
        <v>261</v>
      </c>
    </row>
    <row r="451" spans="1:11" x14ac:dyDescent="0.3">
      <c r="A451" s="28" t="s">
        <v>1674</v>
      </c>
      <c r="B451" s="28">
        <v>120</v>
      </c>
      <c r="C451" s="28" t="s">
        <v>665</v>
      </c>
      <c r="D451" s="28">
        <v>2026</v>
      </c>
      <c r="E451" s="28" t="s">
        <v>389</v>
      </c>
      <c r="G451" s="28" t="s">
        <v>1674</v>
      </c>
      <c r="H451" s="28">
        <v>1400</v>
      </c>
      <c r="I451" s="28" t="s">
        <v>12</v>
      </c>
      <c r="J451" s="28">
        <v>2026</v>
      </c>
      <c r="K451" s="28" t="s">
        <v>261</v>
      </c>
    </row>
    <row r="452" spans="1:11" x14ac:dyDescent="0.3">
      <c r="A452" s="28" t="s">
        <v>1675</v>
      </c>
      <c r="B452" s="28">
        <v>120</v>
      </c>
      <c r="C452" s="28" t="s">
        <v>665</v>
      </c>
      <c r="D452" s="28">
        <v>2026</v>
      </c>
      <c r="E452" s="28" t="s">
        <v>389</v>
      </c>
      <c r="G452" s="28" t="s">
        <v>1675</v>
      </c>
      <c r="H452" s="28">
        <v>1400</v>
      </c>
      <c r="I452" s="28" t="s">
        <v>12</v>
      </c>
      <c r="J452" s="28">
        <v>2026</v>
      </c>
      <c r="K452" s="28" t="s">
        <v>261</v>
      </c>
    </row>
    <row r="453" spans="1:11" x14ac:dyDescent="0.3">
      <c r="A453" s="28" t="s">
        <v>1676</v>
      </c>
      <c r="B453" s="28">
        <v>120</v>
      </c>
      <c r="C453" s="28" t="s">
        <v>665</v>
      </c>
      <c r="D453" s="28">
        <v>2026</v>
      </c>
      <c r="E453" s="28" t="s">
        <v>389</v>
      </c>
      <c r="G453" s="28" t="s">
        <v>1676</v>
      </c>
      <c r="H453" s="28">
        <v>1400</v>
      </c>
      <c r="I453" s="28" t="s">
        <v>12</v>
      </c>
      <c r="J453" s="28">
        <v>2026</v>
      </c>
      <c r="K453" s="28" t="s">
        <v>261</v>
      </c>
    </row>
    <row r="454" spans="1:11" x14ac:dyDescent="0.3">
      <c r="A454" s="28" t="s">
        <v>1677</v>
      </c>
      <c r="B454" s="28">
        <v>120</v>
      </c>
      <c r="C454" s="28" t="s">
        <v>665</v>
      </c>
      <c r="D454" s="28">
        <v>2026</v>
      </c>
      <c r="E454" s="28" t="s">
        <v>389</v>
      </c>
      <c r="G454" s="28" t="s">
        <v>1677</v>
      </c>
      <c r="H454" s="28">
        <v>1400</v>
      </c>
      <c r="I454" s="28" t="s">
        <v>12</v>
      </c>
      <c r="J454" s="28">
        <v>2026</v>
      </c>
      <c r="K454" s="28" t="s">
        <v>261</v>
      </c>
    </row>
    <row r="455" spans="1:11" x14ac:dyDescent="0.3">
      <c r="A455" s="28" t="s">
        <v>1678</v>
      </c>
      <c r="B455" s="28">
        <v>120</v>
      </c>
      <c r="C455" s="28" t="s">
        <v>665</v>
      </c>
      <c r="D455" s="28">
        <v>2026</v>
      </c>
      <c r="E455" s="28" t="s">
        <v>389</v>
      </c>
      <c r="G455" s="28" t="s">
        <v>1678</v>
      </c>
      <c r="H455" s="28">
        <v>1400</v>
      </c>
      <c r="I455" s="28" t="s">
        <v>12</v>
      </c>
      <c r="J455" s="28">
        <v>2026</v>
      </c>
      <c r="K455" s="28" t="s">
        <v>261</v>
      </c>
    </row>
    <row r="456" spans="1:11" x14ac:dyDescent="0.3">
      <c r="A456" s="28" t="s">
        <v>1679</v>
      </c>
      <c r="B456" s="28">
        <v>120</v>
      </c>
      <c r="C456" s="28" t="s">
        <v>665</v>
      </c>
      <c r="D456" s="28">
        <v>2026</v>
      </c>
      <c r="E456" s="28" t="s">
        <v>389</v>
      </c>
      <c r="G456" s="28" t="s">
        <v>1679</v>
      </c>
      <c r="H456" s="28">
        <v>1400</v>
      </c>
      <c r="I456" s="28" t="s">
        <v>12</v>
      </c>
      <c r="J456" s="28">
        <v>2026</v>
      </c>
      <c r="K456" s="28" t="s">
        <v>261</v>
      </c>
    </row>
    <row r="457" spans="1:11" x14ac:dyDescent="0.3">
      <c r="A457" s="28" t="s">
        <v>1680</v>
      </c>
      <c r="B457" s="28">
        <v>120</v>
      </c>
      <c r="C457" s="28" t="s">
        <v>665</v>
      </c>
      <c r="D457" s="28">
        <v>2026</v>
      </c>
      <c r="E457" s="28" t="s">
        <v>389</v>
      </c>
      <c r="G457" s="28" t="s">
        <v>1680</v>
      </c>
      <c r="H457" s="28">
        <v>1400</v>
      </c>
      <c r="I457" s="28" t="s">
        <v>12</v>
      </c>
      <c r="J457" s="28">
        <v>2026</v>
      </c>
      <c r="K457" s="28" t="s">
        <v>261</v>
      </c>
    </row>
    <row r="458" spans="1:11" x14ac:dyDescent="0.3">
      <c r="A458" s="28" t="s">
        <v>1681</v>
      </c>
      <c r="B458" s="28">
        <v>120</v>
      </c>
      <c r="C458" s="28" t="s">
        <v>665</v>
      </c>
      <c r="D458" s="28">
        <v>2026</v>
      </c>
      <c r="E458" s="28" t="s">
        <v>389</v>
      </c>
      <c r="G458" s="28" t="s">
        <v>1681</v>
      </c>
      <c r="H458" s="28">
        <v>1400</v>
      </c>
      <c r="I458" s="28" t="s">
        <v>12</v>
      </c>
      <c r="J458" s="28">
        <v>2026</v>
      </c>
      <c r="K458" s="28" t="s">
        <v>261</v>
      </c>
    </row>
    <row r="459" spans="1:11" x14ac:dyDescent="0.3">
      <c r="A459" s="28" t="s">
        <v>1682</v>
      </c>
      <c r="B459" s="28">
        <v>120</v>
      </c>
      <c r="C459" s="28" t="s">
        <v>665</v>
      </c>
      <c r="D459" s="28">
        <v>2026</v>
      </c>
      <c r="E459" s="28" t="s">
        <v>389</v>
      </c>
      <c r="G459" s="28" t="s">
        <v>1682</v>
      </c>
      <c r="H459" s="28">
        <v>1400</v>
      </c>
      <c r="I459" s="28" t="s">
        <v>12</v>
      </c>
      <c r="J459" s="28">
        <v>2026</v>
      </c>
      <c r="K459" s="28" t="s">
        <v>261</v>
      </c>
    </row>
    <row r="460" spans="1:11" x14ac:dyDescent="0.3">
      <c r="A460" s="28" t="s">
        <v>1683</v>
      </c>
      <c r="B460" s="28">
        <v>120</v>
      </c>
      <c r="C460" s="28" t="s">
        <v>665</v>
      </c>
      <c r="D460" s="28">
        <v>2026</v>
      </c>
      <c r="E460" s="28" t="s">
        <v>389</v>
      </c>
      <c r="G460" s="28" t="s">
        <v>1683</v>
      </c>
      <c r="H460" s="28">
        <v>1400</v>
      </c>
      <c r="I460" s="28" t="s">
        <v>12</v>
      </c>
      <c r="J460" s="28">
        <v>2026</v>
      </c>
      <c r="K460" s="28" t="s">
        <v>261</v>
      </c>
    </row>
    <row r="461" spans="1:11" x14ac:dyDescent="0.3">
      <c r="A461" s="28" t="s">
        <v>1684</v>
      </c>
      <c r="B461" s="28">
        <v>120</v>
      </c>
      <c r="C461" s="28" t="s">
        <v>665</v>
      </c>
      <c r="D461" s="28">
        <v>2026</v>
      </c>
      <c r="E461" s="28" t="s">
        <v>389</v>
      </c>
      <c r="G461" s="28" t="s">
        <v>1684</v>
      </c>
      <c r="H461" s="28">
        <v>1400</v>
      </c>
      <c r="I461" s="28" t="s">
        <v>12</v>
      </c>
      <c r="J461" s="28">
        <v>2026</v>
      </c>
      <c r="K461" s="28" t="s">
        <v>261</v>
      </c>
    </row>
    <row r="462" spans="1:11" x14ac:dyDescent="0.3">
      <c r="A462" s="28" t="s">
        <v>1685</v>
      </c>
      <c r="B462" s="28">
        <v>120</v>
      </c>
      <c r="C462" s="28" t="s">
        <v>665</v>
      </c>
      <c r="D462" s="28">
        <v>2026</v>
      </c>
      <c r="E462" s="28" t="s">
        <v>389</v>
      </c>
      <c r="G462" s="28" t="s">
        <v>1685</v>
      </c>
      <c r="H462" s="28">
        <v>1400</v>
      </c>
      <c r="I462" s="28" t="s">
        <v>12</v>
      </c>
      <c r="J462" s="28">
        <v>2026</v>
      </c>
      <c r="K462" s="28" t="s">
        <v>261</v>
      </c>
    </row>
    <row r="463" spans="1:11" x14ac:dyDescent="0.3">
      <c r="A463" s="28" t="s">
        <v>1686</v>
      </c>
      <c r="B463" s="28">
        <v>120</v>
      </c>
      <c r="C463" s="28" t="s">
        <v>665</v>
      </c>
      <c r="D463" s="28">
        <v>2026</v>
      </c>
      <c r="E463" s="28" t="s">
        <v>389</v>
      </c>
      <c r="G463" s="28" t="s">
        <v>1686</v>
      </c>
      <c r="H463" s="28">
        <v>1400</v>
      </c>
      <c r="I463" s="28" t="s">
        <v>12</v>
      </c>
      <c r="J463" s="28">
        <v>2026</v>
      </c>
      <c r="K463" s="28" t="s">
        <v>261</v>
      </c>
    </row>
    <row r="464" spans="1:11" x14ac:dyDescent="0.3">
      <c r="A464" s="28" t="s">
        <v>1687</v>
      </c>
      <c r="B464" s="28">
        <v>120</v>
      </c>
      <c r="C464" s="28" t="s">
        <v>665</v>
      </c>
      <c r="D464" s="28">
        <v>2026</v>
      </c>
      <c r="E464" s="28" t="s">
        <v>389</v>
      </c>
      <c r="G464" s="28" t="s">
        <v>1687</v>
      </c>
      <c r="H464" s="28">
        <v>1400</v>
      </c>
      <c r="I464" s="28" t="s">
        <v>12</v>
      </c>
      <c r="J464" s="28">
        <v>2026</v>
      </c>
      <c r="K464" s="28" t="s">
        <v>261</v>
      </c>
    </row>
    <row r="465" spans="1:11" x14ac:dyDescent="0.3">
      <c r="A465" s="28" t="s">
        <v>1688</v>
      </c>
      <c r="B465" s="28">
        <v>90</v>
      </c>
      <c r="C465" s="28" t="s">
        <v>665</v>
      </c>
      <c r="D465" s="28">
        <v>2026</v>
      </c>
      <c r="E465" s="28" t="s">
        <v>389</v>
      </c>
      <c r="G465" s="28" t="s">
        <v>1688</v>
      </c>
      <c r="H465" s="28">
        <v>1700</v>
      </c>
      <c r="I465" s="28" t="s">
        <v>12</v>
      </c>
      <c r="J465" s="28">
        <v>2026</v>
      </c>
      <c r="K465" s="28" t="s">
        <v>261</v>
      </c>
    </row>
    <row r="466" spans="1:11" x14ac:dyDescent="0.3">
      <c r="A466" s="28" t="s">
        <v>1689</v>
      </c>
      <c r="B466" s="28">
        <v>90</v>
      </c>
      <c r="C466" s="28" t="s">
        <v>665</v>
      </c>
      <c r="D466" s="28">
        <v>2026</v>
      </c>
      <c r="E466" s="28" t="s">
        <v>389</v>
      </c>
      <c r="G466" s="28" t="s">
        <v>1689</v>
      </c>
      <c r="H466" s="28">
        <v>1700</v>
      </c>
      <c r="I466" s="28" t="s">
        <v>12</v>
      </c>
      <c r="J466" s="28">
        <v>2026</v>
      </c>
      <c r="K466" s="28" t="s">
        <v>261</v>
      </c>
    </row>
    <row r="467" spans="1:11" x14ac:dyDescent="0.3">
      <c r="A467" s="28" t="s">
        <v>1690</v>
      </c>
      <c r="B467" s="28">
        <v>120</v>
      </c>
      <c r="C467" s="28" t="s">
        <v>665</v>
      </c>
      <c r="D467" s="28">
        <v>2026</v>
      </c>
      <c r="E467" s="28" t="s">
        <v>389</v>
      </c>
      <c r="G467" s="28" t="s">
        <v>1690</v>
      </c>
      <c r="H467" s="28">
        <v>1700</v>
      </c>
      <c r="I467" s="28" t="s">
        <v>12</v>
      </c>
      <c r="J467" s="28">
        <v>2026</v>
      </c>
      <c r="K467" s="28" t="s">
        <v>261</v>
      </c>
    </row>
    <row r="468" spans="1:11" x14ac:dyDescent="0.3">
      <c r="A468" s="28" t="s">
        <v>1691</v>
      </c>
      <c r="B468" s="28">
        <v>90</v>
      </c>
      <c r="C468" s="28" t="s">
        <v>665</v>
      </c>
      <c r="D468" s="28">
        <v>2026</v>
      </c>
      <c r="E468" s="28" t="s">
        <v>389</v>
      </c>
      <c r="G468" s="28" t="s">
        <v>1691</v>
      </c>
      <c r="H468" s="28">
        <v>1100</v>
      </c>
      <c r="I468" s="28" t="s">
        <v>12</v>
      </c>
      <c r="J468" s="28">
        <v>2026</v>
      </c>
      <c r="K468" s="28" t="s">
        <v>261</v>
      </c>
    </row>
    <row r="469" spans="1:11" x14ac:dyDescent="0.3">
      <c r="A469" s="28" t="s">
        <v>1692</v>
      </c>
      <c r="B469" s="28">
        <v>90</v>
      </c>
      <c r="C469" s="28" t="s">
        <v>665</v>
      </c>
      <c r="D469" s="28">
        <v>2026</v>
      </c>
      <c r="E469" s="28" t="s">
        <v>389</v>
      </c>
      <c r="G469" s="28" t="s">
        <v>1692</v>
      </c>
      <c r="H469" s="28">
        <v>1100</v>
      </c>
      <c r="I469" s="28" t="s">
        <v>12</v>
      </c>
      <c r="J469" s="28">
        <v>2026</v>
      </c>
      <c r="K469" s="28" t="s">
        <v>261</v>
      </c>
    </row>
    <row r="470" spans="1:11" x14ac:dyDescent="0.3">
      <c r="A470" s="28" t="s">
        <v>1693</v>
      </c>
      <c r="B470" s="28">
        <v>120</v>
      </c>
      <c r="C470" s="28" t="s">
        <v>665</v>
      </c>
      <c r="D470" s="28">
        <v>2026</v>
      </c>
      <c r="E470" s="28" t="s">
        <v>389</v>
      </c>
      <c r="G470" s="28" t="s">
        <v>1693</v>
      </c>
      <c r="H470" s="28">
        <v>900</v>
      </c>
      <c r="I470" s="28" t="s">
        <v>12</v>
      </c>
      <c r="J470" s="28">
        <v>2026</v>
      </c>
      <c r="K470" s="28" t="s">
        <v>261</v>
      </c>
    </row>
    <row r="471" spans="1:11" x14ac:dyDescent="0.3">
      <c r="A471" s="28" t="s">
        <v>1694</v>
      </c>
      <c r="B471" s="28">
        <v>120</v>
      </c>
      <c r="C471" s="28" t="s">
        <v>665</v>
      </c>
      <c r="D471" s="28">
        <v>2026</v>
      </c>
      <c r="E471" s="28" t="s">
        <v>389</v>
      </c>
      <c r="G471" s="28" t="s">
        <v>1694</v>
      </c>
      <c r="H471" s="28">
        <v>900</v>
      </c>
      <c r="I471" s="28" t="s">
        <v>12</v>
      </c>
      <c r="J471" s="28">
        <v>2026</v>
      </c>
      <c r="K471" s="28" t="s">
        <v>261</v>
      </c>
    </row>
    <row r="472" spans="1:11" x14ac:dyDescent="0.3">
      <c r="A472" s="28" t="s">
        <v>1695</v>
      </c>
      <c r="B472" s="28">
        <v>90</v>
      </c>
      <c r="C472" s="28" t="s">
        <v>665</v>
      </c>
      <c r="D472" s="28">
        <v>2026</v>
      </c>
      <c r="E472" s="28" t="s">
        <v>389</v>
      </c>
      <c r="G472" s="28" t="s">
        <v>1695</v>
      </c>
      <c r="H472" s="28">
        <v>900</v>
      </c>
      <c r="I472" s="28" t="s">
        <v>12</v>
      </c>
      <c r="J472" s="28">
        <v>2026</v>
      </c>
      <c r="K472" s="28" t="s">
        <v>261</v>
      </c>
    </row>
    <row r="473" spans="1:11" x14ac:dyDescent="0.3">
      <c r="A473" s="28" t="s">
        <v>1696</v>
      </c>
      <c r="B473" s="28">
        <v>90</v>
      </c>
      <c r="C473" s="28" t="s">
        <v>665</v>
      </c>
      <c r="D473" s="28">
        <v>2026</v>
      </c>
      <c r="E473" s="28" t="s">
        <v>389</v>
      </c>
      <c r="G473" s="28" t="s">
        <v>1696</v>
      </c>
      <c r="H473" s="28">
        <v>900</v>
      </c>
      <c r="I473" s="28" t="s">
        <v>12</v>
      </c>
      <c r="J473" s="28">
        <v>2026</v>
      </c>
      <c r="K473" s="28" t="s">
        <v>261</v>
      </c>
    </row>
    <row r="474" spans="1:11" x14ac:dyDescent="0.3">
      <c r="A474" s="28" t="s">
        <v>1697</v>
      </c>
      <c r="B474" s="28">
        <v>0</v>
      </c>
      <c r="C474" s="28" t="s">
        <v>665</v>
      </c>
      <c r="D474" s="28">
        <v>2026</v>
      </c>
      <c r="E474" s="28" t="s">
        <v>1215</v>
      </c>
      <c r="G474" s="28" t="s">
        <v>1697</v>
      </c>
      <c r="H474" s="28">
        <v>250</v>
      </c>
      <c r="I474" s="28" t="s">
        <v>12</v>
      </c>
      <c r="J474" s="28">
        <v>2026</v>
      </c>
      <c r="K474" s="28" t="s">
        <v>261</v>
      </c>
    </row>
    <row r="475" spans="1:11" x14ac:dyDescent="0.3">
      <c r="A475" s="28" t="s">
        <v>1698</v>
      </c>
      <c r="B475" s="28">
        <v>90</v>
      </c>
      <c r="C475" s="28" t="s">
        <v>665</v>
      </c>
      <c r="D475" s="28">
        <v>2026</v>
      </c>
      <c r="E475" s="28" t="s">
        <v>389</v>
      </c>
      <c r="G475" s="28" t="s">
        <v>1698</v>
      </c>
      <c r="H475" s="28">
        <v>900</v>
      </c>
      <c r="I475" s="28" t="s">
        <v>12</v>
      </c>
      <c r="J475" s="28">
        <v>2026</v>
      </c>
      <c r="K475" s="28" t="s">
        <v>261</v>
      </c>
    </row>
    <row r="476" spans="1:11" x14ac:dyDescent="0.3">
      <c r="A476" s="28" t="s">
        <v>1699</v>
      </c>
      <c r="B476" s="28">
        <v>120</v>
      </c>
      <c r="C476" s="28" t="s">
        <v>665</v>
      </c>
      <c r="D476" s="28">
        <v>2026</v>
      </c>
      <c r="E476" s="28" t="s">
        <v>389</v>
      </c>
      <c r="G476" s="28" t="s">
        <v>1699</v>
      </c>
      <c r="H476" s="28">
        <v>900</v>
      </c>
      <c r="I476" s="28" t="s">
        <v>12</v>
      </c>
      <c r="J476" s="28">
        <v>2026</v>
      </c>
      <c r="K476" s="28" t="s">
        <v>261</v>
      </c>
    </row>
    <row r="477" spans="1:11" x14ac:dyDescent="0.3">
      <c r="A477" s="28" t="s">
        <v>1700</v>
      </c>
      <c r="B477" s="28">
        <v>120</v>
      </c>
      <c r="C477" s="28" t="s">
        <v>665</v>
      </c>
      <c r="D477" s="28">
        <v>2026</v>
      </c>
      <c r="E477" s="28" t="s">
        <v>389</v>
      </c>
      <c r="G477" s="28" t="s">
        <v>1700</v>
      </c>
      <c r="H477" s="28">
        <v>900</v>
      </c>
      <c r="I477" s="28" t="s">
        <v>12</v>
      </c>
      <c r="J477" s="28">
        <v>2026</v>
      </c>
      <c r="K477" s="28" t="s">
        <v>261</v>
      </c>
    </row>
    <row r="478" spans="1:11" x14ac:dyDescent="0.3">
      <c r="A478" s="28" t="s">
        <v>1701</v>
      </c>
      <c r="B478" s="28">
        <v>120</v>
      </c>
      <c r="C478" s="28" t="s">
        <v>665</v>
      </c>
      <c r="D478" s="28">
        <v>2026</v>
      </c>
      <c r="E478" s="28" t="s">
        <v>389</v>
      </c>
      <c r="G478" s="28" t="s">
        <v>1701</v>
      </c>
      <c r="H478" s="28">
        <v>900</v>
      </c>
      <c r="I478" s="28" t="s">
        <v>12</v>
      </c>
      <c r="J478" s="28">
        <v>2026</v>
      </c>
      <c r="K478" s="28" t="s">
        <v>261</v>
      </c>
    </row>
    <row r="479" spans="1:11" x14ac:dyDescent="0.3">
      <c r="A479" s="28" t="s">
        <v>1702</v>
      </c>
      <c r="B479" s="28">
        <v>120</v>
      </c>
      <c r="C479" s="28" t="s">
        <v>665</v>
      </c>
      <c r="D479" s="28">
        <v>2026</v>
      </c>
      <c r="E479" s="28" t="s">
        <v>389</v>
      </c>
      <c r="G479" s="28" t="s">
        <v>1702</v>
      </c>
      <c r="H479" s="28">
        <v>900</v>
      </c>
      <c r="I479" s="28" t="s">
        <v>12</v>
      </c>
      <c r="J479" s="28">
        <v>2026</v>
      </c>
      <c r="K479" s="28" t="s">
        <v>261</v>
      </c>
    </row>
    <row r="480" spans="1:11" x14ac:dyDescent="0.3">
      <c r="A480" s="28" t="s">
        <v>1703</v>
      </c>
      <c r="B480" s="28">
        <v>120</v>
      </c>
      <c r="C480" s="28" t="s">
        <v>665</v>
      </c>
      <c r="D480" s="28">
        <v>2026</v>
      </c>
      <c r="E480" s="28" t="s">
        <v>389</v>
      </c>
      <c r="G480" s="28" t="s">
        <v>1703</v>
      </c>
      <c r="H480" s="28">
        <v>1500</v>
      </c>
      <c r="I480" s="28" t="s">
        <v>12</v>
      </c>
      <c r="J480" s="28">
        <v>2026</v>
      </c>
      <c r="K480" s="28" t="s">
        <v>261</v>
      </c>
    </row>
    <row r="481" spans="1:11" x14ac:dyDescent="0.3">
      <c r="A481" s="28" t="s">
        <v>1704</v>
      </c>
      <c r="B481" s="28">
        <v>120</v>
      </c>
      <c r="C481" s="28" t="s">
        <v>665</v>
      </c>
      <c r="D481" s="28">
        <v>2026</v>
      </c>
      <c r="E481" s="28" t="s">
        <v>389</v>
      </c>
      <c r="G481" s="28" t="s">
        <v>1704</v>
      </c>
      <c r="H481" s="28">
        <v>1500</v>
      </c>
      <c r="I481" s="28" t="s">
        <v>12</v>
      </c>
      <c r="J481" s="28">
        <v>2026</v>
      </c>
      <c r="K481" s="28" t="s">
        <v>261</v>
      </c>
    </row>
    <row r="482" spans="1:11" x14ac:dyDescent="0.3">
      <c r="A482" s="28" t="s">
        <v>1705</v>
      </c>
      <c r="B482" s="28">
        <v>120</v>
      </c>
      <c r="C482" s="28" t="s">
        <v>665</v>
      </c>
      <c r="D482" s="28">
        <v>2026</v>
      </c>
      <c r="E482" s="28" t="s">
        <v>389</v>
      </c>
      <c r="G482" s="28" t="s">
        <v>1705</v>
      </c>
      <c r="H482" s="28">
        <v>1500</v>
      </c>
      <c r="I482" s="28" t="s">
        <v>12</v>
      </c>
      <c r="J482" s="28">
        <v>2026</v>
      </c>
      <c r="K482" s="28" t="s">
        <v>261</v>
      </c>
    </row>
    <row r="483" spans="1:11" x14ac:dyDescent="0.3">
      <c r="A483" s="28" t="s">
        <v>1706</v>
      </c>
      <c r="B483" s="28">
        <v>120</v>
      </c>
      <c r="C483" s="28" t="s">
        <v>665</v>
      </c>
      <c r="D483" s="28">
        <v>2026</v>
      </c>
      <c r="E483" s="28" t="s">
        <v>389</v>
      </c>
      <c r="G483" s="28" t="s">
        <v>1706</v>
      </c>
      <c r="H483" s="28">
        <v>1500</v>
      </c>
      <c r="I483" s="28" t="s">
        <v>12</v>
      </c>
      <c r="J483" s="28">
        <v>2026</v>
      </c>
      <c r="K483" s="28" t="s">
        <v>261</v>
      </c>
    </row>
    <row r="484" spans="1:11" x14ac:dyDescent="0.3">
      <c r="A484" s="28" t="s">
        <v>1707</v>
      </c>
      <c r="B484" s="28">
        <v>120</v>
      </c>
      <c r="C484" s="28" t="s">
        <v>665</v>
      </c>
      <c r="D484" s="28">
        <v>2026</v>
      </c>
      <c r="E484" s="28" t="s">
        <v>389</v>
      </c>
      <c r="G484" s="28" t="s">
        <v>1707</v>
      </c>
      <c r="H484" s="28">
        <v>1500</v>
      </c>
      <c r="I484" s="28" t="s">
        <v>12</v>
      </c>
      <c r="J484" s="28">
        <v>2026</v>
      </c>
      <c r="K484" s="28" t="s">
        <v>261</v>
      </c>
    </row>
    <row r="485" spans="1:11" x14ac:dyDescent="0.3">
      <c r="A485" s="28" t="s">
        <v>1708</v>
      </c>
      <c r="B485" s="28">
        <v>120</v>
      </c>
      <c r="C485" s="28" t="s">
        <v>665</v>
      </c>
      <c r="D485" s="28">
        <v>2026</v>
      </c>
      <c r="E485" s="28" t="s">
        <v>389</v>
      </c>
      <c r="G485" s="28" t="s">
        <v>1708</v>
      </c>
      <c r="H485" s="28">
        <v>1500</v>
      </c>
      <c r="I485" s="28" t="s">
        <v>12</v>
      </c>
      <c r="J485" s="28">
        <v>2026</v>
      </c>
      <c r="K485" s="28" t="s">
        <v>261</v>
      </c>
    </row>
    <row r="486" spans="1:11" x14ac:dyDescent="0.3">
      <c r="A486" s="28" t="s">
        <v>1709</v>
      </c>
      <c r="B486" s="28">
        <v>120</v>
      </c>
      <c r="C486" s="28" t="s">
        <v>665</v>
      </c>
      <c r="D486" s="28">
        <v>2026</v>
      </c>
      <c r="E486" s="28" t="s">
        <v>389</v>
      </c>
      <c r="G486" s="28" t="s">
        <v>1709</v>
      </c>
      <c r="H486" s="28">
        <v>1500</v>
      </c>
      <c r="I486" s="28" t="s">
        <v>12</v>
      </c>
      <c r="J486" s="28">
        <v>2026</v>
      </c>
      <c r="K486" s="28" t="s">
        <v>261</v>
      </c>
    </row>
    <row r="487" spans="1:11" x14ac:dyDescent="0.3">
      <c r="A487" s="28" t="s">
        <v>1710</v>
      </c>
      <c r="B487" s="28">
        <v>120</v>
      </c>
      <c r="C487" s="28" t="s">
        <v>665</v>
      </c>
      <c r="D487" s="28">
        <v>2026</v>
      </c>
      <c r="E487" s="28" t="s">
        <v>389</v>
      </c>
      <c r="G487" s="28" t="s">
        <v>1710</v>
      </c>
      <c r="H487" s="28">
        <v>1500</v>
      </c>
      <c r="I487" s="28" t="s">
        <v>12</v>
      </c>
      <c r="J487" s="28">
        <v>2026</v>
      </c>
      <c r="K487" s="28" t="s">
        <v>261</v>
      </c>
    </row>
    <row r="488" spans="1:11" x14ac:dyDescent="0.3">
      <c r="A488" s="28" t="s">
        <v>1711</v>
      </c>
      <c r="B488" s="28">
        <v>120</v>
      </c>
      <c r="C488" s="28" t="s">
        <v>665</v>
      </c>
      <c r="D488" s="28">
        <v>2026</v>
      </c>
      <c r="E488" s="28" t="s">
        <v>389</v>
      </c>
      <c r="G488" s="28" t="s">
        <v>1711</v>
      </c>
      <c r="H488" s="28">
        <v>2000</v>
      </c>
      <c r="I488" s="28" t="s">
        <v>12</v>
      </c>
      <c r="J488" s="28">
        <v>2026</v>
      </c>
      <c r="K488" s="28" t="s">
        <v>261</v>
      </c>
    </row>
    <row r="489" spans="1:11" x14ac:dyDescent="0.3">
      <c r="A489" s="28" t="s">
        <v>1712</v>
      </c>
      <c r="B489" s="28">
        <v>120</v>
      </c>
      <c r="C489" s="28" t="s">
        <v>665</v>
      </c>
      <c r="D489" s="28">
        <v>2026</v>
      </c>
      <c r="E489" s="28" t="s">
        <v>389</v>
      </c>
      <c r="G489" s="28" t="s">
        <v>1712</v>
      </c>
      <c r="H489" s="28">
        <v>2000</v>
      </c>
      <c r="I489" s="28" t="s">
        <v>12</v>
      </c>
      <c r="J489" s="28">
        <v>2026</v>
      </c>
      <c r="K489" s="28" t="s">
        <v>261</v>
      </c>
    </row>
    <row r="490" spans="1:11" x14ac:dyDescent="0.3">
      <c r="A490" s="28" t="s">
        <v>1713</v>
      </c>
      <c r="B490" s="28">
        <v>120</v>
      </c>
      <c r="C490" s="28" t="s">
        <v>665</v>
      </c>
      <c r="D490" s="28">
        <v>2026</v>
      </c>
      <c r="E490" s="28" t="s">
        <v>389</v>
      </c>
      <c r="G490" s="28" t="s">
        <v>1713</v>
      </c>
      <c r="H490" s="28">
        <v>2000</v>
      </c>
      <c r="I490" s="28" t="s">
        <v>12</v>
      </c>
      <c r="J490" s="28">
        <v>2026</v>
      </c>
      <c r="K490" s="28" t="s">
        <v>261</v>
      </c>
    </row>
    <row r="491" spans="1:11" x14ac:dyDescent="0.3">
      <c r="A491" s="28" t="s">
        <v>1714</v>
      </c>
      <c r="B491" s="28">
        <v>120</v>
      </c>
      <c r="C491" s="28" t="s">
        <v>665</v>
      </c>
      <c r="D491" s="28">
        <v>2026</v>
      </c>
      <c r="E491" s="28" t="s">
        <v>389</v>
      </c>
      <c r="G491" s="28" t="s">
        <v>1714</v>
      </c>
      <c r="H491" s="28">
        <v>2000</v>
      </c>
      <c r="I491" s="28" t="s">
        <v>12</v>
      </c>
      <c r="J491" s="28">
        <v>2026</v>
      </c>
      <c r="K491" s="28" t="s">
        <v>261</v>
      </c>
    </row>
    <row r="492" spans="1:11" x14ac:dyDescent="0.3">
      <c r="A492" s="28" t="s">
        <v>1715</v>
      </c>
      <c r="B492" s="28">
        <v>120</v>
      </c>
      <c r="C492" s="28" t="s">
        <v>665</v>
      </c>
      <c r="D492" s="28">
        <v>2026</v>
      </c>
      <c r="E492" s="28" t="s">
        <v>389</v>
      </c>
      <c r="G492" s="28" t="s">
        <v>1715</v>
      </c>
      <c r="H492" s="28">
        <v>2000</v>
      </c>
      <c r="I492" s="28" t="s">
        <v>12</v>
      </c>
      <c r="J492" s="28">
        <v>2026</v>
      </c>
      <c r="K492" s="28" t="s">
        <v>261</v>
      </c>
    </row>
    <row r="493" spans="1:11" x14ac:dyDescent="0.3">
      <c r="A493" s="28" t="s">
        <v>1716</v>
      </c>
      <c r="B493" s="28">
        <v>120</v>
      </c>
      <c r="C493" s="28" t="s">
        <v>665</v>
      </c>
      <c r="D493" s="28">
        <v>2026</v>
      </c>
      <c r="E493" s="28" t="s">
        <v>389</v>
      </c>
      <c r="G493" s="28" t="s">
        <v>1716</v>
      </c>
      <c r="H493" s="28">
        <v>1400</v>
      </c>
      <c r="I493" s="28" t="s">
        <v>12</v>
      </c>
      <c r="J493" s="28">
        <v>2026</v>
      </c>
      <c r="K493" s="28" t="s">
        <v>261</v>
      </c>
    </row>
    <row r="494" spans="1:11" x14ac:dyDescent="0.3">
      <c r="A494" s="28" t="s">
        <v>1717</v>
      </c>
      <c r="B494" s="28">
        <v>2920</v>
      </c>
      <c r="C494" s="28" t="s">
        <v>726</v>
      </c>
      <c r="D494" s="28">
        <v>2026</v>
      </c>
      <c r="E494" s="28" t="s">
        <v>389</v>
      </c>
      <c r="G494" s="28" t="s">
        <v>1717</v>
      </c>
      <c r="H494" s="28">
        <v>850</v>
      </c>
      <c r="I494" s="28" t="s">
        <v>12</v>
      </c>
      <c r="J494" s="28">
        <v>2026</v>
      </c>
      <c r="K494" s="28" t="s">
        <v>261</v>
      </c>
    </row>
    <row r="495" spans="1:11" x14ac:dyDescent="0.3">
      <c r="A495" s="28" t="s">
        <v>1718</v>
      </c>
      <c r="B495" s="28">
        <v>2920</v>
      </c>
      <c r="C495" s="28" t="s">
        <v>726</v>
      </c>
      <c r="D495" s="28">
        <v>2026</v>
      </c>
      <c r="E495" s="28" t="s">
        <v>389</v>
      </c>
      <c r="G495" s="28" t="s">
        <v>1718</v>
      </c>
      <c r="H495" s="28">
        <v>850</v>
      </c>
      <c r="I495" s="28" t="s">
        <v>12</v>
      </c>
      <c r="J495" s="28">
        <v>2026</v>
      </c>
      <c r="K495" s="28" t="s">
        <v>261</v>
      </c>
    </row>
    <row r="496" spans="1:11" x14ac:dyDescent="0.3">
      <c r="A496" s="28" t="s">
        <v>1719</v>
      </c>
      <c r="B496" s="28">
        <v>2920</v>
      </c>
      <c r="C496" s="28" t="s">
        <v>726</v>
      </c>
      <c r="D496" s="28">
        <v>2026</v>
      </c>
      <c r="E496" s="28" t="s">
        <v>389</v>
      </c>
      <c r="G496" s="28" t="s">
        <v>1719</v>
      </c>
      <c r="H496" s="28">
        <v>850</v>
      </c>
      <c r="I496" s="28" t="s">
        <v>12</v>
      </c>
      <c r="J496" s="28">
        <v>2026</v>
      </c>
      <c r="K496" s="28" t="s">
        <v>261</v>
      </c>
    </row>
    <row r="497" spans="1:11" x14ac:dyDescent="0.3">
      <c r="A497" s="28" t="s">
        <v>1720</v>
      </c>
      <c r="B497" s="28">
        <v>2920</v>
      </c>
      <c r="C497" s="28" t="s">
        <v>726</v>
      </c>
      <c r="D497" s="28">
        <v>2026</v>
      </c>
      <c r="E497" s="28" t="s">
        <v>389</v>
      </c>
      <c r="G497" s="28" t="s">
        <v>1720</v>
      </c>
      <c r="H497" s="28">
        <v>850</v>
      </c>
      <c r="I497" s="28" t="s">
        <v>12</v>
      </c>
      <c r="J497" s="28">
        <v>2026</v>
      </c>
      <c r="K497" s="28" t="s">
        <v>261</v>
      </c>
    </row>
    <row r="498" spans="1:11" x14ac:dyDescent="0.3">
      <c r="A498" s="28" t="s">
        <v>1721</v>
      </c>
      <c r="B498" s="28">
        <v>2920</v>
      </c>
      <c r="C498" s="28" t="s">
        <v>726</v>
      </c>
      <c r="D498" s="28">
        <v>2026</v>
      </c>
      <c r="E498" s="28" t="s">
        <v>389</v>
      </c>
      <c r="G498" s="28" t="s">
        <v>1721</v>
      </c>
      <c r="H498" s="28">
        <v>850</v>
      </c>
      <c r="I498" s="28" t="s">
        <v>12</v>
      </c>
      <c r="J498" s="28">
        <v>2026</v>
      </c>
      <c r="K498" s="28" t="s">
        <v>261</v>
      </c>
    </row>
    <row r="499" spans="1:11" x14ac:dyDescent="0.3">
      <c r="A499" s="28" t="s">
        <v>1722</v>
      </c>
      <c r="B499" s="28">
        <v>2920</v>
      </c>
      <c r="C499" s="28" t="s">
        <v>726</v>
      </c>
      <c r="D499" s="28">
        <v>2026</v>
      </c>
      <c r="E499" s="28" t="s">
        <v>389</v>
      </c>
      <c r="G499" s="28" t="s">
        <v>1722</v>
      </c>
      <c r="H499" s="28">
        <v>850</v>
      </c>
      <c r="I499" s="28" t="s">
        <v>12</v>
      </c>
      <c r="J499" s="28">
        <v>2026</v>
      </c>
      <c r="K499" s="28" t="s">
        <v>261</v>
      </c>
    </row>
    <row r="500" spans="1:11" x14ac:dyDescent="0.3">
      <c r="A500" s="28" t="s">
        <v>1723</v>
      </c>
      <c r="B500" s="28">
        <v>2920</v>
      </c>
      <c r="C500" s="28" t="s">
        <v>726</v>
      </c>
      <c r="D500" s="28">
        <v>2026</v>
      </c>
      <c r="E500" s="28" t="s">
        <v>389</v>
      </c>
      <c r="G500" s="28" t="s">
        <v>1723</v>
      </c>
      <c r="H500" s="28">
        <v>850</v>
      </c>
      <c r="I500" s="28" t="s">
        <v>12</v>
      </c>
      <c r="J500" s="28">
        <v>2026</v>
      </c>
      <c r="K500" s="28" t="s">
        <v>261</v>
      </c>
    </row>
    <row r="501" spans="1:11" x14ac:dyDescent="0.3">
      <c r="A501" s="28" t="s">
        <v>1724</v>
      </c>
      <c r="B501" s="28">
        <v>2920</v>
      </c>
      <c r="C501" s="28" t="s">
        <v>726</v>
      </c>
      <c r="D501" s="28">
        <v>2026</v>
      </c>
      <c r="E501" s="28" t="s">
        <v>389</v>
      </c>
      <c r="G501" s="28" t="s">
        <v>1724</v>
      </c>
      <c r="H501" s="28">
        <v>1050</v>
      </c>
      <c r="I501" s="28" t="s">
        <v>12</v>
      </c>
      <c r="J501" s="28">
        <v>2026</v>
      </c>
      <c r="K501" s="28" t="s">
        <v>261</v>
      </c>
    </row>
    <row r="502" spans="1:11" x14ac:dyDescent="0.3">
      <c r="A502" s="28" t="s">
        <v>1725</v>
      </c>
      <c r="B502" s="28">
        <v>2920</v>
      </c>
      <c r="C502" s="28" t="s">
        <v>726</v>
      </c>
      <c r="D502" s="28">
        <v>2026</v>
      </c>
      <c r="E502" s="28" t="s">
        <v>389</v>
      </c>
      <c r="G502" s="28" t="s">
        <v>1725</v>
      </c>
      <c r="H502" s="28">
        <v>1050</v>
      </c>
      <c r="I502" s="28" t="s">
        <v>12</v>
      </c>
      <c r="J502" s="28">
        <v>2026</v>
      </c>
      <c r="K502" s="28" t="s">
        <v>261</v>
      </c>
    </row>
    <row r="503" spans="1:11" x14ac:dyDescent="0.3">
      <c r="A503" s="28" t="s">
        <v>1726</v>
      </c>
      <c r="B503" s="28">
        <v>2920</v>
      </c>
      <c r="C503" s="28" t="s">
        <v>726</v>
      </c>
      <c r="D503" s="28">
        <v>2026</v>
      </c>
      <c r="E503" s="28" t="s">
        <v>389</v>
      </c>
      <c r="G503" s="28" t="s">
        <v>1726</v>
      </c>
      <c r="H503" s="28">
        <v>1050</v>
      </c>
      <c r="I503" s="28" t="s">
        <v>12</v>
      </c>
      <c r="J503" s="28">
        <v>2026</v>
      </c>
      <c r="K503" s="28" t="s">
        <v>261</v>
      </c>
    </row>
    <row r="504" spans="1:11" x14ac:dyDescent="0.3">
      <c r="A504" s="28" t="s">
        <v>1727</v>
      </c>
      <c r="B504" s="28">
        <v>2920</v>
      </c>
      <c r="C504" s="28" t="s">
        <v>726</v>
      </c>
      <c r="D504" s="28">
        <v>2026</v>
      </c>
      <c r="E504" s="28" t="s">
        <v>389</v>
      </c>
      <c r="G504" s="28" t="s">
        <v>1727</v>
      </c>
      <c r="H504" s="28">
        <v>1050</v>
      </c>
      <c r="I504" s="28" t="s">
        <v>12</v>
      </c>
      <c r="J504" s="28">
        <v>2026</v>
      </c>
      <c r="K504" s="28" t="s">
        <v>261</v>
      </c>
    </row>
    <row r="505" spans="1:11" x14ac:dyDescent="0.3">
      <c r="A505" s="28" t="s">
        <v>1728</v>
      </c>
      <c r="B505" s="28">
        <v>2920</v>
      </c>
      <c r="C505" s="28" t="s">
        <v>726</v>
      </c>
      <c r="D505" s="28">
        <v>2026</v>
      </c>
      <c r="E505" s="28" t="s">
        <v>389</v>
      </c>
      <c r="G505" s="28" t="s">
        <v>1728</v>
      </c>
      <c r="H505" s="28">
        <v>1050</v>
      </c>
      <c r="I505" s="28" t="s">
        <v>12</v>
      </c>
      <c r="J505" s="28">
        <v>2026</v>
      </c>
      <c r="K505" s="28" t="s">
        <v>261</v>
      </c>
    </row>
    <row r="506" spans="1:11" x14ac:dyDescent="0.3">
      <c r="A506" s="28" t="s">
        <v>1729</v>
      </c>
      <c r="B506" s="28">
        <v>2920</v>
      </c>
      <c r="C506" s="28" t="s">
        <v>726</v>
      </c>
      <c r="D506" s="28">
        <v>2026</v>
      </c>
      <c r="E506" s="28" t="s">
        <v>389</v>
      </c>
      <c r="G506" s="28" t="s">
        <v>1729</v>
      </c>
      <c r="H506" s="28">
        <v>1050</v>
      </c>
      <c r="I506" s="28" t="s">
        <v>12</v>
      </c>
      <c r="J506" s="28">
        <v>2026</v>
      </c>
      <c r="K506" s="28" t="s">
        <v>261</v>
      </c>
    </row>
    <row r="507" spans="1:11" x14ac:dyDescent="0.3">
      <c r="A507" s="28" t="s">
        <v>1730</v>
      </c>
      <c r="B507" s="28">
        <v>2920</v>
      </c>
      <c r="C507" s="28" t="s">
        <v>726</v>
      </c>
      <c r="D507" s="28">
        <v>2026</v>
      </c>
      <c r="E507" s="28" t="s">
        <v>389</v>
      </c>
      <c r="G507" s="28" t="s">
        <v>1730</v>
      </c>
      <c r="H507" s="28">
        <v>1150</v>
      </c>
      <c r="I507" s="28" t="s">
        <v>12</v>
      </c>
      <c r="J507" s="28">
        <v>2026</v>
      </c>
      <c r="K507" s="28" t="s">
        <v>261</v>
      </c>
    </row>
    <row r="508" spans="1:11" x14ac:dyDescent="0.3">
      <c r="A508" s="28" t="s">
        <v>1731</v>
      </c>
      <c r="B508" s="28">
        <v>2920</v>
      </c>
      <c r="C508" s="28" t="s">
        <v>726</v>
      </c>
      <c r="D508" s="28">
        <v>2026</v>
      </c>
      <c r="E508" s="28" t="s">
        <v>389</v>
      </c>
      <c r="G508" s="28" t="s">
        <v>1731</v>
      </c>
      <c r="H508" s="28">
        <v>1150</v>
      </c>
      <c r="I508" s="28" t="s">
        <v>12</v>
      </c>
      <c r="J508" s="28">
        <v>2026</v>
      </c>
      <c r="K508" s="28" t="s">
        <v>261</v>
      </c>
    </row>
    <row r="509" spans="1:11" x14ac:dyDescent="0.3">
      <c r="A509" s="28" t="s">
        <v>1732</v>
      </c>
      <c r="B509" s="28">
        <v>2920</v>
      </c>
      <c r="C509" s="28" t="s">
        <v>726</v>
      </c>
      <c r="D509" s="28">
        <v>2026</v>
      </c>
      <c r="E509" s="28" t="s">
        <v>389</v>
      </c>
      <c r="G509" s="28" t="s">
        <v>1732</v>
      </c>
      <c r="H509" s="28">
        <v>1150</v>
      </c>
      <c r="I509" s="28" t="s">
        <v>12</v>
      </c>
      <c r="J509" s="28">
        <v>2026</v>
      </c>
      <c r="K509" s="28" t="s">
        <v>261</v>
      </c>
    </row>
    <row r="510" spans="1:11" x14ac:dyDescent="0.3">
      <c r="A510" s="28" t="s">
        <v>1733</v>
      </c>
      <c r="B510" s="28">
        <v>2920</v>
      </c>
      <c r="C510" s="28" t="s">
        <v>726</v>
      </c>
      <c r="D510" s="28">
        <v>2026</v>
      </c>
      <c r="E510" s="28" t="s">
        <v>389</v>
      </c>
      <c r="G510" s="28" t="s">
        <v>1733</v>
      </c>
      <c r="H510" s="28">
        <v>1150</v>
      </c>
      <c r="I510" s="28" t="s">
        <v>12</v>
      </c>
      <c r="J510" s="28">
        <v>2026</v>
      </c>
      <c r="K510" s="28" t="s">
        <v>261</v>
      </c>
    </row>
    <row r="511" spans="1:11" x14ac:dyDescent="0.3">
      <c r="A511" s="28" t="s">
        <v>1734</v>
      </c>
      <c r="B511" s="28">
        <v>2920</v>
      </c>
      <c r="C511" s="28" t="s">
        <v>726</v>
      </c>
      <c r="D511" s="28">
        <v>2026</v>
      </c>
      <c r="E511" s="28" t="s">
        <v>389</v>
      </c>
      <c r="G511" s="28" t="s">
        <v>1734</v>
      </c>
      <c r="H511" s="28">
        <v>1150</v>
      </c>
      <c r="I511" s="28" t="s">
        <v>12</v>
      </c>
      <c r="J511" s="28">
        <v>2026</v>
      </c>
      <c r="K511" s="28" t="s">
        <v>261</v>
      </c>
    </row>
    <row r="512" spans="1:11" x14ac:dyDescent="0.3">
      <c r="A512" s="28" t="s">
        <v>1735</v>
      </c>
      <c r="B512" s="28">
        <v>2920</v>
      </c>
      <c r="C512" s="28" t="s">
        <v>726</v>
      </c>
      <c r="D512" s="28">
        <v>2026</v>
      </c>
      <c r="E512" s="28" t="s">
        <v>389</v>
      </c>
      <c r="G512" s="28" t="s">
        <v>1735</v>
      </c>
      <c r="H512" s="28">
        <v>1150</v>
      </c>
      <c r="I512" s="28" t="s">
        <v>12</v>
      </c>
      <c r="J512" s="28">
        <v>2026</v>
      </c>
      <c r="K512" s="28" t="s">
        <v>261</v>
      </c>
    </row>
    <row r="513" spans="1:11" x14ac:dyDescent="0.3">
      <c r="A513" s="28" t="s">
        <v>1736</v>
      </c>
      <c r="B513" s="28">
        <v>2920</v>
      </c>
      <c r="C513" s="28" t="s">
        <v>726</v>
      </c>
      <c r="D513" s="28">
        <v>2026</v>
      </c>
      <c r="E513" s="28" t="s">
        <v>389</v>
      </c>
      <c r="G513" s="28" t="s">
        <v>1736</v>
      </c>
      <c r="H513" s="28">
        <v>1350</v>
      </c>
      <c r="I513" s="28" t="s">
        <v>12</v>
      </c>
      <c r="J513" s="28">
        <v>2026</v>
      </c>
      <c r="K513" s="28" t="s">
        <v>261</v>
      </c>
    </row>
    <row r="514" spans="1:11" x14ac:dyDescent="0.3">
      <c r="A514" s="28" t="s">
        <v>1737</v>
      </c>
      <c r="B514" s="28">
        <v>2920</v>
      </c>
      <c r="C514" s="28" t="s">
        <v>726</v>
      </c>
      <c r="D514" s="28">
        <v>2026</v>
      </c>
      <c r="E514" s="28" t="s">
        <v>389</v>
      </c>
      <c r="G514" s="28" t="s">
        <v>1737</v>
      </c>
      <c r="H514" s="28">
        <v>1350</v>
      </c>
      <c r="I514" s="28" t="s">
        <v>12</v>
      </c>
      <c r="J514" s="28">
        <v>2026</v>
      </c>
      <c r="K514" s="28" t="s">
        <v>261</v>
      </c>
    </row>
    <row r="515" spans="1:11" x14ac:dyDescent="0.3">
      <c r="A515" s="28" t="s">
        <v>1738</v>
      </c>
      <c r="B515" s="28">
        <v>2920</v>
      </c>
      <c r="C515" s="28" t="s">
        <v>726</v>
      </c>
      <c r="D515" s="28">
        <v>2026</v>
      </c>
      <c r="E515" s="28" t="s">
        <v>389</v>
      </c>
      <c r="G515" s="28" t="s">
        <v>1738</v>
      </c>
      <c r="H515" s="28">
        <v>1350</v>
      </c>
      <c r="I515" s="28" t="s">
        <v>12</v>
      </c>
      <c r="J515" s="28">
        <v>2026</v>
      </c>
      <c r="K515" s="28" t="s">
        <v>261</v>
      </c>
    </row>
    <row r="516" spans="1:11" x14ac:dyDescent="0.3">
      <c r="A516" s="28" t="s">
        <v>1739</v>
      </c>
      <c r="B516" s="28">
        <v>2920</v>
      </c>
      <c r="C516" s="28" t="s">
        <v>726</v>
      </c>
      <c r="D516" s="28">
        <v>2026</v>
      </c>
      <c r="E516" s="28" t="s">
        <v>389</v>
      </c>
      <c r="G516" s="28" t="s">
        <v>1739</v>
      </c>
      <c r="H516" s="28">
        <v>1350</v>
      </c>
      <c r="I516" s="28" t="s">
        <v>12</v>
      </c>
      <c r="J516" s="28">
        <v>2026</v>
      </c>
      <c r="K516" s="28" t="s">
        <v>261</v>
      </c>
    </row>
    <row r="517" spans="1:11" x14ac:dyDescent="0.3">
      <c r="A517" s="28" t="s">
        <v>1740</v>
      </c>
      <c r="B517" s="28">
        <v>2920</v>
      </c>
      <c r="C517" s="28" t="s">
        <v>726</v>
      </c>
      <c r="D517" s="28">
        <v>2026</v>
      </c>
      <c r="E517" s="28" t="s">
        <v>389</v>
      </c>
      <c r="G517" s="28" t="s">
        <v>1740</v>
      </c>
      <c r="H517" s="28">
        <v>1350</v>
      </c>
      <c r="I517" s="28" t="s">
        <v>12</v>
      </c>
      <c r="J517" s="28">
        <v>2026</v>
      </c>
      <c r="K517" s="28" t="s">
        <v>261</v>
      </c>
    </row>
    <row r="518" spans="1:11" x14ac:dyDescent="0.3">
      <c r="A518" s="28" t="s">
        <v>1741</v>
      </c>
      <c r="B518" s="28">
        <v>2920</v>
      </c>
      <c r="C518" s="28" t="s">
        <v>726</v>
      </c>
      <c r="D518" s="28">
        <v>2026</v>
      </c>
      <c r="E518" s="28" t="s">
        <v>389</v>
      </c>
      <c r="G518" s="28" t="s">
        <v>1741</v>
      </c>
      <c r="H518" s="28">
        <v>1350</v>
      </c>
      <c r="I518" s="28" t="s">
        <v>12</v>
      </c>
      <c r="J518" s="28">
        <v>2026</v>
      </c>
      <c r="K518" s="28" t="s">
        <v>261</v>
      </c>
    </row>
    <row r="519" spans="1:11" x14ac:dyDescent="0.3">
      <c r="A519" s="28" t="s">
        <v>1742</v>
      </c>
      <c r="B519" s="28">
        <v>2920</v>
      </c>
      <c r="C519" s="28" t="s">
        <v>726</v>
      </c>
      <c r="D519" s="28">
        <v>2026</v>
      </c>
      <c r="E519" s="28" t="s">
        <v>389</v>
      </c>
      <c r="G519" s="28" t="s">
        <v>1742</v>
      </c>
      <c r="H519" s="28">
        <v>1350</v>
      </c>
      <c r="I519" s="28" t="s">
        <v>12</v>
      </c>
      <c r="J519" s="28">
        <v>2026</v>
      </c>
      <c r="K519" s="28" t="s">
        <v>261</v>
      </c>
    </row>
    <row r="520" spans="1:11" x14ac:dyDescent="0.3">
      <c r="A520" s="28" t="s">
        <v>1743</v>
      </c>
      <c r="B520" s="28">
        <v>2920</v>
      </c>
      <c r="C520" s="28" t="s">
        <v>726</v>
      </c>
      <c r="D520" s="28">
        <v>2026</v>
      </c>
      <c r="E520" s="28" t="s">
        <v>389</v>
      </c>
      <c r="G520" s="28" t="s">
        <v>1743</v>
      </c>
      <c r="H520" s="28">
        <v>1350</v>
      </c>
      <c r="I520" s="28" t="s">
        <v>12</v>
      </c>
      <c r="J520" s="28">
        <v>2026</v>
      </c>
      <c r="K520" s="28" t="s">
        <v>261</v>
      </c>
    </row>
    <row r="521" spans="1:11" x14ac:dyDescent="0.3">
      <c r="A521" s="28" t="s">
        <v>1744</v>
      </c>
      <c r="B521" s="28">
        <v>2920</v>
      </c>
      <c r="C521" s="28" t="s">
        <v>726</v>
      </c>
      <c r="D521" s="28">
        <v>2026</v>
      </c>
      <c r="E521" s="28" t="s">
        <v>389</v>
      </c>
      <c r="G521" s="28" t="s">
        <v>1744</v>
      </c>
      <c r="H521" s="28">
        <v>1350</v>
      </c>
      <c r="I521" s="28" t="s">
        <v>12</v>
      </c>
      <c r="J521" s="28">
        <v>2026</v>
      </c>
      <c r="K521" s="28" t="s">
        <v>261</v>
      </c>
    </row>
    <row r="522" spans="1:11" x14ac:dyDescent="0.3">
      <c r="A522" s="28" t="s">
        <v>1745</v>
      </c>
      <c r="B522" s="28">
        <v>2920</v>
      </c>
      <c r="C522" s="28" t="s">
        <v>726</v>
      </c>
      <c r="D522" s="28">
        <v>2026</v>
      </c>
      <c r="E522" s="28" t="s">
        <v>389</v>
      </c>
      <c r="G522" s="28" t="s">
        <v>1745</v>
      </c>
      <c r="H522" s="28">
        <v>1350</v>
      </c>
      <c r="I522" s="28" t="s">
        <v>12</v>
      </c>
      <c r="J522" s="28">
        <v>2026</v>
      </c>
      <c r="K522" s="28" t="s">
        <v>261</v>
      </c>
    </row>
    <row r="523" spans="1:11" x14ac:dyDescent="0.3">
      <c r="A523" s="28" t="s">
        <v>1746</v>
      </c>
      <c r="B523" s="28">
        <v>2920</v>
      </c>
      <c r="C523" s="28" t="s">
        <v>726</v>
      </c>
      <c r="D523" s="28">
        <v>2026</v>
      </c>
      <c r="E523" s="28" t="s">
        <v>389</v>
      </c>
      <c r="G523" s="28" t="s">
        <v>1746</v>
      </c>
      <c r="H523" s="28">
        <v>1350</v>
      </c>
      <c r="I523" s="28" t="s">
        <v>12</v>
      </c>
      <c r="J523" s="28">
        <v>2026</v>
      </c>
      <c r="K523" s="28" t="s">
        <v>261</v>
      </c>
    </row>
    <row r="524" spans="1:11" x14ac:dyDescent="0.3">
      <c r="A524" s="28" t="s">
        <v>1747</v>
      </c>
      <c r="B524" s="28">
        <v>2920</v>
      </c>
      <c r="C524" s="28" t="s">
        <v>726</v>
      </c>
      <c r="D524" s="28">
        <v>2026</v>
      </c>
      <c r="E524" s="28" t="s">
        <v>389</v>
      </c>
      <c r="G524" s="28" t="s">
        <v>1747</v>
      </c>
      <c r="H524" s="28">
        <v>1350</v>
      </c>
      <c r="I524" s="28" t="s">
        <v>12</v>
      </c>
      <c r="J524" s="28">
        <v>2026</v>
      </c>
      <c r="K524" s="28" t="s">
        <v>261</v>
      </c>
    </row>
    <row r="525" spans="1:11" x14ac:dyDescent="0.3">
      <c r="A525" s="28" t="s">
        <v>1748</v>
      </c>
      <c r="B525" s="28">
        <v>2920</v>
      </c>
      <c r="C525" s="28" t="s">
        <v>726</v>
      </c>
      <c r="D525" s="28">
        <v>2026</v>
      </c>
      <c r="E525" s="28" t="s">
        <v>389</v>
      </c>
      <c r="G525" s="28" t="s">
        <v>1748</v>
      </c>
      <c r="H525" s="28">
        <v>1350</v>
      </c>
      <c r="I525" s="28" t="s">
        <v>12</v>
      </c>
      <c r="J525" s="28">
        <v>2026</v>
      </c>
      <c r="K525" s="28" t="s">
        <v>261</v>
      </c>
    </row>
    <row r="526" spans="1:11" x14ac:dyDescent="0.3">
      <c r="A526" s="28" t="s">
        <v>1749</v>
      </c>
      <c r="B526" s="28">
        <v>2920</v>
      </c>
      <c r="C526" s="28" t="s">
        <v>726</v>
      </c>
      <c r="D526" s="28">
        <v>2026</v>
      </c>
      <c r="E526" s="28" t="s">
        <v>389</v>
      </c>
      <c r="G526" s="28" t="s">
        <v>1749</v>
      </c>
      <c r="H526" s="28">
        <v>1350</v>
      </c>
      <c r="I526" s="28" t="s">
        <v>12</v>
      </c>
      <c r="J526" s="28">
        <v>2026</v>
      </c>
      <c r="K526" s="28" t="s">
        <v>261</v>
      </c>
    </row>
    <row r="527" spans="1:11" x14ac:dyDescent="0.3">
      <c r="A527" s="28" t="s">
        <v>1750</v>
      </c>
      <c r="B527" s="28">
        <v>2920</v>
      </c>
      <c r="C527" s="28" t="s">
        <v>726</v>
      </c>
      <c r="D527" s="28">
        <v>2026</v>
      </c>
      <c r="E527" s="28" t="s">
        <v>389</v>
      </c>
      <c r="G527" s="28" t="s">
        <v>1750</v>
      </c>
      <c r="H527" s="28">
        <v>1350</v>
      </c>
      <c r="I527" s="28" t="s">
        <v>12</v>
      </c>
      <c r="J527" s="28">
        <v>2026</v>
      </c>
      <c r="K527" s="28" t="s">
        <v>261</v>
      </c>
    </row>
    <row r="528" spans="1:11" x14ac:dyDescent="0.3">
      <c r="A528" s="28" t="s">
        <v>1751</v>
      </c>
      <c r="B528" s="28">
        <v>2920</v>
      </c>
      <c r="C528" s="28" t="s">
        <v>726</v>
      </c>
      <c r="D528" s="28">
        <v>2026</v>
      </c>
      <c r="E528" s="28" t="s">
        <v>389</v>
      </c>
      <c r="G528" s="28" t="s">
        <v>1751</v>
      </c>
      <c r="H528" s="28">
        <v>1350</v>
      </c>
      <c r="I528" s="28" t="s">
        <v>12</v>
      </c>
      <c r="J528" s="28">
        <v>2026</v>
      </c>
      <c r="K528" s="28" t="s">
        <v>261</v>
      </c>
    </row>
    <row r="529" spans="1:11" x14ac:dyDescent="0.3">
      <c r="A529" s="28" t="s">
        <v>1752</v>
      </c>
      <c r="B529" s="28">
        <v>2920</v>
      </c>
      <c r="C529" s="28" t="s">
        <v>726</v>
      </c>
      <c r="D529" s="28">
        <v>2026</v>
      </c>
      <c r="E529" s="28" t="s">
        <v>389</v>
      </c>
      <c r="G529" s="28" t="s">
        <v>1752</v>
      </c>
      <c r="H529" s="28">
        <v>1350</v>
      </c>
      <c r="I529" s="28" t="s">
        <v>12</v>
      </c>
      <c r="J529" s="28">
        <v>2026</v>
      </c>
      <c r="K529" s="28" t="s">
        <v>261</v>
      </c>
    </row>
    <row r="530" spans="1:11" x14ac:dyDescent="0.3">
      <c r="A530" s="28" t="s">
        <v>1753</v>
      </c>
      <c r="B530" s="28">
        <v>2920</v>
      </c>
      <c r="C530" s="28" t="s">
        <v>726</v>
      </c>
      <c r="D530" s="28">
        <v>2026</v>
      </c>
      <c r="E530" s="28" t="s">
        <v>389</v>
      </c>
      <c r="G530" s="28" t="s">
        <v>1753</v>
      </c>
      <c r="H530" s="28">
        <v>1350</v>
      </c>
      <c r="I530" s="28" t="s">
        <v>12</v>
      </c>
      <c r="J530" s="28">
        <v>2026</v>
      </c>
      <c r="K530" s="28" t="s">
        <v>261</v>
      </c>
    </row>
    <row r="531" spans="1:11" x14ac:dyDescent="0.3">
      <c r="A531" s="28" t="s">
        <v>1754</v>
      </c>
      <c r="B531" s="28">
        <v>2920</v>
      </c>
      <c r="C531" s="28" t="s">
        <v>726</v>
      </c>
      <c r="D531" s="28">
        <v>2026</v>
      </c>
      <c r="E531" s="28" t="s">
        <v>389</v>
      </c>
      <c r="G531" s="28" t="s">
        <v>1754</v>
      </c>
      <c r="H531" s="28">
        <v>1350</v>
      </c>
      <c r="I531" s="28" t="s">
        <v>12</v>
      </c>
      <c r="J531" s="28">
        <v>2026</v>
      </c>
      <c r="K531" s="28" t="s">
        <v>261</v>
      </c>
    </row>
    <row r="532" spans="1:11" x14ac:dyDescent="0.3">
      <c r="A532" s="28" t="s">
        <v>1755</v>
      </c>
      <c r="B532" s="28">
        <v>2920</v>
      </c>
      <c r="C532" s="28" t="s">
        <v>726</v>
      </c>
      <c r="D532" s="28">
        <v>2026</v>
      </c>
      <c r="E532" s="28" t="s">
        <v>389</v>
      </c>
      <c r="G532" s="28" t="s">
        <v>1755</v>
      </c>
      <c r="H532" s="28">
        <v>1350</v>
      </c>
      <c r="I532" s="28" t="s">
        <v>12</v>
      </c>
      <c r="J532" s="28">
        <v>2026</v>
      </c>
      <c r="K532" s="28" t="s">
        <v>261</v>
      </c>
    </row>
    <row r="533" spans="1:11" x14ac:dyDescent="0.3">
      <c r="A533" s="28" t="s">
        <v>1756</v>
      </c>
      <c r="B533" s="28">
        <v>2920</v>
      </c>
      <c r="C533" s="28" t="s">
        <v>726</v>
      </c>
      <c r="D533" s="28">
        <v>2026</v>
      </c>
      <c r="E533" s="28" t="s">
        <v>389</v>
      </c>
      <c r="G533" s="28" t="s">
        <v>1756</v>
      </c>
      <c r="H533" s="28">
        <v>1350</v>
      </c>
      <c r="I533" s="28" t="s">
        <v>12</v>
      </c>
      <c r="J533" s="28">
        <v>2026</v>
      </c>
      <c r="K533" s="28" t="s">
        <v>261</v>
      </c>
    </row>
    <row r="534" spans="1:11" x14ac:dyDescent="0.3">
      <c r="A534" s="28" t="s">
        <v>1757</v>
      </c>
      <c r="B534" s="28">
        <v>2920</v>
      </c>
      <c r="C534" s="28" t="s">
        <v>726</v>
      </c>
      <c r="D534" s="28">
        <v>2026</v>
      </c>
      <c r="E534" s="28" t="s">
        <v>389</v>
      </c>
      <c r="G534" s="28" t="s">
        <v>1757</v>
      </c>
      <c r="H534" s="28">
        <v>1350</v>
      </c>
      <c r="I534" s="28" t="s">
        <v>12</v>
      </c>
      <c r="J534" s="28">
        <v>2026</v>
      </c>
      <c r="K534" s="28" t="s">
        <v>261</v>
      </c>
    </row>
    <row r="535" spans="1:11" x14ac:dyDescent="0.3">
      <c r="A535" s="28" t="s">
        <v>1758</v>
      </c>
      <c r="B535" s="28">
        <v>2920</v>
      </c>
      <c r="C535" s="28" t="s">
        <v>726</v>
      </c>
      <c r="D535" s="28">
        <v>2026</v>
      </c>
      <c r="E535" s="28" t="s">
        <v>389</v>
      </c>
      <c r="G535" s="28" t="s">
        <v>1758</v>
      </c>
      <c r="H535" s="28">
        <v>1700</v>
      </c>
      <c r="I535" s="28" t="s">
        <v>12</v>
      </c>
      <c r="J535" s="28">
        <v>2026</v>
      </c>
      <c r="K535" s="28" t="s">
        <v>261</v>
      </c>
    </row>
    <row r="536" spans="1:11" x14ac:dyDescent="0.3">
      <c r="A536" s="28" t="s">
        <v>1759</v>
      </c>
      <c r="B536" s="28">
        <v>2920</v>
      </c>
      <c r="C536" s="28" t="s">
        <v>726</v>
      </c>
      <c r="D536" s="28">
        <v>2026</v>
      </c>
      <c r="E536" s="28" t="s">
        <v>389</v>
      </c>
      <c r="G536" s="28" t="s">
        <v>1759</v>
      </c>
      <c r="H536" s="28">
        <v>1700</v>
      </c>
      <c r="I536" s="28" t="s">
        <v>12</v>
      </c>
      <c r="J536" s="28">
        <v>2026</v>
      </c>
      <c r="K536" s="28" t="s">
        <v>261</v>
      </c>
    </row>
    <row r="537" spans="1:11" x14ac:dyDescent="0.3">
      <c r="A537" s="28" t="s">
        <v>1760</v>
      </c>
      <c r="B537" s="28">
        <v>2920</v>
      </c>
      <c r="C537" s="28" t="s">
        <v>726</v>
      </c>
      <c r="D537" s="28">
        <v>2026</v>
      </c>
      <c r="E537" s="28" t="s">
        <v>389</v>
      </c>
      <c r="G537" s="28" t="s">
        <v>1760</v>
      </c>
      <c r="H537" s="28">
        <v>1700</v>
      </c>
      <c r="I537" s="28" t="s">
        <v>12</v>
      </c>
      <c r="J537" s="28">
        <v>2026</v>
      </c>
      <c r="K537" s="28" t="s">
        <v>261</v>
      </c>
    </row>
    <row r="538" spans="1:11" x14ac:dyDescent="0.3">
      <c r="A538" s="28" t="s">
        <v>1761</v>
      </c>
      <c r="B538" s="28">
        <v>2920</v>
      </c>
      <c r="C538" s="28" t="s">
        <v>726</v>
      </c>
      <c r="D538" s="28">
        <v>2026</v>
      </c>
      <c r="E538" s="28" t="s">
        <v>389</v>
      </c>
      <c r="G538" s="28" t="s">
        <v>1761</v>
      </c>
      <c r="H538" s="28">
        <v>1100</v>
      </c>
      <c r="I538" s="28" t="s">
        <v>12</v>
      </c>
      <c r="J538" s="28">
        <v>2026</v>
      </c>
      <c r="K538" s="28" t="s">
        <v>261</v>
      </c>
    </row>
    <row r="539" spans="1:11" x14ac:dyDescent="0.3">
      <c r="A539" s="28" t="s">
        <v>1762</v>
      </c>
      <c r="B539" s="28">
        <v>2920</v>
      </c>
      <c r="C539" s="28" t="s">
        <v>726</v>
      </c>
      <c r="D539" s="28">
        <v>2026</v>
      </c>
      <c r="E539" s="28" t="s">
        <v>389</v>
      </c>
      <c r="G539" s="28" t="s">
        <v>1762</v>
      </c>
      <c r="H539" s="28">
        <v>1100</v>
      </c>
      <c r="I539" s="28" t="s">
        <v>12</v>
      </c>
      <c r="J539" s="28">
        <v>2026</v>
      </c>
      <c r="K539" s="28" t="s">
        <v>261</v>
      </c>
    </row>
    <row r="540" spans="1:11" x14ac:dyDescent="0.3">
      <c r="A540" s="28" t="s">
        <v>1763</v>
      </c>
      <c r="B540" s="28">
        <v>2920</v>
      </c>
      <c r="C540" s="28" t="s">
        <v>726</v>
      </c>
      <c r="D540" s="28">
        <v>2026</v>
      </c>
      <c r="E540" s="28" t="s">
        <v>389</v>
      </c>
      <c r="G540" s="28" t="s">
        <v>1763</v>
      </c>
      <c r="H540" s="28">
        <v>900</v>
      </c>
      <c r="I540" s="28" t="s">
        <v>12</v>
      </c>
      <c r="J540" s="28">
        <v>2026</v>
      </c>
      <c r="K540" s="28" t="s">
        <v>261</v>
      </c>
    </row>
    <row r="541" spans="1:11" x14ac:dyDescent="0.3">
      <c r="A541" s="28" t="s">
        <v>1764</v>
      </c>
      <c r="B541" s="28">
        <v>2920</v>
      </c>
      <c r="C541" s="28" t="s">
        <v>726</v>
      </c>
      <c r="D541" s="28">
        <v>2026</v>
      </c>
      <c r="E541" s="28" t="s">
        <v>389</v>
      </c>
      <c r="G541" s="28" t="s">
        <v>1764</v>
      </c>
      <c r="H541" s="28">
        <v>900</v>
      </c>
      <c r="I541" s="28" t="s">
        <v>12</v>
      </c>
      <c r="J541" s="28">
        <v>2026</v>
      </c>
      <c r="K541" s="28" t="s">
        <v>261</v>
      </c>
    </row>
    <row r="542" spans="1:11" x14ac:dyDescent="0.3">
      <c r="A542" s="28" t="s">
        <v>1765</v>
      </c>
      <c r="B542" s="28">
        <v>2920</v>
      </c>
      <c r="C542" s="28" t="s">
        <v>726</v>
      </c>
      <c r="D542" s="28">
        <v>2026</v>
      </c>
      <c r="E542" s="28" t="s">
        <v>389</v>
      </c>
      <c r="G542" s="28" t="s">
        <v>1765</v>
      </c>
      <c r="H542" s="28">
        <v>900</v>
      </c>
      <c r="I542" s="28" t="s">
        <v>12</v>
      </c>
      <c r="J542" s="28">
        <v>2026</v>
      </c>
      <c r="K542" s="28" t="s">
        <v>261</v>
      </c>
    </row>
    <row r="543" spans="1:11" x14ac:dyDescent="0.3">
      <c r="A543" s="28" t="s">
        <v>1766</v>
      </c>
      <c r="B543" s="28">
        <v>2920</v>
      </c>
      <c r="C543" s="28" t="s">
        <v>726</v>
      </c>
      <c r="D543" s="28">
        <v>2026</v>
      </c>
      <c r="E543" s="28" t="s">
        <v>389</v>
      </c>
      <c r="G543" s="28" t="s">
        <v>1766</v>
      </c>
      <c r="H543" s="28">
        <v>900</v>
      </c>
      <c r="I543" s="28" t="s">
        <v>12</v>
      </c>
      <c r="J543" s="28">
        <v>2026</v>
      </c>
      <c r="K543" s="28" t="s">
        <v>261</v>
      </c>
    </row>
    <row r="544" spans="1:11" x14ac:dyDescent="0.3">
      <c r="A544" s="28" t="s">
        <v>1767</v>
      </c>
      <c r="B544" s="28">
        <v>2920</v>
      </c>
      <c r="C544" s="28" t="s">
        <v>726</v>
      </c>
      <c r="D544" s="28">
        <v>2026</v>
      </c>
      <c r="E544" s="28" t="s">
        <v>389</v>
      </c>
      <c r="G544" s="28" t="s">
        <v>1767</v>
      </c>
      <c r="H544" s="28">
        <v>900</v>
      </c>
      <c r="I544" s="28" t="s">
        <v>12</v>
      </c>
      <c r="J544" s="28">
        <v>2026</v>
      </c>
      <c r="K544" s="28" t="s">
        <v>261</v>
      </c>
    </row>
    <row r="545" spans="1:11" x14ac:dyDescent="0.3">
      <c r="A545" s="28" t="s">
        <v>1768</v>
      </c>
      <c r="B545" s="28">
        <v>0</v>
      </c>
      <c r="C545" s="28" t="s">
        <v>726</v>
      </c>
      <c r="D545" s="28">
        <v>2026</v>
      </c>
      <c r="E545" s="28" t="s">
        <v>1215</v>
      </c>
      <c r="G545" s="28" t="s">
        <v>1768</v>
      </c>
      <c r="H545" s="28">
        <v>300</v>
      </c>
      <c r="I545" s="28" t="s">
        <v>12</v>
      </c>
      <c r="J545" s="28">
        <v>2026</v>
      </c>
      <c r="K545" s="28" t="s">
        <v>261</v>
      </c>
    </row>
    <row r="546" spans="1:11" x14ac:dyDescent="0.3">
      <c r="A546" s="28" t="s">
        <v>1769</v>
      </c>
      <c r="B546" s="28">
        <v>2920</v>
      </c>
      <c r="C546" s="28" t="s">
        <v>726</v>
      </c>
      <c r="D546" s="28">
        <v>2026</v>
      </c>
      <c r="E546" s="28" t="s">
        <v>389</v>
      </c>
      <c r="G546" s="28" t="s">
        <v>1769</v>
      </c>
      <c r="H546" s="28">
        <v>900</v>
      </c>
      <c r="I546" s="28" t="s">
        <v>12</v>
      </c>
      <c r="J546" s="28">
        <v>2026</v>
      </c>
      <c r="K546" s="28" t="s">
        <v>261</v>
      </c>
    </row>
    <row r="547" spans="1:11" x14ac:dyDescent="0.3">
      <c r="A547" s="28" t="s">
        <v>1770</v>
      </c>
      <c r="B547" s="28">
        <v>2920</v>
      </c>
      <c r="C547" s="28" t="s">
        <v>726</v>
      </c>
      <c r="D547" s="28">
        <v>2026</v>
      </c>
      <c r="E547" s="28" t="s">
        <v>389</v>
      </c>
      <c r="G547" s="28" t="s">
        <v>1770</v>
      </c>
      <c r="H547" s="28">
        <v>900</v>
      </c>
      <c r="I547" s="28" t="s">
        <v>12</v>
      </c>
      <c r="J547" s="28">
        <v>2026</v>
      </c>
      <c r="K547" s="28" t="s">
        <v>261</v>
      </c>
    </row>
    <row r="548" spans="1:11" x14ac:dyDescent="0.3">
      <c r="A548" s="28" t="s">
        <v>1771</v>
      </c>
      <c r="B548" s="28">
        <v>2920</v>
      </c>
      <c r="C548" s="28" t="s">
        <v>726</v>
      </c>
      <c r="D548" s="28">
        <v>2026</v>
      </c>
      <c r="E548" s="28" t="s">
        <v>389</v>
      </c>
      <c r="G548" s="28" t="s">
        <v>1771</v>
      </c>
      <c r="H548" s="28">
        <v>900</v>
      </c>
      <c r="I548" s="28" t="s">
        <v>12</v>
      </c>
      <c r="J548" s="28">
        <v>2026</v>
      </c>
      <c r="K548" s="28" t="s">
        <v>261</v>
      </c>
    </row>
    <row r="549" spans="1:11" x14ac:dyDescent="0.3">
      <c r="A549" s="28" t="s">
        <v>1772</v>
      </c>
      <c r="B549" s="28">
        <v>2920</v>
      </c>
      <c r="C549" s="28" t="s">
        <v>726</v>
      </c>
      <c r="D549" s="28">
        <v>2026</v>
      </c>
      <c r="E549" s="28" t="s">
        <v>389</v>
      </c>
      <c r="G549" s="28" t="s">
        <v>1772</v>
      </c>
      <c r="H549" s="28">
        <v>900</v>
      </c>
      <c r="I549" s="28" t="s">
        <v>12</v>
      </c>
      <c r="J549" s="28">
        <v>2026</v>
      </c>
      <c r="K549" s="28" t="s">
        <v>261</v>
      </c>
    </row>
    <row r="550" spans="1:11" x14ac:dyDescent="0.3">
      <c r="A550" s="28" t="s">
        <v>1773</v>
      </c>
      <c r="B550" s="28">
        <v>2920</v>
      </c>
      <c r="C550" s="28" t="s">
        <v>726</v>
      </c>
      <c r="D550" s="28">
        <v>2026</v>
      </c>
      <c r="E550" s="28" t="s">
        <v>389</v>
      </c>
      <c r="G550" s="28" t="s">
        <v>1773</v>
      </c>
      <c r="H550" s="28">
        <v>1500</v>
      </c>
      <c r="I550" s="28" t="s">
        <v>12</v>
      </c>
      <c r="J550" s="28">
        <v>2026</v>
      </c>
      <c r="K550" s="28" t="s">
        <v>261</v>
      </c>
    </row>
    <row r="551" spans="1:11" x14ac:dyDescent="0.3">
      <c r="A551" s="28" t="s">
        <v>1774</v>
      </c>
      <c r="B551" s="28">
        <v>2920</v>
      </c>
      <c r="C551" s="28" t="s">
        <v>726</v>
      </c>
      <c r="D551" s="28">
        <v>2026</v>
      </c>
      <c r="E551" s="28" t="s">
        <v>389</v>
      </c>
      <c r="G551" s="28" t="s">
        <v>1774</v>
      </c>
      <c r="H551" s="28">
        <v>1500</v>
      </c>
      <c r="I551" s="28" t="s">
        <v>12</v>
      </c>
      <c r="J551" s="28">
        <v>2026</v>
      </c>
      <c r="K551" s="28" t="s">
        <v>261</v>
      </c>
    </row>
    <row r="552" spans="1:11" x14ac:dyDescent="0.3">
      <c r="A552" s="28" t="s">
        <v>1775</v>
      </c>
      <c r="B552" s="28">
        <v>2920</v>
      </c>
      <c r="C552" s="28" t="s">
        <v>726</v>
      </c>
      <c r="D552" s="28">
        <v>2026</v>
      </c>
      <c r="E552" s="28" t="s">
        <v>389</v>
      </c>
      <c r="G552" s="28" t="s">
        <v>1775</v>
      </c>
      <c r="H552" s="28">
        <v>1500</v>
      </c>
      <c r="I552" s="28" t="s">
        <v>12</v>
      </c>
      <c r="J552" s="28">
        <v>2026</v>
      </c>
      <c r="K552" s="28" t="s">
        <v>261</v>
      </c>
    </row>
    <row r="553" spans="1:11" x14ac:dyDescent="0.3">
      <c r="A553" s="28" t="s">
        <v>1776</v>
      </c>
      <c r="B553" s="28">
        <v>2920</v>
      </c>
      <c r="C553" s="28" t="s">
        <v>726</v>
      </c>
      <c r="D553" s="28">
        <v>2026</v>
      </c>
      <c r="E553" s="28" t="s">
        <v>389</v>
      </c>
      <c r="G553" s="28" t="s">
        <v>1776</v>
      </c>
      <c r="H553" s="28">
        <v>1500</v>
      </c>
      <c r="I553" s="28" t="s">
        <v>12</v>
      </c>
      <c r="J553" s="28">
        <v>2026</v>
      </c>
      <c r="K553" s="28" t="s">
        <v>261</v>
      </c>
    </row>
    <row r="554" spans="1:11" x14ac:dyDescent="0.3">
      <c r="A554" s="28" t="s">
        <v>1777</v>
      </c>
      <c r="B554" s="28">
        <v>2920</v>
      </c>
      <c r="C554" s="28" t="s">
        <v>726</v>
      </c>
      <c r="D554" s="28">
        <v>2026</v>
      </c>
      <c r="E554" s="28" t="s">
        <v>389</v>
      </c>
      <c r="G554" s="28" t="s">
        <v>1777</v>
      </c>
      <c r="H554" s="28">
        <v>1500</v>
      </c>
      <c r="I554" s="28" t="s">
        <v>12</v>
      </c>
      <c r="J554" s="28">
        <v>2026</v>
      </c>
      <c r="K554" s="28" t="s">
        <v>261</v>
      </c>
    </row>
    <row r="555" spans="1:11" x14ac:dyDescent="0.3">
      <c r="A555" s="28" t="s">
        <v>1778</v>
      </c>
      <c r="B555" s="28">
        <v>2920</v>
      </c>
      <c r="C555" s="28" t="s">
        <v>726</v>
      </c>
      <c r="D555" s="28">
        <v>2026</v>
      </c>
      <c r="E555" s="28" t="s">
        <v>389</v>
      </c>
      <c r="G555" s="28" t="s">
        <v>1778</v>
      </c>
      <c r="H555" s="28">
        <v>1500</v>
      </c>
      <c r="I555" s="28" t="s">
        <v>12</v>
      </c>
      <c r="J555" s="28">
        <v>2026</v>
      </c>
      <c r="K555" s="28" t="s">
        <v>261</v>
      </c>
    </row>
    <row r="556" spans="1:11" x14ac:dyDescent="0.3">
      <c r="A556" s="28" t="s">
        <v>1779</v>
      </c>
      <c r="B556" s="28">
        <v>2920</v>
      </c>
      <c r="C556" s="28" t="s">
        <v>726</v>
      </c>
      <c r="D556" s="28">
        <v>2026</v>
      </c>
      <c r="E556" s="28" t="s">
        <v>389</v>
      </c>
      <c r="G556" s="28" t="s">
        <v>1779</v>
      </c>
      <c r="H556" s="28">
        <v>1500</v>
      </c>
      <c r="I556" s="28" t="s">
        <v>12</v>
      </c>
      <c r="J556" s="28">
        <v>2026</v>
      </c>
      <c r="K556" s="28" t="s">
        <v>261</v>
      </c>
    </row>
    <row r="557" spans="1:11" x14ac:dyDescent="0.3">
      <c r="A557" s="28" t="s">
        <v>1780</v>
      </c>
      <c r="B557" s="28">
        <v>2920</v>
      </c>
      <c r="C557" s="28" t="s">
        <v>726</v>
      </c>
      <c r="D557" s="28">
        <v>2026</v>
      </c>
      <c r="E557" s="28" t="s">
        <v>389</v>
      </c>
      <c r="G557" s="28" t="s">
        <v>1780</v>
      </c>
      <c r="H557" s="28">
        <v>1500</v>
      </c>
      <c r="I557" s="28" t="s">
        <v>12</v>
      </c>
      <c r="J557" s="28">
        <v>2026</v>
      </c>
      <c r="K557" s="28" t="s">
        <v>261</v>
      </c>
    </row>
    <row r="558" spans="1:11" x14ac:dyDescent="0.3">
      <c r="A558" s="28" t="s">
        <v>1781</v>
      </c>
      <c r="B558" s="28">
        <v>2920</v>
      </c>
      <c r="C558" s="28" t="s">
        <v>726</v>
      </c>
      <c r="D558" s="28">
        <v>2026</v>
      </c>
      <c r="E558" s="28" t="s">
        <v>389</v>
      </c>
      <c r="G558" s="28" t="s">
        <v>1781</v>
      </c>
      <c r="H558" s="28">
        <v>2000</v>
      </c>
      <c r="I558" s="28" t="s">
        <v>12</v>
      </c>
      <c r="J558" s="28">
        <v>2026</v>
      </c>
      <c r="K558" s="28" t="s">
        <v>261</v>
      </c>
    </row>
    <row r="559" spans="1:11" x14ac:dyDescent="0.3">
      <c r="A559" s="28" t="s">
        <v>1782</v>
      </c>
      <c r="B559" s="28">
        <v>2920</v>
      </c>
      <c r="C559" s="28" t="s">
        <v>726</v>
      </c>
      <c r="D559" s="28">
        <v>2026</v>
      </c>
      <c r="E559" s="28" t="s">
        <v>389</v>
      </c>
      <c r="G559" s="28" t="s">
        <v>1782</v>
      </c>
      <c r="H559" s="28">
        <v>2000</v>
      </c>
      <c r="I559" s="28" t="s">
        <v>12</v>
      </c>
      <c r="J559" s="28">
        <v>2026</v>
      </c>
      <c r="K559" s="28" t="s">
        <v>261</v>
      </c>
    </row>
    <row r="560" spans="1:11" x14ac:dyDescent="0.3">
      <c r="A560" s="28" t="s">
        <v>1783</v>
      </c>
      <c r="B560" s="28">
        <v>2920</v>
      </c>
      <c r="C560" s="28" t="s">
        <v>726</v>
      </c>
      <c r="D560" s="28">
        <v>2026</v>
      </c>
      <c r="E560" s="28" t="s">
        <v>389</v>
      </c>
      <c r="G560" s="28" t="s">
        <v>1783</v>
      </c>
      <c r="H560" s="28">
        <v>2000</v>
      </c>
      <c r="I560" s="28" t="s">
        <v>12</v>
      </c>
      <c r="J560" s="28">
        <v>2026</v>
      </c>
      <c r="K560" s="28" t="s">
        <v>261</v>
      </c>
    </row>
    <row r="561" spans="1:11" x14ac:dyDescent="0.3">
      <c r="A561" s="28" t="s">
        <v>1784</v>
      </c>
      <c r="B561" s="28">
        <v>2920</v>
      </c>
      <c r="C561" s="28" t="s">
        <v>726</v>
      </c>
      <c r="D561" s="28">
        <v>2026</v>
      </c>
      <c r="E561" s="28" t="s">
        <v>389</v>
      </c>
      <c r="G561" s="28" t="s">
        <v>1784</v>
      </c>
      <c r="H561" s="28">
        <v>2000</v>
      </c>
      <c r="I561" s="28" t="s">
        <v>12</v>
      </c>
      <c r="J561" s="28">
        <v>2026</v>
      </c>
      <c r="K561" s="28" t="s">
        <v>261</v>
      </c>
    </row>
    <row r="562" spans="1:11" x14ac:dyDescent="0.3">
      <c r="A562" s="28" t="s">
        <v>1785</v>
      </c>
      <c r="B562" s="28">
        <v>2920</v>
      </c>
      <c r="C562" s="28" t="s">
        <v>726</v>
      </c>
      <c r="D562" s="28">
        <v>2026</v>
      </c>
      <c r="E562" s="28" t="s">
        <v>389</v>
      </c>
      <c r="G562" s="28" t="s">
        <v>1785</v>
      </c>
      <c r="H562" s="28">
        <v>2000</v>
      </c>
      <c r="I562" s="28" t="s">
        <v>12</v>
      </c>
      <c r="J562" s="28">
        <v>2026</v>
      </c>
      <c r="K562" s="28" t="s">
        <v>261</v>
      </c>
    </row>
    <row r="563" spans="1:11" x14ac:dyDescent="0.3">
      <c r="A563" s="28" t="s">
        <v>1786</v>
      </c>
      <c r="B563" s="28">
        <v>2920</v>
      </c>
      <c r="C563" s="28" t="s">
        <v>726</v>
      </c>
      <c r="D563" s="28">
        <v>2026</v>
      </c>
      <c r="E563" s="28" t="s">
        <v>389</v>
      </c>
      <c r="G563" s="28" t="s">
        <v>1786</v>
      </c>
      <c r="H563" s="28">
        <v>1400</v>
      </c>
      <c r="I563" s="28" t="s">
        <v>12</v>
      </c>
      <c r="J563" s="28">
        <v>2026</v>
      </c>
      <c r="K563" s="28" t="s">
        <v>261</v>
      </c>
    </row>
    <row r="564" spans="1:11" x14ac:dyDescent="0.3">
      <c r="A564" s="28" t="s">
        <v>1787</v>
      </c>
      <c r="B564" s="28">
        <v>360</v>
      </c>
      <c r="C564" s="28" t="s">
        <v>603</v>
      </c>
      <c r="D564" s="28">
        <v>2026</v>
      </c>
      <c r="E564" s="28" t="s">
        <v>389</v>
      </c>
      <c r="G564" s="28" t="s">
        <v>1787</v>
      </c>
      <c r="H564" s="28">
        <v>1250</v>
      </c>
      <c r="I564" s="28" t="s">
        <v>12</v>
      </c>
      <c r="J564" s="28">
        <v>2026</v>
      </c>
      <c r="K564" s="28" t="s">
        <v>261</v>
      </c>
    </row>
    <row r="565" spans="1:11" x14ac:dyDescent="0.3">
      <c r="A565" s="28" t="s">
        <v>1788</v>
      </c>
      <c r="B565" s="28">
        <v>360</v>
      </c>
      <c r="C565" s="28" t="s">
        <v>603</v>
      </c>
      <c r="D565" s="28">
        <v>2026</v>
      </c>
      <c r="E565" s="28" t="s">
        <v>389</v>
      </c>
      <c r="G565" s="28" t="s">
        <v>1788</v>
      </c>
      <c r="H565" s="28">
        <v>1250</v>
      </c>
      <c r="I565" s="28" t="s">
        <v>12</v>
      </c>
      <c r="J565" s="28">
        <v>2026</v>
      </c>
      <c r="K565" s="28" t="s">
        <v>261</v>
      </c>
    </row>
    <row r="566" spans="1:11" x14ac:dyDescent="0.3">
      <c r="A566" s="28" t="s">
        <v>1789</v>
      </c>
      <c r="B566" s="28">
        <v>360</v>
      </c>
      <c r="C566" s="28" t="s">
        <v>603</v>
      </c>
      <c r="D566" s="28">
        <v>2026</v>
      </c>
      <c r="E566" s="28" t="s">
        <v>389</v>
      </c>
      <c r="G566" s="28" t="s">
        <v>1789</v>
      </c>
      <c r="H566" s="28">
        <v>1250</v>
      </c>
      <c r="I566" s="28" t="s">
        <v>12</v>
      </c>
      <c r="J566" s="28">
        <v>2026</v>
      </c>
      <c r="K566" s="28" t="s">
        <v>261</v>
      </c>
    </row>
    <row r="567" spans="1:11" x14ac:dyDescent="0.3">
      <c r="A567" s="28" t="s">
        <v>1790</v>
      </c>
      <c r="B567" s="28">
        <v>360</v>
      </c>
      <c r="C567" s="28" t="s">
        <v>603</v>
      </c>
      <c r="D567" s="28">
        <v>2026</v>
      </c>
      <c r="E567" s="28" t="s">
        <v>389</v>
      </c>
      <c r="G567" s="28" t="s">
        <v>1790</v>
      </c>
      <c r="H567" s="28">
        <v>1250</v>
      </c>
      <c r="I567" s="28" t="s">
        <v>12</v>
      </c>
      <c r="J567" s="28">
        <v>2026</v>
      </c>
      <c r="K567" s="28" t="s">
        <v>261</v>
      </c>
    </row>
    <row r="568" spans="1:11" x14ac:dyDescent="0.3">
      <c r="A568" s="28" t="s">
        <v>1791</v>
      </c>
      <c r="B568" s="28">
        <v>360</v>
      </c>
      <c r="C568" s="28" t="s">
        <v>603</v>
      </c>
      <c r="D568" s="28">
        <v>2026</v>
      </c>
      <c r="E568" s="28" t="s">
        <v>389</v>
      </c>
      <c r="G568" s="28" t="s">
        <v>1791</v>
      </c>
      <c r="H568" s="28">
        <v>1250</v>
      </c>
      <c r="I568" s="28" t="s">
        <v>12</v>
      </c>
      <c r="J568" s="28">
        <v>2026</v>
      </c>
      <c r="K568" s="28" t="s">
        <v>261</v>
      </c>
    </row>
    <row r="569" spans="1:11" x14ac:dyDescent="0.3">
      <c r="A569" s="28" t="s">
        <v>1792</v>
      </c>
      <c r="B569" s="28">
        <v>360</v>
      </c>
      <c r="C569" s="28" t="s">
        <v>603</v>
      </c>
      <c r="D569" s="28">
        <v>2026</v>
      </c>
      <c r="E569" s="28" t="s">
        <v>389</v>
      </c>
      <c r="G569" s="28" t="s">
        <v>1792</v>
      </c>
      <c r="H569" s="28">
        <v>1250</v>
      </c>
      <c r="I569" s="28" t="s">
        <v>12</v>
      </c>
      <c r="J569" s="28">
        <v>2026</v>
      </c>
      <c r="K569" s="28" t="s">
        <v>261</v>
      </c>
    </row>
    <row r="570" spans="1:11" x14ac:dyDescent="0.3">
      <c r="A570" s="28" t="s">
        <v>1793</v>
      </c>
      <c r="B570" s="28">
        <v>360</v>
      </c>
      <c r="C570" s="28" t="s">
        <v>603</v>
      </c>
      <c r="D570" s="28">
        <v>2026</v>
      </c>
      <c r="E570" s="28" t="s">
        <v>389</v>
      </c>
      <c r="G570" s="28" t="s">
        <v>1793</v>
      </c>
      <c r="H570" s="28">
        <v>1250</v>
      </c>
      <c r="I570" s="28" t="s">
        <v>12</v>
      </c>
      <c r="J570" s="28">
        <v>2026</v>
      </c>
      <c r="K570" s="28" t="s">
        <v>261</v>
      </c>
    </row>
    <row r="571" spans="1:11" x14ac:dyDescent="0.3">
      <c r="A571" s="28" t="s">
        <v>1794</v>
      </c>
      <c r="B571" s="28">
        <v>360</v>
      </c>
      <c r="C571" s="28" t="s">
        <v>603</v>
      </c>
      <c r="D571" s="28">
        <v>2026</v>
      </c>
      <c r="E571" s="28" t="s">
        <v>389</v>
      </c>
      <c r="G571" s="28" t="s">
        <v>1794</v>
      </c>
      <c r="H571" s="28">
        <v>1050</v>
      </c>
      <c r="I571" s="28" t="s">
        <v>12</v>
      </c>
      <c r="J571" s="28">
        <v>2026</v>
      </c>
      <c r="K571" s="28" t="s">
        <v>261</v>
      </c>
    </row>
    <row r="572" spans="1:11" x14ac:dyDescent="0.3">
      <c r="A572" s="28" t="s">
        <v>1795</v>
      </c>
      <c r="B572" s="28">
        <v>300</v>
      </c>
      <c r="C572" s="28" t="s">
        <v>603</v>
      </c>
      <c r="D572" s="28">
        <v>2026</v>
      </c>
      <c r="E572" s="28" t="s">
        <v>389</v>
      </c>
      <c r="G572" s="28" t="s">
        <v>1795</v>
      </c>
      <c r="H572" s="28">
        <v>1050</v>
      </c>
      <c r="I572" s="28" t="s">
        <v>12</v>
      </c>
      <c r="J572" s="28">
        <v>2026</v>
      </c>
      <c r="K572" s="28" t="s">
        <v>261</v>
      </c>
    </row>
    <row r="573" spans="1:11" x14ac:dyDescent="0.3">
      <c r="A573" s="28" t="s">
        <v>1796</v>
      </c>
      <c r="B573" s="28">
        <v>360</v>
      </c>
      <c r="C573" s="28" t="s">
        <v>603</v>
      </c>
      <c r="D573" s="28">
        <v>2026</v>
      </c>
      <c r="E573" s="28" t="s">
        <v>389</v>
      </c>
      <c r="G573" s="28" t="s">
        <v>1796</v>
      </c>
      <c r="H573" s="28">
        <v>1050</v>
      </c>
      <c r="I573" s="28" t="s">
        <v>12</v>
      </c>
      <c r="J573" s="28">
        <v>2026</v>
      </c>
      <c r="K573" s="28" t="s">
        <v>261</v>
      </c>
    </row>
    <row r="574" spans="1:11" x14ac:dyDescent="0.3">
      <c r="A574" s="28" t="s">
        <v>1797</v>
      </c>
      <c r="B574" s="28">
        <v>360</v>
      </c>
      <c r="C574" s="28" t="s">
        <v>603</v>
      </c>
      <c r="D574" s="28">
        <v>2026</v>
      </c>
      <c r="E574" s="28" t="s">
        <v>389</v>
      </c>
      <c r="G574" s="28" t="s">
        <v>1797</v>
      </c>
      <c r="H574" s="28">
        <v>1050</v>
      </c>
      <c r="I574" s="28" t="s">
        <v>12</v>
      </c>
      <c r="J574" s="28">
        <v>2026</v>
      </c>
      <c r="K574" s="28" t="s">
        <v>261</v>
      </c>
    </row>
    <row r="575" spans="1:11" x14ac:dyDescent="0.3">
      <c r="A575" s="28" t="s">
        <v>1798</v>
      </c>
      <c r="B575" s="28">
        <v>360</v>
      </c>
      <c r="C575" s="28" t="s">
        <v>603</v>
      </c>
      <c r="D575" s="28">
        <v>2026</v>
      </c>
      <c r="E575" s="28" t="s">
        <v>389</v>
      </c>
      <c r="G575" s="28" t="s">
        <v>1798</v>
      </c>
      <c r="H575" s="28">
        <v>1050</v>
      </c>
      <c r="I575" s="28" t="s">
        <v>12</v>
      </c>
      <c r="J575" s="28">
        <v>2026</v>
      </c>
      <c r="K575" s="28" t="s">
        <v>261</v>
      </c>
    </row>
    <row r="576" spans="1:11" x14ac:dyDescent="0.3">
      <c r="A576" s="28" t="s">
        <v>1799</v>
      </c>
      <c r="B576" s="28">
        <v>360</v>
      </c>
      <c r="C576" s="28" t="s">
        <v>603</v>
      </c>
      <c r="D576" s="28">
        <v>2026</v>
      </c>
      <c r="E576" s="28" t="s">
        <v>389</v>
      </c>
      <c r="G576" s="28" t="s">
        <v>1799</v>
      </c>
      <c r="H576" s="28">
        <v>1050</v>
      </c>
      <c r="I576" s="28" t="s">
        <v>12</v>
      </c>
      <c r="J576" s="28">
        <v>2026</v>
      </c>
      <c r="K576" s="28" t="s">
        <v>261</v>
      </c>
    </row>
    <row r="577" spans="1:11" x14ac:dyDescent="0.3">
      <c r="A577" s="28" t="s">
        <v>1800</v>
      </c>
      <c r="B577" s="28">
        <v>360</v>
      </c>
      <c r="C577" s="28" t="s">
        <v>603</v>
      </c>
      <c r="D577" s="28">
        <v>2026</v>
      </c>
      <c r="E577" s="28" t="s">
        <v>389</v>
      </c>
      <c r="G577" s="28" t="s">
        <v>1800</v>
      </c>
      <c r="H577" s="28">
        <v>950</v>
      </c>
      <c r="I577" s="28" t="s">
        <v>12</v>
      </c>
      <c r="J577" s="28">
        <v>2026</v>
      </c>
      <c r="K577" s="28" t="s">
        <v>261</v>
      </c>
    </row>
    <row r="578" spans="1:11" x14ac:dyDescent="0.3">
      <c r="A578" s="28" t="s">
        <v>1801</v>
      </c>
      <c r="B578" s="28">
        <v>360</v>
      </c>
      <c r="C578" s="28" t="s">
        <v>603</v>
      </c>
      <c r="D578" s="28">
        <v>2026</v>
      </c>
      <c r="E578" s="28" t="s">
        <v>389</v>
      </c>
      <c r="G578" s="28" t="s">
        <v>1801</v>
      </c>
      <c r="H578" s="28">
        <v>950</v>
      </c>
      <c r="I578" s="28" t="s">
        <v>12</v>
      </c>
      <c r="J578" s="28">
        <v>2026</v>
      </c>
      <c r="K578" s="28" t="s">
        <v>261</v>
      </c>
    </row>
    <row r="579" spans="1:11" x14ac:dyDescent="0.3">
      <c r="A579" s="28" t="s">
        <v>1802</v>
      </c>
      <c r="B579" s="28">
        <v>360</v>
      </c>
      <c r="C579" s="28" t="s">
        <v>603</v>
      </c>
      <c r="D579" s="28">
        <v>2026</v>
      </c>
      <c r="E579" s="28" t="s">
        <v>389</v>
      </c>
      <c r="G579" s="28" t="s">
        <v>1802</v>
      </c>
      <c r="H579" s="28">
        <v>950</v>
      </c>
      <c r="I579" s="28" t="s">
        <v>12</v>
      </c>
      <c r="J579" s="28">
        <v>2026</v>
      </c>
      <c r="K579" s="28" t="s">
        <v>261</v>
      </c>
    </row>
    <row r="580" spans="1:11" x14ac:dyDescent="0.3">
      <c r="A580" s="28" t="s">
        <v>1803</v>
      </c>
      <c r="B580" s="28">
        <v>360</v>
      </c>
      <c r="C580" s="28" t="s">
        <v>603</v>
      </c>
      <c r="D580" s="28">
        <v>2026</v>
      </c>
      <c r="E580" s="28" t="s">
        <v>389</v>
      </c>
      <c r="G580" s="28" t="s">
        <v>1803</v>
      </c>
      <c r="H580" s="28">
        <v>950</v>
      </c>
      <c r="I580" s="28" t="s">
        <v>12</v>
      </c>
      <c r="J580" s="28">
        <v>2026</v>
      </c>
      <c r="K580" s="28" t="s">
        <v>261</v>
      </c>
    </row>
    <row r="581" spans="1:11" x14ac:dyDescent="0.3">
      <c r="A581" s="28" t="s">
        <v>1804</v>
      </c>
      <c r="B581" s="28">
        <v>360</v>
      </c>
      <c r="C581" s="28" t="s">
        <v>603</v>
      </c>
      <c r="D581" s="28">
        <v>2026</v>
      </c>
      <c r="E581" s="28" t="s">
        <v>389</v>
      </c>
      <c r="G581" s="28" t="s">
        <v>1804</v>
      </c>
      <c r="H581" s="28">
        <v>950</v>
      </c>
      <c r="I581" s="28" t="s">
        <v>12</v>
      </c>
      <c r="J581" s="28">
        <v>2026</v>
      </c>
      <c r="K581" s="28" t="s">
        <v>261</v>
      </c>
    </row>
    <row r="582" spans="1:11" x14ac:dyDescent="0.3">
      <c r="A582" s="28" t="s">
        <v>1805</v>
      </c>
      <c r="B582" s="28">
        <v>360</v>
      </c>
      <c r="C582" s="28" t="s">
        <v>603</v>
      </c>
      <c r="D582" s="28">
        <v>2026</v>
      </c>
      <c r="E582" s="28" t="s">
        <v>389</v>
      </c>
      <c r="G582" s="28" t="s">
        <v>1805</v>
      </c>
      <c r="H582" s="28">
        <v>950</v>
      </c>
      <c r="I582" s="28" t="s">
        <v>12</v>
      </c>
      <c r="J582" s="28">
        <v>2026</v>
      </c>
      <c r="K582" s="28" t="s">
        <v>261</v>
      </c>
    </row>
    <row r="583" spans="1:11" x14ac:dyDescent="0.3">
      <c r="A583" s="28" t="s">
        <v>1806</v>
      </c>
      <c r="B583" s="28">
        <v>0</v>
      </c>
      <c r="C583" s="28" t="s">
        <v>603</v>
      </c>
      <c r="D583" s="28">
        <v>2026</v>
      </c>
      <c r="E583" s="28" t="s">
        <v>1215</v>
      </c>
      <c r="G583" s="28" t="s">
        <v>1806</v>
      </c>
      <c r="H583" s="28">
        <v>650</v>
      </c>
      <c r="I583" s="28" t="s">
        <v>12</v>
      </c>
      <c r="J583" s="28">
        <v>2026</v>
      </c>
      <c r="K583" s="28" t="s">
        <v>261</v>
      </c>
    </row>
    <row r="584" spans="1:11" x14ac:dyDescent="0.3">
      <c r="A584" s="28" t="s">
        <v>1807</v>
      </c>
      <c r="B584" s="28">
        <v>0</v>
      </c>
      <c r="C584" s="28" t="s">
        <v>603</v>
      </c>
      <c r="D584" s="28">
        <v>2026</v>
      </c>
      <c r="E584" s="28" t="s">
        <v>1215</v>
      </c>
      <c r="G584" s="28" t="s">
        <v>1807</v>
      </c>
      <c r="H584" s="28">
        <v>300</v>
      </c>
      <c r="I584" s="28" t="s">
        <v>12</v>
      </c>
      <c r="J584" s="28">
        <v>2026</v>
      </c>
      <c r="K584" s="28" t="s">
        <v>261</v>
      </c>
    </row>
    <row r="585" spans="1:11" x14ac:dyDescent="0.3">
      <c r="A585" s="28" t="s">
        <v>1808</v>
      </c>
      <c r="B585" s="28">
        <v>0</v>
      </c>
      <c r="C585" s="28" t="s">
        <v>603</v>
      </c>
      <c r="D585" s="28">
        <v>2026</v>
      </c>
      <c r="E585" s="28" t="s">
        <v>1215</v>
      </c>
      <c r="G585" s="28" t="s">
        <v>1808</v>
      </c>
      <c r="H585" s="28">
        <v>650</v>
      </c>
      <c r="I585" s="28" t="s">
        <v>12</v>
      </c>
      <c r="J585" s="28">
        <v>2026</v>
      </c>
      <c r="K585" s="28" t="s">
        <v>261</v>
      </c>
    </row>
    <row r="586" spans="1:11" x14ac:dyDescent="0.3">
      <c r="A586" s="28" t="s">
        <v>1809</v>
      </c>
      <c r="B586" s="28">
        <v>0</v>
      </c>
      <c r="C586" s="28" t="s">
        <v>603</v>
      </c>
      <c r="D586" s="28">
        <v>2026</v>
      </c>
      <c r="E586" s="28" t="s">
        <v>1215</v>
      </c>
      <c r="G586" s="28" t="s">
        <v>1809</v>
      </c>
      <c r="H586" s="28">
        <v>650</v>
      </c>
      <c r="I586" s="28" t="s">
        <v>12</v>
      </c>
      <c r="J586" s="28">
        <v>2026</v>
      </c>
      <c r="K586" s="28" t="s">
        <v>261</v>
      </c>
    </row>
    <row r="587" spans="1:11" x14ac:dyDescent="0.3">
      <c r="A587" s="28" t="s">
        <v>1810</v>
      </c>
      <c r="B587" s="28">
        <v>0</v>
      </c>
      <c r="C587" s="28" t="s">
        <v>603</v>
      </c>
      <c r="D587" s="28">
        <v>2026</v>
      </c>
      <c r="E587" s="28" t="s">
        <v>1215</v>
      </c>
      <c r="G587" s="28" t="s">
        <v>1810</v>
      </c>
      <c r="H587" s="28">
        <v>650</v>
      </c>
      <c r="I587" s="28" t="s">
        <v>12</v>
      </c>
      <c r="J587" s="28">
        <v>2026</v>
      </c>
      <c r="K587" s="28" t="s">
        <v>261</v>
      </c>
    </row>
    <row r="588" spans="1:11" x14ac:dyDescent="0.3">
      <c r="A588" s="28" t="s">
        <v>1811</v>
      </c>
      <c r="B588" s="28">
        <v>0</v>
      </c>
      <c r="C588" s="28" t="s">
        <v>603</v>
      </c>
      <c r="D588" s="28">
        <v>2026</v>
      </c>
      <c r="E588" s="28" t="s">
        <v>1215</v>
      </c>
      <c r="G588" s="28" t="s">
        <v>1811</v>
      </c>
      <c r="H588" s="28">
        <v>650</v>
      </c>
      <c r="I588" s="28" t="s">
        <v>12</v>
      </c>
      <c r="J588" s="28">
        <v>2026</v>
      </c>
      <c r="K588" s="28" t="s">
        <v>261</v>
      </c>
    </row>
    <row r="589" spans="1:11" x14ac:dyDescent="0.3">
      <c r="A589" s="28" t="s">
        <v>1812</v>
      </c>
      <c r="B589" s="28">
        <v>0</v>
      </c>
      <c r="C589" s="28" t="s">
        <v>603</v>
      </c>
      <c r="D589" s="28">
        <v>2026</v>
      </c>
      <c r="E589" s="28" t="s">
        <v>1215</v>
      </c>
      <c r="G589" s="28" t="s">
        <v>1812</v>
      </c>
      <c r="H589" s="28">
        <v>650</v>
      </c>
      <c r="I589" s="28" t="s">
        <v>12</v>
      </c>
      <c r="J589" s="28">
        <v>2026</v>
      </c>
      <c r="K589" s="28" t="s">
        <v>261</v>
      </c>
    </row>
    <row r="590" spans="1:11" x14ac:dyDescent="0.3">
      <c r="A590" s="28" t="s">
        <v>1813</v>
      </c>
      <c r="B590" s="28">
        <v>0</v>
      </c>
      <c r="C590" s="28" t="s">
        <v>603</v>
      </c>
      <c r="D590" s="28">
        <v>2026</v>
      </c>
      <c r="E590" s="28" t="s">
        <v>1215</v>
      </c>
      <c r="G590" s="28" t="s">
        <v>1813</v>
      </c>
      <c r="H590" s="28">
        <v>650</v>
      </c>
      <c r="I590" s="28" t="s">
        <v>12</v>
      </c>
      <c r="J590" s="28">
        <v>2026</v>
      </c>
      <c r="K590" s="28" t="s">
        <v>261</v>
      </c>
    </row>
    <row r="591" spans="1:11" x14ac:dyDescent="0.3">
      <c r="A591" s="28" t="s">
        <v>1814</v>
      </c>
      <c r="B591" s="28">
        <v>0</v>
      </c>
      <c r="C591" s="28" t="s">
        <v>603</v>
      </c>
      <c r="D591" s="28">
        <v>2026</v>
      </c>
      <c r="E591" s="28" t="s">
        <v>1215</v>
      </c>
      <c r="G591" s="28" t="s">
        <v>1814</v>
      </c>
      <c r="H591" s="28">
        <v>650</v>
      </c>
      <c r="I591" s="28" t="s">
        <v>12</v>
      </c>
      <c r="J591" s="28">
        <v>2026</v>
      </c>
      <c r="K591" s="28" t="s">
        <v>261</v>
      </c>
    </row>
    <row r="592" spans="1:11" x14ac:dyDescent="0.3">
      <c r="A592" s="28" t="s">
        <v>1815</v>
      </c>
      <c r="B592" s="28">
        <v>0</v>
      </c>
      <c r="C592" s="28" t="s">
        <v>603</v>
      </c>
      <c r="D592" s="28">
        <v>2026</v>
      </c>
      <c r="E592" s="28" t="s">
        <v>1215</v>
      </c>
      <c r="G592" s="28" t="s">
        <v>1815</v>
      </c>
      <c r="H592" s="28">
        <v>650</v>
      </c>
      <c r="I592" s="28" t="s">
        <v>12</v>
      </c>
      <c r="J592" s="28">
        <v>2026</v>
      </c>
      <c r="K592" s="28" t="s">
        <v>261</v>
      </c>
    </row>
    <row r="593" spans="1:11" x14ac:dyDescent="0.3">
      <c r="A593" s="28" t="s">
        <v>1816</v>
      </c>
      <c r="B593" s="28">
        <v>0</v>
      </c>
      <c r="C593" s="28" t="s">
        <v>603</v>
      </c>
      <c r="D593" s="28">
        <v>2026</v>
      </c>
      <c r="E593" s="28" t="s">
        <v>1215</v>
      </c>
      <c r="G593" s="28" t="s">
        <v>1816</v>
      </c>
      <c r="H593" s="28">
        <v>650</v>
      </c>
      <c r="I593" s="28" t="s">
        <v>12</v>
      </c>
      <c r="J593" s="28">
        <v>2026</v>
      </c>
      <c r="K593" s="28" t="s">
        <v>261</v>
      </c>
    </row>
    <row r="594" spans="1:11" x14ac:dyDescent="0.3">
      <c r="A594" s="28" t="s">
        <v>1817</v>
      </c>
      <c r="B594" s="28">
        <v>0</v>
      </c>
      <c r="C594" s="28" t="s">
        <v>603</v>
      </c>
      <c r="D594" s="28">
        <v>2026</v>
      </c>
      <c r="E594" s="28" t="s">
        <v>1215</v>
      </c>
      <c r="G594" s="28" t="s">
        <v>1817</v>
      </c>
      <c r="H594" s="28">
        <v>650</v>
      </c>
      <c r="I594" s="28" t="s">
        <v>12</v>
      </c>
      <c r="J594" s="28">
        <v>2026</v>
      </c>
      <c r="K594" s="28" t="s">
        <v>261</v>
      </c>
    </row>
    <row r="595" spans="1:11" x14ac:dyDescent="0.3">
      <c r="A595" s="28" t="s">
        <v>1818</v>
      </c>
      <c r="B595" s="28">
        <v>0</v>
      </c>
      <c r="C595" s="28" t="s">
        <v>603</v>
      </c>
      <c r="D595" s="28">
        <v>2026</v>
      </c>
      <c r="E595" s="28" t="s">
        <v>1215</v>
      </c>
      <c r="G595" s="28" t="s">
        <v>1818</v>
      </c>
      <c r="H595" s="28">
        <v>650</v>
      </c>
      <c r="I595" s="28" t="s">
        <v>12</v>
      </c>
      <c r="J595" s="28">
        <v>2026</v>
      </c>
      <c r="K595" s="28" t="s">
        <v>261</v>
      </c>
    </row>
    <row r="596" spans="1:11" x14ac:dyDescent="0.3">
      <c r="A596" s="28" t="s">
        <v>1819</v>
      </c>
      <c r="B596" s="28">
        <v>0</v>
      </c>
      <c r="C596" s="28" t="s">
        <v>603</v>
      </c>
      <c r="D596" s="28">
        <v>2026</v>
      </c>
      <c r="E596" s="28" t="s">
        <v>1215</v>
      </c>
      <c r="G596" s="28" t="s">
        <v>1819</v>
      </c>
      <c r="H596" s="28">
        <v>650</v>
      </c>
      <c r="I596" s="28" t="s">
        <v>12</v>
      </c>
      <c r="J596" s="28">
        <v>2026</v>
      </c>
      <c r="K596" s="28" t="s">
        <v>261</v>
      </c>
    </row>
    <row r="597" spans="1:11" x14ac:dyDescent="0.3">
      <c r="A597" s="28" t="s">
        <v>1820</v>
      </c>
      <c r="B597" s="28">
        <v>0</v>
      </c>
      <c r="C597" s="28" t="s">
        <v>603</v>
      </c>
      <c r="D597" s="28">
        <v>2026</v>
      </c>
      <c r="E597" s="28" t="s">
        <v>1215</v>
      </c>
      <c r="G597" s="28" t="s">
        <v>1820</v>
      </c>
      <c r="H597" s="28">
        <v>650</v>
      </c>
      <c r="I597" s="28" t="s">
        <v>12</v>
      </c>
      <c r="J597" s="28">
        <v>2026</v>
      </c>
      <c r="K597" s="28" t="s">
        <v>261</v>
      </c>
    </row>
    <row r="598" spans="1:11" x14ac:dyDescent="0.3">
      <c r="A598" s="28" t="s">
        <v>1821</v>
      </c>
      <c r="B598" s="28">
        <v>0</v>
      </c>
      <c r="C598" s="28" t="s">
        <v>603</v>
      </c>
      <c r="D598" s="28">
        <v>2026</v>
      </c>
      <c r="E598" s="28" t="s">
        <v>1215</v>
      </c>
      <c r="G598" s="28" t="s">
        <v>1821</v>
      </c>
      <c r="H598" s="28">
        <v>650</v>
      </c>
      <c r="I598" s="28" t="s">
        <v>12</v>
      </c>
      <c r="J598" s="28">
        <v>2026</v>
      </c>
      <c r="K598" s="28" t="s">
        <v>261</v>
      </c>
    </row>
    <row r="599" spans="1:11" x14ac:dyDescent="0.3">
      <c r="A599" s="28" t="s">
        <v>1822</v>
      </c>
      <c r="B599" s="28">
        <v>0</v>
      </c>
      <c r="C599" s="28" t="s">
        <v>603</v>
      </c>
      <c r="D599" s="28">
        <v>2026</v>
      </c>
      <c r="E599" s="28" t="s">
        <v>1215</v>
      </c>
      <c r="G599" s="28" t="s">
        <v>1822</v>
      </c>
      <c r="H599" s="28">
        <v>650</v>
      </c>
      <c r="I599" s="28" t="s">
        <v>12</v>
      </c>
      <c r="J599" s="28">
        <v>2026</v>
      </c>
      <c r="K599" s="28" t="s">
        <v>261</v>
      </c>
    </row>
    <row r="600" spans="1:11" x14ac:dyDescent="0.3">
      <c r="A600" s="28" t="s">
        <v>1823</v>
      </c>
      <c r="B600" s="28">
        <v>0</v>
      </c>
      <c r="C600" s="28" t="s">
        <v>603</v>
      </c>
      <c r="D600" s="28">
        <v>2026</v>
      </c>
      <c r="E600" s="28" t="s">
        <v>1215</v>
      </c>
      <c r="G600" s="28" t="s">
        <v>1823</v>
      </c>
      <c r="H600" s="28">
        <v>650</v>
      </c>
      <c r="I600" s="28" t="s">
        <v>12</v>
      </c>
      <c r="J600" s="28">
        <v>2026</v>
      </c>
      <c r="K600" s="28" t="s">
        <v>261</v>
      </c>
    </row>
    <row r="601" spans="1:11" x14ac:dyDescent="0.3">
      <c r="A601" s="28" t="s">
        <v>1824</v>
      </c>
      <c r="B601" s="28">
        <v>0</v>
      </c>
      <c r="C601" s="28" t="s">
        <v>603</v>
      </c>
      <c r="D601" s="28">
        <v>2026</v>
      </c>
      <c r="E601" s="28" t="s">
        <v>1215</v>
      </c>
      <c r="G601" s="28" t="s">
        <v>1824</v>
      </c>
      <c r="H601" s="28">
        <v>650</v>
      </c>
      <c r="I601" s="28" t="s">
        <v>12</v>
      </c>
      <c r="J601" s="28">
        <v>2026</v>
      </c>
      <c r="K601" s="28" t="s">
        <v>261</v>
      </c>
    </row>
    <row r="602" spans="1:11" x14ac:dyDescent="0.3">
      <c r="A602" s="28" t="s">
        <v>1825</v>
      </c>
      <c r="B602" s="28">
        <v>0</v>
      </c>
      <c r="C602" s="28" t="s">
        <v>603</v>
      </c>
      <c r="D602" s="28">
        <v>2026</v>
      </c>
      <c r="E602" s="28" t="s">
        <v>1215</v>
      </c>
      <c r="G602" s="28" t="s">
        <v>1825</v>
      </c>
      <c r="H602" s="28">
        <v>650</v>
      </c>
      <c r="I602" s="28" t="s">
        <v>12</v>
      </c>
      <c r="J602" s="28">
        <v>2026</v>
      </c>
      <c r="K602" s="28" t="s">
        <v>261</v>
      </c>
    </row>
    <row r="603" spans="1:11" x14ac:dyDescent="0.3">
      <c r="A603" s="28" t="s">
        <v>1826</v>
      </c>
      <c r="B603" s="28">
        <v>360</v>
      </c>
      <c r="C603" s="28" t="s">
        <v>603</v>
      </c>
      <c r="D603" s="28">
        <v>2026</v>
      </c>
      <c r="E603" s="28" t="s">
        <v>389</v>
      </c>
      <c r="G603" s="28" t="s">
        <v>1826</v>
      </c>
      <c r="H603" s="28">
        <v>650</v>
      </c>
      <c r="I603" s="28" t="s">
        <v>12</v>
      </c>
      <c r="J603" s="28">
        <v>2026</v>
      </c>
      <c r="K603" s="28" t="s">
        <v>261</v>
      </c>
    </row>
    <row r="604" spans="1:11" x14ac:dyDescent="0.3">
      <c r="A604" s="28" t="s">
        <v>1827</v>
      </c>
      <c r="B604" s="28">
        <v>360</v>
      </c>
      <c r="C604" s="28" t="s">
        <v>603</v>
      </c>
      <c r="D604" s="28">
        <v>2026</v>
      </c>
      <c r="E604" s="28" t="s">
        <v>389</v>
      </c>
      <c r="G604" s="28" t="s">
        <v>1827</v>
      </c>
      <c r="H604" s="28">
        <v>650</v>
      </c>
      <c r="I604" s="28" t="s">
        <v>12</v>
      </c>
      <c r="J604" s="28">
        <v>2026</v>
      </c>
      <c r="K604" s="28" t="s">
        <v>261</v>
      </c>
    </row>
    <row r="605" spans="1:11" x14ac:dyDescent="0.3">
      <c r="A605" s="28" t="s">
        <v>1828</v>
      </c>
      <c r="B605" s="28">
        <v>300</v>
      </c>
      <c r="C605" s="28" t="s">
        <v>603</v>
      </c>
      <c r="D605" s="28">
        <v>2026</v>
      </c>
      <c r="E605" s="28" t="s">
        <v>389</v>
      </c>
      <c r="G605" s="28" t="s">
        <v>1828</v>
      </c>
      <c r="H605" s="28">
        <v>1050</v>
      </c>
      <c r="I605" s="28" t="s">
        <v>12</v>
      </c>
      <c r="J605" s="28">
        <v>2026</v>
      </c>
      <c r="K605" s="28" t="s">
        <v>261</v>
      </c>
    </row>
    <row r="606" spans="1:11" x14ac:dyDescent="0.3">
      <c r="A606" s="28" t="s">
        <v>1829</v>
      </c>
      <c r="B606" s="28">
        <v>300</v>
      </c>
      <c r="C606" s="28" t="s">
        <v>603</v>
      </c>
      <c r="D606" s="28">
        <v>2026</v>
      </c>
      <c r="E606" s="28" t="s">
        <v>389</v>
      </c>
      <c r="G606" s="28" t="s">
        <v>1829</v>
      </c>
      <c r="H606" s="28">
        <v>1050</v>
      </c>
      <c r="I606" s="28" t="s">
        <v>12</v>
      </c>
      <c r="J606" s="28">
        <v>2026</v>
      </c>
      <c r="K606" s="28" t="s">
        <v>261</v>
      </c>
    </row>
    <row r="607" spans="1:11" x14ac:dyDescent="0.3">
      <c r="A607" s="28" t="s">
        <v>1830</v>
      </c>
      <c r="B607" s="28">
        <v>300</v>
      </c>
      <c r="C607" s="28" t="s">
        <v>603</v>
      </c>
      <c r="D607" s="28">
        <v>2026</v>
      </c>
      <c r="E607" s="28" t="s">
        <v>389</v>
      </c>
      <c r="G607" s="28" t="s">
        <v>1830</v>
      </c>
      <c r="H607" s="28">
        <v>1050</v>
      </c>
      <c r="I607" s="28" t="s">
        <v>12</v>
      </c>
      <c r="J607" s="28">
        <v>2026</v>
      </c>
      <c r="K607" s="28" t="s">
        <v>261</v>
      </c>
    </row>
    <row r="608" spans="1:11" x14ac:dyDescent="0.3">
      <c r="A608" s="28" t="s">
        <v>1831</v>
      </c>
      <c r="B608" s="28">
        <v>300</v>
      </c>
      <c r="C608" s="28" t="s">
        <v>603</v>
      </c>
      <c r="D608" s="28">
        <v>2026</v>
      </c>
      <c r="E608" s="28" t="s">
        <v>389</v>
      </c>
      <c r="G608" s="28" t="s">
        <v>1831</v>
      </c>
      <c r="H608" s="28">
        <v>1800</v>
      </c>
      <c r="I608" s="28" t="s">
        <v>12</v>
      </c>
      <c r="J608" s="28">
        <v>2026</v>
      </c>
      <c r="K608" s="28" t="s">
        <v>261</v>
      </c>
    </row>
    <row r="609" spans="1:11" x14ac:dyDescent="0.3">
      <c r="A609" s="28" t="s">
        <v>1832</v>
      </c>
      <c r="B609" s="28">
        <v>300</v>
      </c>
      <c r="C609" s="28" t="s">
        <v>603</v>
      </c>
      <c r="D609" s="28">
        <v>2026</v>
      </c>
      <c r="E609" s="28" t="s">
        <v>389</v>
      </c>
      <c r="G609" s="28" t="s">
        <v>1832</v>
      </c>
      <c r="H609" s="28">
        <v>1800</v>
      </c>
      <c r="I609" s="28" t="s">
        <v>12</v>
      </c>
      <c r="J609" s="28">
        <v>2026</v>
      </c>
      <c r="K609" s="28" t="s">
        <v>261</v>
      </c>
    </row>
    <row r="610" spans="1:11" x14ac:dyDescent="0.3">
      <c r="A610" s="28" t="s">
        <v>1833</v>
      </c>
      <c r="B610" s="28">
        <v>360</v>
      </c>
      <c r="C610" s="28" t="s">
        <v>603</v>
      </c>
      <c r="D610" s="28">
        <v>2026</v>
      </c>
      <c r="E610" s="28" t="s">
        <v>389</v>
      </c>
      <c r="G610" s="28" t="s">
        <v>1833</v>
      </c>
      <c r="H610" s="28">
        <v>1350</v>
      </c>
      <c r="I610" s="28" t="s">
        <v>12</v>
      </c>
      <c r="J610" s="28">
        <v>2026</v>
      </c>
      <c r="K610" s="28" t="s">
        <v>261</v>
      </c>
    </row>
    <row r="611" spans="1:11" x14ac:dyDescent="0.3">
      <c r="A611" s="28" t="s">
        <v>1834</v>
      </c>
      <c r="B611" s="28">
        <v>360</v>
      </c>
      <c r="C611" s="28" t="s">
        <v>603</v>
      </c>
      <c r="D611" s="28">
        <v>2026</v>
      </c>
      <c r="E611" s="28" t="s">
        <v>389</v>
      </c>
      <c r="G611" s="28" t="s">
        <v>1834</v>
      </c>
      <c r="H611" s="28">
        <v>1350</v>
      </c>
      <c r="I611" s="28" t="s">
        <v>12</v>
      </c>
      <c r="J611" s="28">
        <v>2026</v>
      </c>
      <c r="K611" s="28" t="s">
        <v>261</v>
      </c>
    </row>
    <row r="612" spans="1:11" x14ac:dyDescent="0.3">
      <c r="A612" s="28" t="s">
        <v>1835</v>
      </c>
      <c r="B612" s="28">
        <v>300</v>
      </c>
      <c r="C612" s="28" t="s">
        <v>603</v>
      </c>
      <c r="D612" s="28">
        <v>2026</v>
      </c>
      <c r="E612" s="28" t="s">
        <v>389</v>
      </c>
      <c r="G612" s="28" t="s">
        <v>1835</v>
      </c>
      <c r="H612" s="28">
        <v>1350</v>
      </c>
      <c r="I612" s="28" t="s">
        <v>12</v>
      </c>
      <c r="J612" s="28">
        <v>2026</v>
      </c>
      <c r="K612" s="28" t="s">
        <v>261</v>
      </c>
    </row>
    <row r="613" spans="1:11" x14ac:dyDescent="0.3">
      <c r="A613" s="28" t="s">
        <v>1836</v>
      </c>
      <c r="B613" s="28">
        <v>300</v>
      </c>
      <c r="C613" s="28" t="s">
        <v>603</v>
      </c>
      <c r="D613" s="28">
        <v>2026</v>
      </c>
      <c r="E613" s="28" t="s">
        <v>389</v>
      </c>
      <c r="G613" s="28" t="s">
        <v>1836</v>
      </c>
      <c r="H613" s="28">
        <v>1350</v>
      </c>
      <c r="I613" s="28" t="s">
        <v>12</v>
      </c>
      <c r="J613" s="28">
        <v>2026</v>
      </c>
      <c r="K613" s="28" t="s">
        <v>261</v>
      </c>
    </row>
    <row r="614" spans="1:11" x14ac:dyDescent="0.3">
      <c r="A614" s="28" t="s">
        <v>1837</v>
      </c>
      <c r="B614" s="28">
        <v>300</v>
      </c>
      <c r="C614" s="28" t="s">
        <v>603</v>
      </c>
      <c r="D614" s="28">
        <v>2026</v>
      </c>
      <c r="E614" s="28" t="s">
        <v>389</v>
      </c>
      <c r="G614" s="28" t="s">
        <v>1837</v>
      </c>
      <c r="H614" s="28">
        <v>1350</v>
      </c>
      <c r="I614" s="28" t="s">
        <v>12</v>
      </c>
      <c r="J614" s="28">
        <v>2026</v>
      </c>
      <c r="K614" s="28" t="s">
        <v>261</v>
      </c>
    </row>
    <row r="615" spans="1:11" x14ac:dyDescent="0.3">
      <c r="A615" s="28" t="s">
        <v>1838</v>
      </c>
      <c r="B615" s="28">
        <v>300</v>
      </c>
      <c r="C615" s="28" t="s">
        <v>603</v>
      </c>
      <c r="D615" s="28">
        <v>2026</v>
      </c>
      <c r="E615" s="28" t="s">
        <v>389</v>
      </c>
      <c r="G615" s="28" t="s">
        <v>1838</v>
      </c>
      <c r="H615" s="28">
        <v>1350</v>
      </c>
      <c r="I615" s="28" t="s">
        <v>12</v>
      </c>
      <c r="J615" s="28">
        <v>2026</v>
      </c>
      <c r="K615" s="28" t="s">
        <v>261</v>
      </c>
    </row>
    <row r="616" spans="1:11" x14ac:dyDescent="0.3">
      <c r="A616" s="28" t="s">
        <v>1839</v>
      </c>
      <c r="B616" s="28">
        <v>360</v>
      </c>
      <c r="C616" s="28" t="s">
        <v>603</v>
      </c>
      <c r="D616" s="28">
        <v>2026</v>
      </c>
      <c r="E616" s="28" t="s">
        <v>389</v>
      </c>
      <c r="G616" s="28" t="s">
        <v>1839</v>
      </c>
      <c r="H616" s="28">
        <v>1350</v>
      </c>
      <c r="I616" s="28" t="s">
        <v>12</v>
      </c>
      <c r="J616" s="28">
        <v>2026</v>
      </c>
      <c r="K616" s="28" t="s">
        <v>261</v>
      </c>
    </row>
    <row r="617" spans="1:11" x14ac:dyDescent="0.3">
      <c r="A617" s="28" t="s">
        <v>1840</v>
      </c>
      <c r="B617" s="28">
        <v>360</v>
      </c>
      <c r="C617" s="28" t="s">
        <v>603</v>
      </c>
      <c r="D617" s="28">
        <v>2026</v>
      </c>
      <c r="E617" s="28" t="s">
        <v>389</v>
      </c>
      <c r="G617" s="28" t="s">
        <v>1840</v>
      </c>
      <c r="H617" s="28">
        <v>1350</v>
      </c>
      <c r="I617" s="28" t="s">
        <v>12</v>
      </c>
      <c r="J617" s="28">
        <v>2026</v>
      </c>
      <c r="K617" s="28" t="s">
        <v>261</v>
      </c>
    </row>
    <row r="618" spans="1:11" x14ac:dyDescent="0.3">
      <c r="A618" s="28" t="s">
        <v>1841</v>
      </c>
      <c r="B618" s="28">
        <v>360</v>
      </c>
      <c r="C618" s="28" t="s">
        <v>603</v>
      </c>
      <c r="D618" s="28">
        <v>2026</v>
      </c>
      <c r="E618" s="28" t="s">
        <v>389</v>
      </c>
      <c r="G618" s="28" t="s">
        <v>1841</v>
      </c>
      <c r="H618" s="28">
        <v>1350</v>
      </c>
      <c r="I618" s="28" t="s">
        <v>12</v>
      </c>
      <c r="J618" s="28">
        <v>2026</v>
      </c>
      <c r="K618" s="28" t="s">
        <v>261</v>
      </c>
    </row>
    <row r="619" spans="1:11" x14ac:dyDescent="0.3">
      <c r="A619" s="28" t="s">
        <v>1842</v>
      </c>
      <c r="B619" s="28">
        <v>360</v>
      </c>
      <c r="C619" s="28" t="s">
        <v>603</v>
      </c>
      <c r="D619" s="28">
        <v>2026</v>
      </c>
      <c r="E619" s="28" t="s">
        <v>389</v>
      </c>
      <c r="G619" s="28" t="s">
        <v>1842</v>
      </c>
      <c r="H619" s="28">
        <v>1350</v>
      </c>
      <c r="I619" s="28" t="s">
        <v>12</v>
      </c>
      <c r="J619" s="28">
        <v>2026</v>
      </c>
      <c r="K619" s="28" t="s">
        <v>261</v>
      </c>
    </row>
    <row r="620" spans="1:11" x14ac:dyDescent="0.3">
      <c r="A620" s="28" t="s">
        <v>1843</v>
      </c>
      <c r="B620" s="28">
        <v>360</v>
      </c>
      <c r="C620" s="28" t="s">
        <v>603</v>
      </c>
      <c r="D620" s="28">
        <v>2026</v>
      </c>
      <c r="E620" s="28" t="s">
        <v>389</v>
      </c>
      <c r="G620" s="28" t="s">
        <v>1843</v>
      </c>
      <c r="H620" s="28">
        <v>1200</v>
      </c>
      <c r="I620" s="28" t="s">
        <v>12</v>
      </c>
      <c r="J620" s="28">
        <v>2026</v>
      </c>
      <c r="K620" s="28" t="s">
        <v>261</v>
      </c>
    </row>
    <row r="621" spans="1:11" x14ac:dyDescent="0.3">
      <c r="A621" s="28" t="s">
        <v>1844</v>
      </c>
      <c r="B621" s="28">
        <v>360</v>
      </c>
      <c r="C621" s="28" t="s">
        <v>603</v>
      </c>
      <c r="D621" s="28">
        <v>2026</v>
      </c>
      <c r="E621" s="28" t="s">
        <v>389</v>
      </c>
      <c r="G621" s="28" t="s">
        <v>1844</v>
      </c>
      <c r="H621" s="28">
        <v>1200</v>
      </c>
      <c r="I621" s="28" t="s">
        <v>12</v>
      </c>
      <c r="J621" s="28">
        <v>2026</v>
      </c>
      <c r="K621" s="28" t="s">
        <v>261</v>
      </c>
    </row>
    <row r="622" spans="1:11" x14ac:dyDescent="0.3">
      <c r="A622" s="28" t="s">
        <v>1845</v>
      </c>
      <c r="B622" s="28">
        <v>360</v>
      </c>
      <c r="C622" s="28" t="s">
        <v>603</v>
      </c>
      <c r="D622" s="28">
        <v>2026</v>
      </c>
      <c r="E622" s="28" t="s">
        <v>389</v>
      </c>
      <c r="G622" s="28" t="s">
        <v>1845</v>
      </c>
      <c r="H622" s="28">
        <v>1200</v>
      </c>
      <c r="I622" s="28" t="s">
        <v>12</v>
      </c>
      <c r="J622" s="28">
        <v>2026</v>
      </c>
      <c r="K622" s="28" t="s">
        <v>261</v>
      </c>
    </row>
    <row r="623" spans="1:11" x14ac:dyDescent="0.3">
      <c r="A623" s="28" t="s">
        <v>1846</v>
      </c>
      <c r="B623" s="28">
        <v>360</v>
      </c>
      <c r="C623" s="28" t="s">
        <v>603</v>
      </c>
      <c r="D623" s="28">
        <v>2026</v>
      </c>
      <c r="E623" s="28" t="s">
        <v>389</v>
      </c>
      <c r="G623" s="28" t="s">
        <v>1846</v>
      </c>
      <c r="H623" s="28">
        <v>1200</v>
      </c>
      <c r="I623" s="28" t="s">
        <v>12</v>
      </c>
      <c r="J623" s="28">
        <v>2026</v>
      </c>
      <c r="K623" s="28" t="s">
        <v>261</v>
      </c>
    </row>
    <row r="624" spans="1:11" x14ac:dyDescent="0.3">
      <c r="A624" s="28" t="s">
        <v>1847</v>
      </c>
      <c r="B624" s="28">
        <v>360</v>
      </c>
      <c r="C624" s="28" t="s">
        <v>603</v>
      </c>
      <c r="D624" s="28">
        <v>2026</v>
      </c>
      <c r="E624" s="28" t="s">
        <v>389</v>
      </c>
      <c r="G624" s="28" t="s">
        <v>1847</v>
      </c>
      <c r="H624" s="28">
        <v>1200</v>
      </c>
      <c r="I624" s="28" t="s">
        <v>12</v>
      </c>
      <c r="J624" s="28">
        <v>2026</v>
      </c>
      <c r="K624" s="28" t="s">
        <v>261</v>
      </c>
    </row>
    <row r="625" spans="1:11" x14ac:dyDescent="0.3">
      <c r="A625" s="28" t="s">
        <v>1848</v>
      </c>
      <c r="B625" s="28">
        <v>360</v>
      </c>
      <c r="C625" s="28" t="s">
        <v>603</v>
      </c>
      <c r="D625" s="28">
        <v>2026</v>
      </c>
      <c r="E625" s="28" t="s">
        <v>389</v>
      </c>
      <c r="G625" s="28" t="s">
        <v>1848</v>
      </c>
      <c r="H625" s="28">
        <v>1200</v>
      </c>
      <c r="I625" s="28" t="s">
        <v>12</v>
      </c>
      <c r="J625" s="28">
        <v>2026</v>
      </c>
      <c r="K625" s="28" t="s">
        <v>261</v>
      </c>
    </row>
    <row r="626" spans="1:11" x14ac:dyDescent="0.3">
      <c r="A626" s="28" t="s">
        <v>1849</v>
      </c>
      <c r="B626" s="28">
        <v>360</v>
      </c>
      <c r="C626" s="28" t="s">
        <v>603</v>
      </c>
      <c r="D626" s="28">
        <v>2026</v>
      </c>
      <c r="E626" s="28" t="s">
        <v>389</v>
      </c>
      <c r="G626" s="28" t="s">
        <v>1849</v>
      </c>
      <c r="H626" s="28">
        <v>1200</v>
      </c>
      <c r="I626" s="28" t="s">
        <v>12</v>
      </c>
      <c r="J626" s="28">
        <v>2026</v>
      </c>
      <c r="K626" s="28" t="s">
        <v>261</v>
      </c>
    </row>
    <row r="627" spans="1:11" x14ac:dyDescent="0.3">
      <c r="A627" s="28" t="s">
        <v>1850</v>
      </c>
      <c r="B627" s="28">
        <v>360</v>
      </c>
      <c r="C627" s="28" t="s">
        <v>603</v>
      </c>
      <c r="D627" s="28">
        <v>2026</v>
      </c>
      <c r="E627" s="28" t="s">
        <v>389</v>
      </c>
      <c r="G627" s="28" t="s">
        <v>1850</v>
      </c>
      <c r="H627" s="28">
        <v>1200</v>
      </c>
      <c r="I627" s="28" t="s">
        <v>12</v>
      </c>
      <c r="J627" s="28">
        <v>2026</v>
      </c>
      <c r="K627" s="28" t="s">
        <v>261</v>
      </c>
    </row>
    <row r="628" spans="1:11" x14ac:dyDescent="0.3">
      <c r="A628" s="28" t="s">
        <v>1851</v>
      </c>
      <c r="B628" s="28">
        <v>300</v>
      </c>
      <c r="C628" s="28" t="s">
        <v>603</v>
      </c>
      <c r="D628" s="28">
        <v>2026</v>
      </c>
      <c r="E628" s="28" t="s">
        <v>389</v>
      </c>
      <c r="G628" s="28" t="s">
        <v>1851</v>
      </c>
      <c r="H628" s="28">
        <v>1400</v>
      </c>
      <c r="I628" s="28" t="s">
        <v>12</v>
      </c>
      <c r="J628" s="28">
        <v>2026</v>
      </c>
      <c r="K628" s="28" t="s">
        <v>261</v>
      </c>
    </row>
    <row r="629" spans="1:11" x14ac:dyDescent="0.3">
      <c r="A629" s="28" t="s">
        <v>1852</v>
      </c>
      <c r="B629" s="28">
        <v>300</v>
      </c>
      <c r="C629" s="28" t="s">
        <v>603</v>
      </c>
      <c r="D629" s="28">
        <v>2026</v>
      </c>
      <c r="E629" s="28" t="s">
        <v>389</v>
      </c>
      <c r="G629" s="28" t="s">
        <v>1852</v>
      </c>
      <c r="H629" s="28">
        <v>1400</v>
      </c>
      <c r="I629" s="28" t="s">
        <v>12</v>
      </c>
      <c r="J629" s="28">
        <v>2026</v>
      </c>
      <c r="K629" s="28" t="s">
        <v>261</v>
      </c>
    </row>
    <row r="630" spans="1:11" x14ac:dyDescent="0.3">
      <c r="A630" s="28" t="s">
        <v>1853</v>
      </c>
      <c r="B630" s="28">
        <v>360</v>
      </c>
      <c r="C630" s="28" t="s">
        <v>603</v>
      </c>
      <c r="D630" s="28">
        <v>2026</v>
      </c>
      <c r="E630" s="28" t="s">
        <v>389</v>
      </c>
      <c r="G630" s="28" t="s">
        <v>1853</v>
      </c>
      <c r="H630" s="28">
        <v>1400</v>
      </c>
      <c r="I630" s="28" t="s">
        <v>12</v>
      </c>
      <c r="J630" s="28">
        <v>2026</v>
      </c>
      <c r="K630" s="28" t="s">
        <v>261</v>
      </c>
    </row>
    <row r="631" spans="1:11" x14ac:dyDescent="0.3">
      <c r="A631" s="28" t="s">
        <v>1854</v>
      </c>
      <c r="B631" s="28">
        <v>300</v>
      </c>
      <c r="C631" s="28" t="s">
        <v>603</v>
      </c>
      <c r="D631" s="28">
        <v>2026</v>
      </c>
      <c r="E631" s="28" t="s">
        <v>389</v>
      </c>
      <c r="G631" s="28" t="s">
        <v>1854</v>
      </c>
      <c r="H631" s="28">
        <v>1400</v>
      </c>
      <c r="I631" s="28" t="s">
        <v>12</v>
      </c>
      <c r="J631" s="28">
        <v>2026</v>
      </c>
      <c r="K631" s="28" t="s">
        <v>261</v>
      </c>
    </row>
    <row r="632" spans="1:11" x14ac:dyDescent="0.3">
      <c r="A632" s="28" t="s">
        <v>1855</v>
      </c>
      <c r="B632" s="28">
        <v>360</v>
      </c>
      <c r="C632" s="28" t="s">
        <v>603</v>
      </c>
      <c r="D632" s="28">
        <v>2026</v>
      </c>
      <c r="E632" s="28" t="s">
        <v>389</v>
      </c>
      <c r="G632" s="28" t="s">
        <v>1855</v>
      </c>
      <c r="H632" s="28">
        <v>1400</v>
      </c>
      <c r="I632" s="28" t="s">
        <v>12</v>
      </c>
      <c r="J632" s="28">
        <v>2026</v>
      </c>
      <c r="K632" s="28" t="s">
        <v>261</v>
      </c>
    </row>
    <row r="633" spans="1:11" x14ac:dyDescent="0.3">
      <c r="A633" s="28" t="s">
        <v>1856</v>
      </c>
      <c r="B633" s="28">
        <v>360</v>
      </c>
      <c r="C633" s="28" t="s">
        <v>603</v>
      </c>
      <c r="D633" s="28">
        <v>2026</v>
      </c>
      <c r="E633" s="28" t="s">
        <v>389</v>
      </c>
      <c r="G633" s="28" t="s">
        <v>1856</v>
      </c>
      <c r="H633" s="28">
        <v>1300</v>
      </c>
      <c r="I633" s="28" t="s">
        <v>12</v>
      </c>
      <c r="J633" s="28">
        <v>2026</v>
      </c>
      <c r="K633" s="28" t="s">
        <v>261</v>
      </c>
    </row>
    <row r="634" spans="1:11" x14ac:dyDescent="0.3">
      <c r="A634" s="28" t="s">
        <v>1857</v>
      </c>
      <c r="B634" s="28">
        <v>2000</v>
      </c>
      <c r="C634" s="28" t="s">
        <v>853</v>
      </c>
      <c r="D634" s="28">
        <v>2026</v>
      </c>
      <c r="E634" s="28" t="s">
        <v>389</v>
      </c>
      <c r="G634" s="28" t="s">
        <v>1857</v>
      </c>
      <c r="H634" s="28">
        <v>800</v>
      </c>
      <c r="I634" s="28" t="s">
        <v>12</v>
      </c>
      <c r="J634" s="28">
        <v>2026</v>
      </c>
      <c r="K634" s="28" t="s">
        <v>261</v>
      </c>
    </row>
    <row r="635" spans="1:11" x14ac:dyDescent="0.3">
      <c r="A635" s="28" t="s">
        <v>1858</v>
      </c>
      <c r="B635" s="28">
        <v>2000</v>
      </c>
      <c r="C635" s="28" t="s">
        <v>853</v>
      </c>
      <c r="D635" s="28">
        <v>2026</v>
      </c>
      <c r="E635" s="28" t="s">
        <v>389</v>
      </c>
      <c r="G635" s="28" t="s">
        <v>1858</v>
      </c>
      <c r="H635" s="28">
        <v>800</v>
      </c>
      <c r="I635" s="28" t="s">
        <v>12</v>
      </c>
      <c r="J635" s="28">
        <v>2026</v>
      </c>
      <c r="K635" s="28" t="s">
        <v>261</v>
      </c>
    </row>
    <row r="636" spans="1:11" x14ac:dyDescent="0.3">
      <c r="A636" s="28" t="s">
        <v>1859</v>
      </c>
      <c r="B636" s="28">
        <v>2000</v>
      </c>
      <c r="C636" s="28" t="s">
        <v>853</v>
      </c>
      <c r="D636" s="28">
        <v>2026</v>
      </c>
      <c r="E636" s="28" t="s">
        <v>389</v>
      </c>
      <c r="G636" s="28" t="s">
        <v>1859</v>
      </c>
      <c r="H636" s="28">
        <v>800</v>
      </c>
      <c r="I636" s="28" t="s">
        <v>12</v>
      </c>
      <c r="J636" s="28">
        <v>2026</v>
      </c>
      <c r="K636" s="28" t="s">
        <v>261</v>
      </c>
    </row>
    <row r="637" spans="1:11" x14ac:dyDescent="0.3">
      <c r="A637" s="28" t="s">
        <v>1860</v>
      </c>
      <c r="B637" s="28">
        <v>2000</v>
      </c>
      <c r="C637" s="28" t="s">
        <v>853</v>
      </c>
      <c r="D637" s="28">
        <v>2026</v>
      </c>
      <c r="E637" s="28" t="s">
        <v>389</v>
      </c>
      <c r="G637" s="28" t="s">
        <v>1860</v>
      </c>
      <c r="H637" s="28">
        <v>800</v>
      </c>
      <c r="I637" s="28" t="s">
        <v>12</v>
      </c>
      <c r="J637" s="28">
        <v>2026</v>
      </c>
      <c r="K637" s="28" t="s">
        <v>261</v>
      </c>
    </row>
    <row r="638" spans="1:11" x14ac:dyDescent="0.3">
      <c r="A638" s="28" t="s">
        <v>1861</v>
      </c>
      <c r="B638" s="28">
        <v>2000</v>
      </c>
      <c r="C638" s="28" t="s">
        <v>853</v>
      </c>
      <c r="D638" s="28">
        <v>2026</v>
      </c>
      <c r="E638" s="28" t="s">
        <v>389</v>
      </c>
      <c r="G638" s="28" t="s">
        <v>1861</v>
      </c>
      <c r="H638" s="28">
        <v>800</v>
      </c>
      <c r="I638" s="28" t="s">
        <v>12</v>
      </c>
      <c r="J638" s="28">
        <v>2026</v>
      </c>
      <c r="K638" s="28" t="s">
        <v>261</v>
      </c>
    </row>
    <row r="639" spans="1:11" x14ac:dyDescent="0.3">
      <c r="A639" s="28" t="s">
        <v>1862</v>
      </c>
      <c r="B639" s="28">
        <v>2000</v>
      </c>
      <c r="C639" s="28" t="s">
        <v>853</v>
      </c>
      <c r="D639" s="28">
        <v>2026</v>
      </c>
      <c r="E639" s="28" t="s">
        <v>389</v>
      </c>
      <c r="G639" s="28" t="s">
        <v>1862</v>
      </c>
      <c r="H639" s="28">
        <v>800</v>
      </c>
      <c r="I639" s="28" t="s">
        <v>12</v>
      </c>
      <c r="J639" s="28">
        <v>2026</v>
      </c>
      <c r="K639" s="28" t="s">
        <v>261</v>
      </c>
    </row>
    <row r="640" spans="1:11" x14ac:dyDescent="0.3">
      <c r="A640" s="28" t="s">
        <v>1863</v>
      </c>
      <c r="B640" s="28">
        <v>2000</v>
      </c>
      <c r="C640" s="28" t="s">
        <v>853</v>
      </c>
      <c r="D640" s="28">
        <v>2026</v>
      </c>
      <c r="E640" s="28" t="s">
        <v>389</v>
      </c>
      <c r="G640" s="28" t="s">
        <v>1863</v>
      </c>
      <c r="H640" s="28">
        <v>800</v>
      </c>
      <c r="I640" s="28" t="s">
        <v>12</v>
      </c>
      <c r="J640" s="28">
        <v>2026</v>
      </c>
      <c r="K640" s="28" t="s">
        <v>261</v>
      </c>
    </row>
    <row r="641" spans="1:11" x14ac:dyDescent="0.3">
      <c r="A641" s="28" t="s">
        <v>1864</v>
      </c>
      <c r="B641" s="28">
        <v>0</v>
      </c>
      <c r="C641" s="28" t="s">
        <v>853</v>
      </c>
      <c r="D641" s="28">
        <v>2026</v>
      </c>
      <c r="E641" s="28" t="s">
        <v>1215</v>
      </c>
      <c r="G641" s="28" t="s">
        <v>1864</v>
      </c>
      <c r="H641" s="28">
        <v>250</v>
      </c>
      <c r="I641" s="28" t="s">
        <v>12</v>
      </c>
      <c r="J641" s="28">
        <v>2026</v>
      </c>
      <c r="K641" s="28" t="s">
        <v>261</v>
      </c>
    </row>
    <row r="642" spans="1:11" x14ac:dyDescent="0.3">
      <c r="A642" s="28" t="s">
        <v>1865</v>
      </c>
      <c r="B642" s="28">
        <v>2000</v>
      </c>
      <c r="C642" s="28" t="s">
        <v>853</v>
      </c>
      <c r="D642" s="28">
        <v>2026</v>
      </c>
      <c r="E642" s="28" t="s">
        <v>389</v>
      </c>
      <c r="G642" s="28" t="s">
        <v>1865</v>
      </c>
      <c r="H642" s="28">
        <v>700</v>
      </c>
      <c r="I642" s="28" t="s">
        <v>12</v>
      </c>
      <c r="J642" s="28">
        <v>2026</v>
      </c>
      <c r="K642" s="28" t="s">
        <v>261</v>
      </c>
    </row>
    <row r="643" spans="1:11" x14ac:dyDescent="0.3">
      <c r="A643" s="28" t="s">
        <v>1866</v>
      </c>
      <c r="B643" s="28">
        <v>2000</v>
      </c>
      <c r="C643" s="28" t="s">
        <v>853</v>
      </c>
      <c r="D643" s="28">
        <v>2026</v>
      </c>
      <c r="E643" s="28" t="s">
        <v>389</v>
      </c>
      <c r="G643" s="28" t="s">
        <v>1866</v>
      </c>
      <c r="H643" s="28">
        <v>700</v>
      </c>
      <c r="I643" s="28" t="s">
        <v>12</v>
      </c>
      <c r="J643" s="28">
        <v>2026</v>
      </c>
      <c r="K643" s="28" t="s">
        <v>261</v>
      </c>
    </row>
    <row r="644" spans="1:11" x14ac:dyDescent="0.3">
      <c r="A644" s="28" t="s">
        <v>1867</v>
      </c>
      <c r="B644" s="28">
        <v>2000</v>
      </c>
      <c r="C644" s="28" t="s">
        <v>853</v>
      </c>
      <c r="D644" s="28">
        <v>2026</v>
      </c>
      <c r="E644" s="28" t="s">
        <v>389</v>
      </c>
      <c r="G644" s="28" t="s">
        <v>1867</v>
      </c>
      <c r="H644" s="28">
        <v>700</v>
      </c>
      <c r="I644" s="28" t="s">
        <v>12</v>
      </c>
      <c r="J644" s="28">
        <v>2026</v>
      </c>
      <c r="K644" s="28" t="s">
        <v>261</v>
      </c>
    </row>
    <row r="645" spans="1:11" x14ac:dyDescent="0.3">
      <c r="A645" s="28" t="s">
        <v>1868</v>
      </c>
      <c r="B645" s="28">
        <v>2000</v>
      </c>
      <c r="C645" s="28" t="s">
        <v>853</v>
      </c>
      <c r="D645" s="28">
        <v>2026</v>
      </c>
      <c r="E645" s="28" t="s">
        <v>389</v>
      </c>
      <c r="G645" s="28" t="s">
        <v>1868</v>
      </c>
      <c r="H645" s="28">
        <v>700</v>
      </c>
      <c r="I645" s="28" t="s">
        <v>12</v>
      </c>
      <c r="J645" s="28">
        <v>2026</v>
      </c>
      <c r="K645" s="28" t="s">
        <v>261</v>
      </c>
    </row>
    <row r="646" spans="1:11" x14ac:dyDescent="0.3">
      <c r="A646" s="28" t="s">
        <v>1869</v>
      </c>
      <c r="B646" s="28">
        <v>2000</v>
      </c>
      <c r="C646" s="28" t="s">
        <v>853</v>
      </c>
      <c r="D646" s="28">
        <v>2026</v>
      </c>
      <c r="E646" s="28" t="s">
        <v>389</v>
      </c>
      <c r="G646" s="28" t="s">
        <v>1869</v>
      </c>
      <c r="H646" s="28">
        <v>700</v>
      </c>
      <c r="I646" s="28" t="s">
        <v>12</v>
      </c>
      <c r="J646" s="28">
        <v>2026</v>
      </c>
      <c r="K646" s="28" t="s">
        <v>261</v>
      </c>
    </row>
    <row r="647" spans="1:11" x14ac:dyDescent="0.3">
      <c r="A647" s="28" t="s">
        <v>1870</v>
      </c>
      <c r="B647" s="28">
        <v>2000</v>
      </c>
      <c r="C647" s="28" t="s">
        <v>853</v>
      </c>
      <c r="D647" s="28">
        <v>2026</v>
      </c>
      <c r="E647" s="28" t="s">
        <v>389</v>
      </c>
      <c r="G647" s="28" t="s">
        <v>1870</v>
      </c>
      <c r="H647" s="28">
        <v>800</v>
      </c>
      <c r="I647" s="28" t="s">
        <v>12</v>
      </c>
      <c r="J647" s="28">
        <v>2026</v>
      </c>
      <c r="K647" s="28" t="s">
        <v>261</v>
      </c>
    </row>
    <row r="648" spans="1:11" x14ac:dyDescent="0.3">
      <c r="A648" s="28" t="s">
        <v>1871</v>
      </c>
      <c r="B648" s="28">
        <v>2000</v>
      </c>
      <c r="C648" s="28" t="s">
        <v>853</v>
      </c>
      <c r="D648" s="28">
        <v>2026</v>
      </c>
      <c r="E648" s="28" t="s">
        <v>389</v>
      </c>
      <c r="G648" s="28" t="s">
        <v>1871</v>
      </c>
      <c r="H648" s="28">
        <v>800</v>
      </c>
      <c r="I648" s="28" t="s">
        <v>12</v>
      </c>
      <c r="J648" s="28">
        <v>2026</v>
      </c>
      <c r="K648" s="28" t="s">
        <v>261</v>
      </c>
    </row>
    <row r="649" spans="1:11" x14ac:dyDescent="0.3">
      <c r="A649" s="28" t="s">
        <v>1872</v>
      </c>
      <c r="B649" s="28">
        <v>2000</v>
      </c>
      <c r="C649" s="28" t="s">
        <v>853</v>
      </c>
      <c r="D649" s="28">
        <v>2026</v>
      </c>
      <c r="E649" s="28" t="s">
        <v>389</v>
      </c>
      <c r="G649" s="28" t="s">
        <v>1872</v>
      </c>
      <c r="H649" s="28">
        <v>800</v>
      </c>
      <c r="I649" s="28" t="s">
        <v>12</v>
      </c>
      <c r="J649" s="28">
        <v>2026</v>
      </c>
      <c r="K649" s="28" t="s">
        <v>261</v>
      </c>
    </row>
    <row r="650" spans="1:11" x14ac:dyDescent="0.3">
      <c r="A650" s="28" t="s">
        <v>1873</v>
      </c>
      <c r="B650" s="28">
        <v>2000</v>
      </c>
      <c r="C650" s="28" t="s">
        <v>853</v>
      </c>
      <c r="D650" s="28">
        <v>2026</v>
      </c>
      <c r="E650" s="28" t="s">
        <v>389</v>
      </c>
      <c r="G650" s="28" t="s">
        <v>1873</v>
      </c>
      <c r="H650" s="28">
        <v>800</v>
      </c>
      <c r="I650" s="28" t="s">
        <v>12</v>
      </c>
      <c r="J650" s="28">
        <v>2026</v>
      </c>
      <c r="K650" s="28" t="s">
        <v>261</v>
      </c>
    </row>
    <row r="651" spans="1:11" x14ac:dyDescent="0.3">
      <c r="A651" s="28" t="s">
        <v>1874</v>
      </c>
      <c r="B651" s="28">
        <v>2000</v>
      </c>
      <c r="C651" s="28" t="s">
        <v>853</v>
      </c>
      <c r="D651" s="28">
        <v>2026</v>
      </c>
      <c r="E651" s="28" t="s">
        <v>389</v>
      </c>
      <c r="G651" s="28" t="s">
        <v>1874</v>
      </c>
      <c r="H651" s="28">
        <v>800</v>
      </c>
      <c r="I651" s="28" t="s">
        <v>12</v>
      </c>
      <c r="J651" s="28">
        <v>2026</v>
      </c>
      <c r="K651" s="28" t="s">
        <v>261</v>
      </c>
    </row>
    <row r="652" spans="1:11" x14ac:dyDescent="0.3">
      <c r="A652" s="28" t="s">
        <v>1875</v>
      </c>
      <c r="B652" s="28">
        <v>2000</v>
      </c>
      <c r="C652" s="28" t="s">
        <v>853</v>
      </c>
      <c r="D652" s="28">
        <v>2026</v>
      </c>
      <c r="E652" s="28" t="s">
        <v>389</v>
      </c>
      <c r="G652" s="28" t="s">
        <v>1875</v>
      </c>
      <c r="H652" s="28">
        <v>800</v>
      </c>
      <c r="I652" s="28" t="s">
        <v>12</v>
      </c>
      <c r="J652" s="28">
        <v>2026</v>
      </c>
      <c r="K652" s="28" t="s">
        <v>261</v>
      </c>
    </row>
    <row r="653" spans="1:11" x14ac:dyDescent="0.3">
      <c r="A653" s="28" t="s">
        <v>1876</v>
      </c>
      <c r="B653" s="28">
        <v>2000</v>
      </c>
      <c r="C653" s="28" t="s">
        <v>853</v>
      </c>
      <c r="D653" s="28">
        <v>2026</v>
      </c>
      <c r="E653" s="28" t="s">
        <v>389</v>
      </c>
      <c r="G653" s="28" t="s">
        <v>1876</v>
      </c>
      <c r="H653" s="28">
        <v>1100</v>
      </c>
      <c r="I653" s="28" t="s">
        <v>12</v>
      </c>
      <c r="J653" s="28">
        <v>2026</v>
      </c>
      <c r="K653" s="28" t="s">
        <v>261</v>
      </c>
    </row>
    <row r="654" spans="1:11" x14ac:dyDescent="0.3">
      <c r="A654" s="28" t="s">
        <v>1877</v>
      </c>
      <c r="B654" s="28">
        <v>2000</v>
      </c>
      <c r="C654" s="28" t="s">
        <v>853</v>
      </c>
      <c r="D654" s="28">
        <v>2026</v>
      </c>
      <c r="E654" s="28" t="s">
        <v>389</v>
      </c>
      <c r="G654" s="28" t="s">
        <v>1877</v>
      </c>
      <c r="H654" s="28">
        <v>1100</v>
      </c>
      <c r="I654" s="28" t="s">
        <v>12</v>
      </c>
      <c r="J654" s="28">
        <v>2026</v>
      </c>
      <c r="K654" s="28" t="s">
        <v>261</v>
      </c>
    </row>
    <row r="655" spans="1:11" x14ac:dyDescent="0.3">
      <c r="A655" s="28" t="s">
        <v>1878</v>
      </c>
      <c r="B655" s="28">
        <v>2000</v>
      </c>
      <c r="C655" s="28" t="s">
        <v>853</v>
      </c>
      <c r="D655" s="28">
        <v>2026</v>
      </c>
      <c r="E655" s="28" t="s">
        <v>389</v>
      </c>
      <c r="G655" s="28" t="s">
        <v>1878</v>
      </c>
      <c r="H655" s="28">
        <v>1100</v>
      </c>
      <c r="I655" s="28" t="s">
        <v>12</v>
      </c>
      <c r="J655" s="28">
        <v>2026</v>
      </c>
      <c r="K655" s="28" t="s">
        <v>261</v>
      </c>
    </row>
    <row r="656" spans="1:11" x14ac:dyDescent="0.3">
      <c r="A656" s="28" t="s">
        <v>1879</v>
      </c>
      <c r="B656" s="28">
        <v>2000</v>
      </c>
      <c r="C656" s="28" t="s">
        <v>853</v>
      </c>
      <c r="D656" s="28">
        <v>2026</v>
      </c>
      <c r="E656" s="28" t="s">
        <v>389</v>
      </c>
      <c r="G656" s="28" t="s">
        <v>1879</v>
      </c>
      <c r="H656" s="28">
        <v>1100</v>
      </c>
      <c r="I656" s="28" t="s">
        <v>12</v>
      </c>
      <c r="J656" s="28">
        <v>2026</v>
      </c>
      <c r="K656" s="28" t="s">
        <v>261</v>
      </c>
    </row>
    <row r="657" spans="1:11" x14ac:dyDescent="0.3">
      <c r="A657" s="28" t="s">
        <v>1880</v>
      </c>
      <c r="B657" s="28">
        <v>2000</v>
      </c>
      <c r="C657" s="28" t="s">
        <v>853</v>
      </c>
      <c r="D657" s="28">
        <v>2026</v>
      </c>
      <c r="E657" s="28" t="s">
        <v>389</v>
      </c>
      <c r="G657" s="28" t="s">
        <v>1880</v>
      </c>
      <c r="H657" s="28">
        <v>1100</v>
      </c>
      <c r="I657" s="28" t="s">
        <v>12</v>
      </c>
      <c r="J657" s="28">
        <v>2026</v>
      </c>
      <c r="K657" s="28" t="s">
        <v>261</v>
      </c>
    </row>
    <row r="658" spans="1:11" x14ac:dyDescent="0.3">
      <c r="A658" s="28" t="s">
        <v>1881</v>
      </c>
      <c r="B658" s="28">
        <v>2000</v>
      </c>
      <c r="C658" s="28" t="s">
        <v>853</v>
      </c>
      <c r="D658" s="28">
        <v>2026</v>
      </c>
      <c r="E658" s="28" t="s">
        <v>389</v>
      </c>
      <c r="G658" s="28" t="s">
        <v>1881</v>
      </c>
      <c r="H658" s="28">
        <v>1100</v>
      </c>
      <c r="I658" s="28" t="s">
        <v>12</v>
      </c>
      <c r="J658" s="28">
        <v>2026</v>
      </c>
      <c r="K658" s="28" t="s">
        <v>261</v>
      </c>
    </row>
    <row r="659" spans="1:11" x14ac:dyDescent="0.3">
      <c r="A659" s="28" t="s">
        <v>1882</v>
      </c>
      <c r="B659" s="28">
        <v>2000</v>
      </c>
      <c r="C659" s="28" t="s">
        <v>853</v>
      </c>
      <c r="D659" s="28">
        <v>2026</v>
      </c>
      <c r="E659" s="28" t="s">
        <v>389</v>
      </c>
      <c r="G659" s="28" t="s">
        <v>1882</v>
      </c>
      <c r="H659" s="28">
        <v>1100</v>
      </c>
      <c r="I659" s="28" t="s">
        <v>12</v>
      </c>
      <c r="J659" s="28">
        <v>2026</v>
      </c>
      <c r="K659" s="28" t="s">
        <v>261</v>
      </c>
    </row>
    <row r="660" spans="1:11" x14ac:dyDescent="0.3">
      <c r="A660" s="28" t="s">
        <v>1883</v>
      </c>
      <c r="B660" s="28">
        <v>2000</v>
      </c>
      <c r="C660" s="28" t="s">
        <v>853</v>
      </c>
      <c r="D660" s="28">
        <v>2026</v>
      </c>
      <c r="E660" s="28" t="s">
        <v>389</v>
      </c>
      <c r="G660" s="28" t="s">
        <v>1883</v>
      </c>
      <c r="H660" s="28">
        <v>1100</v>
      </c>
      <c r="I660" s="28" t="s">
        <v>12</v>
      </c>
      <c r="J660" s="28">
        <v>2026</v>
      </c>
      <c r="K660" s="28" t="s">
        <v>261</v>
      </c>
    </row>
    <row r="661" spans="1:11" x14ac:dyDescent="0.3">
      <c r="A661" s="28" t="s">
        <v>1884</v>
      </c>
      <c r="B661" s="28">
        <v>2000</v>
      </c>
      <c r="C661" s="28" t="s">
        <v>853</v>
      </c>
      <c r="D661" s="28">
        <v>2026</v>
      </c>
      <c r="E661" s="28" t="s">
        <v>389</v>
      </c>
      <c r="G661" s="28" t="s">
        <v>1884</v>
      </c>
      <c r="H661" s="28">
        <v>1100</v>
      </c>
      <c r="I661" s="28" t="s">
        <v>12</v>
      </c>
      <c r="J661" s="28">
        <v>2026</v>
      </c>
      <c r="K661" s="28" t="s">
        <v>261</v>
      </c>
    </row>
    <row r="662" spans="1:11" x14ac:dyDescent="0.3">
      <c r="A662" s="28" t="s">
        <v>1885</v>
      </c>
      <c r="B662" s="28">
        <v>2000</v>
      </c>
      <c r="C662" s="28" t="s">
        <v>853</v>
      </c>
      <c r="D662" s="28">
        <v>2026</v>
      </c>
      <c r="E662" s="28" t="s">
        <v>389</v>
      </c>
      <c r="G662" s="28" t="s">
        <v>1885</v>
      </c>
      <c r="H662" s="28">
        <v>1100</v>
      </c>
      <c r="I662" s="28" t="s">
        <v>12</v>
      </c>
      <c r="J662" s="28">
        <v>2026</v>
      </c>
      <c r="K662" s="28" t="s">
        <v>261</v>
      </c>
    </row>
    <row r="663" spans="1:11" x14ac:dyDescent="0.3">
      <c r="A663" s="28" t="s">
        <v>1886</v>
      </c>
      <c r="B663" s="28">
        <v>2000</v>
      </c>
      <c r="C663" s="28" t="s">
        <v>853</v>
      </c>
      <c r="D663" s="28">
        <v>2026</v>
      </c>
      <c r="E663" s="28" t="s">
        <v>389</v>
      </c>
      <c r="G663" s="28" t="s">
        <v>1886</v>
      </c>
      <c r="H663" s="28">
        <v>1100</v>
      </c>
      <c r="I663" s="28" t="s">
        <v>12</v>
      </c>
      <c r="J663" s="28">
        <v>2026</v>
      </c>
      <c r="K663" s="28" t="s">
        <v>261</v>
      </c>
    </row>
    <row r="664" spans="1:11" x14ac:dyDescent="0.3">
      <c r="A664" s="28" t="s">
        <v>1887</v>
      </c>
      <c r="B664" s="28">
        <v>2000</v>
      </c>
      <c r="C664" s="28" t="s">
        <v>853</v>
      </c>
      <c r="D664" s="28">
        <v>2026</v>
      </c>
      <c r="E664" s="28" t="s">
        <v>389</v>
      </c>
      <c r="G664" s="28" t="s">
        <v>1887</v>
      </c>
      <c r="H664" s="28">
        <v>1100</v>
      </c>
      <c r="I664" s="28" t="s">
        <v>12</v>
      </c>
      <c r="J664" s="28">
        <v>2026</v>
      </c>
      <c r="K664" s="28" t="s">
        <v>261</v>
      </c>
    </row>
    <row r="665" spans="1:11" x14ac:dyDescent="0.3">
      <c r="A665" s="28" t="s">
        <v>1888</v>
      </c>
      <c r="B665" s="28">
        <v>2000</v>
      </c>
      <c r="C665" s="28" t="s">
        <v>853</v>
      </c>
      <c r="D665" s="28">
        <v>2026</v>
      </c>
      <c r="E665" s="28" t="s">
        <v>389</v>
      </c>
      <c r="G665" s="28" t="s">
        <v>1888</v>
      </c>
      <c r="H665" s="28">
        <v>1100</v>
      </c>
      <c r="I665" s="28" t="s">
        <v>12</v>
      </c>
      <c r="J665" s="28">
        <v>2026</v>
      </c>
      <c r="K665" s="28" t="s">
        <v>261</v>
      </c>
    </row>
    <row r="666" spans="1:11" x14ac:dyDescent="0.3">
      <c r="A666" s="28" t="s">
        <v>1889</v>
      </c>
      <c r="B666" s="28">
        <v>2000</v>
      </c>
      <c r="C666" s="28" t="s">
        <v>853</v>
      </c>
      <c r="D666" s="28">
        <v>2026</v>
      </c>
      <c r="E666" s="28" t="s">
        <v>389</v>
      </c>
      <c r="G666" s="28" t="s">
        <v>1889</v>
      </c>
      <c r="H666" s="28">
        <v>1100</v>
      </c>
      <c r="I666" s="28" t="s">
        <v>12</v>
      </c>
      <c r="J666" s="28">
        <v>2026</v>
      </c>
      <c r="K666" s="28" t="s">
        <v>261</v>
      </c>
    </row>
    <row r="667" spans="1:11" x14ac:dyDescent="0.3">
      <c r="A667" s="28" t="s">
        <v>1890</v>
      </c>
      <c r="B667" s="28">
        <v>2000</v>
      </c>
      <c r="C667" s="28" t="s">
        <v>853</v>
      </c>
      <c r="D667" s="28">
        <v>2026</v>
      </c>
      <c r="E667" s="28" t="s">
        <v>389</v>
      </c>
      <c r="G667" s="28" t="s">
        <v>1890</v>
      </c>
      <c r="H667" s="28">
        <v>1100</v>
      </c>
      <c r="I667" s="28" t="s">
        <v>12</v>
      </c>
      <c r="J667" s="28">
        <v>2026</v>
      </c>
      <c r="K667" s="28" t="s">
        <v>261</v>
      </c>
    </row>
    <row r="668" spans="1:11" x14ac:dyDescent="0.3">
      <c r="A668" s="28" t="s">
        <v>1891</v>
      </c>
      <c r="B668" s="28">
        <v>2000</v>
      </c>
      <c r="C668" s="28" t="s">
        <v>853</v>
      </c>
      <c r="D668" s="28">
        <v>2026</v>
      </c>
      <c r="E668" s="28" t="s">
        <v>389</v>
      </c>
      <c r="G668" s="28" t="s">
        <v>1891</v>
      </c>
      <c r="H668" s="28">
        <v>1100</v>
      </c>
      <c r="I668" s="28" t="s">
        <v>12</v>
      </c>
      <c r="J668" s="28">
        <v>2026</v>
      </c>
      <c r="K668" s="28" t="s">
        <v>261</v>
      </c>
    </row>
    <row r="669" spans="1:11" x14ac:dyDescent="0.3">
      <c r="A669" s="28" t="s">
        <v>1892</v>
      </c>
      <c r="B669" s="28">
        <v>2000</v>
      </c>
      <c r="C669" s="28" t="s">
        <v>853</v>
      </c>
      <c r="D669" s="28">
        <v>2026</v>
      </c>
      <c r="E669" s="28" t="s">
        <v>389</v>
      </c>
      <c r="G669" s="28" t="s">
        <v>1892</v>
      </c>
      <c r="H669" s="28">
        <v>1100</v>
      </c>
      <c r="I669" s="28" t="s">
        <v>12</v>
      </c>
      <c r="J669" s="28">
        <v>2026</v>
      </c>
      <c r="K669" s="28" t="s">
        <v>261</v>
      </c>
    </row>
    <row r="670" spans="1:11" x14ac:dyDescent="0.3">
      <c r="A670" s="28" t="s">
        <v>1893</v>
      </c>
      <c r="B670" s="28">
        <v>2000</v>
      </c>
      <c r="C670" s="28" t="s">
        <v>853</v>
      </c>
      <c r="D670" s="28">
        <v>2026</v>
      </c>
      <c r="E670" s="28" t="s">
        <v>389</v>
      </c>
      <c r="G670" s="28" t="s">
        <v>1893</v>
      </c>
      <c r="H670" s="28">
        <v>1100</v>
      </c>
      <c r="I670" s="28" t="s">
        <v>12</v>
      </c>
      <c r="J670" s="28">
        <v>2026</v>
      </c>
      <c r="K670" s="28" t="s">
        <v>261</v>
      </c>
    </row>
    <row r="671" spans="1:11" x14ac:dyDescent="0.3">
      <c r="A671" s="28" t="s">
        <v>1894</v>
      </c>
      <c r="B671" s="28">
        <v>2000</v>
      </c>
      <c r="C671" s="28" t="s">
        <v>853</v>
      </c>
      <c r="D671" s="28">
        <v>2026</v>
      </c>
      <c r="E671" s="28" t="s">
        <v>389</v>
      </c>
      <c r="G671" s="28" t="s">
        <v>1894</v>
      </c>
      <c r="H671" s="28">
        <v>1100</v>
      </c>
      <c r="I671" s="28" t="s">
        <v>12</v>
      </c>
      <c r="J671" s="28">
        <v>2026</v>
      </c>
      <c r="K671" s="28" t="s">
        <v>261</v>
      </c>
    </row>
    <row r="672" spans="1:11" x14ac:dyDescent="0.3">
      <c r="A672" s="28" t="s">
        <v>1895</v>
      </c>
      <c r="B672" s="28">
        <v>2000</v>
      </c>
      <c r="C672" s="28" t="s">
        <v>853</v>
      </c>
      <c r="D672" s="28">
        <v>2026</v>
      </c>
      <c r="E672" s="28" t="s">
        <v>389</v>
      </c>
      <c r="G672" s="28" t="s">
        <v>1895</v>
      </c>
      <c r="H672" s="28">
        <v>1100</v>
      </c>
      <c r="I672" s="28" t="s">
        <v>12</v>
      </c>
      <c r="J672" s="28">
        <v>2026</v>
      </c>
      <c r="K672" s="28" t="s">
        <v>261</v>
      </c>
    </row>
    <row r="673" spans="1:11" x14ac:dyDescent="0.3">
      <c r="A673" s="28" t="s">
        <v>1896</v>
      </c>
      <c r="B673" s="28">
        <v>2000</v>
      </c>
      <c r="C673" s="28" t="s">
        <v>853</v>
      </c>
      <c r="D673" s="28">
        <v>2026</v>
      </c>
      <c r="E673" s="28" t="s">
        <v>389</v>
      </c>
      <c r="G673" s="28" t="s">
        <v>1896</v>
      </c>
      <c r="H673" s="28">
        <v>1100</v>
      </c>
      <c r="I673" s="28" t="s">
        <v>12</v>
      </c>
      <c r="J673" s="28">
        <v>2026</v>
      </c>
      <c r="K673" s="28" t="s">
        <v>261</v>
      </c>
    </row>
    <row r="674" spans="1:11" x14ac:dyDescent="0.3">
      <c r="A674" s="28" t="s">
        <v>1897</v>
      </c>
      <c r="B674" s="28">
        <v>2000</v>
      </c>
      <c r="C674" s="28" t="s">
        <v>853</v>
      </c>
      <c r="D674" s="28">
        <v>2026</v>
      </c>
      <c r="E674" s="28" t="s">
        <v>389</v>
      </c>
      <c r="G674" s="28" t="s">
        <v>1897</v>
      </c>
      <c r="H674" s="28">
        <v>1100</v>
      </c>
      <c r="I674" s="28" t="s">
        <v>12</v>
      </c>
      <c r="J674" s="28">
        <v>2026</v>
      </c>
      <c r="K674" s="28" t="s">
        <v>261</v>
      </c>
    </row>
    <row r="675" spans="1:11" x14ac:dyDescent="0.3">
      <c r="A675" s="28" t="s">
        <v>1898</v>
      </c>
      <c r="B675" s="28">
        <v>2000</v>
      </c>
      <c r="C675" s="28" t="s">
        <v>853</v>
      </c>
      <c r="D675" s="28">
        <v>2026</v>
      </c>
      <c r="E675" s="28" t="s">
        <v>389</v>
      </c>
      <c r="G675" s="28" t="s">
        <v>1898</v>
      </c>
      <c r="H675" s="28">
        <v>1500</v>
      </c>
      <c r="I675" s="28" t="s">
        <v>12</v>
      </c>
      <c r="J675" s="28">
        <v>2026</v>
      </c>
      <c r="K675" s="28" t="s">
        <v>261</v>
      </c>
    </row>
    <row r="676" spans="1:11" x14ac:dyDescent="0.3">
      <c r="A676" s="28" t="s">
        <v>1899</v>
      </c>
      <c r="B676" s="28">
        <v>2000</v>
      </c>
      <c r="C676" s="28" t="s">
        <v>853</v>
      </c>
      <c r="D676" s="28">
        <v>2026</v>
      </c>
      <c r="E676" s="28" t="s">
        <v>389</v>
      </c>
      <c r="G676" s="28" t="s">
        <v>1899</v>
      </c>
      <c r="H676" s="28">
        <v>1500</v>
      </c>
      <c r="I676" s="28" t="s">
        <v>12</v>
      </c>
      <c r="J676" s="28">
        <v>2026</v>
      </c>
      <c r="K676" s="28" t="s">
        <v>261</v>
      </c>
    </row>
    <row r="677" spans="1:11" x14ac:dyDescent="0.3">
      <c r="A677" s="28" t="s">
        <v>1900</v>
      </c>
      <c r="B677" s="28">
        <v>2000</v>
      </c>
      <c r="C677" s="28" t="s">
        <v>853</v>
      </c>
      <c r="D677" s="28">
        <v>2026</v>
      </c>
      <c r="E677" s="28" t="s">
        <v>389</v>
      </c>
      <c r="G677" s="28" t="s">
        <v>1900</v>
      </c>
      <c r="H677" s="28">
        <v>1500</v>
      </c>
      <c r="I677" s="28" t="s">
        <v>12</v>
      </c>
      <c r="J677" s="28">
        <v>2026</v>
      </c>
      <c r="K677" s="28" t="s">
        <v>261</v>
      </c>
    </row>
    <row r="678" spans="1:11" x14ac:dyDescent="0.3">
      <c r="A678" s="28" t="s">
        <v>1901</v>
      </c>
      <c r="B678" s="28">
        <v>2000</v>
      </c>
      <c r="C678" s="28" t="s">
        <v>853</v>
      </c>
      <c r="D678" s="28">
        <v>2026</v>
      </c>
      <c r="E678" s="28" t="s">
        <v>389</v>
      </c>
      <c r="G678" s="28" t="s">
        <v>1901</v>
      </c>
      <c r="H678" s="28">
        <v>1600</v>
      </c>
      <c r="I678" s="28" t="s">
        <v>12</v>
      </c>
      <c r="J678" s="28">
        <v>2026</v>
      </c>
      <c r="K678" s="28" t="s">
        <v>261</v>
      </c>
    </row>
    <row r="679" spans="1:11" x14ac:dyDescent="0.3">
      <c r="A679" s="28" t="s">
        <v>1902</v>
      </c>
      <c r="B679" s="28">
        <v>2000</v>
      </c>
      <c r="C679" s="28" t="s">
        <v>853</v>
      </c>
      <c r="D679" s="28">
        <v>2026</v>
      </c>
      <c r="E679" s="28" t="s">
        <v>389</v>
      </c>
      <c r="G679" s="28" t="s">
        <v>1902</v>
      </c>
      <c r="H679" s="28">
        <v>1600</v>
      </c>
      <c r="I679" s="28" t="s">
        <v>12</v>
      </c>
      <c r="J679" s="28">
        <v>2026</v>
      </c>
      <c r="K679" s="28" t="s">
        <v>261</v>
      </c>
    </row>
    <row r="680" spans="1:11" x14ac:dyDescent="0.3">
      <c r="A680" s="28" t="s">
        <v>1903</v>
      </c>
      <c r="B680" s="28">
        <v>2000</v>
      </c>
      <c r="C680" s="28" t="s">
        <v>853</v>
      </c>
      <c r="D680" s="28">
        <v>2026</v>
      </c>
      <c r="E680" s="28" t="s">
        <v>389</v>
      </c>
      <c r="G680" s="28" t="s">
        <v>1903</v>
      </c>
      <c r="H680" s="28">
        <v>1200</v>
      </c>
      <c r="I680" s="28" t="s">
        <v>12</v>
      </c>
      <c r="J680" s="28">
        <v>2026</v>
      </c>
      <c r="K680" s="28" t="s">
        <v>261</v>
      </c>
    </row>
    <row r="681" spans="1:11" x14ac:dyDescent="0.3">
      <c r="A681" s="28" t="s">
        <v>1904</v>
      </c>
      <c r="B681" s="28">
        <v>2000</v>
      </c>
      <c r="C681" s="28" t="s">
        <v>853</v>
      </c>
      <c r="D681" s="28">
        <v>2026</v>
      </c>
      <c r="E681" s="28" t="s">
        <v>389</v>
      </c>
      <c r="G681" s="28" t="s">
        <v>1904</v>
      </c>
      <c r="H681" s="28">
        <v>1200</v>
      </c>
      <c r="I681" s="28" t="s">
        <v>12</v>
      </c>
      <c r="J681" s="28">
        <v>2026</v>
      </c>
      <c r="K681" s="28" t="s">
        <v>261</v>
      </c>
    </row>
    <row r="682" spans="1:11" x14ac:dyDescent="0.3">
      <c r="A682" s="28" t="s">
        <v>1905</v>
      </c>
      <c r="B682" s="28">
        <v>2000</v>
      </c>
      <c r="C682" s="28" t="s">
        <v>853</v>
      </c>
      <c r="D682" s="28">
        <v>2026</v>
      </c>
      <c r="E682" s="28" t="s">
        <v>389</v>
      </c>
      <c r="G682" s="28" t="s">
        <v>1905</v>
      </c>
      <c r="H682" s="28">
        <v>1200</v>
      </c>
      <c r="I682" s="28" t="s">
        <v>12</v>
      </c>
      <c r="J682" s="28">
        <v>2026</v>
      </c>
      <c r="K682" s="28" t="s">
        <v>261</v>
      </c>
    </row>
    <row r="683" spans="1:11" x14ac:dyDescent="0.3">
      <c r="A683" s="28" t="s">
        <v>1906</v>
      </c>
      <c r="B683" s="28">
        <v>2000</v>
      </c>
      <c r="C683" s="28" t="s">
        <v>853</v>
      </c>
      <c r="D683" s="28">
        <v>2026</v>
      </c>
      <c r="E683" s="28" t="s">
        <v>389</v>
      </c>
      <c r="G683" s="28" t="s">
        <v>1906</v>
      </c>
      <c r="H683" s="28">
        <v>1200</v>
      </c>
      <c r="I683" s="28" t="s">
        <v>12</v>
      </c>
      <c r="J683" s="28">
        <v>2026</v>
      </c>
      <c r="K683" s="28" t="s">
        <v>261</v>
      </c>
    </row>
    <row r="684" spans="1:11" x14ac:dyDescent="0.3">
      <c r="A684" s="28" t="s">
        <v>1907</v>
      </c>
      <c r="B684" s="28">
        <v>2000</v>
      </c>
      <c r="C684" s="28" t="s">
        <v>853</v>
      </c>
      <c r="D684" s="28">
        <v>2026</v>
      </c>
      <c r="E684" s="28" t="s">
        <v>389</v>
      </c>
      <c r="G684" s="28" t="s">
        <v>1907</v>
      </c>
      <c r="H684" s="28">
        <v>1200</v>
      </c>
      <c r="I684" s="28" t="s">
        <v>12</v>
      </c>
      <c r="J684" s="28">
        <v>2026</v>
      </c>
      <c r="K684" s="28" t="s">
        <v>261</v>
      </c>
    </row>
    <row r="685" spans="1:11" x14ac:dyDescent="0.3">
      <c r="A685" s="28" t="s">
        <v>1908</v>
      </c>
      <c r="B685" s="28">
        <v>2000</v>
      </c>
      <c r="C685" s="28" t="s">
        <v>853</v>
      </c>
      <c r="D685" s="28">
        <v>2026</v>
      </c>
      <c r="E685" s="28" t="s">
        <v>389</v>
      </c>
      <c r="G685" s="28" t="s">
        <v>1908</v>
      </c>
      <c r="H685" s="28">
        <v>1200</v>
      </c>
      <c r="I685" s="28" t="s">
        <v>12</v>
      </c>
      <c r="J685" s="28">
        <v>2026</v>
      </c>
      <c r="K685" s="28" t="s">
        <v>261</v>
      </c>
    </row>
    <row r="686" spans="1:11" x14ac:dyDescent="0.3">
      <c r="A686" s="28" t="s">
        <v>1909</v>
      </c>
      <c r="B686" s="28">
        <v>2000</v>
      </c>
      <c r="C686" s="28" t="s">
        <v>853</v>
      </c>
      <c r="D686" s="28">
        <v>2026</v>
      </c>
      <c r="E686" s="28" t="s">
        <v>389</v>
      </c>
      <c r="G686" s="28" t="s">
        <v>1909</v>
      </c>
      <c r="H686" s="28">
        <v>1200</v>
      </c>
      <c r="I686" s="28" t="s">
        <v>12</v>
      </c>
      <c r="J686" s="28">
        <v>2026</v>
      </c>
      <c r="K686" s="28" t="s">
        <v>261</v>
      </c>
    </row>
    <row r="687" spans="1:11" x14ac:dyDescent="0.3">
      <c r="A687" s="28" t="s">
        <v>1910</v>
      </c>
      <c r="B687" s="28">
        <v>2000</v>
      </c>
      <c r="C687" s="28" t="s">
        <v>853</v>
      </c>
      <c r="D687" s="28">
        <v>2026</v>
      </c>
      <c r="E687" s="28" t="s">
        <v>389</v>
      </c>
      <c r="G687" s="28" t="s">
        <v>1910</v>
      </c>
      <c r="H687" s="28">
        <v>1200</v>
      </c>
      <c r="I687" s="28" t="s">
        <v>12</v>
      </c>
      <c r="J687" s="28">
        <v>2026</v>
      </c>
      <c r="K687" s="28" t="s">
        <v>261</v>
      </c>
    </row>
    <row r="688" spans="1:11" x14ac:dyDescent="0.3">
      <c r="A688" s="28" t="s">
        <v>1911</v>
      </c>
      <c r="B688" s="28">
        <v>2000</v>
      </c>
      <c r="C688" s="28" t="s">
        <v>853</v>
      </c>
      <c r="D688" s="28">
        <v>2026</v>
      </c>
      <c r="E688" s="28" t="s">
        <v>389</v>
      </c>
      <c r="G688" s="28" t="s">
        <v>1911</v>
      </c>
      <c r="H688" s="28">
        <v>1200</v>
      </c>
      <c r="I688" s="28" t="s">
        <v>12</v>
      </c>
      <c r="J688" s="28">
        <v>2026</v>
      </c>
      <c r="K688" s="28" t="s">
        <v>261</v>
      </c>
    </row>
    <row r="689" spans="1:11" x14ac:dyDescent="0.3">
      <c r="A689" s="28" t="s">
        <v>1912</v>
      </c>
      <c r="B689" s="28">
        <v>2000</v>
      </c>
      <c r="C689" s="28" t="s">
        <v>853</v>
      </c>
      <c r="D689" s="28">
        <v>2026</v>
      </c>
      <c r="E689" s="28" t="s">
        <v>389</v>
      </c>
      <c r="G689" s="28" t="s">
        <v>1912</v>
      </c>
      <c r="H689" s="28">
        <v>1200</v>
      </c>
      <c r="I689" s="28" t="s">
        <v>12</v>
      </c>
      <c r="J689" s="28">
        <v>2026</v>
      </c>
      <c r="K689" s="28" t="s">
        <v>261</v>
      </c>
    </row>
    <row r="690" spans="1:11" x14ac:dyDescent="0.3">
      <c r="A690" s="28" t="s">
        <v>1913</v>
      </c>
      <c r="B690" s="28">
        <v>2000</v>
      </c>
      <c r="C690" s="28" t="s">
        <v>853</v>
      </c>
      <c r="D690" s="28">
        <v>2026</v>
      </c>
      <c r="E690" s="28" t="s">
        <v>389</v>
      </c>
      <c r="G690" s="28" t="s">
        <v>1913</v>
      </c>
      <c r="H690" s="28">
        <v>1100</v>
      </c>
      <c r="I690" s="28" t="s">
        <v>12</v>
      </c>
      <c r="J690" s="28">
        <v>2026</v>
      </c>
      <c r="K690" s="28" t="s">
        <v>261</v>
      </c>
    </row>
    <row r="691" spans="1:11" x14ac:dyDescent="0.3">
      <c r="A691" s="28" t="s">
        <v>1914</v>
      </c>
      <c r="B691" s="28">
        <v>2000</v>
      </c>
      <c r="C691" s="28" t="s">
        <v>853</v>
      </c>
      <c r="D691" s="28">
        <v>2026</v>
      </c>
      <c r="E691" s="28" t="s">
        <v>389</v>
      </c>
      <c r="G691" s="28" t="s">
        <v>1914</v>
      </c>
      <c r="H691" s="28">
        <v>1100</v>
      </c>
      <c r="I691" s="28" t="s">
        <v>12</v>
      </c>
      <c r="J691" s="28">
        <v>2026</v>
      </c>
      <c r="K691" s="28" t="s">
        <v>261</v>
      </c>
    </row>
    <row r="692" spans="1:11" x14ac:dyDescent="0.3">
      <c r="A692" s="28" t="s">
        <v>1915</v>
      </c>
      <c r="B692" s="28">
        <v>2000</v>
      </c>
      <c r="C692" s="28" t="s">
        <v>853</v>
      </c>
      <c r="D692" s="28">
        <v>2026</v>
      </c>
      <c r="E692" s="28" t="s">
        <v>389</v>
      </c>
      <c r="G692" s="28" t="s">
        <v>1915</v>
      </c>
      <c r="H692" s="28">
        <v>1100</v>
      </c>
      <c r="I692" s="28" t="s">
        <v>12</v>
      </c>
      <c r="J692" s="28">
        <v>2026</v>
      </c>
      <c r="K692" s="28" t="s">
        <v>261</v>
      </c>
    </row>
    <row r="693" spans="1:11" x14ac:dyDescent="0.3">
      <c r="A693" s="28" t="s">
        <v>1916</v>
      </c>
      <c r="B693" s="28">
        <v>2000</v>
      </c>
      <c r="C693" s="28" t="s">
        <v>853</v>
      </c>
      <c r="D693" s="28">
        <v>2026</v>
      </c>
      <c r="E693" s="28" t="s">
        <v>389</v>
      </c>
      <c r="G693" s="28" t="s">
        <v>1916</v>
      </c>
      <c r="H693" s="28">
        <v>1100</v>
      </c>
      <c r="I693" s="28" t="s">
        <v>12</v>
      </c>
      <c r="J693" s="28">
        <v>2026</v>
      </c>
      <c r="K693" s="28" t="s">
        <v>261</v>
      </c>
    </row>
    <row r="694" spans="1:11" x14ac:dyDescent="0.3">
      <c r="A694" s="28" t="s">
        <v>1917</v>
      </c>
      <c r="B694" s="28">
        <v>2000</v>
      </c>
      <c r="C694" s="28" t="s">
        <v>853</v>
      </c>
      <c r="D694" s="28">
        <v>2026</v>
      </c>
      <c r="E694" s="28" t="s">
        <v>389</v>
      </c>
      <c r="G694" s="28" t="s">
        <v>1917</v>
      </c>
      <c r="H694" s="28">
        <v>1100</v>
      </c>
      <c r="I694" s="28" t="s">
        <v>12</v>
      </c>
      <c r="J694" s="28">
        <v>2026</v>
      </c>
      <c r="K694" s="28" t="s">
        <v>261</v>
      </c>
    </row>
    <row r="695" spans="1:11" x14ac:dyDescent="0.3">
      <c r="A695" s="28" t="s">
        <v>1918</v>
      </c>
      <c r="B695" s="28">
        <v>2000</v>
      </c>
      <c r="C695" s="28" t="s">
        <v>853</v>
      </c>
      <c r="D695" s="28">
        <v>2026</v>
      </c>
      <c r="E695" s="28" t="s">
        <v>389</v>
      </c>
      <c r="G695" s="28" t="s">
        <v>1918</v>
      </c>
      <c r="H695" s="28">
        <v>1100</v>
      </c>
      <c r="I695" s="28" t="s">
        <v>12</v>
      </c>
      <c r="J695" s="28">
        <v>2026</v>
      </c>
      <c r="K695" s="28" t="s">
        <v>261</v>
      </c>
    </row>
    <row r="696" spans="1:11" x14ac:dyDescent="0.3">
      <c r="A696" s="28" t="s">
        <v>1919</v>
      </c>
      <c r="B696" s="28">
        <v>2000</v>
      </c>
      <c r="C696" s="28" t="s">
        <v>853</v>
      </c>
      <c r="D696" s="28">
        <v>2026</v>
      </c>
      <c r="E696" s="28" t="s">
        <v>389</v>
      </c>
      <c r="G696" s="28" t="s">
        <v>1919</v>
      </c>
      <c r="H696" s="28">
        <v>1100</v>
      </c>
      <c r="I696" s="28" t="s">
        <v>12</v>
      </c>
      <c r="J696" s="28">
        <v>2026</v>
      </c>
      <c r="K696" s="28" t="s">
        <v>261</v>
      </c>
    </row>
    <row r="697" spans="1:11" x14ac:dyDescent="0.3">
      <c r="A697" s="28" t="s">
        <v>1920</v>
      </c>
      <c r="B697" s="28">
        <v>2000</v>
      </c>
      <c r="C697" s="28" t="s">
        <v>853</v>
      </c>
      <c r="D697" s="28">
        <v>2026</v>
      </c>
      <c r="E697" s="28" t="s">
        <v>389</v>
      </c>
      <c r="G697" s="28" t="s">
        <v>1920</v>
      </c>
      <c r="H697" s="28">
        <v>1100</v>
      </c>
      <c r="I697" s="28" t="s">
        <v>12</v>
      </c>
      <c r="J697" s="28">
        <v>2026</v>
      </c>
      <c r="K697" s="28" t="s">
        <v>261</v>
      </c>
    </row>
    <row r="698" spans="1:11" x14ac:dyDescent="0.3">
      <c r="A698" s="28" t="s">
        <v>1921</v>
      </c>
      <c r="B698" s="28">
        <v>2000</v>
      </c>
      <c r="C698" s="28" t="s">
        <v>853</v>
      </c>
      <c r="D698" s="28">
        <v>2026</v>
      </c>
      <c r="E698" s="28" t="s">
        <v>389</v>
      </c>
      <c r="G698" s="28" t="s">
        <v>1921</v>
      </c>
      <c r="H698" s="28">
        <v>1800</v>
      </c>
      <c r="I698" s="28" t="s">
        <v>12</v>
      </c>
      <c r="J698" s="28">
        <v>2026</v>
      </c>
      <c r="K698" s="28" t="s">
        <v>261</v>
      </c>
    </row>
    <row r="699" spans="1:11" x14ac:dyDescent="0.3">
      <c r="A699" s="28" t="s">
        <v>1922</v>
      </c>
      <c r="B699" s="28">
        <v>2000</v>
      </c>
      <c r="C699" s="28" t="s">
        <v>853</v>
      </c>
      <c r="D699" s="28">
        <v>2026</v>
      </c>
      <c r="E699" s="28" t="s">
        <v>389</v>
      </c>
      <c r="G699" s="28" t="s">
        <v>1922</v>
      </c>
      <c r="H699" s="28">
        <v>1800</v>
      </c>
      <c r="I699" s="28" t="s">
        <v>12</v>
      </c>
      <c r="J699" s="28">
        <v>2026</v>
      </c>
      <c r="K699" s="28" t="s">
        <v>261</v>
      </c>
    </row>
    <row r="700" spans="1:11" x14ac:dyDescent="0.3">
      <c r="A700" s="28" t="s">
        <v>1923</v>
      </c>
      <c r="B700" s="28">
        <v>2000</v>
      </c>
      <c r="C700" s="28" t="s">
        <v>853</v>
      </c>
      <c r="D700" s="28">
        <v>2026</v>
      </c>
      <c r="E700" s="28" t="s">
        <v>389</v>
      </c>
      <c r="G700" s="28" t="s">
        <v>1923</v>
      </c>
      <c r="H700" s="28">
        <v>1800</v>
      </c>
      <c r="I700" s="28" t="s">
        <v>12</v>
      </c>
      <c r="J700" s="28">
        <v>2026</v>
      </c>
      <c r="K700" s="28" t="s">
        <v>261</v>
      </c>
    </row>
    <row r="701" spans="1:11" x14ac:dyDescent="0.3">
      <c r="A701" s="28" t="s">
        <v>1924</v>
      </c>
      <c r="B701" s="28">
        <v>2000</v>
      </c>
      <c r="C701" s="28" t="s">
        <v>853</v>
      </c>
      <c r="D701" s="28">
        <v>2026</v>
      </c>
      <c r="E701" s="28" t="s">
        <v>389</v>
      </c>
      <c r="G701" s="28" t="s">
        <v>1924</v>
      </c>
      <c r="H701" s="28">
        <v>1800</v>
      </c>
      <c r="I701" s="28" t="s">
        <v>12</v>
      </c>
      <c r="J701" s="28">
        <v>2026</v>
      </c>
      <c r="K701" s="28" t="s">
        <v>261</v>
      </c>
    </row>
    <row r="702" spans="1:11" x14ac:dyDescent="0.3">
      <c r="A702" s="28" t="s">
        <v>1925</v>
      </c>
      <c r="B702" s="28">
        <v>2000</v>
      </c>
      <c r="C702" s="28" t="s">
        <v>853</v>
      </c>
      <c r="D702" s="28">
        <v>2026</v>
      </c>
      <c r="E702" s="28" t="s">
        <v>389</v>
      </c>
      <c r="G702" s="28" t="s">
        <v>1925</v>
      </c>
      <c r="H702" s="28">
        <v>1800</v>
      </c>
      <c r="I702" s="28" t="s">
        <v>12</v>
      </c>
      <c r="J702" s="28">
        <v>2026</v>
      </c>
      <c r="K702" s="28" t="s">
        <v>261</v>
      </c>
    </row>
    <row r="703" spans="1:11" x14ac:dyDescent="0.3">
      <c r="A703" s="28" t="s">
        <v>1926</v>
      </c>
      <c r="B703" s="28">
        <v>2000</v>
      </c>
      <c r="C703" s="28" t="s">
        <v>853</v>
      </c>
      <c r="D703" s="28">
        <v>2026</v>
      </c>
      <c r="E703" s="28" t="s">
        <v>389</v>
      </c>
      <c r="G703" s="28" t="s">
        <v>1926</v>
      </c>
      <c r="H703" s="28">
        <v>1300</v>
      </c>
      <c r="I703" s="28" t="s">
        <v>12</v>
      </c>
      <c r="J703" s="28">
        <v>2026</v>
      </c>
      <c r="K703" s="28" t="s">
        <v>261</v>
      </c>
    </row>
    <row r="704" spans="1:11" x14ac:dyDescent="0.3">
      <c r="A704" s="28" t="s">
        <v>1927</v>
      </c>
      <c r="B704" s="28">
        <v>2190</v>
      </c>
      <c r="C704" s="28" t="s">
        <v>912</v>
      </c>
      <c r="D704" s="28">
        <v>2026</v>
      </c>
      <c r="E704" s="28" t="s">
        <v>389</v>
      </c>
      <c r="G704" s="28" t="s">
        <v>1927</v>
      </c>
      <c r="H704" s="28">
        <v>750</v>
      </c>
      <c r="I704" s="28" t="s">
        <v>12</v>
      </c>
      <c r="J704" s="28">
        <v>2026</v>
      </c>
      <c r="K704" s="28" t="s">
        <v>261</v>
      </c>
    </row>
    <row r="705" spans="1:11" x14ac:dyDescent="0.3">
      <c r="A705" s="28" t="s">
        <v>1928</v>
      </c>
      <c r="B705" s="28">
        <v>2190</v>
      </c>
      <c r="C705" s="28" t="s">
        <v>912</v>
      </c>
      <c r="D705" s="28">
        <v>2026</v>
      </c>
      <c r="E705" s="28" t="s">
        <v>389</v>
      </c>
      <c r="G705" s="28" t="s">
        <v>1928</v>
      </c>
      <c r="H705" s="28">
        <v>750</v>
      </c>
      <c r="I705" s="28" t="s">
        <v>12</v>
      </c>
      <c r="J705" s="28">
        <v>2026</v>
      </c>
      <c r="K705" s="28" t="s">
        <v>261</v>
      </c>
    </row>
    <row r="706" spans="1:11" x14ac:dyDescent="0.3">
      <c r="A706" s="28" t="s">
        <v>1929</v>
      </c>
      <c r="B706" s="28">
        <v>2190</v>
      </c>
      <c r="C706" s="28" t="s">
        <v>912</v>
      </c>
      <c r="D706" s="28">
        <v>2026</v>
      </c>
      <c r="E706" s="28" t="s">
        <v>389</v>
      </c>
      <c r="G706" s="28" t="s">
        <v>1929</v>
      </c>
      <c r="H706" s="28">
        <v>750</v>
      </c>
      <c r="I706" s="28" t="s">
        <v>12</v>
      </c>
      <c r="J706" s="28">
        <v>2026</v>
      </c>
      <c r="K706" s="28" t="s">
        <v>261</v>
      </c>
    </row>
    <row r="707" spans="1:11" x14ac:dyDescent="0.3">
      <c r="A707" s="28" t="s">
        <v>1930</v>
      </c>
      <c r="B707" s="28">
        <v>2190</v>
      </c>
      <c r="C707" s="28" t="s">
        <v>912</v>
      </c>
      <c r="D707" s="28">
        <v>2026</v>
      </c>
      <c r="E707" s="28" t="s">
        <v>389</v>
      </c>
      <c r="G707" s="28" t="s">
        <v>1930</v>
      </c>
      <c r="H707" s="28">
        <v>750</v>
      </c>
      <c r="I707" s="28" t="s">
        <v>12</v>
      </c>
      <c r="J707" s="28">
        <v>2026</v>
      </c>
      <c r="K707" s="28" t="s">
        <v>261</v>
      </c>
    </row>
    <row r="708" spans="1:11" x14ac:dyDescent="0.3">
      <c r="A708" s="28" t="s">
        <v>1931</v>
      </c>
      <c r="B708" s="28">
        <v>2190</v>
      </c>
      <c r="C708" s="28" t="s">
        <v>912</v>
      </c>
      <c r="D708" s="28">
        <v>2026</v>
      </c>
      <c r="E708" s="28" t="s">
        <v>389</v>
      </c>
      <c r="G708" s="28" t="s">
        <v>1931</v>
      </c>
      <c r="H708" s="28">
        <v>750</v>
      </c>
      <c r="I708" s="28" t="s">
        <v>12</v>
      </c>
      <c r="J708" s="28">
        <v>2026</v>
      </c>
      <c r="K708" s="28" t="s">
        <v>261</v>
      </c>
    </row>
    <row r="709" spans="1:11" x14ac:dyDescent="0.3">
      <c r="A709" s="28" t="s">
        <v>1932</v>
      </c>
      <c r="B709" s="28">
        <v>2190</v>
      </c>
      <c r="C709" s="28" t="s">
        <v>912</v>
      </c>
      <c r="D709" s="28">
        <v>2026</v>
      </c>
      <c r="E709" s="28" t="s">
        <v>389</v>
      </c>
      <c r="G709" s="28" t="s">
        <v>1932</v>
      </c>
      <c r="H709" s="28">
        <v>750</v>
      </c>
      <c r="I709" s="28" t="s">
        <v>12</v>
      </c>
      <c r="J709" s="28">
        <v>2026</v>
      </c>
      <c r="K709" s="28" t="s">
        <v>261</v>
      </c>
    </row>
    <row r="710" spans="1:11" x14ac:dyDescent="0.3">
      <c r="A710" s="28" t="s">
        <v>1933</v>
      </c>
      <c r="B710" s="28">
        <v>2190</v>
      </c>
      <c r="C710" s="28" t="s">
        <v>912</v>
      </c>
      <c r="D710" s="28">
        <v>2026</v>
      </c>
      <c r="E710" s="28" t="s">
        <v>389</v>
      </c>
      <c r="G710" s="28" t="s">
        <v>1933</v>
      </c>
      <c r="H710" s="28">
        <v>750</v>
      </c>
      <c r="I710" s="28" t="s">
        <v>12</v>
      </c>
      <c r="J710" s="28">
        <v>2026</v>
      </c>
      <c r="K710" s="28" t="s">
        <v>261</v>
      </c>
    </row>
    <row r="711" spans="1:11" x14ac:dyDescent="0.3">
      <c r="A711" s="28" t="s">
        <v>1934</v>
      </c>
      <c r="B711" s="28">
        <v>2190</v>
      </c>
      <c r="C711" s="28" t="s">
        <v>912</v>
      </c>
      <c r="D711" s="28">
        <v>2026</v>
      </c>
      <c r="E711" s="28" t="s">
        <v>389</v>
      </c>
      <c r="G711" s="28" t="s">
        <v>1934</v>
      </c>
      <c r="H711" s="28">
        <v>700</v>
      </c>
      <c r="I711" s="28" t="s">
        <v>12</v>
      </c>
      <c r="J711" s="28">
        <v>2026</v>
      </c>
      <c r="K711" s="28" t="s">
        <v>261</v>
      </c>
    </row>
    <row r="712" spans="1:11" x14ac:dyDescent="0.3">
      <c r="A712" s="28" t="s">
        <v>1935</v>
      </c>
      <c r="B712" s="28">
        <v>0</v>
      </c>
      <c r="C712" s="28" t="s">
        <v>912</v>
      </c>
      <c r="D712" s="28">
        <v>2026</v>
      </c>
      <c r="E712" s="28" t="s">
        <v>1215</v>
      </c>
      <c r="G712" s="28" t="s">
        <v>1935</v>
      </c>
      <c r="H712" s="28">
        <v>300</v>
      </c>
      <c r="I712" s="28" t="s">
        <v>12</v>
      </c>
      <c r="J712" s="28">
        <v>2026</v>
      </c>
      <c r="K712" s="28" t="s">
        <v>261</v>
      </c>
    </row>
    <row r="713" spans="1:11" x14ac:dyDescent="0.3">
      <c r="A713" s="28" t="s">
        <v>1936</v>
      </c>
      <c r="B713" s="28">
        <v>2190</v>
      </c>
      <c r="C713" s="28" t="s">
        <v>912</v>
      </c>
      <c r="D713" s="28">
        <v>2026</v>
      </c>
      <c r="E713" s="28" t="s">
        <v>389</v>
      </c>
      <c r="G713" s="28" t="s">
        <v>1936</v>
      </c>
      <c r="H713" s="28">
        <v>700</v>
      </c>
      <c r="I713" s="28" t="s">
        <v>12</v>
      </c>
      <c r="J713" s="28">
        <v>2026</v>
      </c>
      <c r="K713" s="28" t="s">
        <v>261</v>
      </c>
    </row>
    <row r="714" spans="1:11" x14ac:dyDescent="0.3">
      <c r="A714" s="28" t="s">
        <v>1937</v>
      </c>
      <c r="B714" s="28">
        <v>2190</v>
      </c>
      <c r="C714" s="28" t="s">
        <v>912</v>
      </c>
      <c r="D714" s="28">
        <v>2026</v>
      </c>
      <c r="E714" s="28" t="s">
        <v>389</v>
      </c>
      <c r="G714" s="28" t="s">
        <v>1937</v>
      </c>
      <c r="H714" s="28">
        <v>700</v>
      </c>
      <c r="I714" s="28" t="s">
        <v>12</v>
      </c>
      <c r="J714" s="28">
        <v>2026</v>
      </c>
      <c r="K714" s="28" t="s">
        <v>261</v>
      </c>
    </row>
    <row r="715" spans="1:11" x14ac:dyDescent="0.3">
      <c r="A715" s="28" t="s">
        <v>1938</v>
      </c>
      <c r="B715" s="28">
        <v>2190</v>
      </c>
      <c r="C715" s="28" t="s">
        <v>912</v>
      </c>
      <c r="D715" s="28">
        <v>2026</v>
      </c>
      <c r="E715" s="28" t="s">
        <v>389</v>
      </c>
      <c r="G715" s="28" t="s">
        <v>1938</v>
      </c>
      <c r="H715" s="28">
        <v>700</v>
      </c>
      <c r="I715" s="28" t="s">
        <v>12</v>
      </c>
      <c r="J715" s="28">
        <v>2026</v>
      </c>
      <c r="K715" s="28" t="s">
        <v>261</v>
      </c>
    </row>
    <row r="716" spans="1:11" x14ac:dyDescent="0.3">
      <c r="A716" s="28" t="s">
        <v>1939</v>
      </c>
      <c r="B716" s="28">
        <v>2190</v>
      </c>
      <c r="C716" s="28" t="s">
        <v>912</v>
      </c>
      <c r="D716" s="28">
        <v>2026</v>
      </c>
      <c r="E716" s="28" t="s">
        <v>389</v>
      </c>
      <c r="G716" s="28" t="s">
        <v>1939</v>
      </c>
      <c r="H716" s="28">
        <v>700</v>
      </c>
      <c r="I716" s="28" t="s">
        <v>12</v>
      </c>
      <c r="J716" s="28">
        <v>2026</v>
      </c>
      <c r="K716" s="28" t="s">
        <v>261</v>
      </c>
    </row>
    <row r="717" spans="1:11" x14ac:dyDescent="0.3">
      <c r="A717" s="28" t="s">
        <v>1940</v>
      </c>
      <c r="B717" s="28">
        <v>2190</v>
      </c>
      <c r="C717" s="28" t="s">
        <v>912</v>
      </c>
      <c r="D717" s="28">
        <v>2026</v>
      </c>
      <c r="E717" s="28" t="s">
        <v>389</v>
      </c>
      <c r="G717" s="28" t="s">
        <v>1940</v>
      </c>
      <c r="H717" s="28">
        <v>800</v>
      </c>
      <c r="I717" s="28" t="s">
        <v>12</v>
      </c>
      <c r="J717" s="28">
        <v>2026</v>
      </c>
      <c r="K717" s="28" t="s">
        <v>261</v>
      </c>
    </row>
    <row r="718" spans="1:11" x14ac:dyDescent="0.3">
      <c r="A718" s="28" t="s">
        <v>1941</v>
      </c>
      <c r="B718" s="28">
        <v>2190</v>
      </c>
      <c r="C718" s="28" t="s">
        <v>912</v>
      </c>
      <c r="D718" s="28">
        <v>2026</v>
      </c>
      <c r="E718" s="28" t="s">
        <v>389</v>
      </c>
      <c r="G718" s="28" t="s">
        <v>1941</v>
      </c>
      <c r="H718" s="28">
        <v>800</v>
      </c>
      <c r="I718" s="28" t="s">
        <v>12</v>
      </c>
      <c r="J718" s="28">
        <v>2026</v>
      </c>
      <c r="K718" s="28" t="s">
        <v>261</v>
      </c>
    </row>
    <row r="719" spans="1:11" x14ac:dyDescent="0.3">
      <c r="A719" s="28" t="s">
        <v>1942</v>
      </c>
      <c r="B719" s="28">
        <v>2190</v>
      </c>
      <c r="C719" s="28" t="s">
        <v>912</v>
      </c>
      <c r="D719" s="28">
        <v>2026</v>
      </c>
      <c r="E719" s="28" t="s">
        <v>389</v>
      </c>
      <c r="G719" s="28" t="s">
        <v>1942</v>
      </c>
      <c r="H719" s="28">
        <v>800</v>
      </c>
      <c r="I719" s="28" t="s">
        <v>12</v>
      </c>
      <c r="J719" s="28">
        <v>2026</v>
      </c>
      <c r="K719" s="28" t="s">
        <v>261</v>
      </c>
    </row>
    <row r="720" spans="1:11" x14ac:dyDescent="0.3">
      <c r="A720" s="28" t="s">
        <v>1943</v>
      </c>
      <c r="B720" s="28">
        <v>2190</v>
      </c>
      <c r="C720" s="28" t="s">
        <v>912</v>
      </c>
      <c r="D720" s="28">
        <v>2026</v>
      </c>
      <c r="E720" s="28" t="s">
        <v>389</v>
      </c>
      <c r="G720" s="28" t="s">
        <v>1943</v>
      </c>
      <c r="H720" s="28">
        <v>800</v>
      </c>
      <c r="I720" s="28" t="s">
        <v>12</v>
      </c>
      <c r="J720" s="28">
        <v>2026</v>
      </c>
      <c r="K720" s="28" t="s">
        <v>261</v>
      </c>
    </row>
    <row r="721" spans="1:11" x14ac:dyDescent="0.3">
      <c r="A721" s="28" t="s">
        <v>1944</v>
      </c>
      <c r="B721" s="28">
        <v>2190</v>
      </c>
      <c r="C721" s="28" t="s">
        <v>912</v>
      </c>
      <c r="D721" s="28">
        <v>2026</v>
      </c>
      <c r="E721" s="28" t="s">
        <v>389</v>
      </c>
      <c r="G721" s="28" t="s">
        <v>1944</v>
      </c>
      <c r="H721" s="28">
        <v>800</v>
      </c>
      <c r="I721" s="28" t="s">
        <v>12</v>
      </c>
      <c r="J721" s="28">
        <v>2026</v>
      </c>
      <c r="K721" s="28" t="s">
        <v>261</v>
      </c>
    </row>
    <row r="722" spans="1:11" x14ac:dyDescent="0.3">
      <c r="A722" s="28" t="s">
        <v>1945</v>
      </c>
      <c r="B722" s="28">
        <v>2190</v>
      </c>
      <c r="C722" s="28" t="s">
        <v>912</v>
      </c>
      <c r="D722" s="28">
        <v>2026</v>
      </c>
      <c r="E722" s="28" t="s">
        <v>389</v>
      </c>
      <c r="G722" s="28" t="s">
        <v>1945</v>
      </c>
      <c r="H722" s="28">
        <v>800</v>
      </c>
      <c r="I722" s="28" t="s">
        <v>12</v>
      </c>
      <c r="J722" s="28">
        <v>2026</v>
      </c>
      <c r="K722" s="28" t="s">
        <v>261</v>
      </c>
    </row>
    <row r="723" spans="1:11" x14ac:dyDescent="0.3">
      <c r="A723" s="28" t="s">
        <v>1946</v>
      </c>
      <c r="B723" s="28">
        <v>2190</v>
      </c>
      <c r="C723" s="28" t="s">
        <v>912</v>
      </c>
      <c r="D723" s="28">
        <v>2026</v>
      </c>
      <c r="E723" s="28" t="s">
        <v>389</v>
      </c>
      <c r="G723" s="28" t="s">
        <v>1946</v>
      </c>
      <c r="H723" s="28">
        <v>1100</v>
      </c>
      <c r="I723" s="28" t="s">
        <v>12</v>
      </c>
      <c r="J723" s="28">
        <v>2026</v>
      </c>
      <c r="K723" s="28" t="s">
        <v>261</v>
      </c>
    </row>
    <row r="724" spans="1:11" x14ac:dyDescent="0.3">
      <c r="A724" s="28" t="s">
        <v>1947</v>
      </c>
      <c r="B724" s="28">
        <v>2190</v>
      </c>
      <c r="C724" s="28" t="s">
        <v>912</v>
      </c>
      <c r="D724" s="28">
        <v>2026</v>
      </c>
      <c r="E724" s="28" t="s">
        <v>389</v>
      </c>
      <c r="G724" s="28" t="s">
        <v>1947</v>
      </c>
      <c r="H724" s="28">
        <v>1100</v>
      </c>
      <c r="I724" s="28" t="s">
        <v>12</v>
      </c>
      <c r="J724" s="28">
        <v>2026</v>
      </c>
      <c r="K724" s="28" t="s">
        <v>261</v>
      </c>
    </row>
    <row r="725" spans="1:11" x14ac:dyDescent="0.3">
      <c r="A725" s="28" t="s">
        <v>1948</v>
      </c>
      <c r="B725" s="28">
        <v>2190</v>
      </c>
      <c r="C725" s="28" t="s">
        <v>912</v>
      </c>
      <c r="D725" s="28">
        <v>2026</v>
      </c>
      <c r="E725" s="28" t="s">
        <v>389</v>
      </c>
      <c r="G725" s="28" t="s">
        <v>1948</v>
      </c>
      <c r="H725" s="28">
        <v>1100</v>
      </c>
      <c r="I725" s="28" t="s">
        <v>12</v>
      </c>
      <c r="J725" s="28">
        <v>2026</v>
      </c>
      <c r="K725" s="28" t="s">
        <v>261</v>
      </c>
    </row>
    <row r="726" spans="1:11" x14ac:dyDescent="0.3">
      <c r="A726" s="28" t="s">
        <v>1949</v>
      </c>
      <c r="B726" s="28">
        <v>2190</v>
      </c>
      <c r="C726" s="28" t="s">
        <v>912</v>
      </c>
      <c r="D726" s="28">
        <v>2026</v>
      </c>
      <c r="E726" s="28" t="s">
        <v>389</v>
      </c>
      <c r="G726" s="28" t="s">
        <v>1949</v>
      </c>
      <c r="H726" s="28">
        <v>1100</v>
      </c>
      <c r="I726" s="28" t="s">
        <v>12</v>
      </c>
      <c r="J726" s="28">
        <v>2026</v>
      </c>
      <c r="K726" s="28" t="s">
        <v>261</v>
      </c>
    </row>
    <row r="727" spans="1:11" x14ac:dyDescent="0.3">
      <c r="A727" s="28" t="s">
        <v>1950</v>
      </c>
      <c r="B727" s="28">
        <v>2190</v>
      </c>
      <c r="C727" s="28" t="s">
        <v>912</v>
      </c>
      <c r="D727" s="28">
        <v>2026</v>
      </c>
      <c r="E727" s="28" t="s">
        <v>389</v>
      </c>
      <c r="G727" s="28" t="s">
        <v>1950</v>
      </c>
      <c r="H727" s="28">
        <v>1100</v>
      </c>
      <c r="I727" s="28" t="s">
        <v>12</v>
      </c>
      <c r="J727" s="28">
        <v>2026</v>
      </c>
      <c r="K727" s="28" t="s">
        <v>261</v>
      </c>
    </row>
    <row r="728" spans="1:11" x14ac:dyDescent="0.3">
      <c r="A728" s="28" t="s">
        <v>1951</v>
      </c>
      <c r="B728" s="28">
        <v>2190</v>
      </c>
      <c r="C728" s="28" t="s">
        <v>912</v>
      </c>
      <c r="D728" s="28">
        <v>2026</v>
      </c>
      <c r="E728" s="28" t="s">
        <v>389</v>
      </c>
      <c r="G728" s="28" t="s">
        <v>1951</v>
      </c>
      <c r="H728" s="28">
        <v>1100</v>
      </c>
      <c r="I728" s="28" t="s">
        <v>12</v>
      </c>
      <c r="J728" s="28">
        <v>2026</v>
      </c>
      <c r="K728" s="28" t="s">
        <v>261</v>
      </c>
    </row>
    <row r="729" spans="1:11" x14ac:dyDescent="0.3">
      <c r="A729" s="28" t="s">
        <v>1952</v>
      </c>
      <c r="B729" s="28">
        <v>2190</v>
      </c>
      <c r="C729" s="28" t="s">
        <v>912</v>
      </c>
      <c r="D729" s="28">
        <v>2026</v>
      </c>
      <c r="E729" s="28" t="s">
        <v>389</v>
      </c>
      <c r="G729" s="28" t="s">
        <v>1952</v>
      </c>
      <c r="H729" s="28">
        <v>1100</v>
      </c>
      <c r="I729" s="28" t="s">
        <v>12</v>
      </c>
      <c r="J729" s="28">
        <v>2026</v>
      </c>
      <c r="K729" s="28" t="s">
        <v>261</v>
      </c>
    </row>
    <row r="730" spans="1:11" x14ac:dyDescent="0.3">
      <c r="A730" s="28" t="s">
        <v>1953</v>
      </c>
      <c r="B730" s="28">
        <v>2190</v>
      </c>
      <c r="C730" s="28" t="s">
        <v>912</v>
      </c>
      <c r="D730" s="28">
        <v>2026</v>
      </c>
      <c r="E730" s="28" t="s">
        <v>389</v>
      </c>
      <c r="G730" s="28" t="s">
        <v>1953</v>
      </c>
      <c r="H730" s="28">
        <v>1100</v>
      </c>
      <c r="I730" s="28" t="s">
        <v>12</v>
      </c>
      <c r="J730" s="28">
        <v>2026</v>
      </c>
      <c r="K730" s="28" t="s">
        <v>261</v>
      </c>
    </row>
    <row r="731" spans="1:11" x14ac:dyDescent="0.3">
      <c r="A731" s="28" t="s">
        <v>1954</v>
      </c>
      <c r="B731" s="28">
        <v>2190</v>
      </c>
      <c r="C731" s="28" t="s">
        <v>912</v>
      </c>
      <c r="D731" s="28">
        <v>2026</v>
      </c>
      <c r="E731" s="28" t="s">
        <v>389</v>
      </c>
      <c r="G731" s="28" t="s">
        <v>1954</v>
      </c>
      <c r="H731" s="28">
        <v>1100</v>
      </c>
      <c r="I731" s="28" t="s">
        <v>12</v>
      </c>
      <c r="J731" s="28">
        <v>2026</v>
      </c>
      <c r="K731" s="28" t="s">
        <v>261</v>
      </c>
    </row>
    <row r="732" spans="1:11" x14ac:dyDescent="0.3">
      <c r="A732" s="28" t="s">
        <v>1955</v>
      </c>
      <c r="B732" s="28">
        <v>2190</v>
      </c>
      <c r="C732" s="28" t="s">
        <v>912</v>
      </c>
      <c r="D732" s="28">
        <v>2026</v>
      </c>
      <c r="E732" s="28" t="s">
        <v>389</v>
      </c>
      <c r="G732" s="28" t="s">
        <v>1955</v>
      </c>
      <c r="H732" s="28">
        <v>1100</v>
      </c>
      <c r="I732" s="28" t="s">
        <v>12</v>
      </c>
      <c r="J732" s="28">
        <v>2026</v>
      </c>
      <c r="K732" s="28" t="s">
        <v>261</v>
      </c>
    </row>
    <row r="733" spans="1:11" x14ac:dyDescent="0.3">
      <c r="A733" s="28" t="s">
        <v>1956</v>
      </c>
      <c r="B733" s="28">
        <v>2190</v>
      </c>
      <c r="C733" s="28" t="s">
        <v>912</v>
      </c>
      <c r="D733" s="28">
        <v>2026</v>
      </c>
      <c r="E733" s="28" t="s">
        <v>389</v>
      </c>
      <c r="G733" s="28" t="s">
        <v>1956</v>
      </c>
      <c r="H733" s="28">
        <v>1100</v>
      </c>
      <c r="I733" s="28" t="s">
        <v>12</v>
      </c>
      <c r="J733" s="28">
        <v>2026</v>
      </c>
      <c r="K733" s="28" t="s">
        <v>261</v>
      </c>
    </row>
    <row r="734" spans="1:11" x14ac:dyDescent="0.3">
      <c r="A734" s="28" t="s">
        <v>1957</v>
      </c>
      <c r="B734" s="28">
        <v>2190</v>
      </c>
      <c r="C734" s="28" t="s">
        <v>912</v>
      </c>
      <c r="D734" s="28">
        <v>2026</v>
      </c>
      <c r="E734" s="28" t="s">
        <v>389</v>
      </c>
      <c r="G734" s="28" t="s">
        <v>1957</v>
      </c>
      <c r="H734" s="28">
        <v>1100</v>
      </c>
      <c r="I734" s="28" t="s">
        <v>12</v>
      </c>
      <c r="J734" s="28">
        <v>2026</v>
      </c>
      <c r="K734" s="28" t="s">
        <v>261</v>
      </c>
    </row>
    <row r="735" spans="1:11" x14ac:dyDescent="0.3">
      <c r="A735" s="28" t="s">
        <v>1958</v>
      </c>
      <c r="B735" s="28">
        <v>2190</v>
      </c>
      <c r="C735" s="28" t="s">
        <v>912</v>
      </c>
      <c r="D735" s="28">
        <v>2026</v>
      </c>
      <c r="E735" s="28" t="s">
        <v>389</v>
      </c>
      <c r="G735" s="28" t="s">
        <v>1958</v>
      </c>
      <c r="H735" s="28">
        <v>1100</v>
      </c>
      <c r="I735" s="28" t="s">
        <v>12</v>
      </c>
      <c r="J735" s="28">
        <v>2026</v>
      </c>
      <c r="K735" s="28" t="s">
        <v>261</v>
      </c>
    </row>
    <row r="736" spans="1:11" x14ac:dyDescent="0.3">
      <c r="A736" s="28" t="s">
        <v>1959</v>
      </c>
      <c r="B736" s="28">
        <v>2190</v>
      </c>
      <c r="C736" s="28" t="s">
        <v>912</v>
      </c>
      <c r="D736" s="28">
        <v>2026</v>
      </c>
      <c r="E736" s="28" t="s">
        <v>389</v>
      </c>
      <c r="G736" s="28" t="s">
        <v>1959</v>
      </c>
      <c r="H736" s="28">
        <v>1100</v>
      </c>
      <c r="I736" s="28" t="s">
        <v>12</v>
      </c>
      <c r="J736" s="28">
        <v>2026</v>
      </c>
      <c r="K736" s="28" t="s">
        <v>261</v>
      </c>
    </row>
    <row r="737" spans="1:11" x14ac:dyDescent="0.3">
      <c r="A737" s="28" t="s">
        <v>1960</v>
      </c>
      <c r="B737" s="28">
        <v>2190</v>
      </c>
      <c r="C737" s="28" t="s">
        <v>912</v>
      </c>
      <c r="D737" s="28">
        <v>2026</v>
      </c>
      <c r="E737" s="28" t="s">
        <v>389</v>
      </c>
      <c r="G737" s="28" t="s">
        <v>1960</v>
      </c>
      <c r="H737" s="28">
        <v>1100</v>
      </c>
      <c r="I737" s="28" t="s">
        <v>12</v>
      </c>
      <c r="J737" s="28">
        <v>2026</v>
      </c>
      <c r="K737" s="28" t="s">
        <v>261</v>
      </c>
    </row>
    <row r="738" spans="1:11" x14ac:dyDescent="0.3">
      <c r="A738" s="28" t="s">
        <v>1961</v>
      </c>
      <c r="B738" s="28">
        <v>2190</v>
      </c>
      <c r="C738" s="28" t="s">
        <v>912</v>
      </c>
      <c r="D738" s="28">
        <v>2026</v>
      </c>
      <c r="E738" s="28" t="s">
        <v>389</v>
      </c>
      <c r="G738" s="28" t="s">
        <v>1961</v>
      </c>
      <c r="H738" s="28">
        <v>1100</v>
      </c>
      <c r="I738" s="28" t="s">
        <v>12</v>
      </c>
      <c r="J738" s="28">
        <v>2026</v>
      </c>
      <c r="K738" s="28" t="s">
        <v>261</v>
      </c>
    </row>
    <row r="739" spans="1:11" x14ac:dyDescent="0.3">
      <c r="A739" s="28" t="s">
        <v>1962</v>
      </c>
      <c r="B739" s="28">
        <v>2190</v>
      </c>
      <c r="C739" s="28" t="s">
        <v>912</v>
      </c>
      <c r="D739" s="28">
        <v>2026</v>
      </c>
      <c r="E739" s="28" t="s">
        <v>389</v>
      </c>
      <c r="G739" s="28" t="s">
        <v>1962</v>
      </c>
      <c r="H739" s="28">
        <v>1100</v>
      </c>
      <c r="I739" s="28" t="s">
        <v>12</v>
      </c>
      <c r="J739" s="28">
        <v>2026</v>
      </c>
      <c r="K739" s="28" t="s">
        <v>261</v>
      </c>
    </row>
    <row r="740" spans="1:11" x14ac:dyDescent="0.3">
      <c r="A740" s="28" t="s">
        <v>1963</v>
      </c>
      <c r="B740" s="28">
        <v>2190</v>
      </c>
      <c r="C740" s="28" t="s">
        <v>912</v>
      </c>
      <c r="D740" s="28">
        <v>2026</v>
      </c>
      <c r="E740" s="28" t="s">
        <v>389</v>
      </c>
      <c r="G740" s="28" t="s">
        <v>1963</v>
      </c>
      <c r="H740" s="28">
        <v>1100</v>
      </c>
      <c r="I740" s="28" t="s">
        <v>12</v>
      </c>
      <c r="J740" s="28">
        <v>2026</v>
      </c>
      <c r="K740" s="28" t="s">
        <v>261</v>
      </c>
    </row>
    <row r="741" spans="1:11" x14ac:dyDescent="0.3">
      <c r="A741" s="28" t="s">
        <v>1964</v>
      </c>
      <c r="B741" s="28">
        <v>2190</v>
      </c>
      <c r="C741" s="28" t="s">
        <v>912</v>
      </c>
      <c r="D741" s="28">
        <v>2026</v>
      </c>
      <c r="E741" s="28" t="s">
        <v>389</v>
      </c>
      <c r="G741" s="28" t="s">
        <v>1964</v>
      </c>
      <c r="H741" s="28">
        <v>1100</v>
      </c>
      <c r="I741" s="28" t="s">
        <v>12</v>
      </c>
      <c r="J741" s="28">
        <v>2026</v>
      </c>
      <c r="K741" s="28" t="s">
        <v>261</v>
      </c>
    </row>
    <row r="742" spans="1:11" x14ac:dyDescent="0.3">
      <c r="A742" s="28" t="s">
        <v>1965</v>
      </c>
      <c r="B742" s="28">
        <v>2190</v>
      </c>
      <c r="C742" s="28" t="s">
        <v>912</v>
      </c>
      <c r="D742" s="28">
        <v>2026</v>
      </c>
      <c r="E742" s="28" t="s">
        <v>389</v>
      </c>
      <c r="G742" s="28" t="s">
        <v>1965</v>
      </c>
      <c r="H742" s="28">
        <v>1100</v>
      </c>
      <c r="I742" s="28" t="s">
        <v>12</v>
      </c>
      <c r="J742" s="28">
        <v>2026</v>
      </c>
      <c r="K742" s="28" t="s">
        <v>261</v>
      </c>
    </row>
    <row r="743" spans="1:11" x14ac:dyDescent="0.3">
      <c r="A743" s="28" t="s">
        <v>1966</v>
      </c>
      <c r="B743" s="28">
        <v>2190</v>
      </c>
      <c r="C743" s="28" t="s">
        <v>912</v>
      </c>
      <c r="D743" s="28">
        <v>2026</v>
      </c>
      <c r="E743" s="28" t="s">
        <v>389</v>
      </c>
      <c r="G743" s="28" t="s">
        <v>1966</v>
      </c>
      <c r="H743" s="28">
        <v>1100</v>
      </c>
      <c r="I743" s="28" t="s">
        <v>12</v>
      </c>
      <c r="J743" s="28">
        <v>2026</v>
      </c>
      <c r="K743" s="28" t="s">
        <v>261</v>
      </c>
    </row>
    <row r="744" spans="1:11" x14ac:dyDescent="0.3">
      <c r="A744" s="28" t="s">
        <v>1967</v>
      </c>
      <c r="B744" s="28">
        <v>2190</v>
      </c>
      <c r="C744" s="28" t="s">
        <v>912</v>
      </c>
      <c r="D744" s="28">
        <v>2026</v>
      </c>
      <c r="E744" s="28" t="s">
        <v>389</v>
      </c>
      <c r="G744" s="28" t="s">
        <v>1967</v>
      </c>
      <c r="H744" s="28">
        <v>1100</v>
      </c>
      <c r="I744" s="28" t="s">
        <v>12</v>
      </c>
      <c r="J744" s="28">
        <v>2026</v>
      </c>
      <c r="K744" s="28" t="s">
        <v>261</v>
      </c>
    </row>
    <row r="745" spans="1:11" x14ac:dyDescent="0.3">
      <c r="A745" s="28" t="s">
        <v>1968</v>
      </c>
      <c r="B745" s="28">
        <v>2190</v>
      </c>
      <c r="C745" s="28" t="s">
        <v>912</v>
      </c>
      <c r="D745" s="28">
        <v>2026</v>
      </c>
      <c r="E745" s="28" t="s">
        <v>389</v>
      </c>
      <c r="G745" s="28" t="s">
        <v>1968</v>
      </c>
      <c r="H745" s="28">
        <v>1500</v>
      </c>
      <c r="I745" s="28" t="s">
        <v>12</v>
      </c>
      <c r="J745" s="28">
        <v>2026</v>
      </c>
      <c r="K745" s="28" t="s">
        <v>261</v>
      </c>
    </row>
    <row r="746" spans="1:11" x14ac:dyDescent="0.3">
      <c r="A746" s="28" t="s">
        <v>1969</v>
      </c>
      <c r="B746" s="28">
        <v>2190</v>
      </c>
      <c r="C746" s="28" t="s">
        <v>912</v>
      </c>
      <c r="D746" s="28">
        <v>2026</v>
      </c>
      <c r="E746" s="28" t="s">
        <v>389</v>
      </c>
      <c r="G746" s="28" t="s">
        <v>1969</v>
      </c>
      <c r="H746" s="28">
        <v>1500</v>
      </c>
      <c r="I746" s="28" t="s">
        <v>12</v>
      </c>
      <c r="J746" s="28">
        <v>2026</v>
      </c>
      <c r="K746" s="28" t="s">
        <v>261</v>
      </c>
    </row>
    <row r="747" spans="1:11" x14ac:dyDescent="0.3">
      <c r="A747" s="28" t="s">
        <v>1970</v>
      </c>
      <c r="B747" s="28">
        <v>2190</v>
      </c>
      <c r="C747" s="28" t="s">
        <v>912</v>
      </c>
      <c r="D747" s="28">
        <v>2026</v>
      </c>
      <c r="E747" s="28" t="s">
        <v>389</v>
      </c>
      <c r="G747" s="28" t="s">
        <v>1970</v>
      </c>
      <c r="H747" s="28">
        <v>1500</v>
      </c>
      <c r="I747" s="28" t="s">
        <v>12</v>
      </c>
      <c r="J747" s="28">
        <v>2026</v>
      </c>
      <c r="K747" s="28" t="s">
        <v>261</v>
      </c>
    </row>
    <row r="748" spans="1:11" x14ac:dyDescent="0.3">
      <c r="A748" s="28" t="s">
        <v>1971</v>
      </c>
      <c r="B748" s="28">
        <v>2190</v>
      </c>
      <c r="C748" s="28" t="s">
        <v>912</v>
      </c>
      <c r="D748" s="28">
        <v>2026</v>
      </c>
      <c r="E748" s="28" t="s">
        <v>389</v>
      </c>
      <c r="G748" s="28" t="s">
        <v>1971</v>
      </c>
      <c r="H748" s="28">
        <v>1600</v>
      </c>
      <c r="I748" s="28" t="s">
        <v>12</v>
      </c>
      <c r="J748" s="28">
        <v>2026</v>
      </c>
      <c r="K748" s="28" t="s">
        <v>261</v>
      </c>
    </row>
    <row r="749" spans="1:11" x14ac:dyDescent="0.3">
      <c r="A749" s="28" t="s">
        <v>1972</v>
      </c>
      <c r="B749" s="28">
        <v>2190</v>
      </c>
      <c r="C749" s="28" t="s">
        <v>912</v>
      </c>
      <c r="D749" s="28">
        <v>2026</v>
      </c>
      <c r="E749" s="28" t="s">
        <v>389</v>
      </c>
      <c r="G749" s="28" t="s">
        <v>1972</v>
      </c>
      <c r="H749" s="28">
        <v>1600</v>
      </c>
      <c r="I749" s="28" t="s">
        <v>12</v>
      </c>
      <c r="J749" s="28">
        <v>2026</v>
      </c>
      <c r="K749" s="28" t="s">
        <v>261</v>
      </c>
    </row>
    <row r="750" spans="1:11" x14ac:dyDescent="0.3">
      <c r="A750" s="28" t="s">
        <v>1973</v>
      </c>
      <c r="B750" s="28">
        <v>2190</v>
      </c>
      <c r="C750" s="28" t="s">
        <v>912</v>
      </c>
      <c r="D750" s="28">
        <v>2026</v>
      </c>
      <c r="E750" s="28" t="s">
        <v>389</v>
      </c>
      <c r="G750" s="28" t="s">
        <v>1973</v>
      </c>
      <c r="H750" s="28">
        <v>1150</v>
      </c>
      <c r="I750" s="28" t="s">
        <v>12</v>
      </c>
      <c r="J750" s="28">
        <v>2026</v>
      </c>
      <c r="K750" s="28" t="s">
        <v>261</v>
      </c>
    </row>
    <row r="751" spans="1:11" x14ac:dyDescent="0.3">
      <c r="A751" s="28" t="s">
        <v>1974</v>
      </c>
      <c r="B751" s="28">
        <v>2190</v>
      </c>
      <c r="C751" s="28" t="s">
        <v>912</v>
      </c>
      <c r="D751" s="28">
        <v>2026</v>
      </c>
      <c r="E751" s="28" t="s">
        <v>389</v>
      </c>
      <c r="G751" s="28" t="s">
        <v>1974</v>
      </c>
      <c r="H751" s="28">
        <v>1150</v>
      </c>
      <c r="I751" s="28" t="s">
        <v>12</v>
      </c>
      <c r="J751" s="28">
        <v>2026</v>
      </c>
      <c r="K751" s="28" t="s">
        <v>261</v>
      </c>
    </row>
    <row r="752" spans="1:11" x14ac:dyDescent="0.3">
      <c r="A752" s="28" t="s">
        <v>1975</v>
      </c>
      <c r="B752" s="28">
        <v>2190</v>
      </c>
      <c r="C752" s="28" t="s">
        <v>912</v>
      </c>
      <c r="D752" s="28">
        <v>2026</v>
      </c>
      <c r="E752" s="28" t="s">
        <v>389</v>
      </c>
      <c r="G752" s="28" t="s">
        <v>1975</v>
      </c>
      <c r="H752" s="28">
        <v>1150</v>
      </c>
      <c r="I752" s="28" t="s">
        <v>12</v>
      </c>
      <c r="J752" s="28">
        <v>2026</v>
      </c>
      <c r="K752" s="28" t="s">
        <v>261</v>
      </c>
    </row>
    <row r="753" spans="1:11" x14ac:dyDescent="0.3">
      <c r="A753" s="28" t="s">
        <v>1976</v>
      </c>
      <c r="B753" s="28">
        <v>2190</v>
      </c>
      <c r="C753" s="28" t="s">
        <v>912</v>
      </c>
      <c r="D753" s="28">
        <v>2026</v>
      </c>
      <c r="E753" s="28" t="s">
        <v>389</v>
      </c>
      <c r="G753" s="28" t="s">
        <v>1976</v>
      </c>
      <c r="H753" s="28">
        <v>1150</v>
      </c>
      <c r="I753" s="28" t="s">
        <v>12</v>
      </c>
      <c r="J753" s="28">
        <v>2026</v>
      </c>
      <c r="K753" s="28" t="s">
        <v>261</v>
      </c>
    </row>
    <row r="754" spans="1:11" x14ac:dyDescent="0.3">
      <c r="A754" s="28" t="s">
        <v>1977</v>
      </c>
      <c r="B754" s="28">
        <v>2190</v>
      </c>
      <c r="C754" s="28" t="s">
        <v>912</v>
      </c>
      <c r="D754" s="28">
        <v>2026</v>
      </c>
      <c r="E754" s="28" t="s">
        <v>389</v>
      </c>
      <c r="G754" s="28" t="s">
        <v>1977</v>
      </c>
      <c r="H754" s="28">
        <v>1150</v>
      </c>
      <c r="I754" s="28" t="s">
        <v>12</v>
      </c>
      <c r="J754" s="28">
        <v>2026</v>
      </c>
      <c r="K754" s="28" t="s">
        <v>261</v>
      </c>
    </row>
    <row r="755" spans="1:11" x14ac:dyDescent="0.3">
      <c r="A755" s="28" t="s">
        <v>1978</v>
      </c>
      <c r="B755" s="28">
        <v>2190</v>
      </c>
      <c r="C755" s="28" t="s">
        <v>912</v>
      </c>
      <c r="D755" s="28">
        <v>2026</v>
      </c>
      <c r="E755" s="28" t="s">
        <v>389</v>
      </c>
      <c r="G755" s="28" t="s">
        <v>1978</v>
      </c>
      <c r="H755" s="28">
        <v>1150</v>
      </c>
      <c r="I755" s="28" t="s">
        <v>12</v>
      </c>
      <c r="J755" s="28">
        <v>2026</v>
      </c>
      <c r="K755" s="28" t="s">
        <v>261</v>
      </c>
    </row>
    <row r="756" spans="1:11" x14ac:dyDescent="0.3">
      <c r="A756" s="28" t="s">
        <v>1979</v>
      </c>
      <c r="B756" s="28">
        <v>2190</v>
      </c>
      <c r="C756" s="28" t="s">
        <v>912</v>
      </c>
      <c r="D756" s="28">
        <v>2026</v>
      </c>
      <c r="E756" s="28" t="s">
        <v>389</v>
      </c>
      <c r="G756" s="28" t="s">
        <v>1979</v>
      </c>
      <c r="H756" s="28">
        <v>1150</v>
      </c>
      <c r="I756" s="28" t="s">
        <v>12</v>
      </c>
      <c r="J756" s="28">
        <v>2026</v>
      </c>
      <c r="K756" s="28" t="s">
        <v>261</v>
      </c>
    </row>
    <row r="757" spans="1:11" x14ac:dyDescent="0.3">
      <c r="A757" s="28" t="s">
        <v>1980</v>
      </c>
      <c r="B757" s="28">
        <v>2190</v>
      </c>
      <c r="C757" s="28" t="s">
        <v>912</v>
      </c>
      <c r="D757" s="28">
        <v>2026</v>
      </c>
      <c r="E757" s="28" t="s">
        <v>389</v>
      </c>
      <c r="G757" s="28" t="s">
        <v>1980</v>
      </c>
      <c r="H757" s="28">
        <v>1150</v>
      </c>
      <c r="I757" s="28" t="s">
        <v>12</v>
      </c>
      <c r="J757" s="28">
        <v>2026</v>
      </c>
      <c r="K757" s="28" t="s">
        <v>261</v>
      </c>
    </row>
    <row r="758" spans="1:11" x14ac:dyDescent="0.3">
      <c r="A758" s="28" t="s">
        <v>1981</v>
      </c>
      <c r="B758" s="28">
        <v>2190</v>
      </c>
      <c r="C758" s="28" t="s">
        <v>912</v>
      </c>
      <c r="D758" s="28">
        <v>2026</v>
      </c>
      <c r="E758" s="28" t="s">
        <v>389</v>
      </c>
      <c r="G758" s="28" t="s">
        <v>1981</v>
      </c>
      <c r="H758" s="28">
        <v>1150</v>
      </c>
      <c r="I758" s="28" t="s">
        <v>12</v>
      </c>
      <c r="J758" s="28">
        <v>2026</v>
      </c>
      <c r="K758" s="28" t="s">
        <v>261</v>
      </c>
    </row>
    <row r="759" spans="1:11" x14ac:dyDescent="0.3">
      <c r="A759" s="28" t="s">
        <v>1982</v>
      </c>
      <c r="B759" s="28">
        <v>2190</v>
      </c>
      <c r="C759" s="28" t="s">
        <v>912</v>
      </c>
      <c r="D759" s="28">
        <v>2026</v>
      </c>
      <c r="E759" s="28" t="s">
        <v>389</v>
      </c>
      <c r="G759" s="28" t="s">
        <v>1982</v>
      </c>
      <c r="H759" s="28">
        <v>1150</v>
      </c>
      <c r="I759" s="28" t="s">
        <v>12</v>
      </c>
      <c r="J759" s="28">
        <v>2026</v>
      </c>
      <c r="K759" s="28" t="s">
        <v>261</v>
      </c>
    </row>
    <row r="760" spans="1:11" x14ac:dyDescent="0.3">
      <c r="A760" s="28" t="s">
        <v>1983</v>
      </c>
      <c r="B760" s="28">
        <v>2190</v>
      </c>
      <c r="C760" s="28" t="s">
        <v>912</v>
      </c>
      <c r="D760" s="28">
        <v>2026</v>
      </c>
      <c r="E760" s="28" t="s">
        <v>389</v>
      </c>
      <c r="G760" s="28" t="s">
        <v>1983</v>
      </c>
      <c r="H760" s="28">
        <v>1100</v>
      </c>
      <c r="I760" s="28" t="s">
        <v>12</v>
      </c>
      <c r="J760" s="28">
        <v>2026</v>
      </c>
      <c r="K760" s="28" t="s">
        <v>261</v>
      </c>
    </row>
    <row r="761" spans="1:11" x14ac:dyDescent="0.3">
      <c r="A761" s="28" t="s">
        <v>1984</v>
      </c>
      <c r="B761" s="28">
        <v>2190</v>
      </c>
      <c r="C761" s="28" t="s">
        <v>912</v>
      </c>
      <c r="D761" s="28">
        <v>2026</v>
      </c>
      <c r="E761" s="28" t="s">
        <v>389</v>
      </c>
      <c r="G761" s="28" t="s">
        <v>1984</v>
      </c>
      <c r="H761" s="28">
        <v>1100</v>
      </c>
      <c r="I761" s="28" t="s">
        <v>12</v>
      </c>
      <c r="J761" s="28">
        <v>2026</v>
      </c>
      <c r="K761" s="28" t="s">
        <v>261</v>
      </c>
    </row>
    <row r="762" spans="1:11" x14ac:dyDescent="0.3">
      <c r="A762" s="28" t="s">
        <v>1985</v>
      </c>
      <c r="B762" s="28">
        <v>2190</v>
      </c>
      <c r="C762" s="28" t="s">
        <v>912</v>
      </c>
      <c r="D762" s="28">
        <v>2026</v>
      </c>
      <c r="E762" s="28" t="s">
        <v>389</v>
      </c>
      <c r="G762" s="28" t="s">
        <v>1985</v>
      </c>
      <c r="H762" s="28">
        <v>1100</v>
      </c>
      <c r="I762" s="28" t="s">
        <v>12</v>
      </c>
      <c r="J762" s="28">
        <v>2026</v>
      </c>
      <c r="K762" s="28" t="s">
        <v>261</v>
      </c>
    </row>
    <row r="763" spans="1:11" x14ac:dyDescent="0.3">
      <c r="A763" s="28" t="s">
        <v>1986</v>
      </c>
      <c r="B763" s="28">
        <v>2190</v>
      </c>
      <c r="C763" s="28" t="s">
        <v>912</v>
      </c>
      <c r="D763" s="28">
        <v>2026</v>
      </c>
      <c r="E763" s="28" t="s">
        <v>389</v>
      </c>
      <c r="G763" s="28" t="s">
        <v>1986</v>
      </c>
      <c r="H763" s="28">
        <v>1100</v>
      </c>
      <c r="I763" s="28" t="s">
        <v>12</v>
      </c>
      <c r="J763" s="28">
        <v>2026</v>
      </c>
      <c r="K763" s="28" t="s">
        <v>261</v>
      </c>
    </row>
    <row r="764" spans="1:11" x14ac:dyDescent="0.3">
      <c r="A764" s="28" t="s">
        <v>1987</v>
      </c>
      <c r="B764" s="28">
        <v>2190</v>
      </c>
      <c r="C764" s="28" t="s">
        <v>912</v>
      </c>
      <c r="D764" s="28">
        <v>2026</v>
      </c>
      <c r="E764" s="28" t="s">
        <v>389</v>
      </c>
      <c r="G764" s="28" t="s">
        <v>1987</v>
      </c>
      <c r="H764" s="28">
        <v>1100</v>
      </c>
      <c r="I764" s="28" t="s">
        <v>12</v>
      </c>
      <c r="J764" s="28">
        <v>2026</v>
      </c>
      <c r="K764" s="28" t="s">
        <v>261</v>
      </c>
    </row>
    <row r="765" spans="1:11" x14ac:dyDescent="0.3">
      <c r="A765" s="28" t="s">
        <v>1988</v>
      </c>
      <c r="B765" s="28">
        <v>2190</v>
      </c>
      <c r="C765" s="28" t="s">
        <v>912</v>
      </c>
      <c r="D765" s="28">
        <v>2026</v>
      </c>
      <c r="E765" s="28" t="s">
        <v>389</v>
      </c>
      <c r="G765" s="28" t="s">
        <v>1988</v>
      </c>
      <c r="H765" s="28">
        <v>1100</v>
      </c>
      <c r="I765" s="28" t="s">
        <v>12</v>
      </c>
      <c r="J765" s="28">
        <v>2026</v>
      </c>
      <c r="K765" s="28" t="s">
        <v>261</v>
      </c>
    </row>
    <row r="766" spans="1:11" x14ac:dyDescent="0.3">
      <c r="A766" s="28" t="s">
        <v>1989</v>
      </c>
      <c r="B766" s="28">
        <v>2190</v>
      </c>
      <c r="C766" s="28" t="s">
        <v>912</v>
      </c>
      <c r="D766" s="28">
        <v>2026</v>
      </c>
      <c r="E766" s="28" t="s">
        <v>389</v>
      </c>
      <c r="G766" s="28" t="s">
        <v>1989</v>
      </c>
      <c r="H766" s="28">
        <v>1100</v>
      </c>
      <c r="I766" s="28" t="s">
        <v>12</v>
      </c>
      <c r="J766" s="28">
        <v>2026</v>
      </c>
      <c r="K766" s="28" t="s">
        <v>261</v>
      </c>
    </row>
    <row r="767" spans="1:11" x14ac:dyDescent="0.3">
      <c r="A767" s="28" t="s">
        <v>1990</v>
      </c>
      <c r="B767" s="28">
        <v>2190</v>
      </c>
      <c r="C767" s="28" t="s">
        <v>912</v>
      </c>
      <c r="D767" s="28">
        <v>2026</v>
      </c>
      <c r="E767" s="28" t="s">
        <v>389</v>
      </c>
      <c r="G767" s="28" t="s">
        <v>1990</v>
      </c>
      <c r="H767" s="28">
        <v>1100</v>
      </c>
      <c r="I767" s="28" t="s">
        <v>12</v>
      </c>
      <c r="J767" s="28">
        <v>2026</v>
      </c>
      <c r="K767" s="28" t="s">
        <v>261</v>
      </c>
    </row>
    <row r="768" spans="1:11" x14ac:dyDescent="0.3">
      <c r="A768" s="28" t="s">
        <v>1991</v>
      </c>
      <c r="B768" s="28">
        <v>2190</v>
      </c>
      <c r="C768" s="28" t="s">
        <v>912</v>
      </c>
      <c r="D768" s="28">
        <v>2026</v>
      </c>
      <c r="E768" s="28" t="s">
        <v>389</v>
      </c>
      <c r="G768" s="28" t="s">
        <v>1991</v>
      </c>
      <c r="H768" s="28">
        <v>1800</v>
      </c>
      <c r="I768" s="28" t="s">
        <v>12</v>
      </c>
      <c r="J768" s="28">
        <v>2026</v>
      </c>
      <c r="K768" s="28" t="s">
        <v>261</v>
      </c>
    </row>
    <row r="769" spans="1:11" x14ac:dyDescent="0.3">
      <c r="A769" s="28" t="s">
        <v>1992</v>
      </c>
      <c r="B769" s="28">
        <v>2190</v>
      </c>
      <c r="C769" s="28" t="s">
        <v>912</v>
      </c>
      <c r="D769" s="28">
        <v>2026</v>
      </c>
      <c r="E769" s="28" t="s">
        <v>389</v>
      </c>
      <c r="G769" s="28" t="s">
        <v>1992</v>
      </c>
      <c r="H769" s="28">
        <v>1800</v>
      </c>
      <c r="I769" s="28" t="s">
        <v>12</v>
      </c>
      <c r="J769" s="28">
        <v>2026</v>
      </c>
      <c r="K769" s="28" t="s">
        <v>261</v>
      </c>
    </row>
    <row r="770" spans="1:11" x14ac:dyDescent="0.3">
      <c r="A770" s="28" t="s">
        <v>1993</v>
      </c>
      <c r="B770" s="28">
        <v>2190</v>
      </c>
      <c r="C770" s="28" t="s">
        <v>912</v>
      </c>
      <c r="D770" s="28">
        <v>2026</v>
      </c>
      <c r="E770" s="28" t="s">
        <v>389</v>
      </c>
      <c r="G770" s="28" t="s">
        <v>1993</v>
      </c>
      <c r="H770" s="28">
        <v>1800</v>
      </c>
      <c r="I770" s="28" t="s">
        <v>12</v>
      </c>
      <c r="J770" s="28">
        <v>2026</v>
      </c>
      <c r="K770" s="28" t="s">
        <v>261</v>
      </c>
    </row>
    <row r="771" spans="1:11" x14ac:dyDescent="0.3">
      <c r="A771" s="28" t="s">
        <v>1994</v>
      </c>
      <c r="B771" s="28">
        <v>2190</v>
      </c>
      <c r="C771" s="28" t="s">
        <v>912</v>
      </c>
      <c r="D771" s="28">
        <v>2026</v>
      </c>
      <c r="E771" s="28" t="s">
        <v>389</v>
      </c>
      <c r="G771" s="28" t="s">
        <v>1994</v>
      </c>
      <c r="H771" s="28">
        <v>1800</v>
      </c>
      <c r="I771" s="28" t="s">
        <v>12</v>
      </c>
      <c r="J771" s="28">
        <v>2026</v>
      </c>
      <c r="K771" s="28" t="s">
        <v>261</v>
      </c>
    </row>
    <row r="772" spans="1:11" x14ac:dyDescent="0.3">
      <c r="A772" s="28" t="s">
        <v>1995</v>
      </c>
      <c r="B772" s="28">
        <v>2190</v>
      </c>
      <c r="C772" s="28" t="s">
        <v>912</v>
      </c>
      <c r="D772" s="28">
        <v>2026</v>
      </c>
      <c r="E772" s="28" t="s">
        <v>389</v>
      </c>
      <c r="G772" s="28" t="s">
        <v>1995</v>
      </c>
      <c r="H772" s="28">
        <v>1800</v>
      </c>
      <c r="I772" s="28" t="s">
        <v>12</v>
      </c>
      <c r="J772" s="28">
        <v>2026</v>
      </c>
      <c r="K772" s="28" t="s">
        <v>261</v>
      </c>
    </row>
    <row r="773" spans="1:11" x14ac:dyDescent="0.3">
      <c r="A773" s="28" t="s">
        <v>1996</v>
      </c>
      <c r="B773" s="28">
        <v>2190</v>
      </c>
      <c r="C773" s="28" t="s">
        <v>912</v>
      </c>
      <c r="D773" s="28">
        <v>2026</v>
      </c>
      <c r="E773" s="28" t="s">
        <v>389</v>
      </c>
      <c r="G773" s="28" t="s">
        <v>1996</v>
      </c>
      <c r="H773" s="28">
        <v>1300</v>
      </c>
      <c r="I773" s="28" t="s">
        <v>12</v>
      </c>
      <c r="J773" s="28">
        <v>2026</v>
      </c>
      <c r="K773" s="28" t="s">
        <v>261</v>
      </c>
    </row>
  </sheetData>
  <sheetProtection sheet="1" objects="1" formatCells="0" formatColumns="0" formatRows="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2"/>
  <sheetViews>
    <sheetView workbookViewId="0"/>
  </sheetViews>
  <sheetFormatPr defaultRowHeight="14.4" x14ac:dyDescent="0.3"/>
  <cols>
    <col min="1" max="1" width="34" customWidth="1"/>
    <col min="2" max="2" width="16" customWidth="1"/>
    <col min="3" max="3" width="20" customWidth="1"/>
    <col min="4" max="4" width="16" customWidth="1"/>
  </cols>
  <sheetData>
    <row r="1" spans="1:4" ht="21" x14ac:dyDescent="0.4">
      <c r="A1" s="5" t="s">
        <v>1997</v>
      </c>
    </row>
    <row r="3" spans="1:4" x14ac:dyDescent="0.3">
      <c r="A3" s="8" t="s">
        <v>1998</v>
      </c>
      <c r="B3" s="16">
        <v>2026</v>
      </c>
    </row>
    <row r="4" spans="1:4" x14ac:dyDescent="0.3">
      <c r="A4" s="8" t="s">
        <v>1999</v>
      </c>
      <c r="B4" s="16" t="s">
        <v>2000</v>
      </c>
    </row>
    <row r="6" spans="1:4" ht="15.6" x14ac:dyDescent="0.3">
      <c r="A6" s="7" t="s">
        <v>2001</v>
      </c>
    </row>
    <row r="7" spans="1:4" x14ac:dyDescent="0.3">
      <c r="A7" s="22" t="s">
        <v>973</v>
      </c>
      <c r="B7" s="22" t="s">
        <v>2002</v>
      </c>
      <c r="C7" s="22" t="s">
        <v>2003</v>
      </c>
      <c r="D7" s="22" t="s">
        <v>2004</v>
      </c>
    </row>
    <row r="8" spans="1:4" x14ac:dyDescent="0.3">
      <c r="A8" s="33" t="s">
        <v>203</v>
      </c>
      <c r="B8" s="34">
        <v>277.10219999999998</v>
      </c>
      <c r="C8" s="35"/>
      <c r="D8" s="36">
        <f t="shared" ref="D8:D17" si="0">IF(AND(ISNUMBER(C8),C8&gt;0),C8,B8)</f>
        <v>277.10219999999998</v>
      </c>
    </row>
    <row r="9" spans="1:4" x14ac:dyDescent="0.3">
      <c r="A9" s="33" t="s">
        <v>304</v>
      </c>
      <c r="B9" s="34">
        <v>96.328599999999994</v>
      </c>
      <c r="C9" s="35"/>
      <c r="D9" s="36">
        <f t="shared" si="0"/>
        <v>96.328599999999994</v>
      </c>
    </row>
    <row r="10" spans="1:4" x14ac:dyDescent="0.3">
      <c r="A10" s="33" t="s">
        <v>12</v>
      </c>
      <c r="B10" s="34">
        <v>1</v>
      </c>
      <c r="C10" s="35"/>
      <c r="D10" s="36">
        <f t="shared" si="0"/>
        <v>1</v>
      </c>
    </row>
    <row r="11" spans="1:4" x14ac:dyDescent="0.3">
      <c r="A11" s="33" t="s">
        <v>271</v>
      </c>
      <c r="B11" s="34">
        <v>0.75564699999999996</v>
      </c>
      <c r="C11" s="35"/>
      <c r="D11" s="36">
        <f t="shared" si="0"/>
        <v>0.75564699999999996</v>
      </c>
    </row>
    <row r="12" spans="1:4" x14ac:dyDescent="0.3">
      <c r="A12" s="33" t="s">
        <v>535</v>
      </c>
      <c r="B12" s="34">
        <v>1.43875</v>
      </c>
      <c r="C12" s="35"/>
      <c r="D12" s="36">
        <f t="shared" si="0"/>
        <v>1.43875</v>
      </c>
    </row>
    <row r="13" spans="1:4" x14ac:dyDescent="0.3">
      <c r="A13" s="33" t="s">
        <v>603</v>
      </c>
      <c r="B13" s="34">
        <v>0.88511200000000001</v>
      </c>
      <c r="C13" s="35"/>
      <c r="D13" s="36">
        <f t="shared" si="0"/>
        <v>0.88511200000000001</v>
      </c>
    </row>
    <row r="14" spans="1:4" x14ac:dyDescent="0.3">
      <c r="A14" s="33" t="s">
        <v>665</v>
      </c>
      <c r="B14" s="34">
        <v>1.279873</v>
      </c>
      <c r="C14" s="35"/>
      <c r="D14" s="36">
        <f t="shared" si="0"/>
        <v>1.279873</v>
      </c>
    </row>
    <row r="15" spans="1:4" x14ac:dyDescent="0.3">
      <c r="A15" s="33" t="s">
        <v>726</v>
      </c>
      <c r="B15" s="34">
        <v>4.0845279999999997</v>
      </c>
      <c r="C15" s="35"/>
      <c r="D15" s="36">
        <f t="shared" si="0"/>
        <v>4.0845279999999997</v>
      </c>
    </row>
    <row r="16" spans="1:4" x14ac:dyDescent="0.3">
      <c r="A16" s="33" t="s">
        <v>853</v>
      </c>
      <c r="B16" s="34">
        <v>3.64</v>
      </c>
      <c r="C16" s="35"/>
      <c r="D16" s="36">
        <f t="shared" si="0"/>
        <v>3.64</v>
      </c>
    </row>
    <row r="17" spans="1:4" x14ac:dyDescent="0.3">
      <c r="A17" s="33" t="s">
        <v>912</v>
      </c>
      <c r="B17" s="34">
        <v>3.6724999999999999</v>
      </c>
      <c r="C17" s="35"/>
      <c r="D17" s="36">
        <f t="shared" si="0"/>
        <v>3.6724999999999999</v>
      </c>
    </row>
    <row r="18" spans="1:4" ht="60" customHeight="1" x14ac:dyDescent="0.3">
      <c r="A18" s="38" t="s">
        <v>2005</v>
      </c>
      <c r="B18" s="39"/>
      <c r="C18" s="39"/>
      <c r="D18" s="39"/>
    </row>
    <row r="20" spans="1:4" ht="15.6" x14ac:dyDescent="0.3">
      <c r="A20" s="7" t="s">
        <v>2006</v>
      </c>
    </row>
    <row r="21" spans="1:4" x14ac:dyDescent="0.3">
      <c r="A21" s="22" t="s">
        <v>973</v>
      </c>
      <c r="B21" s="22" t="s">
        <v>2007</v>
      </c>
    </row>
    <row r="22" spans="1:4" x14ac:dyDescent="0.3">
      <c r="A22" s="33" t="s">
        <v>203</v>
      </c>
      <c r="B22" s="37">
        <v>0.12</v>
      </c>
    </row>
    <row r="23" spans="1:4" x14ac:dyDescent="0.3">
      <c r="A23" s="33" t="s">
        <v>304</v>
      </c>
      <c r="B23" s="37">
        <v>0.1</v>
      </c>
    </row>
    <row r="24" spans="1:4" x14ac:dyDescent="0.3">
      <c r="A24" s="33" t="s">
        <v>12</v>
      </c>
      <c r="B24" s="37">
        <v>0.06</v>
      </c>
    </row>
    <row r="25" spans="1:4" x14ac:dyDescent="0.3">
      <c r="A25" s="33" t="s">
        <v>271</v>
      </c>
      <c r="B25" s="37">
        <v>0.05</v>
      </c>
    </row>
    <row r="26" spans="1:4" x14ac:dyDescent="0.3">
      <c r="A26" s="33" t="s">
        <v>603</v>
      </c>
      <c r="B26" s="37">
        <v>0.05</v>
      </c>
    </row>
    <row r="27" spans="1:4" x14ac:dyDescent="0.3">
      <c r="A27" s="33" t="s">
        <v>535</v>
      </c>
      <c r="B27" s="37">
        <v>0.06</v>
      </c>
    </row>
    <row r="28" spans="1:4" x14ac:dyDescent="0.3">
      <c r="A28" s="33" t="s">
        <v>665</v>
      </c>
      <c r="B28" s="37">
        <v>0.04</v>
      </c>
    </row>
    <row r="29" spans="1:4" x14ac:dyDescent="0.3">
      <c r="A29" s="33" t="s">
        <v>726</v>
      </c>
      <c r="B29" s="37">
        <v>0.05</v>
      </c>
    </row>
    <row r="30" spans="1:4" x14ac:dyDescent="0.3">
      <c r="A30" s="33" t="s">
        <v>853</v>
      </c>
      <c r="B30" s="37">
        <v>0.05</v>
      </c>
    </row>
    <row r="31" spans="1:4" x14ac:dyDescent="0.3">
      <c r="A31" s="33" t="s">
        <v>912</v>
      </c>
      <c r="B31" s="37">
        <v>0.05</v>
      </c>
    </row>
    <row r="32" spans="1:4" ht="40.049999999999997" customHeight="1" x14ac:dyDescent="0.3">
      <c r="A32" s="38" t="s">
        <v>2008</v>
      </c>
      <c r="B32" s="39"/>
      <c r="C32" s="39"/>
      <c r="D32" s="39"/>
    </row>
  </sheetData>
  <sheetProtection sheet="1" objects="1" formatCells="0" formatColumns="0" formatRows="0"/>
  <mergeCells count="2">
    <mergeCell ref="A18:D18"/>
    <mergeCell ref="A32:D3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12"/>
  <sheetViews>
    <sheetView workbookViewId="0"/>
  </sheetViews>
  <sheetFormatPr defaultRowHeight="14.4" x14ac:dyDescent="0.3"/>
  <cols>
    <col min="1" max="1" width="130" customWidth="1"/>
  </cols>
  <sheetData>
    <row r="1" spans="1:1" ht="15.6" x14ac:dyDescent="0.3">
      <c r="A1" s="4" t="s">
        <v>2009</v>
      </c>
    </row>
    <row r="2" spans="1:1" x14ac:dyDescent="0.3">
      <c r="A2" s="3" t="s">
        <v>2010</v>
      </c>
    </row>
    <row r="3" spans="1:1" ht="26.4" x14ac:dyDescent="0.3">
      <c r="A3" s="3" t="s">
        <v>2011</v>
      </c>
    </row>
    <row r="4" spans="1:1" x14ac:dyDescent="0.3">
      <c r="A4" s="3" t="s">
        <v>2012</v>
      </c>
    </row>
    <row r="5" spans="1:1" ht="26.4" x14ac:dyDescent="0.3">
      <c r="A5" s="3" t="s">
        <v>2013</v>
      </c>
    </row>
    <row r="6" spans="1:1" x14ac:dyDescent="0.3">
      <c r="A6" s="3" t="s">
        <v>2014</v>
      </c>
    </row>
    <row r="7" spans="1:1" x14ac:dyDescent="0.3">
      <c r="A7" s="3" t="s">
        <v>2015</v>
      </c>
    </row>
    <row r="8" spans="1:1" ht="26.4" x14ac:dyDescent="0.3">
      <c r="A8" s="3" t="s">
        <v>2016</v>
      </c>
    </row>
    <row r="9" spans="1:1" x14ac:dyDescent="0.3">
      <c r="A9" s="3" t="s">
        <v>2017</v>
      </c>
    </row>
    <row r="10" spans="1:1" x14ac:dyDescent="0.3">
      <c r="A10" s="3"/>
    </row>
    <row r="11" spans="1:1" ht="15.6" x14ac:dyDescent="0.3">
      <c r="A11" s="4" t="s">
        <v>2018</v>
      </c>
    </row>
    <row r="12" spans="1:1" ht="26.4" x14ac:dyDescent="0.3">
      <c r="A12" s="3" t="s">
        <v>2019</v>
      </c>
    </row>
  </sheetData>
  <sheetProtection sheet="1" objects="1" formatCells="0" formatColumns="0" formatRows="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71"/>
  <sheetViews>
    <sheetView workbookViewId="0"/>
  </sheetViews>
  <sheetFormatPr defaultRowHeight="14.4" x14ac:dyDescent="0.3"/>
  <sheetData>
    <row r="1" spans="1:11" x14ac:dyDescent="0.3">
      <c r="A1" t="s">
        <v>2020</v>
      </c>
      <c r="B1" t="s">
        <v>2021</v>
      </c>
      <c r="C1" t="s">
        <v>2022</v>
      </c>
      <c r="D1" t="s">
        <v>2023</v>
      </c>
      <c r="E1" t="s">
        <v>2024</v>
      </c>
      <c r="G1" t="s">
        <v>89</v>
      </c>
      <c r="H1" t="s">
        <v>973</v>
      </c>
      <c r="I1" t="s">
        <v>2025</v>
      </c>
      <c r="K1" t="s">
        <v>2026</v>
      </c>
    </row>
    <row r="2" spans="1:11" x14ac:dyDescent="0.3">
      <c r="A2" t="s">
        <v>7</v>
      </c>
      <c r="B2" t="s">
        <v>201</v>
      </c>
      <c r="C2" t="s">
        <v>7</v>
      </c>
      <c r="D2" t="s">
        <v>2027</v>
      </c>
      <c r="E2" t="s">
        <v>1214</v>
      </c>
      <c r="G2" t="s">
        <v>7</v>
      </c>
      <c r="H2" t="s">
        <v>203</v>
      </c>
      <c r="I2">
        <v>0.08</v>
      </c>
      <c r="K2" t="s">
        <v>99</v>
      </c>
    </row>
    <row r="3" spans="1:11" x14ac:dyDescent="0.3">
      <c r="A3" t="s">
        <v>91</v>
      </c>
      <c r="B3" t="s">
        <v>209</v>
      </c>
      <c r="C3" t="s">
        <v>91</v>
      </c>
      <c r="D3" t="s">
        <v>203</v>
      </c>
      <c r="E3" t="s">
        <v>1298</v>
      </c>
      <c r="G3" t="s">
        <v>91</v>
      </c>
      <c r="H3" t="s">
        <v>304</v>
      </c>
      <c r="I3">
        <v>0.06</v>
      </c>
      <c r="K3" t="s">
        <v>100</v>
      </c>
    </row>
    <row r="4" spans="1:11" x14ac:dyDescent="0.3">
      <c r="A4" t="s">
        <v>92</v>
      </c>
      <c r="B4" t="s">
        <v>213</v>
      </c>
      <c r="C4" t="s">
        <v>2028</v>
      </c>
      <c r="D4" t="s">
        <v>304</v>
      </c>
      <c r="E4" t="s">
        <v>1408</v>
      </c>
      <c r="G4" t="s">
        <v>92</v>
      </c>
      <c r="H4" t="s">
        <v>12</v>
      </c>
      <c r="I4">
        <v>0.03</v>
      </c>
    </row>
    <row r="5" spans="1:11" x14ac:dyDescent="0.3">
      <c r="A5" t="s">
        <v>93</v>
      </c>
      <c r="B5" t="s">
        <v>217</v>
      </c>
      <c r="C5" t="s">
        <v>2029</v>
      </c>
      <c r="D5" t="s">
        <v>12</v>
      </c>
      <c r="E5" t="s">
        <v>1456</v>
      </c>
      <c r="G5" t="s">
        <v>93</v>
      </c>
      <c r="H5" t="s">
        <v>271</v>
      </c>
      <c r="I5">
        <v>0.03</v>
      </c>
    </row>
    <row r="6" spans="1:11" x14ac:dyDescent="0.3">
      <c r="A6" t="s">
        <v>94</v>
      </c>
      <c r="B6" t="s">
        <v>221</v>
      </c>
      <c r="C6" t="s">
        <v>2030</v>
      </c>
      <c r="D6" t="s">
        <v>271</v>
      </c>
      <c r="E6" t="s">
        <v>1457</v>
      </c>
      <c r="G6" t="s">
        <v>94</v>
      </c>
      <c r="H6" t="s">
        <v>535</v>
      </c>
      <c r="I6">
        <v>0.03</v>
      </c>
    </row>
    <row r="7" spans="1:11" x14ac:dyDescent="0.3">
      <c r="A7" t="s">
        <v>95</v>
      </c>
      <c r="B7" t="s">
        <v>225</v>
      </c>
      <c r="C7" t="s">
        <v>2031</v>
      </c>
      <c r="D7" t="s">
        <v>535</v>
      </c>
      <c r="E7" t="s">
        <v>1551</v>
      </c>
      <c r="G7" t="s">
        <v>95</v>
      </c>
      <c r="H7" t="s">
        <v>603</v>
      </c>
      <c r="I7">
        <v>0.03</v>
      </c>
    </row>
    <row r="8" spans="1:11" x14ac:dyDescent="0.3">
      <c r="A8" t="s">
        <v>96</v>
      </c>
      <c r="B8" t="s">
        <v>230</v>
      </c>
      <c r="C8" t="s">
        <v>2032</v>
      </c>
      <c r="D8" t="s">
        <v>603</v>
      </c>
      <c r="E8" t="s">
        <v>1552</v>
      </c>
      <c r="G8" t="s">
        <v>96</v>
      </c>
      <c r="H8" t="s">
        <v>665</v>
      </c>
      <c r="I8">
        <v>0.03</v>
      </c>
    </row>
    <row r="9" spans="1:11" x14ac:dyDescent="0.3">
      <c r="A9" t="s">
        <v>97</v>
      </c>
      <c r="B9" t="s">
        <v>235</v>
      </c>
      <c r="C9" t="s">
        <v>99</v>
      </c>
      <c r="D9" t="s">
        <v>665</v>
      </c>
      <c r="E9" t="s">
        <v>1598</v>
      </c>
      <c r="G9" t="s">
        <v>97</v>
      </c>
      <c r="H9" t="s">
        <v>726</v>
      </c>
      <c r="I9">
        <v>0.03</v>
      </c>
    </row>
    <row r="10" spans="1:11" x14ac:dyDescent="0.3">
      <c r="A10" t="s">
        <v>98</v>
      </c>
      <c r="B10" t="s">
        <v>240</v>
      </c>
      <c r="C10" t="s">
        <v>100</v>
      </c>
      <c r="D10" t="s">
        <v>726</v>
      </c>
      <c r="E10" t="s">
        <v>1605</v>
      </c>
      <c r="G10" t="s">
        <v>98</v>
      </c>
      <c r="H10" t="s">
        <v>603</v>
      </c>
      <c r="I10">
        <v>0.04</v>
      </c>
    </row>
    <row r="11" spans="1:11" x14ac:dyDescent="0.3">
      <c r="A11" t="s">
        <v>99</v>
      </c>
      <c r="B11" t="s">
        <v>245</v>
      </c>
      <c r="C11" t="s">
        <v>2033</v>
      </c>
      <c r="D11" t="s">
        <v>853</v>
      </c>
      <c r="E11" t="s">
        <v>1601</v>
      </c>
      <c r="G11" t="s">
        <v>99</v>
      </c>
      <c r="H11" t="s">
        <v>853</v>
      </c>
      <c r="I11">
        <v>0.03</v>
      </c>
    </row>
    <row r="12" spans="1:11" x14ac:dyDescent="0.3">
      <c r="A12" t="s">
        <v>100</v>
      </c>
      <c r="B12" t="s">
        <v>250</v>
      </c>
      <c r="C12" t="s">
        <v>2034</v>
      </c>
      <c r="D12" t="s">
        <v>912</v>
      </c>
      <c r="E12" t="s">
        <v>1612</v>
      </c>
      <c r="G12" t="s">
        <v>100</v>
      </c>
      <c r="H12" t="s">
        <v>912</v>
      </c>
      <c r="I12">
        <v>3.5000000000000003E-2</v>
      </c>
    </row>
    <row r="13" spans="1:11" x14ac:dyDescent="0.3">
      <c r="B13" t="s">
        <v>255</v>
      </c>
      <c r="C13" t="s">
        <v>2035</v>
      </c>
      <c r="E13" t="s">
        <v>1609</v>
      </c>
    </row>
    <row r="14" spans="1:11" x14ac:dyDescent="0.3">
      <c r="B14" t="s">
        <v>260</v>
      </c>
      <c r="C14" t="s">
        <v>2036</v>
      </c>
      <c r="E14" t="s">
        <v>1610</v>
      </c>
    </row>
    <row r="15" spans="1:11" x14ac:dyDescent="0.3">
      <c r="B15" t="s">
        <v>265</v>
      </c>
      <c r="C15" t="s">
        <v>2037</v>
      </c>
      <c r="E15" t="s">
        <v>1599</v>
      </c>
    </row>
    <row r="16" spans="1:11" x14ac:dyDescent="0.3">
      <c r="B16" t="s">
        <v>270</v>
      </c>
      <c r="C16" t="s">
        <v>2038</v>
      </c>
      <c r="E16" t="s">
        <v>1615</v>
      </c>
    </row>
    <row r="17" spans="2:5" x14ac:dyDescent="0.3">
      <c r="B17" t="s">
        <v>275</v>
      </c>
      <c r="C17" t="s">
        <v>2039</v>
      </c>
      <c r="E17" t="s">
        <v>1613</v>
      </c>
    </row>
    <row r="18" spans="2:5" x14ac:dyDescent="0.3">
      <c r="B18" t="s">
        <v>280</v>
      </c>
      <c r="C18" t="s">
        <v>2040</v>
      </c>
      <c r="E18" t="s">
        <v>1597</v>
      </c>
    </row>
    <row r="19" spans="2:5" x14ac:dyDescent="0.3">
      <c r="B19" t="s">
        <v>284</v>
      </c>
      <c r="C19" t="s">
        <v>2041</v>
      </c>
      <c r="E19" t="s">
        <v>1602</v>
      </c>
    </row>
    <row r="20" spans="2:5" x14ac:dyDescent="0.3">
      <c r="B20" t="s">
        <v>288</v>
      </c>
      <c r="C20" t="s">
        <v>2042</v>
      </c>
      <c r="E20" t="s">
        <v>1600</v>
      </c>
    </row>
    <row r="21" spans="2:5" x14ac:dyDescent="0.3">
      <c r="B21" t="s">
        <v>292</v>
      </c>
      <c r="C21" t="s">
        <v>93</v>
      </c>
      <c r="E21" t="s">
        <v>1608</v>
      </c>
    </row>
    <row r="22" spans="2:5" x14ac:dyDescent="0.3">
      <c r="B22" t="s">
        <v>296</v>
      </c>
      <c r="C22" t="s">
        <v>98</v>
      </c>
      <c r="E22" t="s">
        <v>1611</v>
      </c>
    </row>
    <row r="23" spans="2:5" x14ac:dyDescent="0.3">
      <c r="B23" t="s">
        <v>300</v>
      </c>
      <c r="C23" t="s">
        <v>95</v>
      </c>
      <c r="E23" t="s">
        <v>1604</v>
      </c>
    </row>
    <row r="24" spans="2:5" x14ac:dyDescent="0.3">
      <c r="C24" t="s">
        <v>2043</v>
      </c>
      <c r="E24" t="s">
        <v>1614</v>
      </c>
    </row>
    <row r="25" spans="2:5" x14ac:dyDescent="0.3">
      <c r="C25" t="s">
        <v>2044</v>
      </c>
      <c r="E25" t="s">
        <v>1603</v>
      </c>
    </row>
    <row r="26" spans="2:5" x14ac:dyDescent="0.3">
      <c r="C26" t="s">
        <v>2045</v>
      </c>
      <c r="E26" t="s">
        <v>1607</v>
      </c>
    </row>
    <row r="27" spans="2:5" x14ac:dyDescent="0.3">
      <c r="C27" t="s">
        <v>2046</v>
      </c>
      <c r="E27" t="s">
        <v>1697</v>
      </c>
    </row>
    <row r="28" spans="2:5" x14ac:dyDescent="0.3">
      <c r="C28" t="s">
        <v>2047</v>
      </c>
      <c r="E28" t="s">
        <v>1768</v>
      </c>
    </row>
    <row r="29" spans="2:5" x14ac:dyDescent="0.3">
      <c r="C29" t="s">
        <v>2048</v>
      </c>
      <c r="E29" t="s">
        <v>1807</v>
      </c>
    </row>
    <row r="30" spans="2:5" x14ac:dyDescent="0.3">
      <c r="C30" t="s">
        <v>2049</v>
      </c>
      <c r="E30" t="s">
        <v>1806</v>
      </c>
    </row>
    <row r="31" spans="2:5" x14ac:dyDescent="0.3">
      <c r="C31" t="s">
        <v>2050</v>
      </c>
      <c r="E31" t="s">
        <v>1808</v>
      </c>
    </row>
    <row r="32" spans="2:5" x14ac:dyDescent="0.3">
      <c r="C32" t="s">
        <v>2051</v>
      </c>
      <c r="E32" t="s">
        <v>1815</v>
      </c>
    </row>
    <row r="33" spans="3:5" x14ac:dyDescent="0.3">
      <c r="C33" t="s">
        <v>2052</v>
      </c>
      <c r="E33" t="s">
        <v>1811</v>
      </c>
    </row>
    <row r="34" spans="3:5" x14ac:dyDescent="0.3">
      <c r="C34" t="s">
        <v>2053</v>
      </c>
      <c r="E34" t="s">
        <v>1822</v>
      </c>
    </row>
    <row r="35" spans="3:5" x14ac:dyDescent="0.3">
      <c r="C35" t="s">
        <v>2054</v>
      </c>
      <c r="E35" t="s">
        <v>1819</v>
      </c>
    </row>
    <row r="36" spans="3:5" x14ac:dyDescent="0.3">
      <c r="C36" t="s">
        <v>2055</v>
      </c>
      <c r="E36" t="s">
        <v>1820</v>
      </c>
    </row>
    <row r="37" spans="3:5" x14ac:dyDescent="0.3">
      <c r="C37" t="s">
        <v>2056</v>
      </c>
      <c r="E37" t="s">
        <v>1809</v>
      </c>
    </row>
    <row r="38" spans="3:5" x14ac:dyDescent="0.3">
      <c r="C38" t="s">
        <v>2057</v>
      </c>
      <c r="E38" t="s">
        <v>1825</v>
      </c>
    </row>
    <row r="39" spans="3:5" x14ac:dyDescent="0.3">
      <c r="C39" t="s">
        <v>2058</v>
      </c>
      <c r="E39" t="s">
        <v>1823</v>
      </c>
    </row>
    <row r="40" spans="3:5" x14ac:dyDescent="0.3">
      <c r="C40" t="s">
        <v>2059</v>
      </c>
      <c r="E40" t="s">
        <v>1812</v>
      </c>
    </row>
    <row r="41" spans="3:5" x14ac:dyDescent="0.3">
      <c r="C41" t="s">
        <v>2060</v>
      </c>
      <c r="E41" t="s">
        <v>1810</v>
      </c>
    </row>
    <row r="42" spans="3:5" x14ac:dyDescent="0.3">
      <c r="C42" t="s">
        <v>2061</v>
      </c>
      <c r="E42" t="s">
        <v>1818</v>
      </c>
    </row>
    <row r="43" spans="3:5" x14ac:dyDescent="0.3">
      <c r="C43" t="s">
        <v>92</v>
      </c>
      <c r="E43" t="s">
        <v>1821</v>
      </c>
    </row>
    <row r="44" spans="3:5" x14ac:dyDescent="0.3">
      <c r="C44" t="s">
        <v>2062</v>
      </c>
      <c r="E44" t="s">
        <v>1814</v>
      </c>
    </row>
    <row r="45" spans="3:5" x14ac:dyDescent="0.3">
      <c r="C45" t="s">
        <v>2063</v>
      </c>
      <c r="E45" t="s">
        <v>1824</v>
      </c>
    </row>
    <row r="46" spans="3:5" x14ac:dyDescent="0.3">
      <c r="C46" t="s">
        <v>94</v>
      </c>
      <c r="E46" t="s">
        <v>1813</v>
      </c>
    </row>
    <row r="47" spans="3:5" x14ac:dyDescent="0.3">
      <c r="C47" t="s">
        <v>2064</v>
      </c>
      <c r="E47" t="s">
        <v>1817</v>
      </c>
    </row>
    <row r="48" spans="3:5" x14ac:dyDescent="0.3">
      <c r="C48" t="s">
        <v>2065</v>
      </c>
      <c r="E48" t="s">
        <v>1816</v>
      </c>
    </row>
    <row r="49" spans="3:5" x14ac:dyDescent="0.3">
      <c r="C49" t="s">
        <v>2066</v>
      </c>
      <c r="E49" t="s">
        <v>1864</v>
      </c>
    </row>
    <row r="50" spans="3:5" x14ac:dyDescent="0.3">
      <c r="C50" t="s">
        <v>2067</v>
      </c>
      <c r="E50" t="s">
        <v>1935</v>
      </c>
    </row>
    <row r="51" spans="3:5" x14ac:dyDescent="0.3">
      <c r="C51" t="s">
        <v>2068</v>
      </c>
    </row>
    <row r="52" spans="3:5" x14ac:dyDescent="0.3">
      <c r="C52" t="s">
        <v>96</v>
      </c>
    </row>
    <row r="53" spans="3:5" x14ac:dyDescent="0.3">
      <c r="C53" t="s">
        <v>97</v>
      </c>
    </row>
    <row r="54" spans="3:5" x14ac:dyDescent="0.3">
      <c r="C54" t="s">
        <v>2069</v>
      </c>
    </row>
    <row r="55" spans="3:5" x14ac:dyDescent="0.3">
      <c r="C55" t="s">
        <v>2070</v>
      </c>
    </row>
    <row r="56" spans="3:5" x14ac:dyDescent="0.3">
      <c r="C56" t="s">
        <v>2071</v>
      </c>
    </row>
    <row r="57" spans="3:5" x14ac:dyDescent="0.3">
      <c r="C57" t="s">
        <v>2072</v>
      </c>
    </row>
    <row r="58" spans="3:5" x14ac:dyDescent="0.3">
      <c r="C58" t="s">
        <v>2073</v>
      </c>
    </row>
    <row r="59" spans="3:5" x14ac:dyDescent="0.3">
      <c r="C59" t="s">
        <v>2074</v>
      </c>
    </row>
    <row r="60" spans="3:5" x14ac:dyDescent="0.3">
      <c r="C60" t="s">
        <v>2075</v>
      </c>
    </row>
    <row r="61" spans="3:5" x14ac:dyDescent="0.3">
      <c r="C61" t="s">
        <v>2076</v>
      </c>
    </row>
    <row r="62" spans="3:5" x14ac:dyDescent="0.3">
      <c r="C62" t="s">
        <v>2077</v>
      </c>
    </row>
    <row r="63" spans="3:5" x14ac:dyDescent="0.3">
      <c r="C63" t="s">
        <v>2078</v>
      </c>
    </row>
    <row r="64" spans="3:5" x14ac:dyDescent="0.3">
      <c r="C64" t="s">
        <v>2079</v>
      </c>
    </row>
    <row r="65" spans="3:3" x14ac:dyDescent="0.3">
      <c r="C65" t="s">
        <v>2080</v>
      </c>
    </row>
    <row r="66" spans="3:3" x14ac:dyDescent="0.3">
      <c r="C66" t="s">
        <v>2081</v>
      </c>
    </row>
    <row r="67" spans="3:3" x14ac:dyDescent="0.3">
      <c r="C67" t="s">
        <v>2082</v>
      </c>
    </row>
    <row r="68" spans="3:3" x14ac:dyDescent="0.3">
      <c r="C68" t="s">
        <v>2083</v>
      </c>
    </row>
    <row r="69" spans="3:3" x14ac:dyDescent="0.3">
      <c r="C69" t="s">
        <v>2084</v>
      </c>
    </row>
    <row r="70" spans="3:3" x14ac:dyDescent="0.3">
      <c r="C70" t="s">
        <v>2085</v>
      </c>
    </row>
    <row r="71" spans="3:3" x14ac:dyDescent="0.3">
      <c r="C71" t="s">
        <v>2086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670"/>
  <sheetViews>
    <sheetView workbookViewId="0"/>
  </sheetViews>
  <sheetFormatPr defaultRowHeight="14.4" x14ac:dyDescent="0.3"/>
  <cols>
    <col min="1" max="1" width="44" customWidth="1"/>
  </cols>
  <sheetData>
    <row r="1" spans="1:2" ht="21" x14ac:dyDescent="0.4">
      <c r="A1" s="5" t="s">
        <v>2087</v>
      </c>
    </row>
    <row r="2" spans="1:2" ht="15.6" x14ac:dyDescent="0.3">
      <c r="A2" s="7" t="s">
        <v>7</v>
      </c>
    </row>
    <row r="3" spans="1:2" x14ac:dyDescent="0.3">
      <c r="A3" s="16" t="s">
        <v>104</v>
      </c>
      <c r="B3" s="12">
        <f>IF(CmpChild&lt;=NumChildren,1,0)</f>
        <v>1</v>
      </c>
    </row>
    <row r="4" spans="1:2" x14ac:dyDescent="0.3">
      <c r="A4" s="16" t="s">
        <v>30</v>
      </c>
      <c r="B4" s="12" t="str">
        <f>IF("Pakistan"="","","Pakistan")</f>
        <v>Pakistan</v>
      </c>
    </row>
    <row r="5" spans="1:2" x14ac:dyDescent="0.3">
      <c r="A5" s="16" t="s">
        <v>31</v>
      </c>
      <c r="B5" s="12" t="str">
        <f>IF(CHOOSE(CmpChild,Inputs!$C$18,Inputs!$D$18,Inputs!$E$18,Inputs!$F$18)="","",CHOOSE(CmpChild,Inputs!$C$18,Inputs!$D$18,Inputs!$E$18,Inputs!$F$18))</f>
        <v/>
      </c>
    </row>
    <row r="6" spans="1:2" x14ac:dyDescent="0.3">
      <c r="A6" s="16" t="s">
        <v>105</v>
      </c>
      <c r="B6" s="12" t="str">
        <f>IF(CHOOSE(CmpChild,Inputs!$C$15,Inputs!$D$15,Inputs!$E$15,Inputs!$F$15)="","",CHOOSE(CmpChild,Inputs!$C$15,Inputs!$D$15,Inputs!$E$15,Inputs!$F$15))</f>
        <v/>
      </c>
    </row>
    <row r="7" spans="1:2" x14ac:dyDescent="0.3">
      <c r="A7" s="16" t="s">
        <v>106</v>
      </c>
      <c r="B7" s="12">
        <f>IF(CHOOSE(CmpChild,Inputs!$C$19,Inputs!$D$19,Inputs!$E$19,Inputs!$F$19)="","",CHOOSE(CmpChild,Inputs!$C$19,Inputs!$D$19,Inputs!$E$19,Inputs!$F$19))</f>
        <v>18</v>
      </c>
    </row>
    <row r="8" spans="1:2" x14ac:dyDescent="0.3">
      <c r="A8" s="16" t="s">
        <v>107</v>
      </c>
      <c r="B8" s="12" t="str">
        <f>IF($B$4="","",IF(COUNTIF(DomKey,$B$4&amp;"|"&amp;Nationality)&gt;0,"domestic","international"))</f>
        <v>domestic</v>
      </c>
    </row>
    <row r="9" spans="1:2" x14ac:dyDescent="0.3">
      <c r="A9" s="16" t="s">
        <v>108</v>
      </c>
      <c r="B9" s="12" t="str">
        <f>$B$4&amp;"|"&amp;$B$5&amp;"|"&amp;$B$8</f>
        <v>Pakistan||domestic</v>
      </c>
    </row>
    <row r="10" spans="1:2" x14ac:dyDescent="0.3">
      <c r="A10" s="16" t="s">
        <v>109</v>
      </c>
      <c r="B10" s="12">
        <f>IFERROR(MATCH($B$9,DB_Key,0),0)</f>
        <v>0</v>
      </c>
    </row>
    <row r="11" spans="1:2" x14ac:dyDescent="0.3">
      <c r="A11" s="16" t="s">
        <v>110</v>
      </c>
      <c r="B11" s="12" t="str">
        <f>IFERROR(INDEX(Ctry_Ccy,MATCH($B$4,Ctry_Name,0)),"USD")</f>
        <v>PKR</v>
      </c>
    </row>
    <row r="12" spans="1:2" x14ac:dyDescent="0.3">
      <c r="A12" s="16" t="s">
        <v>68</v>
      </c>
      <c r="B12" s="12">
        <f>IF($B$10&gt;0,INDEX(DB_Dur,$B$10),0)</f>
        <v>0</v>
      </c>
    </row>
    <row r="13" spans="1:2" x14ac:dyDescent="0.3">
      <c r="A13" s="16" t="s">
        <v>111</v>
      </c>
      <c r="B13" s="12">
        <f>IF($B$10&gt;0,INDEX(DB_Avail,$B$10),0)</f>
        <v>0</v>
      </c>
    </row>
    <row r="14" spans="1:2" x14ac:dyDescent="0.3">
      <c r="A14" s="16" t="s">
        <v>112</v>
      </c>
      <c r="B14" s="12">
        <f>IF($B$10&gt;0,INDEX(DB_PreYears,$B$10),0)</f>
        <v>0</v>
      </c>
    </row>
    <row r="15" spans="1:2" x14ac:dyDescent="0.3">
      <c r="A15" s="16" t="s">
        <v>113</v>
      </c>
      <c r="B15" s="14">
        <f>IF(ISNUMBER(CHOOSE(CmpChild,Inputs!$C$20,Inputs!$D$20,Inputs!$E$20,Inputs!$F$20)),CHOOSE(CmpChild,Inputs!$C$20,Inputs!$D$20,Inputs!$E$20,Inputs!$F$20),IF($B$10&gt;0,INDEX(DB_TInf,$B$10),0))</f>
        <v>0</v>
      </c>
    </row>
    <row r="16" spans="1:2" x14ac:dyDescent="0.3">
      <c r="A16" s="16" t="s">
        <v>114</v>
      </c>
      <c r="B16" s="14">
        <f>IF(ISNUMBER(CHOOSE(CmpChild,Inputs!$C$21,Inputs!$D$21,Inputs!$E$21,Inputs!$F$21)),CHOOSE(CmpChild,Inputs!$C$21,Inputs!$D$21,Inputs!$E$21,Inputs!$F$21),IFERROR(INDEX(Ctry_LInf,MATCH($B$4,Ctry_Name,0)),0))</f>
        <v>0.08</v>
      </c>
    </row>
    <row r="17" spans="1:10" x14ac:dyDescent="0.3">
      <c r="A17" s="16" t="s">
        <v>115</v>
      </c>
      <c r="B17" s="12">
        <f>IF($B$21=1,MAX(0,$B$7-$B$6),0)</f>
        <v>0</v>
      </c>
    </row>
    <row r="18" spans="1:10" x14ac:dyDescent="0.3">
      <c r="A18" s="16" t="s">
        <v>116</v>
      </c>
      <c r="B18" s="12">
        <f>ROUNDUP($B$12,0)</f>
        <v>0</v>
      </c>
    </row>
    <row r="19" spans="1:10" x14ac:dyDescent="0.3">
      <c r="A19" s="16" t="s">
        <v>117</v>
      </c>
      <c r="B19" s="12">
        <f>IF($B$21=1,$B$17+$B$18,0)</f>
        <v>0</v>
      </c>
    </row>
    <row r="20" spans="1:10" x14ac:dyDescent="0.3">
      <c r="A20" s="16" t="s">
        <v>118</v>
      </c>
      <c r="B20" s="12">
        <f>MAX(0,$B$19-1)</f>
        <v>0</v>
      </c>
    </row>
    <row r="21" spans="1:10" x14ac:dyDescent="0.3">
      <c r="A21" s="16" t="s">
        <v>119</v>
      </c>
      <c r="B21" s="12">
        <f>IF(IFERROR(AND($B$3=1,$B$4&lt;&gt;"",$B$5&lt;&gt;"",$B$13=1,IFERROR(AND(ISNUMBER($B$6),$B$6&gt;=0,$B$6&lt;=18,INT($B$6)=$B$6),FALSE),IFERROR(AND(ISNUMBER($B$7),$B$7&gt;=14,$B$7&lt;=45,INT($B$7)=$B$7),FALSE)),FALSE),1,0)</f>
        <v>0</v>
      </c>
    </row>
    <row r="22" spans="1:10" x14ac:dyDescent="0.3">
      <c r="A22" s="16" t="s">
        <v>70</v>
      </c>
      <c r="B22" s="12" t="str">
        <f>IF($B$3&lt;&gt;1,"",IF(AND($B$6="",$B$4="",$B$5=""),"Enter this child's details on the Inputs sheet.",IF(NOT(IFERROR(AND(ISNUMBER($B$6),$B$6&gt;=0,$B$6&lt;=18,INT($B$6)=$B$6),FALSE)),"Choose the child's current age (0 to 18).",IF(NOT(IFERROR(AND(ISNUMBER($B$7),$B$7&gt;=14,$B$7&lt;=45,INT($B$7)=$B$7),FALSE)),"College-entry age must be a whole number from 14 to 45.",IF($B$4="","Choose the education country.",IF($B$5="","Choose the qualification.",IF($B$13&lt;&gt;1,"This qualification is not offered (or has no typical duration) in the selected country.","")))))))</f>
        <v>Choose the child's current age (0 to 18).</v>
      </c>
    </row>
    <row r="23" spans="1:10" x14ac:dyDescent="0.3">
      <c r="A23" s="16" t="s">
        <v>120</v>
      </c>
      <c r="B23" s="12">
        <f>INDEX(FxUsed,MATCH(RepCcy,FxCodes,0))/INDEX(FxUsed,MATCH($B$11,FxCodes,0))</f>
        <v>3.6087768339623434E-3</v>
      </c>
    </row>
    <row r="24" spans="1:10" x14ac:dyDescent="0.3">
      <c r="A24" s="16" t="s">
        <v>121</v>
      </c>
      <c r="B24" s="12">
        <f>IF($B$10=0,0,COUNTIF(RecKey,$B$9))</f>
        <v>0</v>
      </c>
    </row>
    <row r="25" spans="1:10" x14ac:dyDescent="0.3">
      <c r="A25" s="16" t="s">
        <v>122</v>
      </c>
      <c r="B25" s="12" t="str">
        <f>IF($B$24&gt;0,INDEX(DB_RecCcy,$B$10),IF($B$10&gt;0,INDEX(DB_EstCcy,$B$10),$B$11))</f>
        <v>PKR</v>
      </c>
    </row>
    <row r="26" spans="1:10" x14ac:dyDescent="0.3">
      <c r="A26" s="16" t="s">
        <v>123</v>
      </c>
      <c r="B26" s="12">
        <f>IFERROR(MATCH($B$4&amp;"|"&amp;$B$8,LivKey,0),0)</f>
        <v>1</v>
      </c>
    </row>
    <row r="27" spans="1:10" x14ac:dyDescent="0.3">
      <c r="A27" s="16" t="s">
        <v>124</v>
      </c>
      <c r="B27" s="12">
        <f>IFERROR(MATCH($B$4&amp;"|"&amp;Nationality,VisaKey,0),0)</f>
        <v>1</v>
      </c>
    </row>
    <row r="28" spans="1:10" x14ac:dyDescent="0.3">
      <c r="A28" s="16" t="s">
        <v>125</v>
      </c>
      <c r="B28" s="12">
        <f>IFERROR(MATCH($B$4&amp;"|"&amp;Residence,TravKey,0),0)</f>
        <v>1</v>
      </c>
    </row>
    <row r="30" spans="1:10" ht="79.2" x14ac:dyDescent="0.3">
      <c r="A30" s="22" t="s">
        <v>126</v>
      </c>
      <c r="B30" s="22" t="s">
        <v>127</v>
      </c>
      <c r="C30" s="22" t="s">
        <v>128</v>
      </c>
      <c r="D30" s="22" t="s">
        <v>129</v>
      </c>
      <c r="E30" s="22" t="s">
        <v>130</v>
      </c>
      <c r="F30" s="22" t="s">
        <v>131</v>
      </c>
      <c r="G30" s="22" t="s">
        <v>132</v>
      </c>
      <c r="H30" s="22" t="s">
        <v>133</v>
      </c>
      <c r="I30" s="22" t="s">
        <v>134</v>
      </c>
      <c r="J30" s="22" t="s">
        <v>135</v>
      </c>
    </row>
    <row r="31" spans="1:10" x14ac:dyDescent="0.3">
      <c r="A31" s="16" t="s">
        <v>36</v>
      </c>
      <c r="B31" s="25">
        <f>IF($B$10=0,0,(IF($B$24&gt;0,SUMPRODUCT((RecKey=$B$9)*RecTuition*(1+$B$15)^(PlanYear-RecYear))/$B$24,INDEX(DB_EstTuition,$B$10)))/INDEX(FxUsed,MATCH($B$25,FxCodes,0))*INDEX(FxUsed,MATCH($B$11,FxCodes,0)))</f>
        <v>0</v>
      </c>
      <c r="C31" s="21"/>
      <c r="D31" s="25">
        <f t="shared" ref="D31:D42" si="0">IF(ISNUMBER(C31),IF(C31&gt;=0,C31,B31),B31)</f>
        <v>0</v>
      </c>
      <c r="E31" s="12">
        <f>IF(ISNUMBER(C31),PlanYear,IF($B$24&gt;0,PlanYear,IF($B$10&gt;0,INDEX(DB_EstBase,$B$10),PlanYear)))</f>
        <v>2026</v>
      </c>
      <c r="F31" s="12" t="str">
        <f>IF(ISNUMBER(C31),"override",IF($B$10=0,"missing",IF($B$24&gt;0,"verified",INDEX(DB_EstStatus,$B$10))))</f>
        <v>missing</v>
      </c>
      <c r="G31" s="16" t="str">
        <f t="shared" ref="G31:G42" si="1">IF(F31="verified","Published figure",IF(F31="estimated","Estimated — please review",IF(F31="notNeeded","Not needed",IF(F31="override","Your figure",IF(F31="missing","No figure yet — enter your own","")))))</f>
        <v>No figure yet — enter your own</v>
      </c>
      <c r="H31" s="16" t="s">
        <v>136</v>
      </c>
      <c r="I31" s="16" t="s">
        <v>137</v>
      </c>
      <c r="J31" s="16" t="s">
        <v>138</v>
      </c>
    </row>
    <row r="32" spans="1:10" x14ac:dyDescent="0.3">
      <c r="A32" s="16" t="s">
        <v>37</v>
      </c>
      <c r="B32" s="25">
        <f>IF($B$26=0,0,(INDEX(Liv_accommodation_Amt,$B$26))/INDEX(FxUsed,MATCH(INDEX(Liv_accommodation_Ccy,$B$26),FxCodes,0))*INDEX(FxUsed,MATCH($B$11,FxCodes,0)))</f>
        <v>211200</v>
      </c>
      <c r="C32" s="21"/>
      <c r="D32" s="25">
        <f t="shared" si="0"/>
        <v>211200</v>
      </c>
      <c r="E32" s="12">
        <f>IF(ISNUMBER(C32),PlanYear,IF($B$26=0,PlanYear,INDEX(Liv_accommodation_Base,$B$26)))</f>
        <v>2025</v>
      </c>
      <c r="F32" s="12" t="str">
        <f>IF(ISNUMBER(C32),"override",IF($B$26=0,"missing",INDEX(Liv_accommodation_Status,$B$26)))</f>
        <v>verified</v>
      </c>
      <c r="G32" s="16" t="str">
        <f t="shared" si="1"/>
        <v>Published figure</v>
      </c>
      <c r="H32" s="16" t="s">
        <v>139</v>
      </c>
      <c r="I32" s="16" t="s">
        <v>137</v>
      </c>
      <c r="J32" s="16" t="s">
        <v>138</v>
      </c>
    </row>
    <row r="33" spans="1:27" x14ac:dyDescent="0.3">
      <c r="A33" s="16" t="s">
        <v>38</v>
      </c>
      <c r="B33" s="25">
        <f>IF($B$26=0,0,(INDEX(Liv_food_Amt,$B$26))/INDEX(FxUsed,MATCH(INDEX(Liv_food_Ccy,$B$26),FxCodes,0))*INDEX(FxUsed,MATCH($B$11,FxCodes,0)))</f>
        <v>248400</v>
      </c>
      <c r="C33" s="21"/>
      <c r="D33" s="25">
        <f t="shared" si="0"/>
        <v>248400</v>
      </c>
      <c r="E33" s="12">
        <f>IF(ISNUMBER(C33),PlanYear,IF($B$26=0,PlanYear,INDEX(Liv_food_Base,$B$26)))</f>
        <v>2025</v>
      </c>
      <c r="F33" s="12" t="str">
        <f>IF(ISNUMBER(C33),"override",IF($B$26=0,"missing",INDEX(Liv_food_Status,$B$26)))</f>
        <v>verified</v>
      </c>
      <c r="G33" s="16" t="str">
        <f t="shared" si="1"/>
        <v>Published figure</v>
      </c>
      <c r="H33" s="16" t="s">
        <v>139</v>
      </c>
      <c r="I33" s="16" t="s">
        <v>137</v>
      </c>
      <c r="J33" s="16" t="s">
        <v>138</v>
      </c>
    </row>
    <row r="34" spans="1:27" x14ac:dyDescent="0.3">
      <c r="A34" s="16" t="s">
        <v>39</v>
      </c>
      <c r="B34" s="25">
        <f>IF($B$26=0,0,(INDEX(Liv_transport_Amt,$B$26))/INDEX(FxUsed,MATCH(INDEX(Liv_transport_Ccy,$B$26),FxCodes,0))*INDEX(FxUsed,MATCH($B$11,FxCodes,0)))</f>
        <v>48000</v>
      </c>
      <c r="C34" s="21"/>
      <c r="D34" s="25">
        <f t="shared" si="0"/>
        <v>48000</v>
      </c>
      <c r="E34" s="12">
        <f>IF(ISNUMBER(C34),PlanYear,IF($B$26=0,PlanYear,INDEX(Liv_transport_Base,$B$26)))</f>
        <v>2025</v>
      </c>
      <c r="F34" s="12" t="str">
        <f>IF(ISNUMBER(C34),"override",IF($B$26=0,"missing",INDEX(Liv_transport_Status,$B$26)))</f>
        <v>estimated</v>
      </c>
      <c r="G34" s="16" t="str">
        <f t="shared" si="1"/>
        <v>Estimated — please review</v>
      </c>
      <c r="H34" s="16" t="s">
        <v>139</v>
      </c>
      <c r="I34" s="16" t="s">
        <v>137</v>
      </c>
      <c r="J34" s="16" t="s">
        <v>138</v>
      </c>
    </row>
    <row r="35" spans="1:27" x14ac:dyDescent="0.3">
      <c r="A35" s="16" t="s">
        <v>40</v>
      </c>
      <c r="B35" s="25">
        <f>IF($B$26=0,0,(INDEX(Liv_healthInsurance_Amt,$B$26))/INDEX(FxUsed,MATCH(INDEX(Liv_healthInsurance_Ccy,$B$26),FxCodes,0))*INDEX(FxUsed,MATCH($B$11,FxCodes,0)))</f>
        <v>0</v>
      </c>
      <c r="C35" s="21"/>
      <c r="D35" s="25">
        <f t="shared" si="0"/>
        <v>0</v>
      </c>
      <c r="E35" s="12">
        <f>IF(ISNUMBER(C35),PlanYear,IF($B$26=0,PlanYear,INDEX(Liv_healthInsurance_Base,$B$26)))</f>
        <v>2025</v>
      </c>
      <c r="F35" s="12" t="str">
        <f>IF(ISNUMBER(C35),"override",IF($B$26=0,"missing",INDEX(Liv_healthInsurance_Status,$B$26)))</f>
        <v>estimated</v>
      </c>
      <c r="G35" s="16" t="str">
        <f t="shared" si="1"/>
        <v>Estimated — please review</v>
      </c>
      <c r="H35" s="16" t="s">
        <v>139</v>
      </c>
      <c r="I35" s="16" t="s">
        <v>137</v>
      </c>
      <c r="J35" s="16" t="s">
        <v>138</v>
      </c>
    </row>
    <row r="36" spans="1:27" x14ac:dyDescent="0.3">
      <c r="A36" s="16" t="s">
        <v>41</v>
      </c>
      <c r="B36" s="25">
        <f>IF($B$26=0,0,(INDEX(Liv_books_Amt,$B$26))/INDEX(FxUsed,MATCH(INDEX(Liv_books_Ccy,$B$26),FxCodes,0))*INDEX(FxUsed,MATCH($B$11,FxCodes,0)))</f>
        <v>30000</v>
      </c>
      <c r="C36" s="21"/>
      <c r="D36" s="25">
        <f t="shared" si="0"/>
        <v>30000</v>
      </c>
      <c r="E36" s="12">
        <f>IF(ISNUMBER(C36),PlanYear,IF($B$26=0,PlanYear,INDEX(Liv_books_Base,$B$26)))</f>
        <v>2025</v>
      </c>
      <c r="F36" s="12" t="str">
        <f>IF(ISNUMBER(C36),"override",IF($B$26=0,"missing",INDEX(Liv_books_Status,$B$26)))</f>
        <v>estimated</v>
      </c>
      <c r="G36" s="16" t="str">
        <f t="shared" si="1"/>
        <v>Estimated — please review</v>
      </c>
      <c r="H36" s="16" t="s">
        <v>139</v>
      </c>
      <c r="I36" s="16" t="s">
        <v>137</v>
      </c>
      <c r="J36" s="16" t="s">
        <v>138</v>
      </c>
    </row>
    <row r="37" spans="1:27" x14ac:dyDescent="0.3">
      <c r="A37" s="16" t="s">
        <v>42</v>
      </c>
      <c r="B37" s="25">
        <f>IF($B$10=0,0,(IF($B$24&gt;0,SUMPRODUCT((RecKey=$B$9)*RecOther*(1+$B$15)^(PlanYear-RecYear))/$B$24,INDEX(DB_EstOther,$B$10)))/INDEX(FxUsed,MATCH($B$25,FxCodes,0))*INDEX(FxUsed,MATCH($B$11,FxCodes,0)))</f>
        <v>0</v>
      </c>
      <c r="C37" s="21"/>
      <c r="D37" s="25">
        <f t="shared" si="0"/>
        <v>0</v>
      </c>
      <c r="E37" s="12">
        <f>IF(ISNUMBER(C37),PlanYear,IF($B$24&gt;0,PlanYear,IF($B$10&gt;0,INDEX(DB_EstBase,$B$10),PlanYear)))</f>
        <v>2026</v>
      </c>
      <c r="F37" s="12" t="str">
        <f>IF(ISNUMBER(C37),"override",IF($B$10=0,"missing",IF($B$24&gt;0,"verified",INDEX(DB_EstStatus,$B$10))))</f>
        <v>missing</v>
      </c>
      <c r="G37" s="16" t="str">
        <f t="shared" si="1"/>
        <v>No figure yet — enter your own</v>
      </c>
      <c r="H37" s="16" t="s">
        <v>136</v>
      </c>
      <c r="I37" s="16" t="s">
        <v>137</v>
      </c>
      <c r="J37" s="16" t="s">
        <v>138</v>
      </c>
    </row>
    <row r="38" spans="1:27" x14ac:dyDescent="0.3">
      <c r="A38" s="16" t="s">
        <v>140</v>
      </c>
      <c r="B38" s="25">
        <f>IF($B$14&gt;0,IF($B$14&gt;0,(INDEX(DB_PreAdm,$B$10))/INDEX(FxUsed,MATCH(INDEX(DB_PreCcy,$B$10),FxCodes,0))*INDEX(FxUsed,MATCH($B$11,FxCodes,0)),0),IF($B$10=0,0,(IF($B$24&gt;0,SUMPRODUCT((RecKey=$B$9)*RecAdm*(1+$B$15)^(PlanYear-RecYear))/$B$24,INDEX(DB_EstAdm,$B$10)))/INDEX(FxUsed,MATCH($B$25,FxCodes,0))*INDEX(FxUsed,MATCH($B$11,FxCodes,0))))</f>
        <v>0</v>
      </c>
      <c r="C38" s="21"/>
      <c r="D38" s="25">
        <f t="shared" si="0"/>
        <v>0</v>
      </c>
      <c r="E38" s="12">
        <f>IF(ISNUMBER(C38),PlanYear,IF($B$14&gt;0,INDEX(DB_PreBase,$B$10),IF($B$24&gt;0,PlanYear,IF($B$10&gt;0,INDEX(DB_EstBase,$B$10),PlanYear))))</f>
        <v>2026</v>
      </c>
      <c r="F38" s="12" t="str">
        <f>IF(ISNUMBER(C38),"override",IF($B$14&gt;0,INDEX(DB_PreStatus,$B$10),IF($B$10=0,"missing",IF($B$24&gt;0,"verified",INDEX(DB_EstStatus,$B$10)))))</f>
        <v>missing</v>
      </c>
      <c r="G38" s="16" t="str">
        <f t="shared" si="1"/>
        <v>No figure yet — enter your own</v>
      </c>
      <c r="H38" s="16" t="s">
        <v>136</v>
      </c>
      <c r="I38" s="16" t="s">
        <v>141</v>
      </c>
      <c r="J38" s="16" t="s">
        <v>138</v>
      </c>
    </row>
    <row r="39" spans="1:27" x14ac:dyDescent="0.3">
      <c r="A39" s="16" t="s">
        <v>142</v>
      </c>
      <c r="B39" s="25">
        <f>IF(OR($B$27=0,AND($B$8&lt;&gt;"domestic",Residence=$B$4,COUNTIF(ResNoVisa,$B$4)&gt;0)),0,(INDEX(VisaAmt,$B$27))/INDEX(FxUsed,MATCH(INDEX(VisaCcy,$B$27),FxCodes,0))*INDEX(FxUsed,MATCH($B$11,FxCodes,0)))</f>
        <v>0</v>
      </c>
      <c r="C39" s="21"/>
      <c r="D39" s="25">
        <f t="shared" si="0"/>
        <v>0</v>
      </c>
      <c r="E39" s="12">
        <f>IF(ISNUMBER(C39),PlanYear,IF(OR($B$27=0,AND($B$8&lt;&gt;"domestic",Residence=$B$4,COUNTIF(ResNoVisa,$B$4)&gt;0)),PlanYear,INDEX(VisaBase,$B$27)))</f>
        <v>2026</v>
      </c>
      <c r="F39" s="12" t="str">
        <f>IF(ISNUMBER(C39),"override",IF(AND($B$8&lt;&gt;"domestic",Residence=$B$4,COUNTIF(ResNoVisa,$B$4)&gt;0),"notNeeded",IF($B$27=0,"missing",INDEX(VisaStatus,$B$27))))</f>
        <v>notNeeded</v>
      </c>
      <c r="G39" s="16" t="str">
        <f t="shared" si="1"/>
        <v>Not needed</v>
      </c>
      <c r="H39" s="16" t="s">
        <v>139</v>
      </c>
      <c r="I39" s="16" t="s">
        <v>141</v>
      </c>
      <c r="J39" s="16" t="s">
        <v>143</v>
      </c>
    </row>
    <row r="40" spans="1:27" x14ac:dyDescent="0.3">
      <c r="A40" s="16" t="s">
        <v>144</v>
      </c>
      <c r="B40" s="25">
        <f>IF($B$28=0,0,(INDEX(TravAmt,$B$28))/INDEX(FxUsed,MATCH(INDEX(TravCcy,$B$28),FxCodes,0))*INDEX(FxUsed,MATCH($B$11,FxCodes,0)))</f>
        <v>83130.659999999989</v>
      </c>
      <c r="C40" s="21"/>
      <c r="D40" s="25">
        <f t="shared" si="0"/>
        <v>83130.659999999989</v>
      </c>
      <c r="E40" s="12">
        <f>IF(ISNUMBER(C40),PlanYear,IF($B$28=0,PlanYear,INDEX(TravBase,$B$28)))</f>
        <v>2026</v>
      </c>
      <c r="F40" s="12" t="str">
        <f>IF(ISNUMBER(C40),"override",IF($B$28=0,"missing",INDEX(TravStatus,$B$28)))</f>
        <v>estimated</v>
      </c>
      <c r="G40" s="16" t="str">
        <f t="shared" si="1"/>
        <v>Estimated — please review</v>
      </c>
      <c r="H40" s="16" t="s">
        <v>139</v>
      </c>
      <c r="I40" s="16" t="s">
        <v>141</v>
      </c>
      <c r="J40" s="16" t="s">
        <v>143</v>
      </c>
    </row>
    <row r="41" spans="1:27" x14ac:dyDescent="0.3">
      <c r="A41" s="16" t="s">
        <v>46</v>
      </c>
      <c r="B41" s="25">
        <f>IF($B$14&gt;0,(INDEX(DB_PreTuition,$B$10))/INDEX(FxUsed,MATCH(INDEX(DB_PreCcy,$B$10),FxCodes,0))*INDEX(FxUsed,MATCH($B$11,FxCodes,0)),0)</f>
        <v>0</v>
      </c>
      <c r="C41" s="21"/>
      <c r="D41" s="25">
        <f t="shared" si="0"/>
        <v>0</v>
      </c>
      <c r="E41" s="12">
        <f>IF(ISNUMBER(C41),PlanYear,IF($B$14&gt;0,INDEX(DB_PreBase,$B$10),PlanYear))</f>
        <v>2026</v>
      </c>
      <c r="F41" s="12" t="str">
        <f>IF(ISNUMBER(C41),"override",IF($B$14&gt;0,INDEX(DB_PreStatus,$B$10),""))</f>
        <v/>
      </c>
      <c r="G41" s="16" t="str">
        <f t="shared" si="1"/>
        <v/>
      </c>
      <c r="H41" s="16" t="s">
        <v>136</v>
      </c>
      <c r="I41" s="16" t="s">
        <v>137</v>
      </c>
      <c r="J41" s="16" t="s">
        <v>138</v>
      </c>
    </row>
    <row r="42" spans="1:27" x14ac:dyDescent="0.3">
      <c r="A42" s="16" t="s">
        <v>47</v>
      </c>
      <c r="B42" s="25">
        <f>IF($B$14&gt;0,(INDEX(DB_PreOther,$B$10))/INDEX(FxUsed,MATCH(INDEX(DB_PreCcy,$B$10),FxCodes,0))*INDEX(FxUsed,MATCH($B$11,FxCodes,0)),0)</f>
        <v>0</v>
      </c>
      <c r="C42" s="21"/>
      <c r="D42" s="25">
        <f t="shared" si="0"/>
        <v>0</v>
      </c>
      <c r="E42" s="12">
        <f>IF(ISNUMBER(C42),PlanYear,IF($B$14&gt;0,INDEX(DB_PreBase,$B$10),PlanYear))</f>
        <v>2026</v>
      </c>
      <c r="F42" s="12" t="str">
        <f>IF(ISNUMBER(C42),"override",IF($B$14&gt;0,INDEX(DB_PreStatus,$B$10),""))</f>
        <v/>
      </c>
      <c r="G42" s="16" t="str">
        <f t="shared" si="1"/>
        <v/>
      </c>
      <c r="H42" s="16" t="s">
        <v>136</v>
      </c>
      <c r="I42" s="16" t="s">
        <v>137</v>
      </c>
      <c r="J42" s="16" t="s">
        <v>138</v>
      </c>
    </row>
    <row r="44" spans="1:27" ht="79.2" x14ac:dyDescent="0.3">
      <c r="A44" s="22" t="s">
        <v>145</v>
      </c>
      <c r="B44" s="22" t="s">
        <v>146</v>
      </c>
      <c r="C44" s="22" t="s">
        <v>147</v>
      </c>
      <c r="D44" s="22" t="s">
        <v>148</v>
      </c>
      <c r="E44" s="22" t="s">
        <v>149</v>
      </c>
      <c r="F44" s="22" t="s">
        <v>150</v>
      </c>
      <c r="G44" s="22" t="s">
        <v>151</v>
      </c>
      <c r="H44" s="22" t="s">
        <v>152</v>
      </c>
      <c r="I44" s="22" t="s">
        <v>153</v>
      </c>
      <c r="J44" s="22" t="s">
        <v>154</v>
      </c>
      <c r="K44" s="22" t="s">
        <v>155</v>
      </c>
      <c r="L44" s="22" t="s">
        <v>156</v>
      </c>
      <c r="M44" s="22" t="s">
        <v>157</v>
      </c>
      <c r="N44" s="22" t="s">
        <v>158</v>
      </c>
      <c r="O44" s="22" t="s">
        <v>159</v>
      </c>
      <c r="P44" s="22" t="s">
        <v>36</v>
      </c>
      <c r="Q44" s="22" t="s">
        <v>37</v>
      </c>
      <c r="R44" s="22" t="s">
        <v>38</v>
      </c>
      <c r="S44" s="22" t="s">
        <v>39</v>
      </c>
      <c r="T44" s="22" t="s">
        <v>40</v>
      </c>
      <c r="U44" s="22" t="s">
        <v>41</v>
      </c>
      <c r="V44" s="22" t="s">
        <v>42</v>
      </c>
      <c r="W44" s="22" t="s">
        <v>140</v>
      </c>
      <c r="X44" s="22" t="s">
        <v>142</v>
      </c>
      <c r="Y44" s="22" t="s">
        <v>144</v>
      </c>
      <c r="Z44" s="22" t="s">
        <v>83</v>
      </c>
      <c r="AA44" s="22" t="s">
        <v>160</v>
      </c>
    </row>
    <row r="45" spans="1:27" x14ac:dyDescent="0.3">
      <c r="A45" s="16">
        <v>0</v>
      </c>
      <c r="B45" s="16">
        <f t="shared" ref="B45:B54" si="2">PlanYear+$B$17+A45</f>
        <v>2026</v>
      </c>
      <c r="C45" s="16">
        <f t="shared" ref="C45:C54" si="3">MAX(0,MIN(1,$B$12-A45))</f>
        <v>0</v>
      </c>
      <c r="D45" s="16">
        <f t="shared" ref="D45:D54" si="4">IF(A45&lt;$B$14,1,0)</f>
        <v>0</v>
      </c>
      <c r="E45" s="16">
        <f t="shared" ref="E45:E54" si="5">IF(AND($B$21=1,A45&lt;$B$18),1,0)</f>
        <v>0</v>
      </c>
      <c r="F45" s="21">
        <f t="shared" ref="F45:F54" si="6">IF(AND(E45=1),IF(D45=1,$D$41,$D$31)*(1+$B$15)^(B45-IF(D45=1,$E$41,$E$31))*C45*$B$23,0)</f>
        <v>0</v>
      </c>
      <c r="G45" s="21">
        <f t="shared" ref="G45:G54" si="7">IF(AND(E45=1),$D$32*(1+$B$16)^(B45-$E$32)*C45*$B$23,0)</f>
        <v>0</v>
      </c>
      <c r="H45" s="21">
        <f t="shared" ref="H45:H54" si="8">IF(AND(E45=1),$D$33*(1+$B$16)^(B45-$E$33)*C45*$B$23,0)</f>
        <v>0</v>
      </c>
      <c r="I45" s="21">
        <f t="shared" ref="I45:I54" si="9">IF(AND(E45=1),$D$34*(1+$B$16)^(B45-$E$34)*C45*$B$23,0)</f>
        <v>0</v>
      </c>
      <c r="J45" s="21">
        <f t="shared" ref="J45:J54" si="10">IF(AND(E45=1),$D$35*(1+$B$16)^(B45-$E$35)*C45*$B$23,0)</f>
        <v>0</v>
      </c>
      <c r="K45" s="21">
        <f t="shared" ref="K45:K54" si="11">IF(AND(E45=1),$D$36*(1+$B$16)^(B45-$E$36)*C45*$B$23,0)</f>
        <v>0</v>
      </c>
      <c r="L45" s="21">
        <f t="shared" ref="L45:L54" si="12">IF(AND(E45=1),IF(D45=1,$D$42,$D$37)*(1+$B$15)^(B45-IF(D45=1,$E$42,$E$37))*C45*$B$23,0)</f>
        <v>0</v>
      </c>
      <c r="M45" s="21">
        <f t="shared" ref="M45:M54" si="13">IF(AND(E45=1,A45=0),$D$38*(1+$B$15)^(B45-$E$38)*$B$23,0)</f>
        <v>0</v>
      </c>
      <c r="N45" s="21">
        <f t="shared" ref="N45:N54" si="14">IF(AND(E45=1,A45=0),$D$39*(1+$B$16)^(B45-$E$39)*$B$23,0)</f>
        <v>0</v>
      </c>
      <c r="O45" s="21">
        <f t="shared" ref="O45:O54" si="15">IF(AND(E45=1,A45=0),$D$40*(1+$B$16)^(B45-$E$40)*$B$23,0)</f>
        <v>0</v>
      </c>
      <c r="P45" s="21">
        <f t="shared" ref="P45:P54" si="16">F45*(1-Coverage)</f>
        <v>0</v>
      </c>
      <c r="Q45" s="21">
        <f t="shared" ref="Q45:Q54" si="17">G45*(1-Coverage)</f>
        <v>0</v>
      </c>
      <c r="R45" s="21">
        <f t="shared" ref="R45:R54" si="18">H45*(1-Coverage)</f>
        <v>0</v>
      </c>
      <c r="S45" s="21">
        <f t="shared" ref="S45:S54" si="19">I45*(1-Coverage)</f>
        <v>0</v>
      </c>
      <c r="T45" s="21">
        <f t="shared" ref="T45:T54" si="20">J45*(1-Coverage)</f>
        <v>0</v>
      </c>
      <c r="U45" s="21">
        <f t="shared" ref="U45:U54" si="21">K45*(1-Coverage)</f>
        <v>0</v>
      </c>
      <c r="V45" s="21">
        <f t="shared" ref="V45:V54" si="22">L45*(1-Coverage)</f>
        <v>0</v>
      </c>
      <c r="W45" s="21">
        <f t="shared" ref="W45:W54" si="23">M45*(1-Coverage)</f>
        <v>0</v>
      </c>
      <c r="X45" s="21">
        <f t="shared" ref="X45:X54" si="24">N45*1</f>
        <v>0</v>
      </c>
      <c r="Y45" s="21">
        <f t="shared" ref="Y45:Y54" si="25">O45*1</f>
        <v>0</v>
      </c>
      <c r="Z45" s="20">
        <f t="shared" ref="Z45:Z54" si="26">SUM(P45:Y45)</f>
        <v>0</v>
      </c>
      <c r="AA45" s="21">
        <f t="shared" ref="AA45:AA54" si="27">SUM(F45:O45)</f>
        <v>0</v>
      </c>
    </row>
    <row r="46" spans="1:27" x14ac:dyDescent="0.3">
      <c r="A46" s="16">
        <v>1</v>
      </c>
      <c r="B46" s="16">
        <f t="shared" si="2"/>
        <v>2027</v>
      </c>
      <c r="C46" s="16">
        <f t="shared" si="3"/>
        <v>0</v>
      </c>
      <c r="D46" s="16">
        <f t="shared" si="4"/>
        <v>0</v>
      </c>
      <c r="E46" s="16">
        <f t="shared" si="5"/>
        <v>0</v>
      </c>
      <c r="F46" s="21">
        <f t="shared" si="6"/>
        <v>0</v>
      </c>
      <c r="G46" s="21">
        <f t="shared" si="7"/>
        <v>0</v>
      </c>
      <c r="H46" s="21">
        <f t="shared" si="8"/>
        <v>0</v>
      </c>
      <c r="I46" s="21">
        <f t="shared" si="9"/>
        <v>0</v>
      </c>
      <c r="J46" s="21">
        <f t="shared" si="10"/>
        <v>0</v>
      </c>
      <c r="K46" s="21">
        <f t="shared" si="11"/>
        <v>0</v>
      </c>
      <c r="L46" s="21">
        <f t="shared" si="12"/>
        <v>0</v>
      </c>
      <c r="M46" s="21">
        <f t="shared" si="13"/>
        <v>0</v>
      </c>
      <c r="N46" s="21">
        <f t="shared" si="14"/>
        <v>0</v>
      </c>
      <c r="O46" s="21">
        <f t="shared" si="15"/>
        <v>0</v>
      </c>
      <c r="P46" s="21">
        <f t="shared" si="16"/>
        <v>0</v>
      </c>
      <c r="Q46" s="21">
        <f t="shared" si="17"/>
        <v>0</v>
      </c>
      <c r="R46" s="21">
        <f t="shared" si="18"/>
        <v>0</v>
      </c>
      <c r="S46" s="21">
        <f t="shared" si="19"/>
        <v>0</v>
      </c>
      <c r="T46" s="21">
        <f t="shared" si="20"/>
        <v>0</v>
      </c>
      <c r="U46" s="21">
        <f t="shared" si="21"/>
        <v>0</v>
      </c>
      <c r="V46" s="21">
        <f t="shared" si="22"/>
        <v>0</v>
      </c>
      <c r="W46" s="21">
        <f t="shared" si="23"/>
        <v>0</v>
      </c>
      <c r="X46" s="21">
        <f t="shared" si="24"/>
        <v>0</v>
      </c>
      <c r="Y46" s="21">
        <f t="shared" si="25"/>
        <v>0</v>
      </c>
      <c r="Z46" s="20">
        <f t="shared" si="26"/>
        <v>0</v>
      </c>
      <c r="AA46" s="21">
        <f t="shared" si="27"/>
        <v>0</v>
      </c>
    </row>
    <row r="47" spans="1:27" x14ac:dyDescent="0.3">
      <c r="A47" s="16">
        <v>2</v>
      </c>
      <c r="B47" s="16">
        <f t="shared" si="2"/>
        <v>2028</v>
      </c>
      <c r="C47" s="16">
        <f t="shared" si="3"/>
        <v>0</v>
      </c>
      <c r="D47" s="16">
        <f t="shared" si="4"/>
        <v>0</v>
      </c>
      <c r="E47" s="16">
        <f t="shared" si="5"/>
        <v>0</v>
      </c>
      <c r="F47" s="21">
        <f t="shared" si="6"/>
        <v>0</v>
      </c>
      <c r="G47" s="21">
        <f t="shared" si="7"/>
        <v>0</v>
      </c>
      <c r="H47" s="21">
        <f t="shared" si="8"/>
        <v>0</v>
      </c>
      <c r="I47" s="21">
        <f t="shared" si="9"/>
        <v>0</v>
      </c>
      <c r="J47" s="21">
        <f t="shared" si="10"/>
        <v>0</v>
      </c>
      <c r="K47" s="21">
        <f t="shared" si="11"/>
        <v>0</v>
      </c>
      <c r="L47" s="21">
        <f t="shared" si="12"/>
        <v>0</v>
      </c>
      <c r="M47" s="21">
        <f t="shared" si="13"/>
        <v>0</v>
      </c>
      <c r="N47" s="21">
        <f t="shared" si="14"/>
        <v>0</v>
      </c>
      <c r="O47" s="21">
        <f t="shared" si="15"/>
        <v>0</v>
      </c>
      <c r="P47" s="21">
        <f t="shared" si="16"/>
        <v>0</v>
      </c>
      <c r="Q47" s="21">
        <f t="shared" si="17"/>
        <v>0</v>
      </c>
      <c r="R47" s="21">
        <f t="shared" si="18"/>
        <v>0</v>
      </c>
      <c r="S47" s="21">
        <f t="shared" si="19"/>
        <v>0</v>
      </c>
      <c r="T47" s="21">
        <f t="shared" si="20"/>
        <v>0</v>
      </c>
      <c r="U47" s="21">
        <f t="shared" si="21"/>
        <v>0</v>
      </c>
      <c r="V47" s="21">
        <f t="shared" si="22"/>
        <v>0</v>
      </c>
      <c r="W47" s="21">
        <f t="shared" si="23"/>
        <v>0</v>
      </c>
      <c r="X47" s="21">
        <f t="shared" si="24"/>
        <v>0</v>
      </c>
      <c r="Y47" s="21">
        <f t="shared" si="25"/>
        <v>0</v>
      </c>
      <c r="Z47" s="20">
        <f t="shared" si="26"/>
        <v>0</v>
      </c>
      <c r="AA47" s="21">
        <f t="shared" si="27"/>
        <v>0</v>
      </c>
    </row>
    <row r="48" spans="1:27" x14ac:dyDescent="0.3">
      <c r="A48" s="16">
        <v>3</v>
      </c>
      <c r="B48" s="16">
        <f t="shared" si="2"/>
        <v>2029</v>
      </c>
      <c r="C48" s="16">
        <f t="shared" si="3"/>
        <v>0</v>
      </c>
      <c r="D48" s="16">
        <f t="shared" si="4"/>
        <v>0</v>
      </c>
      <c r="E48" s="16">
        <f t="shared" si="5"/>
        <v>0</v>
      </c>
      <c r="F48" s="21">
        <f t="shared" si="6"/>
        <v>0</v>
      </c>
      <c r="G48" s="21">
        <f t="shared" si="7"/>
        <v>0</v>
      </c>
      <c r="H48" s="21">
        <f t="shared" si="8"/>
        <v>0</v>
      </c>
      <c r="I48" s="21">
        <f t="shared" si="9"/>
        <v>0</v>
      </c>
      <c r="J48" s="21">
        <f t="shared" si="10"/>
        <v>0</v>
      </c>
      <c r="K48" s="21">
        <f t="shared" si="11"/>
        <v>0</v>
      </c>
      <c r="L48" s="21">
        <f t="shared" si="12"/>
        <v>0</v>
      </c>
      <c r="M48" s="21">
        <f t="shared" si="13"/>
        <v>0</v>
      </c>
      <c r="N48" s="21">
        <f t="shared" si="14"/>
        <v>0</v>
      </c>
      <c r="O48" s="21">
        <f t="shared" si="15"/>
        <v>0</v>
      </c>
      <c r="P48" s="21">
        <f t="shared" si="16"/>
        <v>0</v>
      </c>
      <c r="Q48" s="21">
        <f t="shared" si="17"/>
        <v>0</v>
      </c>
      <c r="R48" s="21">
        <f t="shared" si="18"/>
        <v>0</v>
      </c>
      <c r="S48" s="21">
        <f t="shared" si="19"/>
        <v>0</v>
      </c>
      <c r="T48" s="21">
        <f t="shared" si="20"/>
        <v>0</v>
      </c>
      <c r="U48" s="21">
        <f t="shared" si="21"/>
        <v>0</v>
      </c>
      <c r="V48" s="21">
        <f t="shared" si="22"/>
        <v>0</v>
      </c>
      <c r="W48" s="21">
        <f t="shared" si="23"/>
        <v>0</v>
      </c>
      <c r="X48" s="21">
        <f t="shared" si="24"/>
        <v>0</v>
      </c>
      <c r="Y48" s="21">
        <f t="shared" si="25"/>
        <v>0</v>
      </c>
      <c r="Z48" s="20">
        <f t="shared" si="26"/>
        <v>0</v>
      </c>
      <c r="AA48" s="21">
        <f t="shared" si="27"/>
        <v>0</v>
      </c>
    </row>
    <row r="49" spans="1:27" x14ac:dyDescent="0.3">
      <c r="A49" s="16">
        <v>4</v>
      </c>
      <c r="B49" s="16">
        <f t="shared" si="2"/>
        <v>2030</v>
      </c>
      <c r="C49" s="16">
        <f t="shared" si="3"/>
        <v>0</v>
      </c>
      <c r="D49" s="16">
        <f t="shared" si="4"/>
        <v>0</v>
      </c>
      <c r="E49" s="16">
        <f t="shared" si="5"/>
        <v>0</v>
      </c>
      <c r="F49" s="21">
        <f t="shared" si="6"/>
        <v>0</v>
      </c>
      <c r="G49" s="21">
        <f t="shared" si="7"/>
        <v>0</v>
      </c>
      <c r="H49" s="21">
        <f t="shared" si="8"/>
        <v>0</v>
      </c>
      <c r="I49" s="21">
        <f t="shared" si="9"/>
        <v>0</v>
      </c>
      <c r="J49" s="21">
        <f t="shared" si="10"/>
        <v>0</v>
      </c>
      <c r="K49" s="21">
        <f t="shared" si="11"/>
        <v>0</v>
      </c>
      <c r="L49" s="21">
        <f t="shared" si="12"/>
        <v>0</v>
      </c>
      <c r="M49" s="21">
        <f t="shared" si="13"/>
        <v>0</v>
      </c>
      <c r="N49" s="21">
        <f t="shared" si="14"/>
        <v>0</v>
      </c>
      <c r="O49" s="21">
        <f t="shared" si="15"/>
        <v>0</v>
      </c>
      <c r="P49" s="21">
        <f t="shared" si="16"/>
        <v>0</v>
      </c>
      <c r="Q49" s="21">
        <f t="shared" si="17"/>
        <v>0</v>
      </c>
      <c r="R49" s="21">
        <f t="shared" si="18"/>
        <v>0</v>
      </c>
      <c r="S49" s="21">
        <f t="shared" si="19"/>
        <v>0</v>
      </c>
      <c r="T49" s="21">
        <f t="shared" si="20"/>
        <v>0</v>
      </c>
      <c r="U49" s="21">
        <f t="shared" si="21"/>
        <v>0</v>
      </c>
      <c r="V49" s="21">
        <f t="shared" si="22"/>
        <v>0</v>
      </c>
      <c r="W49" s="21">
        <f t="shared" si="23"/>
        <v>0</v>
      </c>
      <c r="X49" s="21">
        <f t="shared" si="24"/>
        <v>0</v>
      </c>
      <c r="Y49" s="21">
        <f t="shared" si="25"/>
        <v>0</v>
      </c>
      <c r="Z49" s="20">
        <f t="shared" si="26"/>
        <v>0</v>
      </c>
      <c r="AA49" s="21">
        <f t="shared" si="27"/>
        <v>0</v>
      </c>
    </row>
    <row r="50" spans="1:27" x14ac:dyDescent="0.3">
      <c r="A50" s="16">
        <v>5</v>
      </c>
      <c r="B50" s="16">
        <f t="shared" si="2"/>
        <v>2031</v>
      </c>
      <c r="C50" s="16">
        <f t="shared" si="3"/>
        <v>0</v>
      </c>
      <c r="D50" s="16">
        <f t="shared" si="4"/>
        <v>0</v>
      </c>
      <c r="E50" s="16">
        <f t="shared" si="5"/>
        <v>0</v>
      </c>
      <c r="F50" s="21">
        <f t="shared" si="6"/>
        <v>0</v>
      </c>
      <c r="G50" s="21">
        <f t="shared" si="7"/>
        <v>0</v>
      </c>
      <c r="H50" s="21">
        <f t="shared" si="8"/>
        <v>0</v>
      </c>
      <c r="I50" s="21">
        <f t="shared" si="9"/>
        <v>0</v>
      </c>
      <c r="J50" s="21">
        <f t="shared" si="10"/>
        <v>0</v>
      </c>
      <c r="K50" s="21">
        <f t="shared" si="11"/>
        <v>0</v>
      </c>
      <c r="L50" s="21">
        <f t="shared" si="12"/>
        <v>0</v>
      </c>
      <c r="M50" s="21">
        <f t="shared" si="13"/>
        <v>0</v>
      </c>
      <c r="N50" s="21">
        <f t="shared" si="14"/>
        <v>0</v>
      </c>
      <c r="O50" s="21">
        <f t="shared" si="15"/>
        <v>0</v>
      </c>
      <c r="P50" s="21">
        <f t="shared" si="16"/>
        <v>0</v>
      </c>
      <c r="Q50" s="21">
        <f t="shared" si="17"/>
        <v>0</v>
      </c>
      <c r="R50" s="21">
        <f t="shared" si="18"/>
        <v>0</v>
      </c>
      <c r="S50" s="21">
        <f t="shared" si="19"/>
        <v>0</v>
      </c>
      <c r="T50" s="21">
        <f t="shared" si="20"/>
        <v>0</v>
      </c>
      <c r="U50" s="21">
        <f t="shared" si="21"/>
        <v>0</v>
      </c>
      <c r="V50" s="21">
        <f t="shared" si="22"/>
        <v>0</v>
      </c>
      <c r="W50" s="21">
        <f t="shared" si="23"/>
        <v>0</v>
      </c>
      <c r="X50" s="21">
        <f t="shared" si="24"/>
        <v>0</v>
      </c>
      <c r="Y50" s="21">
        <f t="shared" si="25"/>
        <v>0</v>
      </c>
      <c r="Z50" s="20">
        <f t="shared" si="26"/>
        <v>0</v>
      </c>
      <c r="AA50" s="21">
        <f t="shared" si="27"/>
        <v>0</v>
      </c>
    </row>
    <row r="51" spans="1:27" x14ac:dyDescent="0.3">
      <c r="A51" s="16">
        <v>6</v>
      </c>
      <c r="B51" s="16">
        <f t="shared" si="2"/>
        <v>2032</v>
      </c>
      <c r="C51" s="16">
        <f t="shared" si="3"/>
        <v>0</v>
      </c>
      <c r="D51" s="16">
        <f t="shared" si="4"/>
        <v>0</v>
      </c>
      <c r="E51" s="16">
        <f t="shared" si="5"/>
        <v>0</v>
      </c>
      <c r="F51" s="21">
        <f t="shared" si="6"/>
        <v>0</v>
      </c>
      <c r="G51" s="21">
        <f t="shared" si="7"/>
        <v>0</v>
      </c>
      <c r="H51" s="21">
        <f t="shared" si="8"/>
        <v>0</v>
      </c>
      <c r="I51" s="21">
        <f t="shared" si="9"/>
        <v>0</v>
      </c>
      <c r="J51" s="21">
        <f t="shared" si="10"/>
        <v>0</v>
      </c>
      <c r="K51" s="21">
        <f t="shared" si="11"/>
        <v>0</v>
      </c>
      <c r="L51" s="21">
        <f t="shared" si="12"/>
        <v>0</v>
      </c>
      <c r="M51" s="21">
        <f t="shared" si="13"/>
        <v>0</v>
      </c>
      <c r="N51" s="21">
        <f t="shared" si="14"/>
        <v>0</v>
      </c>
      <c r="O51" s="21">
        <f t="shared" si="15"/>
        <v>0</v>
      </c>
      <c r="P51" s="21">
        <f t="shared" si="16"/>
        <v>0</v>
      </c>
      <c r="Q51" s="21">
        <f t="shared" si="17"/>
        <v>0</v>
      </c>
      <c r="R51" s="21">
        <f t="shared" si="18"/>
        <v>0</v>
      </c>
      <c r="S51" s="21">
        <f t="shared" si="19"/>
        <v>0</v>
      </c>
      <c r="T51" s="21">
        <f t="shared" si="20"/>
        <v>0</v>
      </c>
      <c r="U51" s="21">
        <f t="shared" si="21"/>
        <v>0</v>
      </c>
      <c r="V51" s="21">
        <f t="shared" si="22"/>
        <v>0</v>
      </c>
      <c r="W51" s="21">
        <f t="shared" si="23"/>
        <v>0</v>
      </c>
      <c r="X51" s="21">
        <f t="shared" si="24"/>
        <v>0</v>
      </c>
      <c r="Y51" s="21">
        <f t="shared" si="25"/>
        <v>0</v>
      </c>
      <c r="Z51" s="20">
        <f t="shared" si="26"/>
        <v>0</v>
      </c>
      <c r="AA51" s="21">
        <f t="shared" si="27"/>
        <v>0</v>
      </c>
    </row>
    <row r="52" spans="1:27" x14ac:dyDescent="0.3">
      <c r="A52" s="16">
        <v>7</v>
      </c>
      <c r="B52" s="16">
        <f t="shared" si="2"/>
        <v>2033</v>
      </c>
      <c r="C52" s="16">
        <f t="shared" si="3"/>
        <v>0</v>
      </c>
      <c r="D52" s="16">
        <f t="shared" si="4"/>
        <v>0</v>
      </c>
      <c r="E52" s="16">
        <f t="shared" si="5"/>
        <v>0</v>
      </c>
      <c r="F52" s="21">
        <f t="shared" si="6"/>
        <v>0</v>
      </c>
      <c r="G52" s="21">
        <f t="shared" si="7"/>
        <v>0</v>
      </c>
      <c r="H52" s="21">
        <f t="shared" si="8"/>
        <v>0</v>
      </c>
      <c r="I52" s="21">
        <f t="shared" si="9"/>
        <v>0</v>
      </c>
      <c r="J52" s="21">
        <f t="shared" si="10"/>
        <v>0</v>
      </c>
      <c r="K52" s="21">
        <f t="shared" si="11"/>
        <v>0</v>
      </c>
      <c r="L52" s="21">
        <f t="shared" si="12"/>
        <v>0</v>
      </c>
      <c r="M52" s="21">
        <f t="shared" si="13"/>
        <v>0</v>
      </c>
      <c r="N52" s="21">
        <f t="shared" si="14"/>
        <v>0</v>
      </c>
      <c r="O52" s="21">
        <f t="shared" si="15"/>
        <v>0</v>
      </c>
      <c r="P52" s="21">
        <f t="shared" si="16"/>
        <v>0</v>
      </c>
      <c r="Q52" s="21">
        <f t="shared" si="17"/>
        <v>0</v>
      </c>
      <c r="R52" s="21">
        <f t="shared" si="18"/>
        <v>0</v>
      </c>
      <c r="S52" s="21">
        <f t="shared" si="19"/>
        <v>0</v>
      </c>
      <c r="T52" s="21">
        <f t="shared" si="20"/>
        <v>0</v>
      </c>
      <c r="U52" s="21">
        <f t="shared" si="21"/>
        <v>0</v>
      </c>
      <c r="V52" s="21">
        <f t="shared" si="22"/>
        <v>0</v>
      </c>
      <c r="W52" s="21">
        <f t="shared" si="23"/>
        <v>0</v>
      </c>
      <c r="X52" s="21">
        <f t="shared" si="24"/>
        <v>0</v>
      </c>
      <c r="Y52" s="21">
        <f t="shared" si="25"/>
        <v>0</v>
      </c>
      <c r="Z52" s="20">
        <f t="shared" si="26"/>
        <v>0</v>
      </c>
      <c r="AA52" s="21">
        <f t="shared" si="27"/>
        <v>0</v>
      </c>
    </row>
    <row r="53" spans="1:27" x14ac:dyDescent="0.3">
      <c r="A53" s="16">
        <v>8</v>
      </c>
      <c r="B53" s="16">
        <f t="shared" si="2"/>
        <v>2034</v>
      </c>
      <c r="C53" s="16">
        <f t="shared" si="3"/>
        <v>0</v>
      </c>
      <c r="D53" s="16">
        <f t="shared" si="4"/>
        <v>0</v>
      </c>
      <c r="E53" s="16">
        <f t="shared" si="5"/>
        <v>0</v>
      </c>
      <c r="F53" s="21">
        <f t="shared" si="6"/>
        <v>0</v>
      </c>
      <c r="G53" s="21">
        <f t="shared" si="7"/>
        <v>0</v>
      </c>
      <c r="H53" s="21">
        <f t="shared" si="8"/>
        <v>0</v>
      </c>
      <c r="I53" s="21">
        <f t="shared" si="9"/>
        <v>0</v>
      </c>
      <c r="J53" s="21">
        <f t="shared" si="10"/>
        <v>0</v>
      </c>
      <c r="K53" s="21">
        <f t="shared" si="11"/>
        <v>0</v>
      </c>
      <c r="L53" s="21">
        <f t="shared" si="12"/>
        <v>0</v>
      </c>
      <c r="M53" s="21">
        <f t="shared" si="13"/>
        <v>0</v>
      </c>
      <c r="N53" s="21">
        <f t="shared" si="14"/>
        <v>0</v>
      </c>
      <c r="O53" s="21">
        <f t="shared" si="15"/>
        <v>0</v>
      </c>
      <c r="P53" s="21">
        <f t="shared" si="16"/>
        <v>0</v>
      </c>
      <c r="Q53" s="21">
        <f t="shared" si="17"/>
        <v>0</v>
      </c>
      <c r="R53" s="21">
        <f t="shared" si="18"/>
        <v>0</v>
      </c>
      <c r="S53" s="21">
        <f t="shared" si="19"/>
        <v>0</v>
      </c>
      <c r="T53" s="21">
        <f t="shared" si="20"/>
        <v>0</v>
      </c>
      <c r="U53" s="21">
        <f t="shared" si="21"/>
        <v>0</v>
      </c>
      <c r="V53" s="21">
        <f t="shared" si="22"/>
        <v>0</v>
      </c>
      <c r="W53" s="21">
        <f t="shared" si="23"/>
        <v>0</v>
      </c>
      <c r="X53" s="21">
        <f t="shared" si="24"/>
        <v>0</v>
      </c>
      <c r="Y53" s="21">
        <f t="shared" si="25"/>
        <v>0</v>
      </c>
      <c r="Z53" s="20">
        <f t="shared" si="26"/>
        <v>0</v>
      </c>
      <c r="AA53" s="21">
        <f t="shared" si="27"/>
        <v>0</v>
      </c>
    </row>
    <row r="54" spans="1:27" x14ac:dyDescent="0.3">
      <c r="A54" s="16">
        <v>9</v>
      </c>
      <c r="B54" s="16">
        <f t="shared" si="2"/>
        <v>2035</v>
      </c>
      <c r="C54" s="16">
        <f t="shared" si="3"/>
        <v>0</v>
      </c>
      <c r="D54" s="16">
        <f t="shared" si="4"/>
        <v>0</v>
      </c>
      <c r="E54" s="16">
        <f t="shared" si="5"/>
        <v>0</v>
      </c>
      <c r="F54" s="21">
        <f t="shared" si="6"/>
        <v>0</v>
      </c>
      <c r="G54" s="21">
        <f t="shared" si="7"/>
        <v>0</v>
      </c>
      <c r="H54" s="21">
        <f t="shared" si="8"/>
        <v>0</v>
      </c>
      <c r="I54" s="21">
        <f t="shared" si="9"/>
        <v>0</v>
      </c>
      <c r="J54" s="21">
        <f t="shared" si="10"/>
        <v>0</v>
      </c>
      <c r="K54" s="21">
        <f t="shared" si="11"/>
        <v>0</v>
      </c>
      <c r="L54" s="21">
        <f t="shared" si="12"/>
        <v>0</v>
      </c>
      <c r="M54" s="21">
        <f t="shared" si="13"/>
        <v>0</v>
      </c>
      <c r="N54" s="21">
        <f t="shared" si="14"/>
        <v>0</v>
      </c>
      <c r="O54" s="21">
        <f t="shared" si="15"/>
        <v>0</v>
      </c>
      <c r="P54" s="21">
        <f t="shared" si="16"/>
        <v>0</v>
      </c>
      <c r="Q54" s="21">
        <f t="shared" si="17"/>
        <v>0</v>
      </c>
      <c r="R54" s="21">
        <f t="shared" si="18"/>
        <v>0</v>
      </c>
      <c r="S54" s="21">
        <f t="shared" si="19"/>
        <v>0</v>
      </c>
      <c r="T54" s="21">
        <f t="shared" si="20"/>
        <v>0</v>
      </c>
      <c r="U54" s="21">
        <f t="shared" si="21"/>
        <v>0</v>
      </c>
      <c r="V54" s="21">
        <f t="shared" si="22"/>
        <v>0</v>
      </c>
      <c r="W54" s="21">
        <f t="shared" si="23"/>
        <v>0</v>
      </c>
      <c r="X54" s="21">
        <f t="shared" si="24"/>
        <v>0</v>
      </c>
      <c r="Y54" s="21">
        <f t="shared" si="25"/>
        <v>0</v>
      </c>
      <c r="Z54" s="20">
        <f t="shared" si="26"/>
        <v>0</v>
      </c>
      <c r="AA54" s="21">
        <f t="shared" si="27"/>
        <v>0</v>
      </c>
    </row>
    <row r="55" spans="1:27" x14ac:dyDescent="0.3">
      <c r="A55" s="8" t="s">
        <v>76</v>
      </c>
      <c r="F55" s="20">
        <f t="shared" ref="F55:AA55" si="28">SUM(F45:F54)</f>
        <v>0</v>
      </c>
      <c r="G55" s="20">
        <f t="shared" si="28"/>
        <v>0</v>
      </c>
      <c r="H55" s="20">
        <f t="shared" si="28"/>
        <v>0</v>
      </c>
      <c r="I55" s="20">
        <f t="shared" si="28"/>
        <v>0</v>
      </c>
      <c r="J55" s="20">
        <f t="shared" si="28"/>
        <v>0</v>
      </c>
      <c r="K55" s="20">
        <f t="shared" si="28"/>
        <v>0</v>
      </c>
      <c r="L55" s="20">
        <f t="shared" si="28"/>
        <v>0</v>
      </c>
      <c r="M55" s="20">
        <f t="shared" si="28"/>
        <v>0</v>
      </c>
      <c r="N55" s="20">
        <f t="shared" si="28"/>
        <v>0</v>
      </c>
      <c r="O55" s="20">
        <f t="shared" si="28"/>
        <v>0</v>
      </c>
      <c r="P55" s="20">
        <f t="shared" si="28"/>
        <v>0</v>
      </c>
      <c r="Q55" s="20">
        <f t="shared" si="28"/>
        <v>0</v>
      </c>
      <c r="R55" s="20">
        <f t="shared" si="28"/>
        <v>0</v>
      </c>
      <c r="S55" s="20">
        <f t="shared" si="28"/>
        <v>0</v>
      </c>
      <c r="T55" s="20">
        <f t="shared" si="28"/>
        <v>0</v>
      </c>
      <c r="U55" s="20">
        <f t="shared" si="28"/>
        <v>0</v>
      </c>
      <c r="V55" s="20">
        <f t="shared" si="28"/>
        <v>0</v>
      </c>
      <c r="W55" s="20">
        <f t="shared" si="28"/>
        <v>0</v>
      </c>
      <c r="X55" s="20">
        <f t="shared" si="28"/>
        <v>0</v>
      </c>
      <c r="Y55" s="20">
        <f t="shared" si="28"/>
        <v>0</v>
      </c>
      <c r="Z55" s="20">
        <f t="shared" si="28"/>
        <v>0</v>
      </c>
      <c r="AA55" s="20">
        <f t="shared" si="28"/>
        <v>0</v>
      </c>
    </row>
    <row r="57" spans="1:27" x14ac:dyDescent="0.3">
      <c r="A57" s="8" t="s">
        <v>161</v>
      </c>
      <c r="B57" s="26">
        <f>$Z$55</f>
        <v>0</v>
      </c>
    </row>
    <row r="58" spans="1:27" x14ac:dyDescent="0.3">
      <c r="A58" s="16" t="s">
        <v>14</v>
      </c>
      <c r="B58" s="21">
        <f>$AA$55-$Z$55</f>
        <v>0</v>
      </c>
    </row>
    <row r="59" spans="1:27" x14ac:dyDescent="0.3">
      <c r="A59" s="16" t="s">
        <v>162</v>
      </c>
      <c r="B59" s="16" t="str">
        <f>IF(OR($F$31="missing",AND($B$14&gt;0,$F$41="missing")),"missing",IF(OR($F$31="estimated",AND($B$14&gt;0,$F$41="estimated")),"estimated",IF($B$14&gt;0,$F$41,$F$31)))</f>
        <v>missing</v>
      </c>
    </row>
    <row r="60" spans="1:27" x14ac:dyDescent="0.3">
      <c r="A60" s="16" t="s">
        <v>163</v>
      </c>
      <c r="B60" s="16">
        <f>IF(OR($F$31="missing",AND($B$14&gt;0,$F$41="missing"),$F$32="missing"),1,0)</f>
        <v>1</v>
      </c>
    </row>
    <row r="63" spans="1:27" ht="15.6" x14ac:dyDescent="0.3">
      <c r="A63" s="7" t="s">
        <v>91</v>
      </c>
    </row>
    <row r="64" spans="1:27" x14ac:dyDescent="0.3">
      <c r="A64" s="16" t="s">
        <v>104</v>
      </c>
      <c r="B64" s="12">
        <f>IF(CmpChild&lt;=NumChildren,1,0)</f>
        <v>1</v>
      </c>
    </row>
    <row r="65" spans="1:2" x14ac:dyDescent="0.3">
      <c r="A65" s="16" t="s">
        <v>30</v>
      </c>
      <c r="B65" s="12" t="str">
        <f>IF("India"="","","India")</f>
        <v>India</v>
      </c>
    </row>
    <row r="66" spans="1:2" x14ac:dyDescent="0.3">
      <c r="A66" s="16" t="s">
        <v>31</v>
      </c>
      <c r="B66" s="12" t="str">
        <f>IF(CHOOSE(CmpChild,Inputs!$C$18,Inputs!$D$18,Inputs!$E$18,Inputs!$F$18)="","",CHOOSE(CmpChild,Inputs!$C$18,Inputs!$D$18,Inputs!$E$18,Inputs!$F$18))</f>
        <v/>
      </c>
    </row>
    <row r="67" spans="1:2" x14ac:dyDescent="0.3">
      <c r="A67" s="16" t="s">
        <v>105</v>
      </c>
      <c r="B67" s="12" t="str">
        <f>IF(CHOOSE(CmpChild,Inputs!$C$15,Inputs!$D$15,Inputs!$E$15,Inputs!$F$15)="","",CHOOSE(CmpChild,Inputs!$C$15,Inputs!$D$15,Inputs!$E$15,Inputs!$F$15))</f>
        <v/>
      </c>
    </row>
    <row r="68" spans="1:2" x14ac:dyDescent="0.3">
      <c r="A68" s="16" t="s">
        <v>106</v>
      </c>
      <c r="B68" s="12">
        <f>IF(CHOOSE(CmpChild,Inputs!$C$19,Inputs!$D$19,Inputs!$E$19,Inputs!$F$19)="","",CHOOSE(CmpChild,Inputs!$C$19,Inputs!$D$19,Inputs!$E$19,Inputs!$F$19))</f>
        <v>18</v>
      </c>
    </row>
    <row r="69" spans="1:2" x14ac:dyDescent="0.3">
      <c r="A69" s="16" t="s">
        <v>107</v>
      </c>
      <c r="B69" s="12" t="str">
        <f>IF($B$65="","",IF(COUNTIF(DomKey,$B$65&amp;"|"&amp;Nationality)&gt;0,"domestic","international"))</f>
        <v>international</v>
      </c>
    </row>
    <row r="70" spans="1:2" x14ac:dyDescent="0.3">
      <c r="A70" s="16" t="s">
        <v>108</v>
      </c>
      <c r="B70" s="12" t="str">
        <f>$B$65&amp;"|"&amp;$B$66&amp;"|"&amp;$B$69</f>
        <v>India||international</v>
      </c>
    </row>
    <row r="71" spans="1:2" x14ac:dyDescent="0.3">
      <c r="A71" s="16" t="s">
        <v>109</v>
      </c>
      <c r="B71" s="12">
        <f>IFERROR(MATCH($B$70,DB_Key,0),0)</f>
        <v>0</v>
      </c>
    </row>
    <row r="72" spans="1:2" x14ac:dyDescent="0.3">
      <c r="A72" s="16" t="s">
        <v>110</v>
      </c>
      <c r="B72" s="12" t="str">
        <f>IFERROR(INDEX(Ctry_Ccy,MATCH($B$65,Ctry_Name,0)),"USD")</f>
        <v>INR</v>
      </c>
    </row>
    <row r="73" spans="1:2" x14ac:dyDescent="0.3">
      <c r="A73" s="16" t="s">
        <v>68</v>
      </c>
      <c r="B73" s="12">
        <f>IF($B$71&gt;0,INDEX(DB_Dur,$B$71),0)</f>
        <v>0</v>
      </c>
    </row>
    <row r="74" spans="1:2" x14ac:dyDescent="0.3">
      <c r="A74" s="16" t="s">
        <v>111</v>
      </c>
      <c r="B74" s="12">
        <f>IF($B$71&gt;0,INDEX(DB_Avail,$B$71),0)</f>
        <v>0</v>
      </c>
    </row>
    <row r="75" spans="1:2" x14ac:dyDescent="0.3">
      <c r="A75" s="16" t="s">
        <v>112</v>
      </c>
      <c r="B75" s="12">
        <f>IF($B$71&gt;0,INDEX(DB_PreYears,$B$71),0)</f>
        <v>0</v>
      </c>
    </row>
    <row r="76" spans="1:2" x14ac:dyDescent="0.3">
      <c r="A76" s="16" t="s">
        <v>113</v>
      </c>
      <c r="B76" s="14">
        <f>IF(ISNUMBER(CHOOSE(CmpChild,Inputs!$C$20,Inputs!$D$20,Inputs!$E$20,Inputs!$F$20)),CHOOSE(CmpChild,Inputs!$C$20,Inputs!$D$20,Inputs!$E$20,Inputs!$F$20),IF($B$71&gt;0,INDEX(DB_TInf,$B$71),0))</f>
        <v>0</v>
      </c>
    </row>
    <row r="77" spans="1:2" x14ac:dyDescent="0.3">
      <c r="A77" s="16" t="s">
        <v>114</v>
      </c>
      <c r="B77" s="14">
        <f>IF(ISNUMBER(CHOOSE(CmpChild,Inputs!$C$21,Inputs!$D$21,Inputs!$E$21,Inputs!$F$21)),CHOOSE(CmpChild,Inputs!$C$21,Inputs!$D$21,Inputs!$E$21,Inputs!$F$21),IFERROR(INDEX(Ctry_LInf,MATCH($B$65,Ctry_Name,0)),0))</f>
        <v>0.06</v>
      </c>
    </row>
    <row r="78" spans="1:2" x14ac:dyDescent="0.3">
      <c r="A78" s="16" t="s">
        <v>115</v>
      </c>
      <c r="B78" s="12">
        <f>IF($B$82=1,MAX(0,$B$68-$B$67),0)</f>
        <v>0</v>
      </c>
    </row>
    <row r="79" spans="1:2" x14ac:dyDescent="0.3">
      <c r="A79" s="16" t="s">
        <v>116</v>
      </c>
      <c r="B79" s="12">
        <f>ROUNDUP($B$73,0)</f>
        <v>0</v>
      </c>
    </row>
    <row r="80" spans="1:2" x14ac:dyDescent="0.3">
      <c r="A80" s="16" t="s">
        <v>117</v>
      </c>
      <c r="B80" s="12">
        <f>IF($B$82=1,$B$78+$B$79,0)</f>
        <v>0</v>
      </c>
    </row>
    <row r="81" spans="1:10" x14ac:dyDescent="0.3">
      <c r="A81" s="16" t="s">
        <v>118</v>
      </c>
      <c r="B81" s="12">
        <f>MAX(0,$B$80-1)</f>
        <v>0</v>
      </c>
    </row>
    <row r="82" spans="1:10" x14ac:dyDescent="0.3">
      <c r="A82" s="16" t="s">
        <v>119</v>
      </c>
      <c r="B82" s="12">
        <f>IF(IFERROR(AND($B$64=1,$B$65&lt;&gt;"",$B$66&lt;&gt;"",$B$74=1,IFERROR(AND(ISNUMBER($B$67),$B$67&gt;=0,$B$67&lt;=18,INT($B$67)=$B$67),FALSE),IFERROR(AND(ISNUMBER($B$68),$B$68&gt;=14,$B$68&lt;=45,INT($B$68)=$B$68),FALSE)),FALSE),1,0)</f>
        <v>0</v>
      </c>
    </row>
    <row r="83" spans="1:10" x14ac:dyDescent="0.3">
      <c r="A83" s="16" t="s">
        <v>70</v>
      </c>
      <c r="B83" s="12" t="str">
        <f>IF($B$64&lt;&gt;1,"",IF(AND($B$67="",$B$65="",$B$66=""),"Enter this child's details on the Inputs sheet.",IF(NOT(IFERROR(AND(ISNUMBER($B$67),$B$67&gt;=0,$B$67&lt;=18,INT($B$67)=$B$67),FALSE)),"Choose the child's current age (0 to 18).",IF(NOT(IFERROR(AND(ISNUMBER($B$68),$B$68&gt;=14,$B$68&lt;=45,INT($B$68)=$B$68),FALSE)),"College-entry age must be a whole number from 14 to 45.",IF($B$65="","Choose the education country.",IF($B$66="","Choose the qualification.",IF($B$74&lt;&gt;1,"This qualification is not offered (or has no typical duration) in the selected country.","")))))))</f>
        <v>Choose the child's current age (0 to 18).</v>
      </c>
    </row>
    <row r="84" spans="1:10" x14ac:dyDescent="0.3">
      <c r="A84" s="16" t="s">
        <v>120</v>
      </c>
      <c r="B84" s="12">
        <f>INDEX(FxUsed,MATCH(RepCcy,FxCodes,0))/INDEX(FxUsed,MATCH($B$72,FxCodes,0))</f>
        <v>1.0381132913797149E-2</v>
      </c>
    </row>
    <row r="85" spans="1:10" x14ac:dyDescent="0.3">
      <c r="A85" s="16" t="s">
        <v>121</v>
      </c>
      <c r="B85" s="12">
        <f>IF($B$71=0,0,COUNTIF(RecKey,$B$70))</f>
        <v>0</v>
      </c>
    </row>
    <row r="86" spans="1:10" x14ac:dyDescent="0.3">
      <c r="A86" s="16" t="s">
        <v>122</v>
      </c>
      <c r="B86" s="12" t="str">
        <f>IF($B$85&gt;0,INDEX(DB_RecCcy,$B$71),IF($B$71&gt;0,INDEX(DB_EstCcy,$B$71),$B$72))</f>
        <v>INR</v>
      </c>
    </row>
    <row r="87" spans="1:10" x14ac:dyDescent="0.3">
      <c r="A87" s="16" t="s">
        <v>123</v>
      </c>
      <c r="B87" s="12">
        <f>IFERROR(MATCH($B$65&amp;"|"&amp;$B$69,LivKey,0),0)</f>
        <v>4</v>
      </c>
    </row>
    <row r="88" spans="1:10" x14ac:dyDescent="0.3">
      <c r="A88" s="16" t="s">
        <v>124</v>
      </c>
      <c r="B88" s="12">
        <f>IFERROR(MATCH($B$65&amp;"|"&amp;Nationality,VisaKey,0),0)</f>
        <v>71</v>
      </c>
    </row>
    <row r="89" spans="1:10" x14ac:dyDescent="0.3">
      <c r="A89" s="16" t="s">
        <v>125</v>
      </c>
      <c r="B89" s="12">
        <f>IFERROR(MATCH($B$65&amp;"|"&amp;Residence,TravKey,0),0)</f>
        <v>71</v>
      </c>
    </row>
    <row r="91" spans="1:10" ht="79.2" x14ac:dyDescent="0.3">
      <c r="A91" s="22" t="s">
        <v>126</v>
      </c>
      <c r="B91" s="22" t="s">
        <v>127</v>
      </c>
      <c r="C91" s="22" t="s">
        <v>128</v>
      </c>
      <c r="D91" s="22" t="s">
        <v>129</v>
      </c>
      <c r="E91" s="22" t="s">
        <v>130</v>
      </c>
      <c r="F91" s="22" t="s">
        <v>131</v>
      </c>
      <c r="G91" s="22" t="s">
        <v>132</v>
      </c>
      <c r="H91" s="22" t="s">
        <v>133</v>
      </c>
      <c r="I91" s="22" t="s">
        <v>134</v>
      </c>
      <c r="J91" s="22" t="s">
        <v>135</v>
      </c>
    </row>
    <row r="92" spans="1:10" x14ac:dyDescent="0.3">
      <c r="A92" s="16" t="s">
        <v>36</v>
      </c>
      <c r="B92" s="25">
        <f>IF($B$71=0,0,(IF($B$85&gt;0,SUMPRODUCT((RecKey=$B$70)*RecTuition*(1+$B$76)^(PlanYear-RecYear))/$B$85,INDEX(DB_EstTuition,$B$71)))/INDEX(FxUsed,MATCH($B$86,FxCodes,0))*INDEX(FxUsed,MATCH($B$72,FxCodes,0)))</f>
        <v>0</v>
      </c>
      <c r="C92" s="21"/>
      <c r="D92" s="25">
        <f t="shared" ref="D92:D103" si="29">IF(ISNUMBER(C92),IF(C92&gt;=0,C92,B92),B92)</f>
        <v>0</v>
      </c>
      <c r="E92" s="12">
        <f>IF(ISNUMBER(C92),PlanYear,IF($B$85&gt;0,PlanYear,IF($B$71&gt;0,INDEX(DB_EstBase,$B$71),PlanYear)))</f>
        <v>2026</v>
      </c>
      <c r="F92" s="12" t="str">
        <f>IF(ISNUMBER(C92),"override",IF($B$71=0,"missing",IF($B$85&gt;0,"verified",INDEX(DB_EstStatus,$B$71))))</f>
        <v>missing</v>
      </c>
      <c r="G92" s="16" t="str">
        <f t="shared" ref="G92:G103" si="30">IF(F92="verified","Published figure",IF(F92="estimated","Estimated — please review",IF(F92="notNeeded","Not needed",IF(F92="override","Your figure",IF(F92="missing","No figure yet — enter your own","")))))</f>
        <v>No figure yet — enter your own</v>
      </c>
      <c r="H92" s="16" t="s">
        <v>136</v>
      </c>
      <c r="I92" s="16" t="s">
        <v>137</v>
      </c>
      <c r="J92" s="16" t="s">
        <v>138</v>
      </c>
    </row>
    <row r="93" spans="1:10" x14ac:dyDescent="0.3">
      <c r="A93" s="16" t="s">
        <v>37</v>
      </c>
      <c r="B93" s="25">
        <f>IF($B$87=0,0,(INDEX(Liv_accommodation_Amt,$B$87))/INDEX(FxUsed,MATCH(INDEX(Liv_accommodation_Ccy,$B$87),FxCodes,0))*INDEX(FxUsed,MATCH($B$72,FxCodes,0)))</f>
        <v>68000</v>
      </c>
      <c r="C93" s="21"/>
      <c r="D93" s="25">
        <f t="shared" si="29"/>
        <v>68000</v>
      </c>
      <c r="E93" s="12">
        <f>IF(ISNUMBER(C93),PlanYear,IF($B$87=0,PlanYear,INDEX(Liv_accommodation_Base,$B$87)))</f>
        <v>2024</v>
      </c>
      <c r="F93" s="12" t="str">
        <f>IF(ISNUMBER(C93),"override",IF($B$87=0,"missing",INDEX(Liv_accommodation_Status,$B$87)))</f>
        <v>verified</v>
      </c>
      <c r="G93" s="16" t="str">
        <f t="shared" si="30"/>
        <v>Published figure</v>
      </c>
      <c r="H93" s="16" t="s">
        <v>139</v>
      </c>
      <c r="I93" s="16" t="s">
        <v>137</v>
      </c>
      <c r="J93" s="16" t="s">
        <v>138</v>
      </c>
    </row>
    <row r="94" spans="1:10" x14ac:dyDescent="0.3">
      <c r="A94" s="16" t="s">
        <v>38</v>
      </c>
      <c r="B94" s="25">
        <f>IF($B$87=0,0,(INDEX(Liv_food_Amt,$B$87))/INDEX(FxUsed,MATCH(INDEX(Liv_food_Ccy,$B$87),FxCodes,0))*INDEX(FxUsed,MATCH($B$72,FxCodes,0)))</f>
        <v>50000</v>
      </c>
      <c r="C94" s="21"/>
      <c r="D94" s="25">
        <f t="shared" si="29"/>
        <v>50000</v>
      </c>
      <c r="E94" s="12">
        <f>IF(ISNUMBER(C94),PlanYear,IF($B$87=0,PlanYear,INDEX(Liv_food_Base,$B$87)))</f>
        <v>2024</v>
      </c>
      <c r="F94" s="12" t="str">
        <f>IF(ISNUMBER(C94),"override",IF($B$87=0,"missing",INDEX(Liv_food_Status,$B$87)))</f>
        <v>estimated</v>
      </c>
      <c r="G94" s="16" t="str">
        <f t="shared" si="30"/>
        <v>Estimated — please review</v>
      </c>
      <c r="H94" s="16" t="s">
        <v>139</v>
      </c>
      <c r="I94" s="16" t="s">
        <v>137</v>
      </c>
      <c r="J94" s="16" t="s">
        <v>138</v>
      </c>
    </row>
    <row r="95" spans="1:10" x14ac:dyDescent="0.3">
      <c r="A95" s="16" t="s">
        <v>39</v>
      </c>
      <c r="B95" s="25">
        <f>IF($B$87=0,0,(INDEX(Liv_transport_Amt,$B$87))/INDEX(FxUsed,MATCH(INDEX(Liv_transport_Ccy,$B$87),FxCodes,0))*INDEX(FxUsed,MATCH($B$72,FxCodes,0)))</f>
        <v>18000</v>
      </c>
      <c r="C95" s="21"/>
      <c r="D95" s="25">
        <f t="shared" si="29"/>
        <v>18000</v>
      </c>
      <c r="E95" s="12">
        <f>IF(ISNUMBER(C95),PlanYear,IF($B$87=0,PlanYear,INDEX(Liv_transport_Base,$B$87)))</f>
        <v>2024</v>
      </c>
      <c r="F95" s="12" t="str">
        <f>IF(ISNUMBER(C95),"override",IF($B$87=0,"missing",INDEX(Liv_transport_Status,$B$87)))</f>
        <v>estimated</v>
      </c>
      <c r="G95" s="16" t="str">
        <f t="shared" si="30"/>
        <v>Estimated — please review</v>
      </c>
      <c r="H95" s="16" t="s">
        <v>139</v>
      </c>
      <c r="I95" s="16" t="s">
        <v>137</v>
      </c>
      <c r="J95" s="16" t="s">
        <v>138</v>
      </c>
    </row>
    <row r="96" spans="1:10" x14ac:dyDescent="0.3">
      <c r="A96" s="16" t="s">
        <v>40</v>
      </c>
      <c r="B96" s="25">
        <f>IF($B$87=0,0,(INDEX(Liv_healthInsurance_Amt,$B$87))/INDEX(FxUsed,MATCH(INDEX(Liv_healthInsurance_Ccy,$B$87),FxCodes,0))*INDEX(FxUsed,MATCH($B$72,FxCodes,0)))</f>
        <v>10000</v>
      </c>
      <c r="C96" s="21"/>
      <c r="D96" s="25">
        <f t="shared" si="29"/>
        <v>10000</v>
      </c>
      <c r="E96" s="12">
        <f>IF(ISNUMBER(C96),PlanYear,IF($B$87=0,PlanYear,INDEX(Liv_healthInsurance_Base,$B$87)))</f>
        <v>2024</v>
      </c>
      <c r="F96" s="12" t="str">
        <f>IF(ISNUMBER(C96),"override",IF($B$87=0,"missing",INDEX(Liv_healthInsurance_Status,$B$87)))</f>
        <v>estimated</v>
      </c>
      <c r="G96" s="16" t="str">
        <f t="shared" si="30"/>
        <v>Estimated — please review</v>
      </c>
      <c r="H96" s="16" t="s">
        <v>139</v>
      </c>
      <c r="I96" s="16" t="s">
        <v>137</v>
      </c>
      <c r="J96" s="16" t="s">
        <v>138</v>
      </c>
    </row>
    <row r="97" spans="1:27" x14ac:dyDescent="0.3">
      <c r="A97" s="16" t="s">
        <v>41</v>
      </c>
      <c r="B97" s="25">
        <f>IF($B$87=0,0,(INDEX(Liv_books_Amt,$B$87))/INDEX(FxUsed,MATCH(INDEX(Liv_books_Ccy,$B$87),FxCodes,0))*INDEX(FxUsed,MATCH($B$72,FxCodes,0)))</f>
        <v>10000</v>
      </c>
      <c r="C97" s="21"/>
      <c r="D97" s="25">
        <f t="shared" si="29"/>
        <v>10000</v>
      </c>
      <c r="E97" s="12">
        <f>IF(ISNUMBER(C97),PlanYear,IF($B$87=0,PlanYear,INDEX(Liv_books_Base,$B$87)))</f>
        <v>2024</v>
      </c>
      <c r="F97" s="12" t="str">
        <f>IF(ISNUMBER(C97),"override",IF($B$87=0,"missing",INDEX(Liv_books_Status,$B$87)))</f>
        <v>estimated</v>
      </c>
      <c r="G97" s="16" t="str">
        <f t="shared" si="30"/>
        <v>Estimated — please review</v>
      </c>
      <c r="H97" s="16" t="s">
        <v>139</v>
      </c>
      <c r="I97" s="16" t="s">
        <v>137</v>
      </c>
      <c r="J97" s="16" t="s">
        <v>138</v>
      </c>
    </row>
    <row r="98" spans="1:27" x14ac:dyDescent="0.3">
      <c r="A98" s="16" t="s">
        <v>42</v>
      </c>
      <c r="B98" s="25">
        <f>IF($B$71=0,0,(IF($B$85&gt;0,SUMPRODUCT((RecKey=$B$70)*RecOther*(1+$B$76)^(PlanYear-RecYear))/$B$85,INDEX(DB_EstOther,$B$71)))/INDEX(FxUsed,MATCH($B$86,FxCodes,0))*INDEX(FxUsed,MATCH($B$72,FxCodes,0)))</f>
        <v>0</v>
      </c>
      <c r="C98" s="21"/>
      <c r="D98" s="25">
        <f t="shared" si="29"/>
        <v>0</v>
      </c>
      <c r="E98" s="12">
        <f>IF(ISNUMBER(C98),PlanYear,IF($B$85&gt;0,PlanYear,IF($B$71&gt;0,INDEX(DB_EstBase,$B$71),PlanYear)))</f>
        <v>2026</v>
      </c>
      <c r="F98" s="12" t="str">
        <f>IF(ISNUMBER(C98),"override",IF($B$71=0,"missing",IF($B$85&gt;0,"verified",INDEX(DB_EstStatus,$B$71))))</f>
        <v>missing</v>
      </c>
      <c r="G98" s="16" t="str">
        <f t="shared" si="30"/>
        <v>No figure yet — enter your own</v>
      </c>
      <c r="H98" s="16" t="s">
        <v>136</v>
      </c>
      <c r="I98" s="16" t="s">
        <v>137</v>
      </c>
      <c r="J98" s="16" t="s">
        <v>138</v>
      </c>
    </row>
    <row r="99" spans="1:27" x14ac:dyDescent="0.3">
      <c r="A99" s="16" t="s">
        <v>140</v>
      </c>
      <c r="B99" s="25">
        <f>IF($B$75&gt;0,IF($B$75&gt;0,(INDEX(DB_PreAdm,$B$71))/INDEX(FxUsed,MATCH(INDEX(DB_PreCcy,$B$71),FxCodes,0))*INDEX(FxUsed,MATCH($B$72,FxCodes,0)),0),IF($B$71=0,0,(IF($B$85&gt;0,SUMPRODUCT((RecKey=$B$70)*RecAdm*(1+$B$76)^(PlanYear-RecYear))/$B$85,INDEX(DB_EstAdm,$B$71)))/INDEX(FxUsed,MATCH($B$86,FxCodes,0))*INDEX(FxUsed,MATCH($B$72,FxCodes,0))))</f>
        <v>0</v>
      </c>
      <c r="C99" s="21"/>
      <c r="D99" s="25">
        <f t="shared" si="29"/>
        <v>0</v>
      </c>
      <c r="E99" s="12">
        <f>IF(ISNUMBER(C99),PlanYear,IF($B$75&gt;0,INDEX(DB_PreBase,$B$71),IF($B$85&gt;0,PlanYear,IF($B$71&gt;0,INDEX(DB_EstBase,$B$71),PlanYear))))</f>
        <v>2026</v>
      </c>
      <c r="F99" s="12" t="str">
        <f>IF(ISNUMBER(C99),"override",IF($B$75&gt;0,INDEX(DB_PreStatus,$B$71),IF($B$71=0,"missing",IF($B$85&gt;0,"verified",INDEX(DB_EstStatus,$B$71)))))</f>
        <v>missing</v>
      </c>
      <c r="G99" s="16" t="str">
        <f t="shared" si="30"/>
        <v>No figure yet — enter your own</v>
      </c>
      <c r="H99" s="16" t="s">
        <v>136</v>
      </c>
      <c r="I99" s="16" t="s">
        <v>141</v>
      </c>
      <c r="J99" s="16" t="s">
        <v>138</v>
      </c>
    </row>
    <row r="100" spans="1:27" x14ac:dyDescent="0.3">
      <c r="A100" s="16" t="s">
        <v>142</v>
      </c>
      <c r="B100" s="25">
        <f>IF(OR($B$88=0,AND($B$69&lt;&gt;"domestic",Residence=$B$65,COUNTIF(ResNoVisa,$B$65)&gt;0)),0,(INDEX(VisaAmt,$B$88))/INDEX(FxUsed,MATCH(INDEX(VisaCcy,$B$88),FxCodes,0))*INDEX(FxUsed,MATCH($B$72,FxCodes,0)))</f>
        <v>9632.8599999999988</v>
      </c>
      <c r="C100" s="21"/>
      <c r="D100" s="25">
        <f t="shared" si="29"/>
        <v>9632.8599999999988</v>
      </c>
      <c r="E100" s="12">
        <f>IF(ISNUMBER(C100),PlanYear,IF(OR($B$88=0,AND($B$69&lt;&gt;"domestic",Residence=$B$65,COUNTIF(ResNoVisa,$B$65)&gt;0)),PlanYear,INDEX(VisaBase,$B$88)))</f>
        <v>2026</v>
      </c>
      <c r="F100" s="12" t="str">
        <f>IF(ISNUMBER(C100),"override",IF(AND($B$69&lt;&gt;"domestic",Residence=$B$65,COUNTIF(ResNoVisa,$B$65)&gt;0),"notNeeded",IF($B$88=0,"missing",INDEX(VisaStatus,$B$88))))</f>
        <v>estimated</v>
      </c>
      <c r="G100" s="16" t="str">
        <f t="shared" si="30"/>
        <v>Estimated — please review</v>
      </c>
      <c r="H100" s="16" t="s">
        <v>139</v>
      </c>
      <c r="I100" s="16" t="s">
        <v>141</v>
      </c>
      <c r="J100" s="16" t="s">
        <v>143</v>
      </c>
    </row>
    <row r="101" spans="1:27" x14ac:dyDescent="0.3">
      <c r="A101" s="16" t="s">
        <v>144</v>
      </c>
      <c r="B101" s="25">
        <f>IF($B$89=0,0,(INDEX(TravAmt,$B$89))/INDEX(FxUsed,MATCH(INDEX(TravCcy,$B$89),FxCodes,0))*INDEX(FxUsed,MATCH($B$72,FxCodes,0)))</f>
        <v>72246.45</v>
      </c>
      <c r="C101" s="21"/>
      <c r="D101" s="25">
        <f t="shared" si="29"/>
        <v>72246.45</v>
      </c>
      <c r="E101" s="12">
        <f>IF(ISNUMBER(C101),PlanYear,IF($B$89=0,PlanYear,INDEX(TravBase,$B$89)))</f>
        <v>2026</v>
      </c>
      <c r="F101" s="12" t="str">
        <f>IF(ISNUMBER(C101),"override",IF($B$89=0,"missing",INDEX(TravStatus,$B$89)))</f>
        <v>estimated</v>
      </c>
      <c r="G101" s="16" t="str">
        <f t="shared" si="30"/>
        <v>Estimated — please review</v>
      </c>
      <c r="H101" s="16" t="s">
        <v>139</v>
      </c>
      <c r="I101" s="16" t="s">
        <v>141</v>
      </c>
      <c r="J101" s="16" t="s">
        <v>143</v>
      </c>
    </row>
    <row r="102" spans="1:27" x14ac:dyDescent="0.3">
      <c r="A102" s="16" t="s">
        <v>46</v>
      </c>
      <c r="B102" s="25">
        <f>IF($B$75&gt;0,(INDEX(DB_PreTuition,$B$71))/INDEX(FxUsed,MATCH(INDEX(DB_PreCcy,$B$71),FxCodes,0))*INDEX(FxUsed,MATCH($B$72,FxCodes,0)),0)</f>
        <v>0</v>
      </c>
      <c r="C102" s="21"/>
      <c r="D102" s="25">
        <f t="shared" si="29"/>
        <v>0</v>
      </c>
      <c r="E102" s="12">
        <f>IF(ISNUMBER(C102),PlanYear,IF($B$75&gt;0,INDEX(DB_PreBase,$B$71),PlanYear))</f>
        <v>2026</v>
      </c>
      <c r="F102" s="12" t="str">
        <f>IF(ISNUMBER(C102),"override",IF($B$75&gt;0,INDEX(DB_PreStatus,$B$71),""))</f>
        <v/>
      </c>
      <c r="G102" s="16" t="str">
        <f t="shared" si="30"/>
        <v/>
      </c>
      <c r="H102" s="16" t="s">
        <v>136</v>
      </c>
      <c r="I102" s="16" t="s">
        <v>137</v>
      </c>
      <c r="J102" s="16" t="s">
        <v>138</v>
      </c>
    </row>
    <row r="103" spans="1:27" x14ac:dyDescent="0.3">
      <c r="A103" s="16" t="s">
        <v>47</v>
      </c>
      <c r="B103" s="25">
        <f>IF($B$75&gt;0,(INDEX(DB_PreOther,$B$71))/INDEX(FxUsed,MATCH(INDEX(DB_PreCcy,$B$71),FxCodes,0))*INDEX(FxUsed,MATCH($B$72,FxCodes,0)),0)</f>
        <v>0</v>
      </c>
      <c r="C103" s="21"/>
      <c r="D103" s="25">
        <f t="shared" si="29"/>
        <v>0</v>
      </c>
      <c r="E103" s="12">
        <f>IF(ISNUMBER(C103),PlanYear,IF($B$75&gt;0,INDEX(DB_PreBase,$B$71),PlanYear))</f>
        <v>2026</v>
      </c>
      <c r="F103" s="12" t="str">
        <f>IF(ISNUMBER(C103),"override",IF($B$75&gt;0,INDEX(DB_PreStatus,$B$71),""))</f>
        <v/>
      </c>
      <c r="G103" s="16" t="str">
        <f t="shared" si="30"/>
        <v/>
      </c>
      <c r="H103" s="16" t="s">
        <v>136</v>
      </c>
      <c r="I103" s="16" t="s">
        <v>137</v>
      </c>
      <c r="J103" s="16" t="s">
        <v>138</v>
      </c>
    </row>
    <row r="105" spans="1:27" ht="79.2" x14ac:dyDescent="0.3">
      <c r="A105" s="22" t="s">
        <v>145</v>
      </c>
      <c r="B105" s="22" t="s">
        <v>146</v>
      </c>
      <c r="C105" s="22" t="s">
        <v>147</v>
      </c>
      <c r="D105" s="22" t="s">
        <v>148</v>
      </c>
      <c r="E105" s="22" t="s">
        <v>149</v>
      </c>
      <c r="F105" s="22" t="s">
        <v>150</v>
      </c>
      <c r="G105" s="22" t="s">
        <v>151</v>
      </c>
      <c r="H105" s="22" t="s">
        <v>152</v>
      </c>
      <c r="I105" s="22" t="s">
        <v>153</v>
      </c>
      <c r="J105" s="22" t="s">
        <v>154</v>
      </c>
      <c r="K105" s="22" t="s">
        <v>155</v>
      </c>
      <c r="L105" s="22" t="s">
        <v>156</v>
      </c>
      <c r="M105" s="22" t="s">
        <v>157</v>
      </c>
      <c r="N105" s="22" t="s">
        <v>158</v>
      </c>
      <c r="O105" s="22" t="s">
        <v>159</v>
      </c>
      <c r="P105" s="22" t="s">
        <v>36</v>
      </c>
      <c r="Q105" s="22" t="s">
        <v>37</v>
      </c>
      <c r="R105" s="22" t="s">
        <v>38</v>
      </c>
      <c r="S105" s="22" t="s">
        <v>39</v>
      </c>
      <c r="T105" s="22" t="s">
        <v>40</v>
      </c>
      <c r="U105" s="22" t="s">
        <v>41</v>
      </c>
      <c r="V105" s="22" t="s">
        <v>42</v>
      </c>
      <c r="W105" s="22" t="s">
        <v>140</v>
      </c>
      <c r="X105" s="22" t="s">
        <v>142</v>
      </c>
      <c r="Y105" s="22" t="s">
        <v>144</v>
      </c>
      <c r="Z105" s="22" t="s">
        <v>83</v>
      </c>
      <c r="AA105" s="22" t="s">
        <v>160</v>
      </c>
    </row>
    <row r="106" spans="1:27" x14ac:dyDescent="0.3">
      <c r="A106" s="16">
        <v>0</v>
      </c>
      <c r="B106" s="16">
        <f t="shared" ref="B106:B115" si="31">PlanYear+$B$78+A106</f>
        <v>2026</v>
      </c>
      <c r="C106" s="16">
        <f t="shared" ref="C106:C115" si="32">MAX(0,MIN(1,$B$73-A106))</f>
        <v>0</v>
      </c>
      <c r="D106" s="16">
        <f t="shared" ref="D106:D115" si="33">IF(A106&lt;$B$75,1,0)</f>
        <v>0</v>
      </c>
      <c r="E106" s="16">
        <f t="shared" ref="E106:E115" si="34">IF(AND($B$82=1,A106&lt;$B$79),1,0)</f>
        <v>0</v>
      </c>
      <c r="F106" s="21">
        <f t="shared" ref="F106:F115" si="35">IF(AND(E106=1),IF(D106=1,$D$102,$D$92)*(1+$B$76)^(B106-IF(D106=1,$E$102,$E$92))*C106*$B$84,0)</f>
        <v>0</v>
      </c>
      <c r="G106" s="21">
        <f t="shared" ref="G106:G115" si="36">IF(AND(E106=1),$D$93*(1+$B$77)^(B106-$E$93)*C106*$B$84,0)</f>
        <v>0</v>
      </c>
      <c r="H106" s="21">
        <f t="shared" ref="H106:H115" si="37">IF(AND(E106=1),$D$94*(1+$B$77)^(B106-$E$94)*C106*$B$84,0)</f>
        <v>0</v>
      </c>
      <c r="I106" s="21">
        <f t="shared" ref="I106:I115" si="38">IF(AND(E106=1),$D$95*(1+$B$77)^(B106-$E$95)*C106*$B$84,0)</f>
        <v>0</v>
      </c>
      <c r="J106" s="21">
        <f t="shared" ref="J106:J115" si="39">IF(AND(E106=1),$D$96*(1+$B$77)^(B106-$E$96)*C106*$B$84,0)</f>
        <v>0</v>
      </c>
      <c r="K106" s="21">
        <f t="shared" ref="K106:K115" si="40">IF(AND(E106=1),$D$97*(1+$B$77)^(B106-$E$97)*C106*$B$84,0)</f>
        <v>0</v>
      </c>
      <c r="L106" s="21">
        <f t="shared" ref="L106:L115" si="41">IF(AND(E106=1),IF(D106=1,$D$103,$D$98)*(1+$B$76)^(B106-IF(D106=1,$E$103,$E$98))*C106*$B$84,0)</f>
        <v>0</v>
      </c>
      <c r="M106" s="21">
        <f t="shared" ref="M106:M115" si="42">IF(AND(E106=1,A106=0),$D$99*(1+$B$76)^(B106-$E$99)*$B$84,0)</f>
        <v>0</v>
      </c>
      <c r="N106" s="21">
        <f t="shared" ref="N106:N115" si="43">IF(AND(E106=1,A106=0),$D$100*(1+$B$77)^(B106-$E$100)*$B$84,0)</f>
        <v>0</v>
      </c>
      <c r="O106" s="21">
        <f t="shared" ref="O106:O115" si="44">IF(AND(E106=1,A106=0),$D$101*(1+$B$77)^(B106-$E$101)*$B$84,0)</f>
        <v>0</v>
      </c>
      <c r="P106" s="21">
        <f t="shared" ref="P106:P115" si="45">F106*(1-Coverage)</f>
        <v>0</v>
      </c>
      <c r="Q106" s="21">
        <f t="shared" ref="Q106:Q115" si="46">G106*(1-Coverage)</f>
        <v>0</v>
      </c>
      <c r="R106" s="21">
        <f t="shared" ref="R106:R115" si="47">H106*(1-Coverage)</f>
        <v>0</v>
      </c>
      <c r="S106" s="21">
        <f t="shared" ref="S106:S115" si="48">I106*(1-Coverage)</f>
        <v>0</v>
      </c>
      <c r="T106" s="21">
        <f t="shared" ref="T106:T115" si="49">J106*(1-Coverage)</f>
        <v>0</v>
      </c>
      <c r="U106" s="21">
        <f t="shared" ref="U106:U115" si="50">K106*(1-Coverage)</f>
        <v>0</v>
      </c>
      <c r="V106" s="21">
        <f t="shared" ref="V106:V115" si="51">L106*(1-Coverage)</f>
        <v>0</v>
      </c>
      <c r="W106" s="21">
        <f t="shared" ref="W106:W115" si="52">M106*(1-Coverage)</f>
        <v>0</v>
      </c>
      <c r="X106" s="21">
        <f t="shared" ref="X106:X115" si="53">N106*1</f>
        <v>0</v>
      </c>
      <c r="Y106" s="21">
        <f t="shared" ref="Y106:Y115" si="54">O106*1</f>
        <v>0</v>
      </c>
      <c r="Z106" s="20">
        <f t="shared" ref="Z106:Z115" si="55">SUM(P106:Y106)</f>
        <v>0</v>
      </c>
      <c r="AA106" s="21">
        <f t="shared" ref="AA106:AA115" si="56">SUM(F106:O106)</f>
        <v>0</v>
      </c>
    </row>
    <row r="107" spans="1:27" x14ac:dyDescent="0.3">
      <c r="A107" s="16">
        <v>1</v>
      </c>
      <c r="B107" s="16">
        <f t="shared" si="31"/>
        <v>2027</v>
      </c>
      <c r="C107" s="16">
        <f t="shared" si="32"/>
        <v>0</v>
      </c>
      <c r="D107" s="16">
        <f t="shared" si="33"/>
        <v>0</v>
      </c>
      <c r="E107" s="16">
        <f t="shared" si="34"/>
        <v>0</v>
      </c>
      <c r="F107" s="21">
        <f t="shared" si="35"/>
        <v>0</v>
      </c>
      <c r="G107" s="21">
        <f t="shared" si="36"/>
        <v>0</v>
      </c>
      <c r="H107" s="21">
        <f t="shared" si="37"/>
        <v>0</v>
      </c>
      <c r="I107" s="21">
        <f t="shared" si="38"/>
        <v>0</v>
      </c>
      <c r="J107" s="21">
        <f t="shared" si="39"/>
        <v>0</v>
      </c>
      <c r="K107" s="21">
        <f t="shared" si="40"/>
        <v>0</v>
      </c>
      <c r="L107" s="21">
        <f t="shared" si="41"/>
        <v>0</v>
      </c>
      <c r="M107" s="21">
        <f t="shared" si="42"/>
        <v>0</v>
      </c>
      <c r="N107" s="21">
        <f t="shared" si="43"/>
        <v>0</v>
      </c>
      <c r="O107" s="21">
        <f t="shared" si="44"/>
        <v>0</v>
      </c>
      <c r="P107" s="21">
        <f t="shared" si="45"/>
        <v>0</v>
      </c>
      <c r="Q107" s="21">
        <f t="shared" si="46"/>
        <v>0</v>
      </c>
      <c r="R107" s="21">
        <f t="shared" si="47"/>
        <v>0</v>
      </c>
      <c r="S107" s="21">
        <f t="shared" si="48"/>
        <v>0</v>
      </c>
      <c r="T107" s="21">
        <f t="shared" si="49"/>
        <v>0</v>
      </c>
      <c r="U107" s="21">
        <f t="shared" si="50"/>
        <v>0</v>
      </c>
      <c r="V107" s="21">
        <f t="shared" si="51"/>
        <v>0</v>
      </c>
      <c r="W107" s="21">
        <f t="shared" si="52"/>
        <v>0</v>
      </c>
      <c r="X107" s="21">
        <f t="shared" si="53"/>
        <v>0</v>
      </c>
      <c r="Y107" s="21">
        <f t="shared" si="54"/>
        <v>0</v>
      </c>
      <c r="Z107" s="20">
        <f t="shared" si="55"/>
        <v>0</v>
      </c>
      <c r="AA107" s="21">
        <f t="shared" si="56"/>
        <v>0</v>
      </c>
    </row>
    <row r="108" spans="1:27" x14ac:dyDescent="0.3">
      <c r="A108" s="16">
        <v>2</v>
      </c>
      <c r="B108" s="16">
        <f t="shared" si="31"/>
        <v>2028</v>
      </c>
      <c r="C108" s="16">
        <f t="shared" si="32"/>
        <v>0</v>
      </c>
      <c r="D108" s="16">
        <f t="shared" si="33"/>
        <v>0</v>
      </c>
      <c r="E108" s="16">
        <f t="shared" si="34"/>
        <v>0</v>
      </c>
      <c r="F108" s="21">
        <f t="shared" si="35"/>
        <v>0</v>
      </c>
      <c r="G108" s="21">
        <f t="shared" si="36"/>
        <v>0</v>
      </c>
      <c r="H108" s="21">
        <f t="shared" si="37"/>
        <v>0</v>
      </c>
      <c r="I108" s="21">
        <f t="shared" si="38"/>
        <v>0</v>
      </c>
      <c r="J108" s="21">
        <f t="shared" si="39"/>
        <v>0</v>
      </c>
      <c r="K108" s="21">
        <f t="shared" si="40"/>
        <v>0</v>
      </c>
      <c r="L108" s="21">
        <f t="shared" si="41"/>
        <v>0</v>
      </c>
      <c r="M108" s="21">
        <f t="shared" si="42"/>
        <v>0</v>
      </c>
      <c r="N108" s="21">
        <f t="shared" si="43"/>
        <v>0</v>
      </c>
      <c r="O108" s="21">
        <f t="shared" si="44"/>
        <v>0</v>
      </c>
      <c r="P108" s="21">
        <f t="shared" si="45"/>
        <v>0</v>
      </c>
      <c r="Q108" s="21">
        <f t="shared" si="46"/>
        <v>0</v>
      </c>
      <c r="R108" s="21">
        <f t="shared" si="47"/>
        <v>0</v>
      </c>
      <c r="S108" s="21">
        <f t="shared" si="48"/>
        <v>0</v>
      </c>
      <c r="T108" s="21">
        <f t="shared" si="49"/>
        <v>0</v>
      </c>
      <c r="U108" s="21">
        <f t="shared" si="50"/>
        <v>0</v>
      </c>
      <c r="V108" s="21">
        <f t="shared" si="51"/>
        <v>0</v>
      </c>
      <c r="W108" s="21">
        <f t="shared" si="52"/>
        <v>0</v>
      </c>
      <c r="X108" s="21">
        <f t="shared" si="53"/>
        <v>0</v>
      </c>
      <c r="Y108" s="21">
        <f t="shared" si="54"/>
        <v>0</v>
      </c>
      <c r="Z108" s="20">
        <f t="shared" si="55"/>
        <v>0</v>
      </c>
      <c r="AA108" s="21">
        <f t="shared" si="56"/>
        <v>0</v>
      </c>
    </row>
    <row r="109" spans="1:27" x14ac:dyDescent="0.3">
      <c r="A109" s="16">
        <v>3</v>
      </c>
      <c r="B109" s="16">
        <f t="shared" si="31"/>
        <v>2029</v>
      </c>
      <c r="C109" s="16">
        <f t="shared" si="32"/>
        <v>0</v>
      </c>
      <c r="D109" s="16">
        <f t="shared" si="33"/>
        <v>0</v>
      </c>
      <c r="E109" s="16">
        <f t="shared" si="34"/>
        <v>0</v>
      </c>
      <c r="F109" s="21">
        <f t="shared" si="35"/>
        <v>0</v>
      </c>
      <c r="G109" s="21">
        <f t="shared" si="36"/>
        <v>0</v>
      </c>
      <c r="H109" s="21">
        <f t="shared" si="37"/>
        <v>0</v>
      </c>
      <c r="I109" s="21">
        <f t="shared" si="38"/>
        <v>0</v>
      </c>
      <c r="J109" s="21">
        <f t="shared" si="39"/>
        <v>0</v>
      </c>
      <c r="K109" s="21">
        <f t="shared" si="40"/>
        <v>0</v>
      </c>
      <c r="L109" s="21">
        <f t="shared" si="41"/>
        <v>0</v>
      </c>
      <c r="M109" s="21">
        <f t="shared" si="42"/>
        <v>0</v>
      </c>
      <c r="N109" s="21">
        <f t="shared" si="43"/>
        <v>0</v>
      </c>
      <c r="O109" s="21">
        <f t="shared" si="44"/>
        <v>0</v>
      </c>
      <c r="P109" s="21">
        <f t="shared" si="45"/>
        <v>0</v>
      </c>
      <c r="Q109" s="21">
        <f t="shared" si="46"/>
        <v>0</v>
      </c>
      <c r="R109" s="21">
        <f t="shared" si="47"/>
        <v>0</v>
      </c>
      <c r="S109" s="21">
        <f t="shared" si="48"/>
        <v>0</v>
      </c>
      <c r="T109" s="21">
        <f t="shared" si="49"/>
        <v>0</v>
      </c>
      <c r="U109" s="21">
        <f t="shared" si="50"/>
        <v>0</v>
      </c>
      <c r="V109" s="21">
        <f t="shared" si="51"/>
        <v>0</v>
      </c>
      <c r="W109" s="21">
        <f t="shared" si="52"/>
        <v>0</v>
      </c>
      <c r="X109" s="21">
        <f t="shared" si="53"/>
        <v>0</v>
      </c>
      <c r="Y109" s="21">
        <f t="shared" si="54"/>
        <v>0</v>
      </c>
      <c r="Z109" s="20">
        <f t="shared" si="55"/>
        <v>0</v>
      </c>
      <c r="AA109" s="21">
        <f t="shared" si="56"/>
        <v>0</v>
      </c>
    </row>
    <row r="110" spans="1:27" x14ac:dyDescent="0.3">
      <c r="A110" s="16">
        <v>4</v>
      </c>
      <c r="B110" s="16">
        <f t="shared" si="31"/>
        <v>2030</v>
      </c>
      <c r="C110" s="16">
        <f t="shared" si="32"/>
        <v>0</v>
      </c>
      <c r="D110" s="16">
        <f t="shared" si="33"/>
        <v>0</v>
      </c>
      <c r="E110" s="16">
        <f t="shared" si="34"/>
        <v>0</v>
      </c>
      <c r="F110" s="21">
        <f t="shared" si="35"/>
        <v>0</v>
      </c>
      <c r="G110" s="21">
        <f t="shared" si="36"/>
        <v>0</v>
      </c>
      <c r="H110" s="21">
        <f t="shared" si="37"/>
        <v>0</v>
      </c>
      <c r="I110" s="21">
        <f t="shared" si="38"/>
        <v>0</v>
      </c>
      <c r="J110" s="21">
        <f t="shared" si="39"/>
        <v>0</v>
      </c>
      <c r="K110" s="21">
        <f t="shared" si="40"/>
        <v>0</v>
      </c>
      <c r="L110" s="21">
        <f t="shared" si="41"/>
        <v>0</v>
      </c>
      <c r="M110" s="21">
        <f t="shared" si="42"/>
        <v>0</v>
      </c>
      <c r="N110" s="21">
        <f t="shared" si="43"/>
        <v>0</v>
      </c>
      <c r="O110" s="21">
        <f t="shared" si="44"/>
        <v>0</v>
      </c>
      <c r="P110" s="21">
        <f t="shared" si="45"/>
        <v>0</v>
      </c>
      <c r="Q110" s="21">
        <f t="shared" si="46"/>
        <v>0</v>
      </c>
      <c r="R110" s="21">
        <f t="shared" si="47"/>
        <v>0</v>
      </c>
      <c r="S110" s="21">
        <f t="shared" si="48"/>
        <v>0</v>
      </c>
      <c r="T110" s="21">
        <f t="shared" si="49"/>
        <v>0</v>
      </c>
      <c r="U110" s="21">
        <f t="shared" si="50"/>
        <v>0</v>
      </c>
      <c r="V110" s="21">
        <f t="shared" si="51"/>
        <v>0</v>
      </c>
      <c r="W110" s="21">
        <f t="shared" si="52"/>
        <v>0</v>
      </c>
      <c r="X110" s="21">
        <f t="shared" si="53"/>
        <v>0</v>
      </c>
      <c r="Y110" s="21">
        <f t="shared" si="54"/>
        <v>0</v>
      </c>
      <c r="Z110" s="20">
        <f t="shared" si="55"/>
        <v>0</v>
      </c>
      <c r="AA110" s="21">
        <f t="shared" si="56"/>
        <v>0</v>
      </c>
    </row>
    <row r="111" spans="1:27" x14ac:dyDescent="0.3">
      <c r="A111" s="16">
        <v>5</v>
      </c>
      <c r="B111" s="16">
        <f t="shared" si="31"/>
        <v>2031</v>
      </c>
      <c r="C111" s="16">
        <f t="shared" si="32"/>
        <v>0</v>
      </c>
      <c r="D111" s="16">
        <f t="shared" si="33"/>
        <v>0</v>
      </c>
      <c r="E111" s="16">
        <f t="shared" si="34"/>
        <v>0</v>
      </c>
      <c r="F111" s="21">
        <f t="shared" si="35"/>
        <v>0</v>
      </c>
      <c r="G111" s="21">
        <f t="shared" si="36"/>
        <v>0</v>
      </c>
      <c r="H111" s="21">
        <f t="shared" si="37"/>
        <v>0</v>
      </c>
      <c r="I111" s="21">
        <f t="shared" si="38"/>
        <v>0</v>
      </c>
      <c r="J111" s="21">
        <f t="shared" si="39"/>
        <v>0</v>
      </c>
      <c r="K111" s="21">
        <f t="shared" si="40"/>
        <v>0</v>
      </c>
      <c r="L111" s="21">
        <f t="shared" si="41"/>
        <v>0</v>
      </c>
      <c r="M111" s="21">
        <f t="shared" si="42"/>
        <v>0</v>
      </c>
      <c r="N111" s="21">
        <f t="shared" si="43"/>
        <v>0</v>
      </c>
      <c r="O111" s="21">
        <f t="shared" si="44"/>
        <v>0</v>
      </c>
      <c r="P111" s="21">
        <f t="shared" si="45"/>
        <v>0</v>
      </c>
      <c r="Q111" s="21">
        <f t="shared" si="46"/>
        <v>0</v>
      </c>
      <c r="R111" s="21">
        <f t="shared" si="47"/>
        <v>0</v>
      </c>
      <c r="S111" s="21">
        <f t="shared" si="48"/>
        <v>0</v>
      </c>
      <c r="T111" s="21">
        <f t="shared" si="49"/>
        <v>0</v>
      </c>
      <c r="U111" s="21">
        <f t="shared" si="50"/>
        <v>0</v>
      </c>
      <c r="V111" s="21">
        <f t="shared" si="51"/>
        <v>0</v>
      </c>
      <c r="W111" s="21">
        <f t="shared" si="52"/>
        <v>0</v>
      </c>
      <c r="X111" s="21">
        <f t="shared" si="53"/>
        <v>0</v>
      </c>
      <c r="Y111" s="21">
        <f t="shared" si="54"/>
        <v>0</v>
      </c>
      <c r="Z111" s="20">
        <f t="shared" si="55"/>
        <v>0</v>
      </c>
      <c r="AA111" s="21">
        <f t="shared" si="56"/>
        <v>0</v>
      </c>
    </row>
    <row r="112" spans="1:27" x14ac:dyDescent="0.3">
      <c r="A112" s="16">
        <v>6</v>
      </c>
      <c r="B112" s="16">
        <f t="shared" si="31"/>
        <v>2032</v>
      </c>
      <c r="C112" s="16">
        <f t="shared" si="32"/>
        <v>0</v>
      </c>
      <c r="D112" s="16">
        <f t="shared" si="33"/>
        <v>0</v>
      </c>
      <c r="E112" s="16">
        <f t="shared" si="34"/>
        <v>0</v>
      </c>
      <c r="F112" s="21">
        <f t="shared" si="35"/>
        <v>0</v>
      </c>
      <c r="G112" s="21">
        <f t="shared" si="36"/>
        <v>0</v>
      </c>
      <c r="H112" s="21">
        <f t="shared" si="37"/>
        <v>0</v>
      </c>
      <c r="I112" s="21">
        <f t="shared" si="38"/>
        <v>0</v>
      </c>
      <c r="J112" s="21">
        <f t="shared" si="39"/>
        <v>0</v>
      </c>
      <c r="K112" s="21">
        <f t="shared" si="40"/>
        <v>0</v>
      </c>
      <c r="L112" s="21">
        <f t="shared" si="41"/>
        <v>0</v>
      </c>
      <c r="M112" s="21">
        <f t="shared" si="42"/>
        <v>0</v>
      </c>
      <c r="N112" s="21">
        <f t="shared" si="43"/>
        <v>0</v>
      </c>
      <c r="O112" s="21">
        <f t="shared" si="44"/>
        <v>0</v>
      </c>
      <c r="P112" s="21">
        <f t="shared" si="45"/>
        <v>0</v>
      </c>
      <c r="Q112" s="21">
        <f t="shared" si="46"/>
        <v>0</v>
      </c>
      <c r="R112" s="21">
        <f t="shared" si="47"/>
        <v>0</v>
      </c>
      <c r="S112" s="21">
        <f t="shared" si="48"/>
        <v>0</v>
      </c>
      <c r="T112" s="21">
        <f t="shared" si="49"/>
        <v>0</v>
      </c>
      <c r="U112" s="21">
        <f t="shared" si="50"/>
        <v>0</v>
      </c>
      <c r="V112" s="21">
        <f t="shared" si="51"/>
        <v>0</v>
      </c>
      <c r="W112" s="21">
        <f t="shared" si="52"/>
        <v>0</v>
      </c>
      <c r="X112" s="21">
        <f t="shared" si="53"/>
        <v>0</v>
      </c>
      <c r="Y112" s="21">
        <f t="shared" si="54"/>
        <v>0</v>
      </c>
      <c r="Z112" s="20">
        <f t="shared" si="55"/>
        <v>0</v>
      </c>
      <c r="AA112" s="21">
        <f t="shared" si="56"/>
        <v>0</v>
      </c>
    </row>
    <row r="113" spans="1:27" x14ac:dyDescent="0.3">
      <c r="A113" s="16">
        <v>7</v>
      </c>
      <c r="B113" s="16">
        <f t="shared" si="31"/>
        <v>2033</v>
      </c>
      <c r="C113" s="16">
        <f t="shared" si="32"/>
        <v>0</v>
      </c>
      <c r="D113" s="16">
        <f t="shared" si="33"/>
        <v>0</v>
      </c>
      <c r="E113" s="16">
        <f t="shared" si="34"/>
        <v>0</v>
      </c>
      <c r="F113" s="21">
        <f t="shared" si="35"/>
        <v>0</v>
      </c>
      <c r="G113" s="21">
        <f t="shared" si="36"/>
        <v>0</v>
      </c>
      <c r="H113" s="21">
        <f t="shared" si="37"/>
        <v>0</v>
      </c>
      <c r="I113" s="21">
        <f t="shared" si="38"/>
        <v>0</v>
      </c>
      <c r="J113" s="21">
        <f t="shared" si="39"/>
        <v>0</v>
      </c>
      <c r="K113" s="21">
        <f t="shared" si="40"/>
        <v>0</v>
      </c>
      <c r="L113" s="21">
        <f t="shared" si="41"/>
        <v>0</v>
      </c>
      <c r="M113" s="21">
        <f t="shared" si="42"/>
        <v>0</v>
      </c>
      <c r="N113" s="21">
        <f t="shared" si="43"/>
        <v>0</v>
      </c>
      <c r="O113" s="21">
        <f t="shared" si="44"/>
        <v>0</v>
      </c>
      <c r="P113" s="21">
        <f t="shared" si="45"/>
        <v>0</v>
      </c>
      <c r="Q113" s="21">
        <f t="shared" si="46"/>
        <v>0</v>
      </c>
      <c r="R113" s="21">
        <f t="shared" si="47"/>
        <v>0</v>
      </c>
      <c r="S113" s="21">
        <f t="shared" si="48"/>
        <v>0</v>
      </c>
      <c r="T113" s="21">
        <f t="shared" si="49"/>
        <v>0</v>
      </c>
      <c r="U113" s="21">
        <f t="shared" si="50"/>
        <v>0</v>
      </c>
      <c r="V113" s="21">
        <f t="shared" si="51"/>
        <v>0</v>
      </c>
      <c r="W113" s="21">
        <f t="shared" si="52"/>
        <v>0</v>
      </c>
      <c r="X113" s="21">
        <f t="shared" si="53"/>
        <v>0</v>
      </c>
      <c r="Y113" s="21">
        <f t="shared" si="54"/>
        <v>0</v>
      </c>
      <c r="Z113" s="20">
        <f t="shared" si="55"/>
        <v>0</v>
      </c>
      <c r="AA113" s="21">
        <f t="shared" si="56"/>
        <v>0</v>
      </c>
    </row>
    <row r="114" spans="1:27" x14ac:dyDescent="0.3">
      <c r="A114" s="16">
        <v>8</v>
      </c>
      <c r="B114" s="16">
        <f t="shared" si="31"/>
        <v>2034</v>
      </c>
      <c r="C114" s="16">
        <f t="shared" si="32"/>
        <v>0</v>
      </c>
      <c r="D114" s="16">
        <f t="shared" si="33"/>
        <v>0</v>
      </c>
      <c r="E114" s="16">
        <f t="shared" si="34"/>
        <v>0</v>
      </c>
      <c r="F114" s="21">
        <f t="shared" si="35"/>
        <v>0</v>
      </c>
      <c r="G114" s="21">
        <f t="shared" si="36"/>
        <v>0</v>
      </c>
      <c r="H114" s="21">
        <f t="shared" si="37"/>
        <v>0</v>
      </c>
      <c r="I114" s="21">
        <f t="shared" si="38"/>
        <v>0</v>
      </c>
      <c r="J114" s="21">
        <f t="shared" si="39"/>
        <v>0</v>
      </c>
      <c r="K114" s="21">
        <f t="shared" si="40"/>
        <v>0</v>
      </c>
      <c r="L114" s="21">
        <f t="shared" si="41"/>
        <v>0</v>
      </c>
      <c r="M114" s="21">
        <f t="shared" si="42"/>
        <v>0</v>
      </c>
      <c r="N114" s="21">
        <f t="shared" si="43"/>
        <v>0</v>
      </c>
      <c r="O114" s="21">
        <f t="shared" si="44"/>
        <v>0</v>
      </c>
      <c r="P114" s="21">
        <f t="shared" si="45"/>
        <v>0</v>
      </c>
      <c r="Q114" s="21">
        <f t="shared" si="46"/>
        <v>0</v>
      </c>
      <c r="R114" s="21">
        <f t="shared" si="47"/>
        <v>0</v>
      </c>
      <c r="S114" s="21">
        <f t="shared" si="48"/>
        <v>0</v>
      </c>
      <c r="T114" s="21">
        <f t="shared" si="49"/>
        <v>0</v>
      </c>
      <c r="U114" s="21">
        <f t="shared" si="50"/>
        <v>0</v>
      </c>
      <c r="V114" s="21">
        <f t="shared" si="51"/>
        <v>0</v>
      </c>
      <c r="W114" s="21">
        <f t="shared" si="52"/>
        <v>0</v>
      </c>
      <c r="X114" s="21">
        <f t="shared" si="53"/>
        <v>0</v>
      </c>
      <c r="Y114" s="21">
        <f t="shared" si="54"/>
        <v>0</v>
      </c>
      <c r="Z114" s="20">
        <f t="shared" si="55"/>
        <v>0</v>
      </c>
      <c r="AA114" s="21">
        <f t="shared" si="56"/>
        <v>0</v>
      </c>
    </row>
    <row r="115" spans="1:27" x14ac:dyDescent="0.3">
      <c r="A115" s="16">
        <v>9</v>
      </c>
      <c r="B115" s="16">
        <f t="shared" si="31"/>
        <v>2035</v>
      </c>
      <c r="C115" s="16">
        <f t="shared" si="32"/>
        <v>0</v>
      </c>
      <c r="D115" s="16">
        <f t="shared" si="33"/>
        <v>0</v>
      </c>
      <c r="E115" s="16">
        <f t="shared" si="34"/>
        <v>0</v>
      </c>
      <c r="F115" s="21">
        <f t="shared" si="35"/>
        <v>0</v>
      </c>
      <c r="G115" s="21">
        <f t="shared" si="36"/>
        <v>0</v>
      </c>
      <c r="H115" s="21">
        <f t="shared" si="37"/>
        <v>0</v>
      </c>
      <c r="I115" s="21">
        <f t="shared" si="38"/>
        <v>0</v>
      </c>
      <c r="J115" s="21">
        <f t="shared" si="39"/>
        <v>0</v>
      </c>
      <c r="K115" s="21">
        <f t="shared" si="40"/>
        <v>0</v>
      </c>
      <c r="L115" s="21">
        <f t="shared" si="41"/>
        <v>0</v>
      </c>
      <c r="M115" s="21">
        <f t="shared" si="42"/>
        <v>0</v>
      </c>
      <c r="N115" s="21">
        <f t="shared" si="43"/>
        <v>0</v>
      </c>
      <c r="O115" s="21">
        <f t="shared" si="44"/>
        <v>0</v>
      </c>
      <c r="P115" s="21">
        <f t="shared" si="45"/>
        <v>0</v>
      </c>
      <c r="Q115" s="21">
        <f t="shared" si="46"/>
        <v>0</v>
      </c>
      <c r="R115" s="21">
        <f t="shared" si="47"/>
        <v>0</v>
      </c>
      <c r="S115" s="21">
        <f t="shared" si="48"/>
        <v>0</v>
      </c>
      <c r="T115" s="21">
        <f t="shared" si="49"/>
        <v>0</v>
      </c>
      <c r="U115" s="21">
        <f t="shared" si="50"/>
        <v>0</v>
      </c>
      <c r="V115" s="21">
        <f t="shared" si="51"/>
        <v>0</v>
      </c>
      <c r="W115" s="21">
        <f t="shared" si="52"/>
        <v>0</v>
      </c>
      <c r="X115" s="21">
        <f t="shared" si="53"/>
        <v>0</v>
      </c>
      <c r="Y115" s="21">
        <f t="shared" si="54"/>
        <v>0</v>
      </c>
      <c r="Z115" s="20">
        <f t="shared" si="55"/>
        <v>0</v>
      </c>
      <c r="AA115" s="21">
        <f t="shared" si="56"/>
        <v>0</v>
      </c>
    </row>
    <row r="116" spans="1:27" x14ac:dyDescent="0.3">
      <c r="A116" s="8" t="s">
        <v>76</v>
      </c>
      <c r="F116" s="20">
        <f t="shared" ref="F116:AA116" si="57">SUM(F106:F115)</f>
        <v>0</v>
      </c>
      <c r="G116" s="20">
        <f t="shared" si="57"/>
        <v>0</v>
      </c>
      <c r="H116" s="20">
        <f t="shared" si="57"/>
        <v>0</v>
      </c>
      <c r="I116" s="20">
        <f t="shared" si="57"/>
        <v>0</v>
      </c>
      <c r="J116" s="20">
        <f t="shared" si="57"/>
        <v>0</v>
      </c>
      <c r="K116" s="20">
        <f t="shared" si="57"/>
        <v>0</v>
      </c>
      <c r="L116" s="20">
        <f t="shared" si="57"/>
        <v>0</v>
      </c>
      <c r="M116" s="20">
        <f t="shared" si="57"/>
        <v>0</v>
      </c>
      <c r="N116" s="20">
        <f t="shared" si="57"/>
        <v>0</v>
      </c>
      <c r="O116" s="20">
        <f t="shared" si="57"/>
        <v>0</v>
      </c>
      <c r="P116" s="20">
        <f t="shared" si="57"/>
        <v>0</v>
      </c>
      <c r="Q116" s="20">
        <f t="shared" si="57"/>
        <v>0</v>
      </c>
      <c r="R116" s="20">
        <f t="shared" si="57"/>
        <v>0</v>
      </c>
      <c r="S116" s="20">
        <f t="shared" si="57"/>
        <v>0</v>
      </c>
      <c r="T116" s="20">
        <f t="shared" si="57"/>
        <v>0</v>
      </c>
      <c r="U116" s="20">
        <f t="shared" si="57"/>
        <v>0</v>
      </c>
      <c r="V116" s="20">
        <f t="shared" si="57"/>
        <v>0</v>
      </c>
      <c r="W116" s="20">
        <f t="shared" si="57"/>
        <v>0</v>
      </c>
      <c r="X116" s="20">
        <f t="shared" si="57"/>
        <v>0</v>
      </c>
      <c r="Y116" s="20">
        <f t="shared" si="57"/>
        <v>0</v>
      </c>
      <c r="Z116" s="20">
        <f t="shared" si="57"/>
        <v>0</v>
      </c>
      <c r="AA116" s="20">
        <f t="shared" si="57"/>
        <v>0</v>
      </c>
    </row>
    <row r="118" spans="1:27" x14ac:dyDescent="0.3">
      <c r="A118" s="8" t="s">
        <v>161</v>
      </c>
      <c r="B118" s="26">
        <f>$Z$116</f>
        <v>0</v>
      </c>
    </row>
    <row r="119" spans="1:27" x14ac:dyDescent="0.3">
      <c r="A119" s="16" t="s">
        <v>14</v>
      </c>
      <c r="B119" s="21">
        <f>$AA$116-$Z$116</f>
        <v>0</v>
      </c>
    </row>
    <row r="120" spans="1:27" x14ac:dyDescent="0.3">
      <c r="A120" s="16" t="s">
        <v>162</v>
      </c>
      <c r="B120" s="16" t="str">
        <f>IF(OR($F$92="missing",AND($B$75&gt;0,$F$102="missing")),"missing",IF(OR($F$92="estimated",AND($B$75&gt;0,$F$102="estimated")),"estimated",IF($B$75&gt;0,$F$102,$F$92)))</f>
        <v>missing</v>
      </c>
    </row>
    <row r="121" spans="1:27" x14ac:dyDescent="0.3">
      <c r="A121" s="16" t="s">
        <v>163</v>
      </c>
      <c r="B121" s="16">
        <f>IF(OR($F$92="missing",AND($B$75&gt;0,$F$102="missing"),$F$93="missing"),1,0)</f>
        <v>1</v>
      </c>
    </row>
    <row r="124" spans="1:27" ht="15.6" x14ac:dyDescent="0.3">
      <c r="A124" s="7" t="s">
        <v>92</v>
      </c>
    </row>
    <row r="125" spans="1:27" x14ac:dyDescent="0.3">
      <c r="A125" s="16" t="s">
        <v>104</v>
      </c>
      <c r="B125" s="12">
        <f>IF(CmpChild&lt;=NumChildren,1,0)</f>
        <v>1</v>
      </c>
    </row>
    <row r="126" spans="1:27" x14ac:dyDescent="0.3">
      <c r="A126" s="16" t="s">
        <v>30</v>
      </c>
      <c r="B126" s="12" t="str">
        <f>IF("USA"="","","USA")</f>
        <v>USA</v>
      </c>
    </row>
    <row r="127" spans="1:27" x14ac:dyDescent="0.3">
      <c r="A127" s="16" t="s">
        <v>31</v>
      </c>
      <c r="B127" s="12" t="str">
        <f>IF(CHOOSE(CmpChild,Inputs!$C$18,Inputs!$D$18,Inputs!$E$18,Inputs!$F$18)="","",CHOOSE(CmpChild,Inputs!$C$18,Inputs!$D$18,Inputs!$E$18,Inputs!$F$18))</f>
        <v/>
      </c>
    </row>
    <row r="128" spans="1:27" x14ac:dyDescent="0.3">
      <c r="A128" s="16" t="s">
        <v>105</v>
      </c>
      <c r="B128" s="12" t="str">
        <f>IF(CHOOSE(CmpChild,Inputs!$C$15,Inputs!$D$15,Inputs!$E$15,Inputs!$F$15)="","",CHOOSE(CmpChild,Inputs!$C$15,Inputs!$D$15,Inputs!$E$15,Inputs!$F$15))</f>
        <v/>
      </c>
    </row>
    <row r="129" spans="1:2" x14ac:dyDescent="0.3">
      <c r="A129" s="16" t="s">
        <v>106</v>
      </c>
      <c r="B129" s="12">
        <f>IF(CHOOSE(CmpChild,Inputs!$C$19,Inputs!$D$19,Inputs!$E$19,Inputs!$F$19)="","",CHOOSE(CmpChild,Inputs!$C$19,Inputs!$D$19,Inputs!$E$19,Inputs!$F$19))</f>
        <v>18</v>
      </c>
    </row>
    <row r="130" spans="1:2" x14ac:dyDescent="0.3">
      <c r="A130" s="16" t="s">
        <v>107</v>
      </c>
      <c r="B130" s="12" t="str">
        <f>IF($B$126="","",IF(COUNTIF(DomKey,$B$126&amp;"|"&amp;Nationality)&gt;0,"domestic","international"))</f>
        <v>international</v>
      </c>
    </row>
    <row r="131" spans="1:2" x14ac:dyDescent="0.3">
      <c r="A131" s="16" t="s">
        <v>108</v>
      </c>
      <c r="B131" s="12" t="str">
        <f>$B$126&amp;"|"&amp;$B$127&amp;"|"&amp;$B$130</f>
        <v>USA||international</v>
      </c>
    </row>
    <row r="132" spans="1:2" x14ac:dyDescent="0.3">
      <c r="A132" s="16" t="s">
        <v>109</v>
      </c>
      <c r="B132" s="12">
        <f>IFERROR(MATCH($B$131,DB_Key,0),0)</f>
        <v>0</v>
      </c>
    </row>
    <row r="133" spans="1:2" x14ac:dyDescent="0.3">
      <c r="A133" s="16" t="s">
        <v>110</v>
      </c>
      <c r="B133" s="12" t="str">
        <f>IFERROR(INDEX(Ctry_Ccy,MATCH($B$126,Ctry_Name,0)),"USD")</f>
        <v>USD</v>
      </c>
    </row>
    <row r="134" spans="1:2" x14ac:dyDescent="0.3">
      <c r="A134" s="16" t="s">
        <v>68</v>
      </c>
      <c r="B134" s="12">
        <f>IF($B$132&gt;0,INDEX(DB_Dur,$B$132),0)</f>
        <v>0</v>
      </c>
    </row>
    <row r="135" spans="1:2" x14ac:dyDescent="0.3">
      <c r="A135" s="16" t="s">
        <v>111</v>
      </c>
      <c r="B135" s="12">
        <f>IF($B$132&gt;0,INDEX(DB_Avail,$B$132),0)</f>
        <v>0</v>
      </c>
    </row>
    <row r="136" spans="1:2" x14ac:dyDescent="0.3">
      <c r="A136" s="16" t="s">
        <v>112</v>
      </c>
      <c r="B136" s="12">
        <f>IF($B$132&gt;0,INDEX(DB_PreYears,$B$132),0)</f>
        <v>0</v>
      </c>
    </row>
    <row r="137" spans="1:2" x14ac:dyDescent="0.3">
      <c r="A137" s="16" t="s">
        <v>113</v>
      </c>
      <c r="B137" s="14">
        <f>IF(ISNUMBER(CHOOSE(CmpChild,Inputs!$C$20,Inputs!$D$20,Inputs!$E$20,Inputs!$F$20)),CHOOSE(CmpChild,Inputs!$C$20,Inputs!$D$20,Inputs!$E$20,Inputs!$F$20),IF($B$132&gt;0,INDEX(DB_TInf,$B$132),0))</f>
        <v>0</v>
      </c>
    </row>
    <row r="138" spans="1:2" x14ac:dyDescent="0.3">
      <c r="A138" s="16" t="s">
        <v>114</v>
      </c>
      <c r="B138" s="14">
        <f>IF(ISNUMBER(CHOOSE(CmpChild,Inputs!$C$21,Inputs!$D$21,Inputs!$E$21,Inputs!$F$21)),CHOOSE(CmpChild,Inputs!$C$21,Inputs!$D$21,Inputs!$E$21,Inputs!$F$21),IFERROR(INDEX(Ctry_LInf,MATCH($B$126,Ctry_Name,0)),0))</f>
        <v>0.03</v>
      </c>
    </row>
    <row r="139" spans="1:2" x14ac:dyDescent="0.3">
      <c r="A139" s="16" t="s">
        <v>115</v>
      </c>
      <c r="B139" s="12">
        <f>IF($B$143=1,MAX(0,$B$129-$B$128),0)</f>
        <v>0</v>
      </c>
    </row>
    <row r="140" spans="1:2" x14ac:dyDescent="0.3">
      <c r="A140" s="16" t="s">
        <v>116</v>
      </c>
      <c r="B140" s="12">
        <f>ROUNDUP($B$134,0)</f>
        <v>0</v>
      </c>
    </row>
    <row r="141" spans="1:2" x14ac:dyDescent="0.3">
      <c r="A141" s="16" t="s">
        <v>117</v>
      </c>
      <c r="B141" s="12">
        <f>IF($B$143=1,$B$139+$B$140,0)</f>
        <v>0</v>
      </c>
    </row>
    <row r="142" spans="1:2" x14ac:dyDescent="0.3">
      <c r="A142" s="16" t="s">
        <v>118</v>
      </c>
      <c r="B142" s="12">
        <f>MAX(0,$B$141-1)</f>
        <v>0</v>
      </c>
    </row>
    <row r="143" spans="1:2" x14ac:dyDescent="0.3">
      <c r="A143" s="16" t="s">
        <v>119</v>
      </c>
      <c r="B143" s="12">
        <f>IF(IFERROR(AND($B$125=1,$B$126&lt;&gt;"",$B$127&lt;&gt;"",$B$135=1,IFERROR(AND(ISNUMBER($B$128),$B$128&gt;=0,$B$128&lt;=18,INT($B$128)=$B$128),FALSE),IFERROR(AND(ISNUMBER($B$129),$B$129&gt;=14,$B$129&lt;=45,INT($B$129)=$B$129),FALSE)),FALSE),1,0)</f>
        <v>0</v>
      </c>
    </row>
    <row r="144" spans="1:2" x14ac:dyDescent="0.3">
      <c r="A144" s="16" t="s">
        <v>70</v>
      </c>
      <c r="B144" s="12" t="str">
        <f>IF($B$125&lt;&gt;1,"",IF(AND($B$128="",$B$126="",$B$127=""),"Enter this child's details on the Inputs sheet.",IF(NOT(IFERROR(AND(ISNUMBER($B$128),$B$128&gt;=0,$B$128&lt;=18,INT($B$128)=$B$128),FALSE)),"Choose the child's current age (0 to 18).",IF(NOT(IFERROR(AND(ISNUMBER($B$129),$B$129&gt;=14,$B$129&lt;=45,INT($B$129)=$B$129),FALSE)),"College-entry age must be a whole number from 14 to 45.",IF($B$126="","Choose the education country.",IF($B$127="","Choose the qualification.",IF($B$135&lt;&gt;1,"This qualification is not offered (or has no typical duration) in the selected country.","")))))))</f>
        <v>Choose the child's current age (0 to 18).</v>
      </c>
    </row>
    <row r="145" spans="1:10" x14ac:dyDescent="0.3">
      <c r="A145" s="16" t="s">
        <v>120</v>
      </c>
      <c r="B145" s="12">
        <f>INDEX(FxUsed,MATCH(RepCcy,FxCodes,0))/INDEX(FxUsed,MATCH($B$133,FxCodes,0))</f>
        <v>1</v>
      </c>
    </row>
    <row r="146" spans="1:10" x14ac:dyDescent="0.3">
      <c r="A146" s="16" t="s">
        <v>121</v>
      </c>
      <c r="B146" s="12">
        <f>IF($B$132=0,0,COUNTIF(RecKey,$B$131))</f>
        <v>0</v>
      </c>
    </row>
    <row r="147" spans="1:10" x14ac:dyDescent="0.3">
      <c r="A147" s="16" t="s">
        <v>122</v>
      </c>
      <c r="B147" s="12" t="str">
        <f>IF($B$146&gt;0,INDEX(DB_RecCcy,$B$132),IF($B$132&gt;0,INDEX(DB_EstCcy,$B$132),$B$133))</f>
        <v>USD</v>
      </c>
    </row>
    <row r="148" spans="1:10" x14ac:dyDescent="0.3">
      <c r="A148" s="16" t="s">
        <v>123</v>
      </c>
      <c r="B148" s="12">
        <f>IFERROR(MATCH($B$126&amp;"|"&amp;$B$130,LivKey,0),0)</f>
        <v>6</v>
      </c>
    </row>
    <row r="149" spans="1:10" x14ac:dyDescent="0.3">
      <c r="A149" s="16" t="s">
        <v>124</v>
      </c>
      <c r="B149" s="12">
        <f>IFERROR(MATCH($B$126&amp;"|"&amp;Nationality,VisaKey,0),0)</f>
        <v>141</v>
      </c>
    </row>
    <row r="150" spans="1:10" x14ac:dyDescent="0.3">
      <c r="A150" s="16" t="s">
        <v>125</v>
      </c>
      <c r="B150" s="12">
        <f>IFERROR(MATCH($B$126&amp;"|"&amp;Residence,TravKey,0),0)</f>
        <v>141</v>
      </c>
    </row>
    <row r="152" spans="1:10" ht="79.2" x14ac:dyDescent="0.3">
      <c r="A152" s="22" t="s">
        <v>126</v>
      </c>
      <c r="B152" s="22" t="s">
        <v>127</v>
      </c>
      <c r="C152" s="22" t="s">
        <v>128</v>
      </c>
      <c r="D152" s="22" t="s">
        <v>129</v>
      </c>
      <c r="E152" s="22" t="s">
        <v>130</v>
      </c>
      <c r="F152" s="22" t="s">
        <v>131</v>
      </c>
      <c r="G152" s="22" t="s">
        <v>132</v>
      </c>
      <c r="H152" s="22" t="s">
        <v>133</v>
      </c>
      <c r="I152" s="22" t="s">
        <v>134</v>
      </c>
      <c r="J152" s="22" t="s">
        <v>135</v>
      </c>
    </row>
    <row r="153" spans="1:10" x14ac:dyDescent="0.3">
      <c r="A153" s="16" t="s">
        <v>36</v>
      </c>
      <c r="B153" s="25">
        <f>IF($B$132=0,0,(IF($B$146&gt;0,SUMPRODUCT((RecKey=$B$131)*RecTuition*(1+$B$137)^(PlanYear-RecYear))/$B$146,INDEX(DB_EstTuition,$B$132)))/INDEX(FxUsed,MATCH($B$147,FxCodes,0))*INDEX(FxUsed,MATCH($B$133,FxCodes,0)))</f>
        <v>0</v>
      </c>
      <c r="C153" s="21"/>
      <c r="D153" s="25">
        <f t="shared" ref="D153:D164" si="58">IF(ISNUMBER(C153),IF(C153&gt;=0,C153,B153),B153)</f>
        <v>0</v>
      </c>
      <c r="E153" s="12">
        <f>IF(ISNUMBER(C153),PlanYear,IF($B$146&gt;0,PlanYear,IF($B$132&gt;0,INDEX(DB_EstBase,$B$132),PlanYear)))</f>
        <v>2026</v>
      </c>
      <c r="F153" s="12" t="str">
        <f>IF(ISNUMBER(C153),"override",IF($B$132=0,"missing",IF($B$146&gt;0,"verified",INDEX(DB_EstStatus,$B$132))))</f>
        <v>missing</v>
      </c>
      <c r="G153" s="16" t="str">
        <f t="shared" ref="G153:G164" si="59">IF(F153="verified","Published figure",IF(F153="estimated","Estimated — please review",IF(F153="notNeeded","Not needed",IF(F153="override","Your figure",IF(F153="missing","No figure yet — enter your own","")))))</f>
        <v>No figure yet — enter your own</v>
      </c>
      <c r="H153" s="16" t="s">
        <v>136</v>
      </c>
      <c r="I153" s="16" t="s">
        <v>137</v>
      </c>
      <c r="J153" s="16" t="s">
        <v>138</v>
      </c>
    </row>
    <row r="154" spans="1:10" x14ac:dyDescent="0.3">
      <c r="A154" s="16" t="s">
        <v>37</v>
      </c>
      <c r="B154" s="25">
        <f>IF($B$148=0,0,(INDEX(Liv_accommodation_Amt,$B$148))/INDEX(FxUsed,MATCH(INDEX(Liv_accommodation_Ccy,$B$148),FxCodes,0))*INDEX(FxUsed,MATCH($B$133,FxCodes,0)))</f>
        <v>17048</v>
      </c>
      <c r="C154" s="21"/>
      <c r="D154" s="25">
        <f t="shared" si="58"/>
        <v>17048</v>
      </c>
      <c r="E154" s="12">
        <f>IF(ISNUMBER(C154),PlanYear,IF($B$148=0,PlanYear,INDEX(Liv_accommodation_Base,$B$148)))</f>
        <v>2026</v>
      </c>
      <c r="F154" s="12" t="str">
        <f>IF(ISNUMBER(C154),"override",IF($B$148=0,"missing",INDEX(Liv_accommodation_Status,$B$148)))</f>
        <v>verified</v>
      </c>
      <c r="G154" s="16" t="str">
        <f t="shared" si="59"/>
        <v>Published figure</v>
      </c>
      <c r="H154" s="16" t="s">
        <v>139</v>
      </c>
      <c r="I154" s="16" t="s">
        <v>137</v>
      </c>
      <c r="J154" s="16" t="s">
        <v>138</v>
      </c>
    </row>
    <row r="155" spans="1:10" x14ac:dyDescent="0.3">
      <c r="A155" s="16" t="s">
        <v>38</v>
      </c>
      <c r="B155" s="25">
        <f>IF($B$148=0,0,(INDEX(Liv_food_Amt,$B$148))/INDEX(FxUsed,MATCH(INDEX(Liv_food_Ccy,$B$148),FxCodes,0))*INDEX(FxUsed,MATCH($B$133,FxCodes,0)))</f>
        <v>0</v>
      </c>
      <c r="C155" s="21"/>
      <c r="D155" s="25">
        <f t="shared" si="58"/>
        <v>0</v>
      </c>
      <c r="E155" s="12">
        <f>IF(ISNUMBER(C155),PlanYear,IF($B$148=0,PlanYear,INDEX(Liv_food_Base,$B$148)))</f>
        <v>2026</v>
      </c>
      <c r="F155" s="12" t="str">
        <f>IF(ISNUMBER(C155),"override",IF($B$148=0,"missing",INDEX(Liv_food_Status,$B$148)))</f>
        <v>verified</v>
      </c>
      <c r="G155" s="16" t="str">
        <f t="shared" si="59"/>
        <v>Published figure</v>
      </c>
      <c r="H155" s="16" t="s">
        <v>139</v>
      </c>
      <c r="I155" s="16" t="s">
        <v>137</v>
      </c>
      <c r="J155" s="16" t="s">
        <v>138</v>
      </c>
    </row>
    <row r="156" spans="1:10" x14ac:dyDescent="0.3">
      <c r="A156" s="16" t="s">
        <v>39</v>
      </c>
      <c r="B156" s="25">
        <f>IF($B$148=0,0,(INDEX(Liv_transport_Amt,$B$148))/INDEX(FxUsed,MATCH(INDEX(Liv_transport_Ccy,$B$148),FxCodes,0))*INDEX(FxUsed,MATCH($B$133,FxCodes,0)))</f>
        <v>3418</v>
      </c>
      <c r="C156" s="21"/>
      <c r="D156" s="25">
        <f t="shared" si="58"/>
        <v>3418</v>
      </c>
      <c r="E156" s="12">
        <f>IF(ISNUMBER(C156),PlanYear,IF($B$148=0,PlanYear,INDEX(Liv_transport_Base,$B$148)))</f>
        <v>2026</v>
      </c>
      <c r="F156" s="12" t="str">
        <f>IF(ISNUMBER(C156),"override",IF($B$148=0,"missing",INDEX(Liv_transport_Status,$B$148)))</f>
        <v>verified</v>
      </c>
      <c r="G156" s="16" t="str">
        <f t="shared" si="59"/>
        <v>Published figure</v>
      </c>
      <c r="H156" s="16" t="s">
        <v>139</v>
      </c>
      <c r="I156" s="16" t="s">
        <v>137</v>
      </c>
      <c r="J156" s="16" t="s">
        <v>138</v>
      </c>
    </row>
    <row r="157" spans="1:10" x14ac:dyDescent="0.3">
      <c r="A157" s="16" t="s">
        <v>40</v>
      </c>
      <c r="B157" s="25">
        <f>IF($B$148=0,0,(INDEX(Liv_healthInsurance_Amt,$B$148))/INDEX(FxUsed,MATCH(INDEX(Liv_healthInsurance_Ccy,$B$148),FxCodes,0))*INDEX(FxUsed,MATCH($B$133,FxCodes,0)))</f>
        <v>3720</v>
      </c>
      <c r="C157" s="21"/>
      <c r="D157" s="25">
        <f t="shared" si="58"/>
        <v>3720</v>
      </c>
      <c r="E157" s="12">
        <f>IF(ISNUMBER(C157),PlanYear,IF($B$148=0,PlanYear,INDEX(Liv_healthInsurance_Base,$B$148)))</f>
        <v>2026</v>
      </c>
      <c r="F157" s="12" t="str">
        <f>IF(ISNUMBER(C157),"override",IF($B$148=0,"missing",INDEX(Liv_healthInsurance_Status,$B$148)))</f>
        <v>verified</v>
      </c>
      <c r="G157" s="16" t="str">
        <f t="shared" si="59"/>
        <v>Published figure</v>
      </c>
      <c r="H157" s="16" t="s">
        <v>139</v>
      </c>
      <c r="I157" s="16" t="s">
        <v>137</v>
      </c>
      <c r="J157" s="16" t="s">
        <v>138</v>
      </c>
    </row>
    <row r="158" spans="1:10" x14ac:dyDescent="0.3">
      <c r="A158" s="16" t="s">
        <v>41</v>
      </c>
      <c r="B158" s="25">
        <f>IF($B$148=0,0,(INDEX(Liv_books_Amt,$B$148))/INDEX(FxUsed,MATCH(INDEX(Liv_books_Ccy,$B$148),FxCodes,0))*INDEX(FxUsed,MATCH($B$133,FxCodes,0)))</f>
        <v>1200</v>
      </c>
      <c r="C158" s="21"/>
      <c r="D158" s="25">
        <f t="shared" si="58"/>
        <v>1200</v>
      </c>
      <c r="E158" s="12">
        <f>IF(ISNUMBER(C158),PlanYear,IF($B$148=0,PlanYear,INDEX(Liv_books_Base,$B$148)))</f>
        <v>2026</v>
      </c>
      <c r="F158" s="12" t="str">
        <f>IF(ISNUMBER(C158),"override",IF($B$148=0,"missing",INDEX(Liv_books_Status,$B$148)))</f>
        <v>verified</v>
      </c>
      <c r="G158" s="16" t="str">
        <f t="shared" si="59"/>
        <v>Published figure</v>
      </c>
      <c r="H158" s="16" t="s">
        <v>139</v>
      </c>
      <c r="I158" s="16" t="s">
        <v>137</v>
      </c>
      <c r="J158" s="16" t="s">
        <v>138</v>
      </c>
    </row>
    <row r="159" spans="1:10" x14ac:dyDescent="0.3">
      <c r="A159" s="16" t="s">
        <v>42</v>
      </c>
      <c r="B159" s="25">
        <f>IF($B$132=0,0,(IF($B$146&gt;0,SUMPRODUCT((RecKey=$B$131)*RecOther*(1+$B$137)^(PlanYear-RecYear))/$B$146,INDEX(DB_EstOther,$B$132)))/INDEX(FxUsed,MATCH($B$147,FxCodes,0))*INDEX(FxUsed,MATCH($B$133,FxCodes,0)))</f>
        <v>0</v>
      </c>
      <c r="C159" s="21"/>
      <c r="D159" s="25">
        <f t="shared" si="58"/>
        <v>0</v>
      </c>
      <c r="E159" s="12">
        <f>IF(ISNUMBER(C159),PlanYear,IF($B$146&gt;0,PlanYear,IF($B$132&gt;0,INDEX(DB_EstBase,$B$132),PlanYear)))</f>
        <v>2026</v>
      </c>
      <c r="F159" s="12" t="str">
        <f>IF(ISNUMBER(C159),"override",IF($B$132=0,"missing",IF($B$146&gt;0,"verified",INDEX(DB_EstStatus,$B$132))))</f>
        <v>missing</v>
      </c>
      <c r="G159" s="16" t="str">
        <f t="shared" si="59"/>
        <v>No figure yet — enter your own</v>
      </c>
      <c r="H159" s="16" t="s">
        <v>136</v>
      </c>
      <c r="I159" s="16" t="s">
        <v>137</v>
      </c>
      <c r="J159" s="16" t="s">
        <v>138</v>
      </c>
    </row>
    <row r="160" spans="1:10" x14ac:dyDescent="0.3">
      <c r="A160" s="16" t="s">
        <v>140</v>
      </c>
      <c r="B160" s="25">
        <f>IF($B$136&gt;0,IF($B$136&gt;0,(INDEX(DB_PreAdm,$B$132))/INDEX(FxUsed,MATCH(INDEX(DB_PreCcy,$B$132),FxCodes,0))*INDEX(FxUsed,MATCH($B$133,FxCodes,0)),0),IF($B$132=0,0,(IF($B$146&gt;0,SUMPRODUCT((RecKey=$B$131)*RecAdm*(1+$B$137)^(PlanYear-RecYear))/$B$146,INDEX(DB_EstAdm,$B$132)))/INDEX(FxUsed,MATCH($B$147,FxCodes,0))*INDEX(FxUsed,MATCH($B$133,FxCodes,0))))</f>
        <v>0</v>
      </c>
      <c r="C160" s="21"/>
      <c r="D160" s="25">
        <f t="shared" si="58"/>
        <v>0</v>
      </c>
      <c r="E160" s="12">
        <f>IF(ISNUMBER(C160),PlanYear,IF($B$136&gt;0,INDEX(DB_PreBase,$B$132),IF($B$146&gt;0,PlanYear,IF($B$132&gt;0,INDEX(DB_EstBase,$B$132),PlanYear))))</f>
        <v>2026</v>
      </c>
      <c r="F160" s="12" t="str">
        <f>IF(ISNUMBER(C160),"override",IF($B$136&gt;0,INDEX(DB_PreStatus,$B$132),IF($B$132=0,"missing",IF($B$146&gt;0,"verified",INDEX(DB_EstStatus,$B$132)))))</f>
        <v>missing</v>
      </c>
      <c r="G160" s="16" t="str">
        <f t="shared" si="59"/>
        <v>No figure yet — enter your own</v>
      </c>
      <c r="H160" s="16" t="s">
        <v>136</v>
      </c>
      <c r="I160" s="16" t="s">
        <v>141</v>
      </c>
      <c r="J160" s="16" t="s">
        <v>138</v>
      </c>
    </row>
    <row r="161" spans="1:27" x14ac:dyDescent="0.3">
      <c r="A161" s="16" t="s">
        <v>142</v>
      </c>
      <c r="B161" s="25">
        <f>IF(OR($B$149=0,AND($B$130&lt;&gt;"domestic",Residence=$B$126,COUNTIF(ResNoVisa,$B$126)&gt;0)),0,(INDEX(VisaAmt,$B$149))/INDEX(FxUsed,MATCH(INDEX(VisaCcy,$B$149),FxCodes,0))*INDEX(FxUsed,MATCH($B$133,FxCodes,0)))</f>
        <v>785</v>
      </c>
      <c r="C161" s="21"/>
      <c r="D161" s="25">
        <f t="shared" si="58"/>
        <v>785</v>
      </c>
      <c r="E161" s="12">
        <f>IF(ISNUMBER(C161),PlanYear,IF(OR($B$149=0,AND($B$130&lt;&gt;"domestic",Residence=$B$126,COUNTIF(ResNoVisa,$B$126)&gt;0)),PlanYear,INDEX(VisaBase,$B$149)))</f>
        <v>2026</v>
      </c>
      <c r="F161" s="12" t="str">
        <f>IF(ISNUMBER(C161),"override",IF(AND($B$130&lt;&gt;"domestic",Residence=$B$126,COUNTIF(ResNoVisa,$B$126)&gt;0),"notNeeded",IF($B$149=0,"missing",INDEX(VisaStatus,$B$149))))</f>
        <v>verified</v>
      </c>
      <c r="G161" s="16" t="str">
        <f t="shared" si="59"/>
        <v>Published figure</v>
      </c>
      <c r="H161" s="16" t="s">
        <v>139</v>
      </c>
      <c r="I161" s="16" t="s">
        <v>141</v>
      </c>
      <c r="J161" s="16" t="s">
        <v>143</v>
      </c>
    </row>
    <row r="162" spans="1:27" x14ac:dyDescent="0.3">
      <c r="A162" s="16" t="s">
        <v>144</v>
      </c>
      <c r="B162" s="25">
        <f>IF($B$150=0,0,(INDEX(TravAmt,$B$150))/INDEX(FxUsed,MATCH(INDEX(TravCcy,$B$150),FxCodes,0))*INDEX(FxUsed,MATCH($B$133,FxCodes,0)))</f>
        <v>1600</v>
      </c>
      <c r="C162" s="21"/>
      <c r="D162" s="25">
        <f t="shared" si="58"/>
        <v>1600</v>
      </c>
      <c r="E162" s="12">
        <f>IF(ISNUMBER(C162),PlanYear,IF($B$150=0,PlanYear,INDEX(TravBase,$B$150)))</f>
        <v>2026</v>
      </c>
      <c r="F162" s="12" t="str">
        <f>IF(ISNUMBER(C162),"override",IF($B$150=0,"missing",INDEX(TravStatus,$B$150)))</f>
        <v>estimated</v>
      </c>
      <c r="G162" s="16" t="str">
        <f t="shared" si="59"/>
        <v>Estimated — please review</v>
      </c>
      <c r="H162" s="16" t="s">
        <v>139</v>
      </c>
      <c r="I162" s="16" t="s">
        <v>141</v>
      </c>
      <c r="J162" s="16" t="s">
        <v>143</v>
      </c>
    </row>
    <row r="163" spans="1:27" x14ac:dyDescent="0.3">
      <c r="A163" s="16" t="s">
        <v>46</v>
      </c>
      <c r="B163" s="25">
        <f>IF($B$136&gt;0,(INDEX(DB_PreTuition,$B$132))/INDEX(FxUsed,MATCH(INDEX(DB_PreCcy,$B$132),FxCodes,0))*INDEX(FxUsed,MATCH($B$133,FxCodes,0)),0)</f>
        <v>0</v>
      </c>
      <c r="C163" s="21"/>
      <c r="D163" s="25">
        <f t="shared" si="58"/>
        <v>0</v>
      </c>
      <c r="E163" s="12">
        <f>IF(ISNUMBER(C163),PlanYear,IF($B$136&gt;0,INDEX(DB_PreBase,$B$132),PlanYear))</f>
        <v>2026</v>
      </c>
      <c r="F163" s="12" t="str">
        <f>IF(ISNUMBER(C163),"override",IF($B$136&gt;0,INDEX(DB_PreStatus,$B$132),""))</f>
        <v/>
      </c>
      <c r="G163" s="16" t="str">
        <f t="shared" si="59"/>
        <v/>
      </c>
      <c r="H163" s="16" t="s">
        <v>136</v>
      </c>
      <c r="I163" s="16" t="s">
        <v>137</v>
      </c>
      <c r="J163" s="16" t="s">
        <v>138</v>
      </c>
    </row>
    <row r="164" spans="1:27" x14ac:dyDescent="0.3">
      <c r="A164" s="16" t="s">
        <v>47</v>
      </c>
      <c r="B164" s="25">
        <f>IF($B$136&gt;0,(INDEX(DB_PreOther,$B$132))/INDEX(FxUsed,MATCH(INDEX(DB_PreCcy,$B$132),FxCodes,0))*INDEX(FxUsed,MATCH($B$133,FxCodes,0)),0)</f>
        <v>0</v>
      </c>
      <c r="C164" s="21"/>
      <c r="D164" s="25">
        <f t="shared" si="58"/>
        <v>0</v>
      </c>
      <c r="E164" s="12">
        <f>IF(ISNUMBER(C164),PlanYear,IF($B$136&gt;0,INDEX(DB_PreBase,$B$132),PlanYear))</f>
        <v>2026</v>
      </c>
      <c r="F164" s="12" t="str">
        <f>IF(ISNUMBER(C164),"override",IF($B$136&gt;0,INDEX(DB_PreStatus,$B$132),""))</f>
        <v/>
      </c>
      <c r="G164" s="16" t="str">
        <f t="shared" si="59"/>
        <v/>
      </c>
      <c r="H164" s="16" t="s">
        <v>136</v>
      </c>
      <c r="I164" s="16" t="s">
        <v>137</v>
      </c>
      <c r="J164" s="16" t="s">
        <v>138</v>
      </c>
    </row>
    <row r="166" spans="1:27" ht="79.2" x14ac:dyDescent="0.3">
      <c r="A166" s="22" t="s">
        <v>145</v>
      </c>
      <c r="B166" s="22" t="s">
        <v>146</v>
      </c>
      <c r="C166" s="22" t="s">
        <v>147</v>
      </c>
      <c r="D166" s="22" t="s">
        <v>148</v>
      </c>
      <c r="E166" s="22" t="s">
        <v>149</v>
      </c>
      <c r="F166" s="22" t="s">
        <v>150</v>
      </c>
      <c r="G166" s="22" t="s">
        <v>151</v>
      </c>
      <c r="H166" s="22" t="s">
        <v>152</v>
      </c>
      <c r="I166" s="22" t="s">
        <v>153</v>
      </c>
      <c r="J166" s="22" t="s">
        <v>154</v>
      </c>
      <c r="K166" s="22" t="s">
        <v>155</v>
      </c>
      <c r="L166" s="22" t="s">
        <v>156</v>
      </c>
      <c r="M166" s="22" t="s">
        <v>157</v>
      </c>
      <c r="N166" s="22" t="s">
        <v>158</v>
      </c>
      <c r="O166" s="22" t="s">
        <v>159</v>
      </c>
      <c r="P166" s="22" t="s">
        <v>36</v>
      </c>
      <c r="Q166" s="22" t="s">
        <v>37</v>
      </c>
      <c r="R166" s="22" t="s">
        <v>38</v>
      </c>
      <c r="S166" s="22" t="s">
        <v>39</v>
      </c>
      <c r="T166" s="22" t="s">
        <v>40</v>
      </c>
      <c r="U166" s="22" t="s">
        <v>41</v>
      </c>
      <c r="V166" s="22" t="s">
        <v>42</v>
      </c>
      <c r="W166" s="22" t="s">
        <v>140</v>
      </c>
      <c r="X166" s="22" t="s">
        <v>142</v>
      </c>
      <c r="Y166" s="22" t="s">
        <v>144</v>
      </c>
      <c r="Z166" s="22" t="s">
        <v>83</v>
      </c>
      <c r="AA166" s="22" t="s">
        <v>160</v>
      </c>
    </row>
    <row r="167" spans="1:27" x14ac:dyDescent="0.3">
      <c r="A167" s="16">
        <v>0</v>
      </c>
      <c r="B167" s="16">
        <f t="shared" ref="B167:B176" si="60">PlanYear+$B$139+A167</f>
        <v>2026</v>
      </c>
      <c r="C167" s="16">
        <f t="shared" ref="C167:C176" si="61">MAX(0,MIN(1,$B$134-A167))</f>
        <v>0</v>
      </c>
      <c r="D167" s="16">
        <f t="shared" ref="D167:D176" si="62">IF(A167&lt;$B$136,1,0)</f>
        <v>0</v>
      </c>
      <c r="E167" s="16">
        <f t="shared" ref="E167:E176" si="63">IF(AND($B$143=1,A167&lt;$B$140),1,0)</f>
        <v>0</v>
      </c>
      <c r="F167" s="21">
        <f t="shared" ref="F167:F176" si="64">IF(AND(E167=1),IF(D167=1,$D$163,$D$153)*(1+$B$137)^(B167-IF(D167=1,$E$163,$E$153))*C167*$B$145,0)</f>
        <v>0</v>
      </c>
      <c r="G167" s="21">
        <f t="shared" ref="G167:G176" si="65">IF(AND(E167=1),$D$154*(1+$B$138)^(B167-$E$154)*C167*$B$145,0)</f>
        <v>0</v>
      </c>
      <c r="H167" s="21">
        <f t="shared" ref="H167:H176" si="66">IF(AND(E167=1),$D$155*(1+$B$138)^(B167-$E$155)*C167*$B$145,0)</f>
        <v>0</v>
      </c>
      <c r="I167" s="21">
        <f t="shared" ref="I167:I176" si="67">IF(AND(E167=1),$D$156*(1+$B$138)^(B167-$E$156)*C167*$B$145,0)</f>
        <v>0</v>
      </c>
      <c r="J167" s="21">
        <f t="shared" ref="J167:J176" si="68">IF(AND(E167=1),$D$157*(1+$B$138)^(B167-$E$157)*C167*$B$145,0)</f>
        <v>0</v>
      </c>
      <c r="K167" s="21">
        <f t="shared" ref="K167:K176" si="69">IF(AND(E167=1),$D$158*(1+$B$138)^(B167-$E$158)*C167*$B$145,0)</f>
        <v>0</v>
      </c>
      <c r="L167" s="21">
        <f t="shared" ref="L167:L176" si="70">IF(AND(E167=1),IF(D167=1,$D$164,$D$159)*(1+$B$137)^(B167-IF(D167=1,$E$164,$E$159))*C167*$B$145,0)</f>
        <v>0</v>
      </c>
      <c r="M167" s="21">
        <f t="shared" ref="M167:M176" si="71">IF(AND(E167=1,A167=0),$D$160*(1+$B$137)^(B167-$E$160)*$B$145,0)</f>
        <v>0</v>
      </c>
      <c r="N167" s="21">
        <f t="shared" ref="N167:N176" si="72">IF(AND(E167=1,A167=0),$D$161*(1+$B$138)^(B167-$E$161)*$B$145,0)</f>
        <v>0</v>
      </c>
      <c r="O167" s="21">
        <f t="shared" ref="O167:O176" si="73">IF(AND(E167=1,A167=0),$D$162*(1+$B$138)^(B167-$E$162)*$B$145,0)</f>
        <v>0</v>
      </c>
      <c r="P167" s="21">
        <f t="shared" ref="P167:P176" si="74">F167*(1-Coverage)</f>
        <v>0</v>
      </c>
      <c r="Q167" s="21">
        <f t="shared" ref="Q167:Q176" si="75">G167*(1-Coverage)</f>
        <v>0</v>
      </c>
      <c r="R167" s="21">
        <f t="shared" ref="R167:R176" si="76">H167*(1-Coverage)</f>
        <v>0</v>
      </c>
      <c r="S167" s="21">
        <f t="shared" ref="S167:S176" si="77">I167*(1-Coverage)</f>
        <v>0</v>
      </c>
      <c r="T167" s="21">
        <f t="shared" ref="T167:T176" si="78">J167*(1-Coverage)</f>
        <v>0</v>
      </c>
      <c r="U167" s="21">
        <f t="shared" ref="U167:U176" si="79">K167*(1-Coverage)</f>
        <v>0</v>
      </c>
      <c r="V167" s="21">
        <f t="shared" ref="V167:V176" si="80">L167*(1-Coverage)</f>
        <v>0</v>
      </c>
      <c r="W167" s="21">
        <f t="shared" ref="W167:W176" si="81">M167*(1-Coverage)</f>
        <v>0</v>
      </c>
      <c r="X167" s="21">
        <f t="shared" ref="X167:X176" si="82">N167*1</f>
        <v>0</v>
      </c>
      <c r="Y167" s="21">
        <f t="shared" ref="Y167:Y176" si="83">O167*1</f>
        <v>0</v>
      </c>
      <c r="Z167" s="20">
        <f t="shared" ref="Z167:Z176" si="84">SUM(P167:Y167)</f>
        <v>0</v>
      </c>
      <c r="AA167" s="21">
        <f t="shared" ref="AA167:AA176" si="85">SUM(F167:O167)</f>
        <v>0</v>
      </c>
    </row>
    <row r="168" spans="1:27" x14ac:dyDescent="0.3">
      <c r="A168" s="16">
        <v>1</v>
      </c>
      <c r="B168" s="16">
        <f t="shared" si="60"/>
        <v>2027</v>
      </c>
      <c r="C168" s="16">
        <f t="shared" si="61"/>
        <v>0</v>
      </c>
      <c r="D168" s="16">
        <f t="shared" si="62"/>
        <v>0</v>
      </c>
      <c r="E168" s="16">
        <f t="shared" si="63"/>
        <v>0</v>
      </c>
      <c r="F168" s="21">
        <f t="shared" si="64"/>
        <v>0</v>
      </c>
      <c r="G168" s="21">
        <f t="shared" si="65"/>
        <v>0</v>
      </c>
      <c r="H168" s="21">
        <f t="shared" si="66"/>
        <v>0</v>
      </c>
      <c r="I168" s="21">
        <f t="shared" si="67"/>
        <v>0</v>
      </c>
      <c r="J168" s="21">
        <f t="shared" si="68"/>
        <v>0</v>
      </c>
      <c r="K168" s="21">
        <f t="shared" si="69"/>
        <v>0</v>
      </c>
      <c r="L168" s="21">
        <f t="shared" si="70"/>
        <v>0</v>
      </c>
      <c r="M168" s="21">
        <f t="shared" si="71"/>
        <v>0</v>
      </c>
      <c r="N168" s="21">
        <f t="shared" si="72"/>
        <v>0</v>
      </c>
      <c r="O168" s="21">
        <f t="shared" si="73"/>
        <v>0</v>
      </c>
      <c r="P168" s="21">
        <f t="shared" si="74"/>
        <v>0</v>
      </c>
      <c r="Q168" s="21">
        <f t="shared" si="75"/>
        <v>0</v>
      </c>
      <c r="R168" s="21">
        <f t="shared" si="76"/>
        <v>0</v>
      </c>
      <c r="S168" s="21">
        <f t="shared" si="77"/>
        <v>0</v>
      </c>
      <c r="T168" s="21">
        <f t="shared" si="78"/>
        <v>0</v>
      </c>
      <c r="U168" s="21">
        <f t="shared" si="79"/>
        <v>0</v>
      </c>
      <c r="V168" s="21">
        <f t="shared" si="80"/>
        <v>0</v>
      </c>
      <c r="W168" s="21">
        <f t="shared" si="81"/>
        <v>0</v>
      </c>
      <c r="X168" s="21">
        <f t="shared" si="82"/>
        <v>0</v>
      </c>
      <c r="Y168" s="21">
        <f t="shared" si="83"/>
        <v>0</v>
      </c>
      <c r="Z168" s="20">
        <f t="shared" si="84"/>
        <v>0</v>
      </c>
      <c r="AA168" s="21">
        <f t="shared" si="85"/>
        <v>0</v>
      </c>
    </row>
    <row r="169" spans="1:27" x14ac:dyDescent="0.3">
      <c r="A169" s="16">
        <v>2</v>
      </c>
      <c r="B169" s="16">
        <f t="shared" si="60"/>
        <v>2028</v>
      </c>
      <c r="C169" s="16">
        <f t="shared" si="61"/>
        <v>0</v>
      </c>
      <c r="D169" s="16">
        <f t="shared" si="62"/>
        <v>0</v>
      </c>
      <c r="E169" s="16">
        <f t="shared" si="63"/>
        <v>0</v>
      </c>
      <c r="F169" s="21">
        <f t="shared" si="64"/>
        <v>0</v>
      </c>
      <c r="G169" s="21">
        <f t="shared" si="65"/>
        <v>0</v>
      </c>
      <c r="H169" s="21">
        <f t="shared" si="66"/>
        <v>0</v>
      </c>
      <c r="I169" s="21">
        <f t="shared" si="67"/>
        <v>0</v>
      </c>
      <c r="J169" s="21">
        <f t="shared" si="68"/>
        <v>0</v>
      </c>
      <c r="K169" s="21">
        <f t="shared" si="69"/>
        <v>0</v>
      </c>
      <c r="L169" s="21">
        <f t="shared" si="70"/>
        <v>0</v>
      </c>
      <c r="M169" s="21">
        <f t="shared" si="71"/>
        <v>0</v>
      </c>
      <c r="N169" s="21">
        <f t="shared" si="72"/>
        <v>0</v>
      </c>
      <c r="O169" s="21">
        <f t="shared" si="73"/>
        <v>0</v>
      </c>
      <c r="P169" s="21">
        <f t="shared" si="74"/>
        <v>0</v>
      </c>
      <c r="Q169" s="21">
        <f t="shared" si="75"/>
        <v>0</v>
      </c>
      <c r="R169" s="21">
        <f t="shared" si="76"/>
        <v>0</v>
      </c>
      <c r="S169" s="21">
        <f t="shared" si="77"/>
        <v>0</v>
      </c>
      <c r="T169" s="21">
        <f t="shared" si="78"/>
        <v>0</v>
      </c>
      <c r="U169" s="21">
        <f t="shared" si="79"/>
        <v>0</v>
      </c>
      <c r="V169" s="21">
        <f t="shared" si="80"/>
        <v>0</v>
      </c>
      <c r="W169" s="21">
        <f t="shared" si="81"/>
        <v>0</v>
      </c>
      <c r="X169" s="21">
        <f t="shared" si="82"/>
        <v>0</v>
      </c>
      <c r="Y169" s="21">
        <f t="shared" si="83"/>
        <v>0</v>
      </c>
      <c r="Z169" s="20">
        <f t="shared" si="84"/>
        <v>0</v>
      </c>
      <c r="AA169" s="21">
        <f t="shared" si="85"/>
        <v>0</v>
      </c>
    </row>
    <row r="170" spans="1:27" x14ac:dyDescent="0.3">
      <c r="A170" s="16">
        <v>3</v>
      </c>
      <c r="B170" s="16">
        <f t="shared" si="60"/>
        <v>2029</v>
      </c>
      <c r="C170" s="16">
        <f t="shared" si="61"/>
        <v>0</v>
      </c>
      <c r="D170" s="16">
        <f t="shared" si="62"/>
        <v>0</v>
      </c>
      <c r="E170" s="16">
        <f t="shared" si="63"/>
        <v>0</v>
      </c>
      <c r="F170" s="21">
        <f t="shared" si="64"/>
        <v>0</v>
      </c>
      <c r="G170" s="21">
        <f t="shared" si="65"/>
        <v>0</v>
      </c>
      <c r="H170" s="21">
        <f t="shared" si="66"/>
        <v>0</v>
      </c>
      <c r="I170" s="21">
        <f t="shared" si="67"/>
        <v>0</v>
      </c>
      <c r="J170" s="21">
        <f t="shared" si="68"/>
        <v>0</v>
      </c>
      <c r="K170" s="21">
        <f t="shared" si="69"/>
        <v>0</v>
      </c>
      <c r="L170" s="21">
        <f t="shared" si="70"/>
        <v>0</v>
      </c>
      <c r="M170" s="21">
        <f t="shared" si="71"/>
        <v>0</v>
      </c>
      <c r="N170" s="21">
        <f t="shared" si="72"/>
        <v>0</v>
      </c>
      <c r="O170" s="21">
        <f t="shared" si="73"/>
        <v>0</v>
      </c>
      <c r="P170" s="21">
        <f t="shared" si="74"/>
        <v>0</v>
      </c>
      <c r="Q170" s="21">
        <f t="shared" si="75"/>
        <v>0</v>
      </c>
      <c r="R170" s="21">
        <f t="shared" si="76"/>
        <v>0</v>
      </c>
      <c r="S170" s="21">
        <f t="shared" si="77"/>
        <v>0</v>
      </c>
      <c r="T170" s="21">
        <f t="shared" si="78"/>
        <v>0</v>
      </c>
      <c r="U170" s="21">
        <f t="shared" si="79"/>
        <v>0</v>
      </c>
      <c r="V170" s="21">
        <f t="shared" si="80"/>
        <v>0</v>
      </c>
      <c r="W170" s="21">
        <f t="shared" si="81"/>
        <v>0</v>
      </c>
      <c r="X170" s="21">
        <f t="shared" si="82"/>
        <v>0</v>
      </c>
      <c r="Y170" s="21">
        <f t="shared" si="83"/>
        <v>0</v>
      </c>
      <c r="Z170" s="20">
        <f t="shared" si="84"/>
        <v>0</v>
      </c>
      <c r="AA170" s="21">
        <f t="shared" si="85"/>
        <v>0</v>
      </c>
    </row>
    <row r="171" spans="1:27" x14ac:dyDescent="0.3">
      <c r="A171" s="16">
        <v>4</v>
      </c>
      <c r="B171" s="16">
        <f t="shared" si="60"/>
        <v>2030</v>
      </c>
      <c r="C171" s="16">
        <f t="shared" si="61"/>
        <v>0</v>
      </c>
      <c r="D171" s="16">
        <f t="shared" si="62"/>
        <v>0</v>
      </c>
      <c r="E171" s="16">
        <f t="shared" si="63"/>
        <v>0</v>
      </c>
      <c r="F171" s="21">
        <f t="shared" si="64"/>
        <v>0</v>
      </c>
      <c r="G171" s="21">
        <f t="shared" si="65"/>
        <v>0</v>
      </c>
      <c r="H171" s="21">
        <f t="shared" si="66"/>
        <v>0</v>
      </c>
      <c r="I171" s="21">
        <f t="shared" si="67"/>
        <v>0</v>
      </c>
      <c r="J171" s="21">
        <f t="shared" si="68"/>
        <v>0</v>
      </c>
      <c r="K171" s="21">
        <f t="shared" si="69"/>
        <v>0</v>
      </c>
      <c r="L171" s="21">
        <f t="shared" si="70"/>
        <v>0</v>
      </c>
      <c r="M171" s="21">
        <f t="shared" si="71"/>
        <v>0</v>
      </c>
      <c r="N171" s="21">
        <f t="shared" si="72"/>
        <v>0</v>
      </c>
      <c r="O171" s="21">
        <f t="shared" si="73"/>
        <v>0</v>
      </c>
      <c r="P171" s="21">
        <f t="shared" si="74"/>
        <v>0</v>
      </c>
      <c r="Q171" s="21">
        <f t="shared" si="75"/>
        <v>0</v>
      </c>
      <c r="R171" s="21">
        <f t="shared" si="76"/>
        <v>0</v>
      </c>
      <c r="S171" s="21">
        <f t="shared" si="77"/>
        <v>0</v>
      </c>
      <c r="T171" s="21">
        <f t="shared" si="78"/>
        <v>0</v>
      </c>
      <c r="U171" s="21">
        <f t="shared" si="79"/>
        <v>0</v>
      </c>
      <c r="V171" s="21">
        <f t="shared" si="80"/>
        <v>0</v>
      </c>
      <c r="W171" s="21">
        <f t="shared" si="81"/>
        <v>0</v>
      </c>
      <c r="X171" s="21">
        <f t="shared" si="82"/>
        <v>0</v>
      </c>
      <c r="Y171" s="21">
        <f t="shared" si="83"/>
        <v>0</v>
      </c>
      <c r="Z171" s="20">
        <f t="shared" si="84"/>
        <v>0</v>
      </c>
      <c r="AA171" s="21">
        <f t="shared" si="85"/>
        <v>0</v>
      </c>
    </row>
    <row r="172" spans="1:27" x14ac:dyDescent="0.3">
      <c r="A172" s="16">
        <v>5</v>
      </c>
      <c r="B172" s="16">
        <f t="shared" si="60"/>
        <v>2031</v>
      </c>
      <c r="C172" s="16">
        <f t="shared" si="61"/>
        <v>0</v>
      </c>
      <c r="D172" s="16">
        <f t="shared" si="62"/>
        <v>0</v>
      </c>
      <c r="E172" s="16">
        <f t="shared" si="63"/>
        <v>0</v>
      </c>
      <c r="F172" s="21">
        <f t="shared" si="64"/>
        <v>0</v>
      </c>
      <c r="G172" s="21">
        <f t="shared" si="65"/>
        <v>0</v>
      </c>
      <c r="H172" s="21">
        <f t="shared" si="66"/>
        <v>0</v>
      </c>
      <c r="I172" s="21">
        <f t="shared" si="67"/>
        <v>0</v>
      </c>
      <c r="J172" s="21">
        <f t="shared" si="68"/>
        <v>0</v>
      </c>
      <c r="K172" s="21">
        <f t="shared" si="69"/>
        <v>0</v>
      </c>
      <c r="L172" s="21">
        <f t="shared" si="70"/>
        <v>0</v>
      </c>
      <c r="M172" s="21">
        <f t="shared" si="71"/>
        <v>0</v>
      </c>
      <c r="N172" s="21">
        <f t="shared" si="72"/>
        <v>0</v>
      </c>
      <c r="O172" s="21">
        <f t="shared" si="73"/>
        <v>0</v>
      </c>
      <c r="P172" s="21">
        <f t="shared" si="74"/>
        <v>0</v>
      </c>
      <c r="Q172" s="21">
        <f t="shared" si="75"/>
        <v>0</v>
      </c>
      <c r="R172" s="21">
        <f t="shared" si="76"/>
        <v>0</v>
      </c>
      <c r="S172" s="21">
        <f t="shared" si="77"/>
        <v>0</v>
      </c>
      <c r="T172" s="21">
        <f t="shared" si="78"/>
        <v>0</v>
      </c>
      <c r="U172" s="21">
        <f t="shared" si="79"/>
        <v>0</v>
      </c>
      <c r="V172" s="21">
        <f t="shared" si="80"/>
        <v>0</v>
      </c>
      <c r="W172" s="21">
        <f t="shared" si="81"/>
        <v>0</v>
      </c>
      <c r="X172" s="21">
        <f t="shared" si="82"/>
        <v>0</v>
      </c>
      <c r="Y172" s="21">
        <f t="shared" si="83"/>
        <v>0</v>
      </c>
      <c r="Z172" s="20">
        <f t="shared" si="84"/>
        <v>0</v>
      </c>
      <c r="AA172" s="21">
        <f t="shared" si="85"/>
        <v>0</v>
      </c>
    </row>
    <row r="173" spans="1:27" x14ac:dyDescent="0.3">
      <c r="A173" s="16">
        <v>6</v>
      </c>
      <c r="B173" s="16">
        <f t="shared" si="60"/>
        <v>2032</v>
      </c>
      <c r="C173" s="16">
        <f t="shared" si="61"/>
        <v>0</v>
      </c>
      <c r="D173" s="16">
        <f t="shared" si="62"/>
        <v>0</v>
      </c>
      <c r="E173" s="16">
        <f t="shared" si="63"/>
        <v>0</v>
      </c>
      <c r="F173" s="21">
        <f t="shared" si="64"/>
        <v>0</v>
      </c>
      <c r="G173" s="21">
        <f t="shared" si="65"/>
        <v>0</v>
      </c>
      <c r="H173" s="21">
        <f t="shared" si="66"/>
        <v>0</v>
      </c>
      <c r="I173" s="21">
        <f t="shared" si="67"/>
        <v>0</v>
      </c>
      <c r="J173" s="21">
        <f t="shared" si="68"/>
        <v>0</v>
      </c>
      <c r="K173" s="21">
        <f t="shared" si="69"/>
        <v>0</v>
      </c>
      <c r="L173" s="21">
        <f t="shared" si="70"/>
        <v>0</v>
      </c>
      <c r="M173" s="21">
        <f t="shared" si="71"/>
        <v>0</v>
      </c>
      <c r="N173" s="21">
        <f t="shared" si="72"/>
        <v>0</v>
      </c>
      <c r="O173" s="21">
        <f t="shared" si="73"/>
        <v>0</v>
      </c>
      <c r="P173" s="21">
        <f t="shared" si="74"/>
        <v>0</v>
      </c>
      <c r="Q173" s="21">
        <f t="shared" si="75"/>
        <v>0</v>
      </c>
      <c r="R173" s="21">
        <f t="shared" si="76"/>
        <v>0</v>
      </c>
      <c r="S173" s="21">
        <f t="shared" si="77"/>
        <v>0</v>
      </c>
      <c r="T173" s="21">
        <f t="shared" si="78"/>
        <v>0</v>
      </c>
      <c r="U173" s="21">
        <f t="shared" si="79"/>
        <v>0</v>
      </c>
      <c r="V173" s="21">
        <f t="shared" si="80"/>
        <v>0</v>
      </c>
      <c r="W173" s="21">
        <f t="shared" si="81"/>
        <v>0</v>
      </c>
      <c r="X173" s="21">
        <f t="shared" si="82"/>
        <v>0</v>
      </c>
      <c r="Y173" s="21">
        <f t="shared" si="83"/>
        <v>0</v>
      </c>
      <c r="Z173" s="20">
        <f t="shared" si="84"/>
        <v>0</v>
      </c>
      <c r="AA173" s="21">
        <f t="shared" si="85"/>
        <v>0</v>
      </c>
    </row>
    <row r="174" spans="1:27" x14ac:dyDescent="0.3">
      <c r="A174" s="16">
        <v>7</v>
      </c>
      <c r="B174" s="16">
        <f t="shared" si="60"/>
        <v>2033</v>
      </c>
      <c r="C174" s="16">
        <f t="shared" si="61"/>
        <v>0</v>
      </c>
      <c r="D174" s="16">
        <f t="shared" si="62"/>
        <v>0</v>
      </c>
      <c r="E174" s="16">
        <f t="shared" si="63"/>
        <v>0</v>
      </c>
      <c r="F174" s="21">
        <f t="shared" si="64"/>
        <v>0</v>
      </c>
      <c r="G174" s="21">
        <f t="shared" si="65"/>
        <v>0</v>
      </c>
      <c r="H174" s="21">
        <f t="shared" si="66"/>
        <v>0</v>
      </c>
      <c r="I174" s="21">
        <f t="shared" si="67"/>
        <v>0</v>
      </c>
      <c r="J174" s="21">
        <f t="shared" si="68"/>
        <v>0</v>
      </c>
      <c r="K174" s="21">
        <f t="shared" si="69"/>
        <v>0</v>
      </c>
      <c r="L174" s="21">
        <f t="shared" si="70"/>
        <v>0</v>
      </c>
      <c r="M174" s="21">
        <f t="shared" si="71"/>
        <v>0</v>
      </c>
      <c r="N174" s="21">
        <f t="shared" si="72"/>
        <v>0</v>
      </c>
      <c r="O174" s="21">
        <f t="shared" si="73"/>
        <v>0</v>
      </c>
      <c r="P174" s="21">
        <f t="shared" si="74"/>
        <v>0</v>
      </c>
      <c r="Q174" s="21">
        <f t="shared" si="75"/>
        <v>0</v>
      </c>
      <c r="R174" s="21">
        <f t="shared" si="76"/>
        <v>0</v>
      </c>
      <c r="S174" s="21">
        <f t="shared" si="77"/>
        <v>0</v>
      </c>
      <c r="T174" s="21">
        <f t="shared" si="78"/>
        <v>0</v>
      </c>
      <c r="U174" s="21">
        <f t="shared" si="79"/>
        <v>0</v>
      </c>
      <c r="V174" s="21">
        <f t="shared" si="80"/>
        <v>0</v>
      </c>
      <c r="W174" s="21">
        <f t="shared" si="81"/>
        <v>0</v>
      </c>
      <c r="X174" s="21">
        <f t="shared" si="82"/>
        <v>0</v>
      </c>
      <c r="Y174" s="21">
        <f t="shared" si="83"/>
        <v>0</v>
      </c>
      <c r="Z174" s="20">
        <f t="shared" si="84"/>
        <v>0</v>
      </c>
      <c r="AA174" s="21">
        <f t="shared" si="85"/>
        <v>0</v>
      </c>
    </row>
    <row r="175" spans="1:27" x14ac:dyDescent="0.3">
      <c r="A175" s="16">
        <v>8</v>
      </c>
      <c r="B175" s="16">
        <f t="shared" si="60"/>
        <v>2034</v>
      </c>
      <c r="C175" s="16">
        <f t="shared" si="61"/>
        <v>0</v>
      </c>
      <c r="D175" s="16">
        <f t="shared" si="62"/>
        <v>0</v>
      </c>
      <c r="E175" s="16">
        <f t="shared" si="63"/>
        <v>0</v>
      </c>
      <c r="F175" s="21">
        <f t="shared" si="64"/>
        <v>0</v>
      </c>
      <c r="G175" s="21">
        <f t="shared" si="65"/>
        <v>0</v>
      </c>
      <c r="H175" s="21">
        <f t="shared" si="66"/>
        <v>0</v>
      </c>
      <c r="I175" s="21">
        <f t="shared" si="67"/>
        <v>0</v>
      </c>
      <c r="J175" s="21">
        <f t="shared" si="68"/>
        <v>0</v>
      </c>
      <c r="K175" s="21">
        <f t="shared" si="69"/>
        <v>0</v>
      </c>
      <c r="L175" s="21">
        <f t="shared" si="70"/>
        <v>0</v>
      </c>
      <c r="M175" s="21">
        <f t="shared" si="71"/>
        <v>0</v>
      </c>
      <c r="N175" s="21">
        <f t="shared" si="72"/>
        <v>0</v>
      </c>
      <c r="O175" s="21">
        <f t="shared" si="73"/>
        <v>0</v>
      </c>
      <c r="P175" s="21">
        <f t="shared" si="74"/>
        <v>0</v>
      </c>
      <c r="Q175" s="21">
        <f t="shared" si="75"/>
        <v>0</v>
      </c>
      <c r="R175" s="21">
        <f t="shared" si="76"/>
        <v>0</v>
      </c>
      <c r="S175" s="21">
        <f t="shared" si="77"/>
        <v>0</v>
      </c>
      <c r="T175" s="21">
        <f t="shared" si="78"/>
        <v>0</v>
      </c>
      <c r="U175" s="21">
        <f t="shared" si="79"/>
        <v>0</v>
      </c>
      <c r="V175" s="21">
        <f t="shared" si="80"/>
        <v>0</v>
      </c>
      <c r="W175" s="21">
        <f t="shared" si="81"/>
        <v>0</v>
      </c>
      <c r="X175" s="21">
        <f t="shared" si="82"/>
        <v>0</v>
      </c>
      <c r="Y175" s="21">
        <f t="shared" si="83"/>
        <v>0</v>
      </c>
      <c r="Z175" s="20">
        <f t="shared" si="84"/>
        <v>0</v>
      </c>
      <c r="AA175" s="21">
        <f t="shared" si="85"/>
        <v>0</v>
      </c>
    </row>
    <row r="176" spans="1:27" x14ac:dyDescent="0.3">
      <c r="A176" s="16">
        <v>9</v>
      </c>
      <c r="B176" s="16">
        <f t="shared" si="60"/>
        <v>2035</v>
      </c>
      <c r="C176" s="16">
        <f t="shared" si="61"/>
        <v>0</v>
      </c>
      <c r="D176" s="16">
        <f t="shared" si="62"/>
        <v>0</v>
      </c>
      <c r="E176" s="16">
        <f t="shared" si="63"/>
        <v>0</v>
      </c>
      <c r="F176" s="21">
        <f t="shared" si="64"/>
        <v>0</v>
      </c>
      <c r="G176" s="21">
        <f t="shared" si="65"/>
        <v>0</v>
      </c>
      <c r="H176" s="21">
        <f t="shared" si="66"/>
        <v>0</v>
      </c>
      <c r="I176" s="21">
        <f t="shared" si="67"/>
        <v>0</v>
      </c>
      <c r="J176" s="21">
        <f t="shared" si="68"/>
        <v>0</v>
      </c>
      <c r="K176" s="21">
        <f t="shared" si="69"/>
        <v>0</v>
      </c>
      <c r="L176" s="21">
        <f t="shared" si="70"/>
        <v>0</v>
      </c>
      <c r="M176" s="21">
        <f t="shared" si="71"/>
        <v>0</v>
      </c>
      <c r="N176" s="21">
        <f t="shared" si="72"/>
        <v>0</v>
      </c>
      <c r="O176" s="21">
        <f t="shared" si="73"/>
        <v>0</v>
      </c>
      <c r="P176" s="21">
        <f t="shared" si="74"/>
        <v>0</v>
      </c>
      <c r="Q176" s="21">
        <f t="shared" si="75"/>
        <v>0</v>
      </c>
      <c r="R176" s="21">
        <f t="shared" si="76"/>
        <v>0</v>
      </c>
      <c r="S176" s="21">
        <f t="shared" si="77"/>
        <v>0</v>
      </c>
      <c r="T176" s="21">
        <f t="shared" si="78"/>
        <v>0</v>
      </c>
      <c r="U176" s="21">
        <f t="shared" si="79"/>
        <v>0</v>
      </c>
      <c r="V176" s="21">
        <f t="shared" si="80"/>
        <v>0</v>
      </c>
      <c r="W176" s="21">
        <f t="shared" si="81"/>
        <v>0</v>
      </c>
      <c r="X176" s="21">
        <f t="shared" si="82"/>
        <v>0</v>
      </c>
      <c r="Y176" s="21">
        <f t="shared" si="83"/>
        <v>0</v>
      </c>
      <c r="Z176" s="20">
        <f t="shared" si="84"/>
        <v>0</v>
      </c>
      <c r="AA176" s="21">
        <f t="shared" si="85"/>
        <v>0</v>
      </c>
    </row>
    <row r="177" spans="1:27" x14ac:dyDescent="0.3">
      <c r="A177" s="8" t="s">
        <v>76</v>
      </c>
      <c r="F177" s="20">
        <f t="shared" ref="F177:AA177" si="86">SUM(F167:F176)</f>
        <v>0</v>
      </c>
      <c r="G177" s="20">
        <f t="shared" si="86"/>
        <v>0</v>
      </c>
      <c r="H177" s="20">
        <f t="shared" si="86"/>
        <v>0</v>
      </c>
      <c r="I177" s="20">
        <f t="shared" si="86"/>
        <v>0</v>
      </c>
      <c r="J177" s="20">
        <f t="shared" si="86"/>
        <v>0</v>
      </c>
      <c r="K177" s="20">
        <f t="shared" si="86"/>
        <v>0</v>
      </c>
      <c r="L177" s="20">
        <f t="shared" si="86"/>
        <v>0</v>
      </c>
      <c r="M177" s="20">
        <f t="shared" si="86"/>
        <v>0</v>
      </c>
      <c r="N177" s="20">
        <f t="shared" si="86"/>
        <v>0</v>
      </c>
      <c r="O177" s="20">
        <f t="shared" si="86"/>
        <v>0</v>
      </c>
      <c r="P177" s="20">
        <f t="shared" si="86"/>
        <v>0</v>
      </c>
      <c r="Q177" s="20">
        <f t="shared" si="86"/>
        <v>0</v>
      </c>
      <c r="R177" s="20">
        <f t="shared" si="86"/>
        <v>0</v>
      </c>
      <c r="S177" s="20">
        <f t="shared" si="86"/>
        <v>0</v>
      </c>
      <c r="T177" s="20">
        <f t="shared" si="86"/>
        <v>0</v>
      </c>
      <c r="U177" s="20">
        <f t="shared" si="86"/>
        <v>0</v>
      </c>
      <c r="V177" s="20">
        <f t="shared" si="86"/>
        <v>0</v>
      </c>
      <c r="W177" s="20">
        <f t="shared" si="86"/>
        <v>0</v>
      </c>
      <c r="X177" s="20">
        <f t="shared" si="86"/>
        <v>0</v>
      </c>
      <c r="Y177" s="20">
        <f t="shared" si="86"/>
        <v>0</v>
      </c>
      <c r="Z177" s="20">
        <f t="shared" si="86"/>
        <v>0</v>
      </c>
      <c r="AA177" s="20">
        <f t="shared" si="86"/>
        <v>0</v>
      </c>
    </row>
    <row r="179" spans="1:27" x14ac:dyDescent="0.3">
      <c r="A179" s="8" t="s">
        <v>161</v>
      </c>
      <c r="B179" s="26">
        <f>$Z$177</f>
        <v>0</v>
      </c>
    </row>
    <row r="180" spans="1:27" x14ac:dyDescent="0.3">
      <c r="A180" s="16" t="s">
        <v>14</v>
      </c>
      <c r="B180" s="21">
        <f>$AA$177-$Z$177</f>
        <v>0</v>
      </c>
    </row>
    <row r="181" spans="1:27" x14ac:dyDescent="0.3">
      <c r="A181" s="16" t="s">
        <v>162</v>
      </c>
      <c r="B181" s="16" t="str">
        <f>IF(OR($F$153="missing",AND($B$136&gt;0,$F$163="missing")),"missing",IF(OR($F$153="estimated",AND($B$136&gt;0,$F$163="estimated")),"estimated",IF($B$136&gt;0,$F$163,$F$153)))</f>
        <v>missing</v>
      </c>
    </row>
    <row r="182" spans="1:27" x14ac:dyDescent="0.3">
      <c r="A182" s="16" t="s">
        <v>163</v>
      </c>
      <c r="B182" s="16">
        <f>IF(OR($F$153="missing",AND($B$136&gt;0,$F$163="missing"),$F$154="missing"),1,0)</f>
        <v>1</v>
      </c>
    </row>
    <row r="185" spans="1:27" ht="15.6" x14ac:dyDescent="0.3">
      <c r="A185" s="7" t="s">
        <v>93</v>
      </c>
    </row>
    <row r="186" spans="1:27" x14ac:dyDescent="0.3">
      <c r="A186" s="16" t="s">
        <v>104</v>
      </c>
      <c r="B186" s="12">
        <f>IF(CmpChild&lt;=NumChildren,1,0)</f>
        <v>1</v>
      </c>
    </row>
    <row r="187" spans="1:27" x14ac:dyDescent="0.3">
      <c r="A187" s="16" t="s">
        <v>30</v>
      </c>
      <c r="B187" s="12" t="str">
        <f>IF("UK"="","","UK")</f>
        <v>UK</v>
      </c>
    </row>
    <row r="188" spans="1:27" x14ac:dyDescent="0.3">
      <c r="A188" s="16" t="s">
        <v>31</v>
      </c>
      <c r="B188" s="12" t="str">
        <f>IF(CHOOSE(CmpChild,Inputs!$C$18,Inputs!$D$18,Inputs!$E$18,Inputs!$F$18)="","",CHOOSE(CmpChild,Inputs!$C$18,Inputs!$D$18,Inputs!$E$18,Inputs!$F$18))</f>
        <v/>
      </c>
    </row>
    <row r="189" spans="1:27" x14ac:dyDescent="0.3">
      <c r="A189" s="16" t="s">
        <v>105</v>
      </c>
      <c r="B189" s="12" t="str">
        <f>IF(CHOOSE(CmpChild,Inputs!$C$15,Inputs!$D$15,Inputs!$E$15,Inputs!$F$15)="","",CHOOSE(CmpChild,Inputs!$C$15,Inputs!$D$15,Inputs!$E$15,Inputs!$F$15))</f>
        <v/>
      </c>
    </row>
    <row r="190" spans="1:27" x14ac:dyDescent="0.3">
      <c r="A190" s="16" t="s">
        <v>106</v>
      </c>
      <c r="B190" s="12">
        <f>IF(CHOOSE(CmpChild,Inputs!$C$19,Inputs!$D$19,Inputs!$E$19,Inputs!$F$19)="","",CHOOSE(CmpChild,Inputs!$C$19,Inputs!$D$19,Inputs!$E$19,Inputs!$F$19))</f>
        <v>18</v>
      </c>
    </row>
    <row r="191" spans="1:27" x14ac:dyDescent="0.3">
      <c r="A191" s="16" t="s">
        <v>107</v>
      </c>
      <c r="B191" s="12" t="str">
        <f>IF($B$187="","",IF(COUNTIF(DomKey,$B$187&amp;"|"&amp;Nationality)&gt;0,"domestic","international"))</f>
        <v>international</v>
      </c>
    </row>
    <row r="192" spans="1:27" x14ac:dyDescent="0.3">
      <c r="A192" s="16" t="s">
        <v>108</v>
      </c>
      <c r="B192" s="12" t="str">
        <f>$B$187&amp;"|"&amp;$B$188&amp;"|"&amp;$B$191</f>
        <v>UK||international</v>
      </c>
    </row>
    <row r="193" spans="1:2" x14ac:dyDescent="0.3">
      <c r="A193" s="16" t="s">
        <v>109</v>
      </c>
      <c r="B193" s="12">
        <f>IFERROR(MATCH($B$192,DB_Key,0),0)</f>
        <v>0</v>
      </c>
    </row>
    <row r="194" spans="1:2" x14ac:dyDescent="0.3">
      <c r="A194" s="16" t="s">
        <v>110</v>
      </c>
      <c r="B194" s="12" t="str">
        <f>IFERROR(INDEX(Ctry_Ccy,MATCH($B$187,Ctry_Name,0)),"USD")</f>
        <v>GBP</v>
      </c>
    </row>
    <row r="195" spans="1:2" x14ac:dyDescent="0.3">
      <c r="A195" s="16" t="s">
        <v>68</v>
      </c>
      <c r="B195" s="12">
        <f>IF($B$193&gt;0,INDEX(DB_Dur,$B$193),0)</f>
        <v>0</v>
      </c>
    </row>
    <row r="196" spans="1:2" x14ac:dyDescent="0.3">
      <c r="A196" s="16" t="s">
        <v>111</v>
      </c>
      <c r="B196" s="12">
        <f>IF($B$193&gt;0,INDEX(DB_Avail,$B$193),0)</f>
        <v>0</v>
      </c>
    </row>
    <row r="197" spans="1:2" x14ac:dyDescent="0.3">
      <c r="A197" s="16" t="s">
        <v>112</v>
      </c>
      <c r="B197" s="12">
        <f>IF($B$193&gt;0,INDEX(DB_PreYears,$B$193),0)</f>
        <v>0</v>
      </c>
    </row>
    <row r="198" spans="1:2" x14ac:dyDescent="0.3">
      <c r="A198" s="16" t="s">
        <v>113</v>
      </c>
      <c r="B198" s="14">
        <f>IF(ISNUMBER(CHOOSE(CmpChild,Inputs!$C$20,Inputs!$D$20,Inputs!$E$20,Inputs!$F$20)),CHOOSE(CmpChild,Inputs!$C$20,Inputs!$D$20,Inputs!$E$20,Inputs!$F$20),IF($B$193&gt;0,INDEX(DB_TInf,$B$193),0))</f>
        <v>0</v>
      </c>
    </row>
    <row r="199" spans="1:2" x14ac:dyDescent="0.3">
      <c r="A199" s="16" t="s">
        <v>114</v>
      </c>
      <c r="B199" s="14">
        <f>IF(ISNUMBER(CHOOSE(CmpChild,Inputs!$C$21,Inputs!$D$21,Inputs!$E$21,Inputs!$F$21)),CHOOSE(CmpChild,Inputs!$C$21,Inputs!$D$21,Inputs!$E$21,Inputs!$F$21),IFERROR(INDEX(Ctry_LInf,MATCH($B$187,Ctry_Name,0)),0))</f>
        <v>0.03</v>
      </c>
    </row>
    <row r="200" spans="1:2" x14ac:dyDescent="0.3">
      <c r="A200" s="16" t="s">
        <v>115</v>
      </c>
      <c r="B200" s="12">
        <f>IF($B$204=1,MAX(0,$B$190-$B$189),0)</f>
        <v>0</v>
      </c>
    </row>
    <row r="201" spans="1:2" x14ac:dyDescent="0.3">
      <c r="A201" s="16" t="s">
        <v>116</v>
      </c>
      <c r="B201" s="12">
        <f>ROUNDUP($B$195,0)</f>
        <v>0</v>
      </c>
    </row>
    <row r="202" spans="1:2" x14ac:dyDescent="0.3">
      <c r="A202" s="16" t="s">
        <v>117</v>
      </c>
      <c r="B202" s="12">
        <f>IF($B$204=1,$B$200+$B$201,0)</f>
        <v>0</v>
      </c>
    </row>
    <row r="203" spans="1:2" x14ac:dyDescent="0.3">
      <c r="A203" s="16" t="s">
        <v>118</v>
      </c>
      <c r="B203" s="12">
        <f>MAX(0,$B$202-1)</f>
        <v>0</v>
      </c>
    </row>
    <row r="204" spans="1:2" x14ac:dyDescent="0.3">
      <c r="A204" s="16" t="s">
        <v>119</v>
      </c>
      <c r="B204" s="12">
        <f>IF(IFERROR(AND($B$186=1,$B$187&lt;&gt;"",$B$188&lt;&gt;"",$B$196=1,IFERROR(AND(ISNUMBER($B$189),$B$189&gt;=0,$B$189&lt;=18,INT($B$189)=$B$189),FALSE),IFERROR(AND(ISNUMBER($B$190),$B$190&gt;=14,$B$190&lt;=45,INT($B$190)=$B$190),FALSE)),FALSE),1,0)</f>
        <v>0</v>
      </c>
    </row>
    <row r="205" spans="1:2" x14ac:dyDescent="0.3">
      <c r="A205" s="16" t="s">
        <v>70</v>
      </c>
      <c r="B205" s="12" t="str">
        <f>IF($B$186&lt;&gt;1,"",IF(AND($B$189="",$B$187="",$B$188=""),"Enter this child's details on the Inputs sheet.",IF(NOT(IFERROR(AND(ISNUMBER($B$189),$B$189&gt;=0,$B$189&lt;=18,INT($B$189)=$B$189),FALSE)),"Choose the child's current age (0 to 18).",IF(NOT(IFERROR(AND(ISNUMBER($B$190),$B$190&gt;=14,$B$190&lt;=45,INT($B$190)=$B$190),FALSE)),"College-entry age must be a whole number from 14 to 45.",IF($B$187="","Choose the education country.",IF($B$188="","Choose the qualification.",IF($B$196&lt;&gt;1,"This qualification is not offered (or has no typical duration) in the selected country.","")))))))</f>
        <v>Choose the child's current age (0 to 18).</v>
      </c>
    </row>
    <row r="206" spans="1:2" x14ac:dyDescent="0.3">
      <c r="A206" s="16" t="s">
        <v>120</v>
      </c>
      <c r="B206" s="12">
        <f>INDEX(FxUsed,MATCH(RepCcy,FxCodes,0))/INDEX(FxUsed,MATCH($B$194,FxCodes,0))</f>
        <v>1.3233692451634163</v>
      </c>
    </row>
    <row r="207" spans="1:2" x14ac:dyDescent="0.3">
      <c r="A207" s="16" t="s">
        <v>121</v>
      </c>
      <c r="B207" s="12">
        <f>IF($B$193=0,0,COUNTIF(RecKey,$B$192))</f>
        <v>0</v>
      </c>
    </row>
    <row r="208" spans="1:2" x14ac:dyDescent="0.3">
      <c r="A208" s="16" t="s">
        <v>122</v>
      </c>
      <c r="B208" s="12" t="str">
        <f>IF($B$207&gt;0,INDEX(DB_RecCcy,$B$193),IF($B$193&gt;0,INDEX(DB_EstCcy,$B$193),$B$194))</f>
        <v>GBP</v>
      </c>
    </row>
    <row r="209" spans="1:10" x14ac:dyDescent="0.3">
      <c r="A209" s="16" t="s">
        <v>123</v>
      </c>
      <c r="B209" s="12">
        <f>IFERROR(MATCH($B$187&amp;"|"&amp;$B$191,LivKey,0),0)</f>
        <v>8</v>
      </c>
    </row>
    <row r="210" spans="1:10" x14ac:dyDescent="0.3">
      <c r="A210" s="16" t="s">
        <v>124</v>
      </c>
      <c r="B210" s="12">
        <f>IFERROR(MATCH($B$187&amp;"|"&amp;Nationality,VisaKey,0),0)</f>
        <v>211</v>
      </c>
    </row>
    <row r="211" spans="1:10" x14ac:dyDescent="0.3">
      <c r="A211" s="16" t="s">
        <v>125</v>
      </c>
      <c r="B211" s="12">
        <f>IFERROR(MATCH($B$187&amp;"|"&amp;Residence,TravKey,0),0)</f>
        <v>211</v>
      </c>
    </row>
    <row r="213" spans="1:10" ht="79.2" x14ac:dyDescent="0.3">
      <c r="A213" s="22" t="s">
        <v>126</v>
      </c>
      <c r="B213" s="22" t="s">
        <v>127</v>
      </c>
      <c r="C213" s="22" t="s">
        <v>128</v>
      </c>
      <c r="D213" s="22" t="s">
        <v>129</v>
      </c>
      <c r="E213" s="22" t="s">
        <v>130</v>
      </c>
      <c r="F213" s="22" t="s">
        <v>131</v>
      </c>
      <c r="G213" s="22" t="s">
        <v>132</v>
      </c>
      <c r="H213" s="22" t="s">
        <v>133</v>
      </c>
      <c r="I213" s="22" t="s">
        <v>134</v>
      </c>
      <c r="J213" s="22" t="s">
        <v>135</v>
      </c>
    </row>
    <row r="214" spans="1:10" x14ac:dyDescent="0.3">
      <c r="A214" s="16" t="s">
        <v>36</v>
      </c>
      <c r="B214" s="25">
        <f>IF($B$193=0,0,(IF($B$207&gt;0,SUMPRODUCT((RecKey=$B$192)*RecTuition*(1+$B$198)^(PlanYear-RecYear))/$B$207,INDEX(DB_EstTuition,$B$193)))/INDEX(FxUsed,MATCH($B$208,FxCodes,0))*INDEX(FxUsed,MATCH($B$194,FxCodes,0)))</f>
        <v>0</v>
      </c>
      <c r="C214" s="21"/>
      <c r="D214" s="25">
        <f t="shared" ref="D214:D225" si="87">IF(ISNUMBER(C214),IF(C214&gt;=0,C214,B214),B214)</f>
        <v>0</v>
      </c>
      <c r="E214" s="12">
        <f>IF(ISNUMBER(C214),PlanYear,IF($B$207&gt;0,PlanYear,IF($B$193&gt;0,INDEX(DB_EstBase,$B$193),PlanYear)))</f>
        <v>2026</v>
      </c>
      <c r="F214" s="12" t="str">
        <f>IF(ISNUMBER(C214),"override",IF($B$193=0,"missing",IF($B$207&gt;0,"verified",INDEX(DB_EstStatus,$B$193))))</f>
        <v>missing</v>
      </c>
      <c r="G214" s="16" t="str">
        <f t="shared" ref="G214:G225" si="88">IF(F214="verified","Published figure",IF(F214="estimated","Estimated — please review",IF(F214="notNeeded","Not needed",IF(F214="override","Your figure",IF(F214="missing","No figure yet — enter your own","")))))</f>
        <v>No figure yet — enter your own</v>
      </c>
      <c r="H214" s="16" t="s">
        <v>136</v>
      </c>
      <c r="I214" s="16" t="s">
        <v>137</v>
      </c>
      <c r="J214" s="16" t="s">
        <v>138</v>
      </c>
    </row>
    <row r="215" spans="1:10" x14ac:dyDescent="0.3">
      <c r="A215" s="16" t="s">
        <v>37</v>
      </c>
      <c r="B215" s="25">
        <f>IF($B$209=0,0,(INDEX(Liv_accommodation_Amt,$B$209))/INDEX(FxUsed,MATCH(INDEX(Liv_accommodation_Ccy,$B$209),FxCodes,0))*INDEX(FxUsed,MATCH($B$194,FxCodes,0)))</f>
        <v>8820</v>
      </c>
      <c r="C215" s="21"/>
      <c r="D215" s="25">
        <f t="shared" si="87"/>
        <v>8820</v>
      </c>
      <c r="E215" s="12">
        <f>IF(ISNUMBER(C215),PlanYear,IF($B$209=0,PlanYear,INDEX(Liv_accommodation_Base,$B$209)))</f>
        <v>2026</v>
      </c>
      <c r="F215" s="12" t="str">
        <f>IF(ISNUMBER(C215),"override",IF($B$209=0,"missing",INDEX(Liv_accommodation_Status,$B$209)))</f>
        <v>verified</v>
      </c>
      <c r="G215" s="16" t="str">
        <f t="shared" si="88"/>
        <v>Published figure</v>
      </c>
      <c r="H215" s="16" t="s">
        <v>139</v>
      </c>
      <c r="I215" s="16" t="s">
        <v>137</v>
      </c>
      <c r="J215" s="16" t="s">
        <v>138</v>
      </c>
    </row>
    <row r="216" spans="1:10" x14ac:dyDescent="0.3">
      <c r="A216" s="16" t="s">
        <v>38</v>
      </c>
      <c r="B216" s="25">
        <f>IF($B$209=0,0,(INDEX(Liv_food_Amt,$B$209))/INDEX(FxUsed,MATCH(INDEX(Liv_food_Ccy,$B$209),FxCodes,0))*INDEX(FxUsed,MATCH($B$194,FxCodes,0)))</f>
        <v>2232</v>
      </c>
      <c r="C216" s="21"/>
      <c r="D216" s="25">
        <f t="shared" si="87"/>
        <v>2232</v>
      </c>
      <c r="E216" s="12">
        <f>IF(ISNUMBER(C216),PlanYear,IF($B$209=0,PlanYear,INDEX(Liv_food_Base,$B$209)))</f>
        <v>2026</v>
      </c>
      <c r="F216" s="12" t="str">
        <f>IF(ISNUMBER(C216),"override",IF($B$209=0,"missing",INDEX(Liv_food_Status,$B$209)))</f>
        <v>verified</v>
      </c>
      <c r="G216" s="16" t="str">
        <f t="shared" si="88"/>
        <v>Published figure</v>
      </c>
      <c r="H216" s="16" t="s">
        <v>139</v>
      </c>
      <c r="I216" s="16" t="s">
        <v>137</v>
      </c>
      <c r="J216" s="16" t="s">
        <v>138</v>
      </c>
    </row>
    <row r="217" spans="1:10" x14ac:dyDescent="0.3">
      <c r="A217" s="16" t="s">
        <v>39</v>
      </c>
      <c r="B217" s="25">
        <f>IF($B$209=0,0,(INDEX(Liv_transport_Amt,$B$209))/INDEX(FxUsed,MATCH(INDEX(Liv_transport_Ccy,$B$209),FxCodes,0))*INDEX(FxUsed,MATCH($B$194,FxCodes,0)))</f>
        <v>522</v>
      </c>
      <c r="C217" s="21"/>
      <c r="D217" s="25">
        <f t="shared" si="87"/>
        <v>522</v>
      </c>
      <c r="E217" s="12">
        <f>IF(ISNUMBER(C217),PlanYear,IF($B$209=0,PlanYear,INDEX(Liv_transport_Base,$B$209)))</f>
        <v>2026</v>
      </c>
      <c r="F217" s="12" t="str">
        <f>IF(ISNUMBER(C217),"override",IF($B$209=0,"missing",INDEX(Liv_transport_Status,$B$209)))</f>
        <v>verified</v>
      </c>
      <c r="G217" s="16" t="str">
        <f t="shared" si="88"/>
        <v>Published figure</v>
      </c>
      <c r="H217" s="16" t="s">
        <v>139</v>
      </c>
      <c r="I217" s="16" t="s">
        <v>137</v>
      </c>
      <c r="J217" s="16" t="s">
        <v>138</v>
      </c>
    </row>
    <row r="218" spans="1:10" x14ac:dyDescent="0.3">
      <c r="A218" s="16" t="s">
        <v>40</v>
      </c>
      <c r="B218" s="25">
        <f>IF($B$209=0,0,(INDEX(Liv_healthInsurance_Amt,$B$209))/INDEX(FxUsed,MATCH(INDEX(Liv_healthInsurance_Ccy,$B$209),FxCodes,0))*INDEX(FxUsed,MATCH($B$194,FxCodes,0)))</f>
        <v>776.00000000000011</v>
      </c>
      <c r="C218" s="21"/>
      <c r="D218" s="25">
        <f t="shared" si="87"/>
        <v>776.00000000000011</v>
      </c>
      <c r="E218" s="12">
        <f>IF(ISNUMBER(C218),PlanYear,IF($B$209=0,PlanYear,INDEX(Liv_healthInsurance_Base,$B$209)))</f>
        <v>2026</v>
      </c>
      <c r="F218" s="12" t="str">
        <f>IF(ISNUMBER(C218),"override",IF($B$209=0,"missing",INDEX(Liv_healthInsurance_Status,$B$209)))</f>
        <v>verified</v>
      </c>
      <c r="G218" s="16" t="str">
        <f t="shared" si="88"/>
        <v>Published figure</v>
      </c>
      <c r="H218" s="16" t="s">
        <v>139</v>
      </c>
      <c r="I218" s="16" t="s">
        <v>137</v>
      </c>
      <c r="J218" s="16" t="s">
        <v>138</v>
      </c>
    </row>
    <row r="219" spans="1:10" x14ac:dyDescent="0.3">
      <c r="A219" s="16" t="s">
        <v>41</v>
      </c>
      <c r="B219" s="25">
        <f>IF($B$209=0,0,(INDEX(Liv_books_Amt,$B$209))/INDEX(FxUsed,MATCH(INDEX(Liv_books_Ccy,$B$209),FxCodes,0))*INDEX(FxUsed,MATCH($B$194,FxCodes,0)))</f>
        <v>300</v>
      </c>
      <c r="C219" s="21"/>
      <c r="D219" s="25">
        <f t="shared" si="87"/>
        <v>300</v>
      </c>
      <c r="E219" s="12">
        <f>IF(ISNUMBER(C219),PlanYear,IF($B$209=0,PlanYear,INDEX(Liv_books_Base,$B$209)))</f>
        <v>2026</v>
      </c>
      <c r="F219" s="12" t="str">
        <f>IF(ISNUMBER(C219),"override",IF($B$209=0,"missing",INDEX(Liv_books_Status,$B$209)))</f>
        <v>estimated</v>
      </c>
      <c r="G219" s="16" t="str">
        <f t="shared" si="88"/>
        <v>Estimated — please review</v>
      </c>
      <c r="H219" s="16" t="s">
        <v>139</v>
      </c>
      <c r="I219" s="16" t="s">
        <v>137</v>
      </c>
      <c r="J219" s="16" t="s">
        <v>138</v>
      </c>
    </row>
    <row r="220" spans="1:10" x14ac:dyDescent="0.3">
      <c r="A220" s="16" t="s">
        <v>42</v>
      </c>
      <c r="B220" s="25">
        <f>IF($B$193=0,0,(IF($B$207&gt;0,SUMPRODUCT((RecKey=$B$192)*RecOther*(1+$B$198)^(PlanYear-RecYear))/$B$207,INDEX(DB_EstOther,$B$193)))/INDEX(FxUsed,MATCH($B$208,FxCodes,0))*INDEX(FxUsed,MATCH($B$194,FxCodes,0)))</f>
        <v>0</v>
      </c>
      <c r="C220" s="21"/>
      <c r="D220" s="25">
        <f t="shared" si="87"/>
        <v>0</v>
      </c>
      <c r="E220" s="12">
        <f>IF(ISNUMBER(C220),PlanYear,IF($B$207&gt;0,PlanYear,IF($B$193&gt;0,INDEX(DB_EstBase,$B$193),PlanYear)))</f>
        <v>2026</v>
      </c>
      <c r="F220" s="12" t="str">
        <f>IF(ISNUMBER(C220),"override",IF($B$193=0,"missing",IF($B$207&gt;0,"verified",INDEX(DB_EstStatus,$B$193))))</f>
        <v>missing</v>
      </c>
      <c r="G220" s="16" t="str">
        <f t="shared" si="88"/>
        <v>No figure yet — enter your own</v>
      </c>
      <c r="H220" s="16" t="s">
        <v>136</v>
      </c>
      <c r="I220" s="16" t="s">
        <v>137</v>
      </c>
      <c r="J220" s="16" t="s">
        <v>138</v>
      </c>
    </row>
    <row r="221" spans="1:10" x14ac:dyDescent="0.3">
      <c r="A221" s="16" t="s">
        <v>140</v>
      </c>
      <c r="B221" s="25">
        <f>IF($B$197&gt;0,IF($B$197&gt;0,(INDEX(DB_PreAdm,$B$193))/INDEX(FxUsed,MATCH(INDEX(DB_PreCcy,$B$193),FxCodes,0))*INDEX(FxUsed,MATCH($B$194,FxCodes,0)),0),IF($B$193=0,0,(IF($B$207&gt;0,SUMPRODUCT((RecKey=$B$192)*RecAdm*(1+$B$198)^(PlanYear-RecYear))/$B$207,INDEX(DB_EstAdm,$B$193)))/INDEX(FxUsed,MATCH($B$208,FxCodes,0))*INDEX(FxUsed,MATCH($B$194,FxCodes,0))))</f>
        <v>0</v>
      </c>
      <c r="C221" s="21"/>
      <c r="D221" s="25">
        <f t="shared" si="87"/>
        <v>0</v>
      </c>
      <c r="E221" s="12">
        <f>IF(ISNUMBER(C221),PlanYear,IF($B$197&gt;0,INDEX(DB_PreBase,$B$193),IF($B$207&gt;0,PlanYear,IF($B$193&gt;0,INDEX(DB_EstBase,$B$193),PlanYear))))</f>
        <v>2026</v>
      </c>
      <c r="F221" s="12" t="str">
        <f>IF(ISNUMBER(C221),"override",IF($B$197&gt;0,INDEX(DB_PreStatus,$B$193),IF($B$193=0,"missing",IF($B$207&gt;0,"verified",INDEX(DB_EstStatus,$B$193)))))</f>
        <v>missing</v>
      </c>
      <c r="G221" s="16" t="str">
        <f t="shared" si="88"/>
        <v>No figure yet — enter your own</v>
      </c>
      <c r="H221" s="16" t="s">
        <v>136</v>
      </c>
      <c r="I221" s="16" t="s">
        <v>141</v>
      </c>
      <c r="J221" s="16" t="s">
        <v>138</v>
      </c>
    </row>
    <row r="222" spans="1:10" x14ac:dyDescent="0.3">
      <c r="A222" s="16" t="s">
        <v>142</v>
      </c>
      <c r="B222" s="25">
        <f>IF(OR($B$210=0,AND($B$191&lt;&gt;"domestic",Residence=$B$187,COUNTIF(ResNoVisa,$B$187)&gt;0)),0,(INDEX(VisaAmt,$B$210))/INDEX(FxUsed,MATCH(INDEX(VisaCcy,$B$210),FxCodes,0))*INDEX(FxUsed,MATCH($B$194,FxCodes,0)))</f>
        <v>558</v>
      </c>
      <c r="C222" s="21"/>
      <c r="D222" s="25">
        <f t="shared" si="87"/>
        <v>558</v>
      </c>
      <c r="E222" s="12">
        <f>IF(ISNUMBER(C222),PlanYear,IF(OR($B$210=0,AND($B$191&lt;&gt;"domestic",Residence=$B$187,COUNTIF(ResNoVisa,$B$187)&gt;0)),PlanYear,INDEX(VisaBase,$B$210)))</f>
        <v>2026</v>
      </c>
      <c r="F222" s="12" t="str">
        <f>IF(ISNUMBER(C222),"override",IF(AND($B$191&lt;&gt;"domestic",Residence=$B$187,COUNTIF(ResNoVisa,$B$187)&gt;0),"notNeeded",IF($B$210=0,"missing",INDEX(VisaStatus,$B$210))))</f>
        <v>verified</v>
      </c>
      <c r="G222" s="16" t="str">
        <f t="shared" si="88"/>
        <v>Published figure</v>
      </c>
      <c r="H222" s="16" t="s">
        <v>139</v>
      </c>
      <c r="I222" s="16" t="s">
        <v>141</v>
      </c>
      <c r="J222" s="16" t="s">
        <v>143</v>
      </c>
    </row>
    <row r="223" spans="1:10" x14ac:dyDescent="0.3">
      <c r="A223" s="16" t="s">
        <v>144</v>
      </c>
      <c r="B223" s="25">
        <f>IF($B$211=0,0,(INDEX(TravAmt,$B$211))/INDEX(FxUsed,MATCH(INDEX(TravCcy,$B$211),FxCodes,0))*INDEX(FxUsed,MATCH($B$194,FxCodes,0)))</f>
        <v>906.77639999999997</v>
      </c>
      <c r="C223" s="21"/>
      <c r="D223" s="25">
        <f t="shared" si="87"/>
        <v>906.77639999999997</v>
      </c>
      <c r="E223" s="12">
        <f>IF(ISNUMBER(C223),PlanYear,IF($B$211=0,PlanYear,INDEX(TravBase,$B$211)))</f>
        <v>2026</v>
      </c>
      <c r="F223" s="12" t="str">
        <f>IF(ISNUMBER(C223),"override",IF($B$211=0,"missing",INDEX(TravStatus,$B$211)))</f>
        <v>estimated</v>
      </c>
      <c r="G223" s="16" t="str">
        <f t="shared" si="88"/>
        <v>Estimated — please review</v>
      </c>
      <c r="H223" s="16" t="s">
        <v>139</v>
      </c>
      <c r="I223" s="16" t="s">
        <v>141</v>
      </c>
      <c r="J223" s="16" t="s">
        <v>143</v>
      </c>
    </row>
    <row r="224" spans="1:10" x14ac:dyDescent="0.3">
      <c r="A224" s="16" t="s">
        <v>46</v>
      </c>
      <c r="B224" s="25">
        <f>IF($B$197&gt;0,(INDEX(DB_PreTuition,$B$193))/INDEX(FxUsed,MATCH(INDEX(DB_PreCcy,$B$193),FxCodes,0))*INDEX(FxUsed,MATCH($B$194,FxCodes,0)),0)</f>
        <v>0</v>
      </c>
      <c r="C224" s="21"/>
      <c r="D224" s="25">
        <f t="shared" si="87"/>
        <v>0</v>
      </c>
      <c r="E224" s="12">
        <f>IF(ISNUMBER(C224),PlanYear,IF($B$197&gt;0,INDEX(DB_PreBase,$B$193),PlanYear))</f>
        <v>2026</v>
      </c>
      <c r="F224" s="12" t="str">
        <f>IF(ISNUMBER(C224),"override",IF($B$197&gt;0,INDEX(DB_PreStatus,$B$193),""))</f>
        <v/>
      </c>
      <c r="G224" s="16" t="str">
        <f t="shared" si="88"/>
        <v/>
      </c>
      <c r="H224" s="16" t="s">
        <v>136</v>
      </c>
      <c r="I224" s="16" t="s">
        <v>137</v>
      </c>
      <c r="J224" s="16" t="s">
        <v>138</v>
      </c>
    </row>
    <row r="225" spans="1:27" x14ac:dyDescent="0.3">
      <c r="A225" s="16" t="s">
        <v>47</v>
      </c>
      <c r="B225" s="25">
        <f>IF($B$197&gt;0,(INDEX(DB_PreOther,$B$193))/INDEX(FxUsed,MATCH(INDEX(DB_PreCcy,$B$193),FxCodes,0))*INDEX(FxUsed,MATCH($B$194,FxCodes,0)),0)</f>
        <v>0</v>
      </c>
      <c r="C225" s="21"/>
      <c r="D225" s="25">
        <f t="shared" si="87"/>
        <v>0</v>
      </c>
      <c r="E225" s="12">
        <f>IF(ISNUMBER(C225),PlanYear,IF($B$197&gt;0,INDEX(DB_PreBase,$B$193),PlanYear))</f>
        <v>2026</v>
      </c>
      <c r="F225" s="12" t="str">
        <f>IF(ISNUMBER(C225),"override",IF($B$197&gt;0,INDEX(DB_PreStatus,$B$193),""))</f>
        <v/>
      </c>
      <c r="G225" s="16" t="str">
        <f t="shared" si="88"/>
        <v/>
      </c>
      <c r="H225" s="16" t="s">
        <v>136</v>
      </c>
      <c r="I225" s="16" t="s">
        <v>137</v>
      </c>
      <c r="J225" s="16" t="s">
        <v>138</v>
      </c>
    </row>
    <row r="227" spans="1:27" ht="79.2" x14ac:dyDescent="0.3">
      <c r="A227" s="22" t="s">
        <v>145</v>
      </c>
      <c r="B227" s="22" t="s">
        <v>146</v>
      </c>
      <c r="C227" s="22" t="s">
        <v>147</v>
      </c>
      <c r="D227" s="22" t="s">
        <v>148</v>
      </c>
      <c r="E227" s="22" t="s">
        <v>149</v>
      </c>
      <c r="F227" s="22" t="s">
        <v>150</v>
      </c>
      <c r="G227" s="22" t="s">
        <v>151</v>
      </c>
      <c r="H227" s="22" t="s">
        <v>152</v>
      </c>
      <c r="I227" s="22" t="s">
        <v>153</v>
      </c>
      <c r="J227" s="22" t="s">
        <v>154</v>
      </c>
      <c r="K227" s="22" t="s">
        <v>155</v>
      </c>
      <c r="L227" s="22" t="s">
        <v>156</v>
      </c>
      <c r="M227" s="22" t="s">
        <v>157</v>
      </c>
      <c r="N227" s="22" t="s">
        <v>158</v>
      </c>
      <c r="O227" s="22" t="s">
        <v>159</v>
      </c>
      <c r="P227" s="22" t="s">
        <v>36</v>
      </c>
      <c r="Q227" s="22" t="s">
        <v>37</v>
      </c>
      <c r="R227" s="22" t="s">
        <v>38</v>
      </c>
      <c r="S227" s="22" t="s">
        <v>39</v>
      </c>
      <c r="T227" s="22" t="s">
        <v>40</v>
      </c>
      <c r="U227" s="22" t="s">
        <v>41</v>
      </c>
      <c r="V227" s="22" t="s">
        <v>42</v>
      </c>
      <c r="W227" s="22" t="s">
        <v>140</v>
      </c>
      <c r="X227" s="22" t="s">
        <v>142</v>
      </c>
      <c r="Y227" s="22" t="s">
        <v>144</v>
      </c>
      <c r="Z227" s="22" t="s">
        <v>83</v>
      </c>
      <c r="AA227" s="22" t="s">
        <v>160</v>
      </c>
    </row>
    <row r="228" spans="1:27" x14ac:dyDescent="0.3">
      <c r="A228" s="16">
        <v>0</v>
      </c>
      <c r="B228" s="16">
        <f t="shared" ref="B228:B237" si="89">PlanYear+$B$200+A228</f>
        <v>2026</v>
      </c>
      <c r="C228" s="16">
        <f t="shared" ref="C228:C237" si="90">MAX(0,MIN(1,$B$195-A228))</f>
        <v>0</v>
      </c>
      <c r="D228" s="16">
        <f t="shared" ref="D228:D237" si="91">IF(A228&lt;$B$197,1,0)</f>
        <v>0</v>
      </c>
      <c r="E228" s="16">
        <f t="shared" ref="E228:E237" si="92">IF(AND($B$204=1,A228&lt;$B$201),1,0)</f>
        <v>0</v>
      </c>
      <c r="F228" s="21">
        <f t="shared" ref="F228:F237" si="93">IF(AND(E228=1),IF(D228=1,$D$224,$D$214)*(1+$B$198)^(B228-IF(D228=1,$E$224,$E$214))*C228*$B$206,0)</f>
        <v>0</v>
      </c>
      <c r="G228" s="21">
        <f t="shared" ref="G228:G237" si="94">IF(AND(E228=1),$D$215*(1+$B$199)^(B228-$E$215)*C228*$B$206,0)</f>
        <v>0</v>
      </c>
      <c r="H228" s="21">
        <f t="shared" ref="H228:H237" si="95">IF(AND(E228=1),$D$216*(1+$B$199)^(B228-$E$216)*C228*$B$206,0)</f>
        <v>0</v>
      </c>
      <c r="I228" s="21">
        <f t="shared" ref="I228:I237" si="96">IF(AND(E228=1),$D$217*(1+$B$199)^(B228-$E$217)*C228*$B$206,0)</f>
        <v>0</v>
      </c>
      <c r="J228" s="21">
        <f t="shared" ref="J228:J237" si="97">IF(AND(E228=1),$D$218*(1+$B$199)^(B228-$E$218)*C228*$B$206,0)</f>
        <v>0</v>
      </c>
      <c r="K228" s="21">
        <f t="shared" ref="K228:K237" si="98">IF(AND(E228=1),$D$219*(1+$B$199)^(B228-$E$219)*C228*$B$206,0)</f>
        <v>0</v>
      </c>
      <c r="L228" s="21">
        <f t="shared" ref="L228:L237" si="99">IF(AND(E228=1),IF(D228=1,$D$225,$D$220)*(1+$B$198)^(B228-IF(D228=1,$E$225,$E$220))*C228*$B$206,0)</f>
        <v>0</v>
      </c>
      <c r="M228" s="21">
        <f t="shared" ref="M228:M237" si="100">IF(AND(E228=1,A228=0),$D$221*(1+$B$198)^(B228-$E$221)*$B$206,0)</f>
        <v>0</v>
      </c>
      <c r="N228" s="21">
        <f t="shared" ref="N228:N237" si="101">IF(AND(E228=1,A228=0),$D$222*(1+$B$199)^(B228-$E$222)*$B$206,0)</f>
        <v>0</v>
      </c>
      <c r="O228" s="21">
        <f t="shared" ref="O228:O237" si="102">IF(AND(E228=1,A228=0),$D$223*(1+$B$199)^(B228-$E$223)*$B$206,0)</f>
        <v>0</v>
      </c>
      <c r="P228" s="21">
        <f t="shared" ref="P228:P237" si="103">F228*(1-Coverage)</f>
        <v>0</v>
      </c>
      <c r="Q228" s="21">
        <f t="shared" ref="Q228:Q237" si="104">G228*(1-Coverage)</f>
        <v>0</v>
      </c>
      <c r="R228" s="21">
        <f t="shared" ref="R228:R237" si="105">H228*(1-Coverage)</f>
        <v>0</v>
      </c>
      <c r="S228" s="21">
        <f t="shared" ref="S228:S237" si="106">I228*(1-Coverage)</f>
        <v>0</v>
      </c>
      <c r="T228" s="21">
        <f t="shared" ref="T228:T237" si="107">J228*(1-Coverage)</f>
        <v>0</v>
      </c>
      <c r="U228" s="21">
        <f t="shared" ref="U228:U237" si="108">K228*(1-Coverage)</f>
        <v>0</v>
      </c>
      <c r="V228" s="21">
        <f t="shared" ref="V228:V237" si="109">L228*(1-Coverage)</f>
        <v>0</v>
      </c>
      <c r="W228" s="21">
        <f t="shared" ref="W228:W237" si="110">M228*(1-Coverage)</f>
        <v>0</v>
      </c>
      <c r="X228" s="21">
        <f t="shared" ref="X228:X237" si="111">N228*1</f>
        <v>0</v>
      </c>
      <c r="Y228" s="21">
        <f t="shared" ref="Y228:Y237" si="112">O228*1</f>
        <v>0</v>
      </c>
      <c r="Z228" s="20">
        <f t="shared" ref="Z228:Z237" si="113">SUM(P228:Y228)</f>
        <v>0</v>
      </c>
      <c r="AA228" s="21">
        <f t="shared" ref="AA228:AA237" si="114">SUM(F228:O228)</f>
        <v>0</v>
      </c>
    </row>
    <row r="229" spans="1:27" x14ac:dyDescent="0.3">
      <c r="A229" s="16">
        <v>1</v>
      </c>
      <c r="B229" s="16">
        <f t="shared" si="89"/>
        <v>2027</v>
      </c>
      <c r="C229" s="16">
        <f t="shared" si="90"/>
        <v>0</v>
      </c>
      <c r="D229" s="16">
        <f t="shared" si="91"/>
        <v>0</v>
      </c>
      <c r="E229" s="16">
        <f t="shared" si="92"/>
        <v>0</v>
      </c>
      <c r="F229" s="21">
        <f t="shared" si="93"/>
        <v>0</v>
      </c>
      <c r="G229" s="21">
        <f t="shared" si="94"/>
        <v>0</v>
      </c>
      <c r="H229" s="21">
        <f t="shared" si="95"/>
        <v>0</v>
      </c>
      <c r="I229" s="21">
        <f t="shared" si="96"/>
        <v>0</v>
      </c>
      <c r="J229" s="21">
        <f t="shared" si="97"/>
        <v>0</v>
      </c>
      <c r="K229" s="21">
        <f t="shared" si="98"/>
        <v>0</v>
      </c>
      <c r="L229" s="21">
        <f t="shared" si="99"/>
        <v>0</v>
      </c>
      <c r="M229" s="21">
        <f t="shared" si="100"/>
        <v>0</v>
      </c>
      <c r="N229" s="21">
        <f t="shared" si="101"/>
        <v>0</v>
      </c>
      <c r="O229" s="21">
        <f t="shared" si="102"/>
        <v>0</v>
      </c>
      <c r="P229" s="21">
        <f t="shared" si="103"/>
        <v>0</v>
      </c>
      <c r="Q229" s="21">
        <f t="shared" si="104"/>
        <v>0</v>
      </c>
      <c r="R229" s="21">
        <f t="shared" si="105"/>
        <v>0</v>
      </c>
      <c r="S229" s="21">
        <f t="shared" si="106"/>
        <v>0</v>
      </c>
      <c r="T229" s="21">
        <f t="shared" si="107"/>
        <v>0</v>
      </c>
      <c r="U229" s="21">
        <f t="shared" si="108"/>
        <v>0</v>
      </c>
      <c r="V229" s="21">
        <f t="shared" si="109"/>
        <v>0</v>
      </c>
      <c r="W229" s="21">
        <f t="shared" si="110"/>
        <v>0</v>
      </c>
      <c r="X229" s="21">
        <f t="shared" si="111"/>
        <v>0</v>
      </c>
      <c r="Y229" s="21">
        <f t="shared" si="112"/>
        <v>0</v>
      </c>
      <c r="Z229" s="20">
        <f t="shared" si="113"/>
        <v>0</v>
      </c>
      <c r="AA229" s="21">
        <f t="shared" si="114"/>
        <v>0</v>
      </c>
    </row>
    <row r="230" spans="1:27" x14ac:dyDescent="0.3">
      <c r="A230" s="16">
        <v>2</v>
      </c>
      <c r="B230" s="16">
        <f t="shared" si="89"/>
        <v>2028</v>
      </c>
      <c r="C230" s="16">
        <f t="shared" si="90"/>
        <v>0</v>
      </c>
      <c r="D230" s="16">
        <f t="shared" si="91"/>
        <v>0</v>
      </c>
      <c r="E230" s="16">
        <f t="shared" si="92"/>
        <v>0</v>
      </c>
      <c r="F230" s="21">
        <f t="shared" si="93"/>
        <v>0</v>
      </c>
      <c r="G230" s="21">
        <f t="shared" si="94"/>
        <v>0</v>
      </c>
      <c r="H230" s="21">
        <f t="shared" si="95"/>
        <v>0</v>
      </c>
      <c r="I230" s="21">
        <f t="shared" si="96"/>
        <v>0</v>
      </c>
      <c r="J230" s="21">
        <f t="shared" si="97"/>
        <v>0</v>
      </c>
      <c r="K230" s="21">
        <f t="shared" si="98"/>
        <v>0</v>
      </c>
      <c r="L230" s="21">
        <f t="shared" si="99"/>
        <v>0</v>
      </c>
      <c r="M230" s="21">
        <f t="shared" si="100"/>
        <v>0</v>
      </c>
      <c r="N230" s="21">
        <f t="shared" si="101"/>
        <v>0</v>
      </c>
      <c r="O230" s="21">
        <f t="shared" si="102"/>
        <v>0</v>
      </c>
      <c r="P230" s="21">
        <f t="shared" si="103"/>
        <v>0</v>
      </c>
      <c r="Q230" s="21">
        <f t="shared" si="104"/>
        <v>0</v>
      </c>
      <c r="R230" s="21">
        <f t="shared" si="105"/>
        <v>0</v>
      </c>
      <c r="S230" s="21">
        <f t="shared" si="106"/>
        <v>0</v>
      </c>
      <c r="T230" s="21">
        <f t="shared" si="107"/>
        <v>0</v>
      </c>
      <c r="U230" s="21">
        <f t="shared" si="108"/>
        <v>0</v>
      </c>
      <c r="V230" s="21">
        <f t="shared" si="109"/>
        <v>0</v>
      </c>
      <c r="W230" s="21">
        <f t="shared" si="110"/>
        <v>0</v>
      </c>
      <c r="X230" s="21">
        <f t="shared" si="111"/>
        <v>0</v>
      </c>
      <c r="Y230" s="21">
        <f t="shared" si="112"/>
        <v>0</v>
      </c>
      <c r="Z230" s="20">
        <f t="shared" si="113"/>
        <v>0</v>
      </c>
      <c r="AA230" s="21">
        <f t="shared" si="114"/>
        <v>0</v>
      </c>
    </row>
    <row r="231" spans="1:27" x14ac:dyDescent="0.3">
      <c r="A231" s="16">
        <v>3</v>
      </c>
      <c r="B231" s="16">
        <f t="shared" si="89"/>
        <v>2029</v>
      </c>
      <c r="C231" s="16">
        <f t="shared" si="90"/>
        <v>0</v>
      </c>
      <c r="D231" s="16">
        <f t="shared" si="91"/>
        <v>0</v>
      </c>
      <c r="E231" s="16">
        <f t="shared" si="92"/>
        <v>0</v>
      </c>
      <c r="F231" s="21">
        <f t="shared" si="93"/>
        <v>0</v>
      </c>
      <c r="G231" s="21">
        <f t="shared" si="94"/>
        <v>0</v>
      </c>
      <c r="H231" s="21">
        <f t="shared" si="95"/>
        <v>0</v>
      </c>
      <c r="I231" s="21">
        <f t="shared" si="96"/>
        <v>0</v>
      </c>
      <c r="J231" s="21">
        <f t="shared" si="97"/>
        <v>0</v>
      </c>
      <c r="K231" s="21">
        <f t="shared" si="98"/>
        <v>0</v>
      </c>
      <c r="L231" s="21">
        <f t="shared" si="99"/>
        <v>0</v>
      </c>
      <c r="M231" s="21">
        <f t="shared" si="100"/>
        <v>0</v>
      </c>
      <c r="N231" s="21">
        <f t="shared" si="101"/>
        <v>0</v>
      </c>
      <c r="O231" s="21">
        <f t="shared" si="102"/>
        <v>0</v>
      </c>
      <c r="P231" s="21">
        <f t="shared" si="103"/>
        <v>0</v>
      </c>
      <c r="Q231" s="21">
        <f t="shared" si="104"/>
        <v>0</v>
      </c>
      <c r="R231" s="21">
        <f t="shared" si="105"/>
        <v>0</v>
      </c>
      <c r="S231" s="21">
        <f t="shared" si="106"/>
        <v>0</v>
      </c>
      <c r="T231" s="21">
        <f t="shared" si="107"/>
        <v>0</v>
      </c>
      <c r="U231" s="21">
        <f t="shared" si="108"/>
        <v>0</v>
      </c>
      <c r="V231" s="21">
        <f t="shared" si="109"/>
        <v>0</v>
      </c>
      <c r="W231" s="21">
        <f t="shared" si="110"/>
        <v>0</v>
      </c>
      <c r="X231" s="21">
        <f t="shared" si="111"/>
        <v>0</v>
      </c>
      <c r="Y231" s="21">
        <f t="shared" si="112"/>
        <v>0</v>
      </c>
      <c r="Z231" s="20">
        <f t="shared" si="113"/>
        <v>0</v>
      </c>
      <c r="AA231" s="21">
        <f t="shared" si="114"/>
        <v>0</v>
      </c>
    </row>
    <row r="232" spans="1:27" x14ac:dyDescent="0.3">
      <c r="A232" s="16">
        <v>4</v>
      </c>
      <c r="B232" s="16">
        <f t="shared" si="89"/>
        <v>2030</v>
      </c>
      <c r="C232" s="16">
        <f t="shared" si="90"/>
        <v>0</v>
      </c>
      <c r="D232" s="16">
        <f t="shared" si="91"/>
        <v>0</v>
      </c>
      <c r="E232" s="16">
        <f t="shared" si="92"/>
        <v>0</v>
      </c>
      <c r="F232" s="21">
        <f t="shared" si="93"/>
        <v>0</v>
      </c>
      <c r="G232" s="21">
        <f t="shared" si="94"/>
        <v>0</v>
      </c>
      <c r="H232" s="21">
        <f t="shared" si="95"/>
        <v>0</v>
      </c>
      <c r="I232" s="21">
        <f t="shared" si="96"/>
        <v>0</v>
      </c>
      <c r="J232" s="21">
        <f t="shared" si="97"/>
        <v>0</v>
      </c>
      <c r="K232" s="21">
        <f t="shared" si="98"/>
        <v>0</v>
      </c>
      <c r="L232" s="21">
        <f t="shared" si="99"/>
        <v>0</v>
      </c>
      <c r="M232" s="21">
        <f t="shared" si="100"/>
        <v>0</v>
      </c>
      <c r="N232" s="21">
        <f t="shared" si="101"/>
        <v>0</v>
      </c>
      <c r="O232" s="21">
        <f t="shared" si="102"/>
        <v>0</v>
      </c>
      <c r="P232" s="21">
        <f t="shared" si="103"/>
        <v>0</v>
      </c>
      <c r="Q232" s="21">
        <f t="shared" si="104"/>
        <v>0</v>
      </c>
      <c r="R232" s="21">
        <f t="shared" si="105"/>
        <v>0</v>
      </c>
      <c r="S232" s="21">
        <f t="shared" si="106"/>
        <v>0</v>
      </c>
      <c r="T232" s="21">
        <f t="shared" si="107"/>
        <v>0</v>
      </c>
      <c r="U232" s="21">
        <f t="shared" si="108"/>
        <v>0</v>
      </c>
      <c r="V232" s="21">
        <f t="shared" si="109"/>
        <v>0</v>
      </c>
      <c r="W232" s="21">
        <f t="shared" si="110"/>
        <v>0</v>
      </c>
      <c r="X232" s="21">
        <f t="shared" si="111"/>
        <v>0</v>
      </c>
      <c r="Y232" s="21">
        <f t="shared" si="112"/>
        <v>0</v>
      </c>
      <c r="Z232" s="20">
        <f t="shared" si="113"/>
        <v>0</v>
      </c>
      <c r="AA232" s="21">
        <f t="shared" si="114"/>
        <v>0</v>
      </c>
    </row>
    <row r="233" spans="1:27" x14ac:dyDescent="0.3">
      <c r="A233" s="16">
        <v>5</v>
      </c>
      <c r="B233" s="16">
        <f t="shared" si="89"/>
        <v>2031</v>
      </c>
      <c r="C233" s="16">
        <f t="shared" si="90"/>
        <v>0</v>
      </c>
      <c r="D233" s="16">
        <f t="shared" si="91"/>
        <v>0</v>
      </c>
      <c r="E233" s="16">
        <f t="shared" si="92"/>
        <v>0</v>
      </c>
      <c r="F233" s="21">
        <f t="shared" si="93"/>
        <v>0</v>
      </c>
      <c r="G233" s="21">
        <f t="shared" si="94"/>
        <v>0</v>
      </c>
      <c r="H233" s="21">
        <f t="shared" si="95"/>
        <v>0</v>
      </c>
      <c r="I233" s="21">
        <f t="shared" si="96"/>
        <v>0</v>
      </c>
      <c r="J233" s="21">
        <f t="shared" si="97"/>
        <v>0</v>
      </c>
      <c r="K233" s="21">
        <f t="shared" si="98"/>
        <v>0</v>
      </c>
      <c r="L233" s="21">
        <f t="shared" si="99"/>
        <v>0</v>
      </c>
      <c r="M233" s="21">
        <f t="shared" si="100"/>
        <v>0</v>
      </c>
      <c r="N233" s="21">
        <f t="shared" si="101"/>
        <v>0</v>
      </c>
      <c r="O233" s="21">
        <f t="shared" si="102"/>
        <v>0</v>
      </c>
      <c r="P233" s="21">
        <f t="shared" si="103"/>
        <v>0</v>
      </c>
      <c r="Q233" s="21">
        <f t="shared" si="104"/>
        <v>0</v>
      </c>
      <c r="R233" s="21">
        <f t="shared" si="105"/>
        <v>0</v>
      </c>
      <c r="S233" s="21">
        <f t="shared" si="106"/>
        <v>0</v>
      </c>
      <c r="T233" s="21">
        <f t="shared" si="107"/>
        <v>0</v>
      </c>
      <c r="U233" s="21">
        <f t="shared" si="108"/>
        <v>0</v>
      </c>
      <c r="V233" s="21">
        <f t="shared" si="109"/>
        <v>0</v>
      </c>
      <c r="W233" s="21">
        <f t="shared" si="110"/>
        <v>0</v>
      </c>
      <c r="X233" s="21">
        <f t="shared" si="111"/>
        <v>0</v>
      </c>
      <c r="Y233" s="21">
        <f t="shared" si="112"/>
        <v>0</v>
      </c>
      <c r="Z233" s="20">
        <f t="shared" si="113"/>
        <v>0</v>
      </c>
      <c r="AA233" s="21">
        <f t="shared" si="114"/>
        <v>0</v>
      </c>
    </row>
    <row r="234" spans="1:27" x14ac:dyDescent="0.3">
      <c r="A234" s="16">
        <v>6</v>
      </c>
      <c r="B234" s="16">
        <f t="shared" si="89"/>
        <v>2032</v>
      </c>
      <c r="C234" s="16">
        <f t="shared" si="90"/>
        <v>0</v>
      </c>
      <c r="D234" s="16">
        <f t="shared" si="91"/>
        <v>0</v>
      </c>
      <c r="E234" s="16">
        <f t="shared" si="92"/>
        <v>0</v>
      </c>
      <c r="F234" s="21">
        <f t="shared" si="93"/>
        <v>0</v>
      </c>
      <c r="G234" s="21">
        <f t="shared" si="94"/>
        <v>0</v>
      </c>
      <c r="H234" s="21">
        <f t="shared" si="95"/>
        <v>0</v>
      </c>
      <c r="I234" s="21">
        <f t="shared" si="96"/>
        <v>0</v>
      </c>
      <c r="J234" s="21">
        <f t="shared" si="97"/>
        <v>0</v>
      </c>
      <c r="K234" s="21">
        <f t="shared" si="98"/>
        <v>0</v>
      </c>
      <c r="L234" s="21">
        <f t="shared" si="99"/>
        <v>0</v>
      </c>
      <c r="M234" s="21">
        <f t="shared" si="100"/>
        <v>0</v>
      </c>
      <c r="N234" s="21">
        <f t="shared" si="101"/>
        <v>0</v>
      </c>
      <c r="O234" s="21">
        <f t="shared" si="102"/>
        <v>0</v>
      </c>
      <c r="P234" s="21">
        <f t="shared" si="103"/>
        <v>0</v>
      </c>
      <c r="Q234" s="21">
        <f t="shared" si="104"/>
        <v>0</v>
      </c>
      <c r="R234" s="21">
        <f t="shared" si="105"/>
        <v>0</v>
      </c>
      <c r="S234" s="21">
        <f t="shared" si="106"/>
        <v>0</v>
      </c>
      <c r="T234" s="21">
        <f t="shared" si="107"/>
        <v>0</v>
      </c>
      <c r="U234" s="21">
        <f t="shared" si="108"/>
        <v>0</v>
      </c>
      <c r="V234" s="21">
        <f t="shared" si="109"/>
        <v>0</v>
      </c>
      <c r="W234" s="21">
        <f t="shared" si="110"/>
        <v>0</v>
      </c>
      <c r="X234" s="21">
        <f t="shared" si="111"/>
        <v>0</v>
      </c>
      <c r="Y234" s="21">
        <f t="shared" si="112"/>
        <v>0</v>
      </c>
      <c r="Z234" s="20">
        <f t="shared" si="113"/>
        <v>0</v>
      </c>
      <c r="AA234" s="21">
        <f t="shared" si="114"/>
        <v>0</v>
      </c>
    </row>
    <row r="235" spans="1:27" x14ac:dyDescent="0.3">
      <c r="A235" s="16">
        <v>7</v>
      </c>
      <c r="B235" s="16">
        <f t="shared" si="89"/>
        <v>2033</v>
      </c>
      <c r="C235" s="16">
        <f t="shared" si="90"/>
        <v>0</v>
      </c>
      <c r="D235" s="16">
        <f t="shared" si="91"/>
        <v>0</v>
      </c>
      <c r="E235" s="16">
        <f t="shared" si="92"/>
        <v>0</v>
      </c>
      <c r="F235" s="21">
        <f t="shared" si="93"/>
        <v>0</v>
      </c>
      <c r="G235" s="21">
        <f t="shared" si="94"/>
        <v>0</v>
      </c>
      <c r="H235" s="21">
        <f t="shared" si="95"/>
        <v>0</v>
      </c>
      <c r="I235" s="21">
        <f t="shared" si="96"/>
        <v>0</v>
      </c>
      <c r="J235" s="21">
        <f t="shared" si="97"/>
        <v>0</v>
      </c>
      <c r="K235" s="21">
        <f t="shared" si="98"/>
        <v>0</v>
      </c>
      <c r="L235" s="21">
        <f t="shared" si="99"/>
        <v>0</v>
      </c>
      <c r="M235" s="21">
        <f t="shared" si="100"/>
        <v>0</v>
      </c>
      <c r="N235" s="21">
        <f t="shared" si="101"/>
        <v>0</v>
      </c>
      <c r="O235" s="21">
        <f t="shared" si="102"/>
        <v>0</v>
      </c>
      <c r="P235" s="21">
        <f t="shared" si="103"/>
        <v>0</v>
      </c>
      <c r="Q235" s="21">
        <f t="shared" si="104"/>
        <v>0</v>
      </c>
      <c r="R235" s="21">
        <f t="shared" si="105"/>
        <v>0</v>
      </c>
      <c r="S235" s="21">
        <f t="shared" si="106"/>
        <v>0</v>
      </c>
      <c r="T235" s="21">
        <f t="shared" si="107"/>
        <v>0</v>
      </c>
      <c r="U235" s="21">
        <f t="shared" si="108"/>
        <v>0</v>
      </c>
      <c r="V235" s="21">
        <f t="shared" si="109"/>
        <v>0</v>
      </c>
      <c r="W235" s="21">
        <f t="shared" si="110"/>
        <v>0</v>
      </c>
      <c r="X235" s="21">
        <f t="shared" si="111"/>
        <v>0</v>
      </c>
      <c r="Y235" s="21">
        <f t="shared" si="112"/>
        <v>0</v>
      </c>
      <c r="Z235" s="20">
        <f t="shared" si="113"/>
        <v>0</v>
      </c>
      <c r="AA235" s="21">
        <f t="shared" si="114"/>
        <v>0</v>
      </c>
    </row>
    <row r="236" spans="1:27" x14ac:dyDescent="0.3">
      <c r="A236" s="16">
        <v>8</v>
      </c>
      <c r="B236" s="16">
        <f t="shared" si="89"/>
        <v>2034</v>
      </c>
      <c r="C236" s="16">
        <f t="shared" si="90"/>
        <v>0</v>
      </c>
      <c r="D236" s="16">
        <f t="shared" si="91"/>
        <v>0</v>
      </c>
      <c r="E236" s="16">
        <f t="shared" si="92"/>
        <v>0</v>
      </c>
      <c r="F236" s="21">
        <f t="shared" si="93"/>
        <v>0</v>
      </c>
      <c r="G236" s="21">
        <f t="shared" si="94"/>
        <v>0</v>
      </c>
      <c r="H236" s="21">
        <f t="shared" si="95"/>
        <v>0</v>
      </c>
      <c r="I236" s="21">
        <f t="shared" si="96"/>
        <v>0</v>
      </c>
      <c r="J236" s="21">
        <f t="shared" si="97"/>
        <v>0</v>
      </c>
      <c r="K236" s="21">
        <f t="shared" si="98"/>
        <v>0</v>
      </c>
      <c r="L236" s="21">
        <f t="shared" si="99"/>
        <v>0</v>
      </c>
      <c r="M236" s="21">
        <f t="shared" si="100"/>
        <v>0</v>
      </c>
      <c r="N236" s="21">
        <f t="shared" si="101"/>
        <v>0</v>
      </c>
      <c r="O236" s="21">
        <f t="shared" si="102"/>
        <v>0</v>
      </c>
      <c r="P236" s="21">
        <f t="shared" si="103"/>
        <v>0</v>
      </c>
      <c r="Q236" s="21">
        <f t="shared" si="104"/>
        <v>0</v>
      </c>
      <c r="R236" s="21">
        <f t="shared" si="105"/>
        <v>0</v>
      </c>
      <c r="S236" s="21">
        <f t="shared" si="106"/>
        <v>0</v>
      </c>
      <c r="T236" s="21">
        <f t="shared" si="107"/>
        <v>0</v>
      </c>
      <c r="U236" s="21">
        <f t="shared" si="108"/>
        <v>0</v>
      </c>
      <c r="V236" s="21">
        <f t="shared" si="109"/>
        <v>0</v>
      </c>
      <c r="W236" s="21">
        <f t="shared" si="110"/>
        <v>0</v>
      </c>
      <c r="X236" s="21">
        <f t="shared" si="111"/>
        <v>0</v>
      </c>
      <c r="Y236" s="21">
        <f t="shared" si="112"/>
        <v>0</v>
      </c>
      <c r="Z236" s="20">
        <f t="shared" si="113"/>
        <v>0</v>
      </c>
      <c r="AA236" s="21">
        <f t="shared" si="114"/>
        <v>0</v>
      </c>
    </row>
    <row r="237" spans="1:27" x14ac:dyDescent="0.3">
      <c r="A237" s="16">
        <v>9</v>
      </c>
      <c r="B237" s="16">
        <f t="shared" si="89"/>
        <v>2035</v>
      </c>
      <c r="C237" s="16">
        <f t="shared" si="90"/>
        <v>0</v>
      </c>
      <c r="D237" s="16">
        <f t="shared" si="91"/>
        <v>0</v>
      </c>
      <c r="E237" s="16">
        <f t="shared" si="92"/>
        <v>0</v>
      </c>
      <c r="F237" s="21">
        <f t="shared" si="93"/>
        <v>0</v>
      </c>
      <c r="G237" s="21">
        <f t="shared" si="94"/>
        <v>0</v>
      </c>
      <c r="H237" s="21">
        <f t="shared" si="95"/>
        <v>0</v>
      </c>
      <c r="I237" s="21">
        <f t="shared" si="96"/>
        <v>0</v>
      </c>
      <c r="J237" s="21">
        <f t="shared" si="97"/>
        <v>0</v>
      </c>
      <c r="K237" s="21">
        <f t="shared" si="98"/>
        <v>0</v>
      </c>
      <c r="L237" s="21">
        <f t="shared" si="99"/>
        <v>0</v>
      </c>
      <c r="M237" s="21">
        <f t="shared" si="100"/>
        <v>0</v>
      </c>
      <c r="N237" s="21">
        <f t="shared" si="101"/>
        <v>0</v>
      </c>
      <c r="O237" s="21">
        <f t="shared" si="102"/>
        <v>0</v>
      </c>
      <c r="P237" s="21">
        <f t="shared" si="103"/>
        <v>0</v>
      </c>
      <c r="Q237" s="21">
        <f t="shared" si="104"/>
        <v>0</v>
      </c>
      <c r="R237" s="21">
        <f t="shared" si="105"/>
        <v>0</v>
      </c>
      <c r="S237" s="21">
        <f t="shared" si="106"/>
        <v>0</v>
      </c>
      <c r="T237" s="21">
        <f t="shared" si="107"/>
        <v>0</v>
      </c>
      <c r="U237" s="21">
        <f t="shared" si="108"/>
        <v>0</v>
      </c>
      <c r="V237" s="21">
        <f t="shared" si="109"/>
        <v>0</v>
      </c>
      <c r="W237" s="21">
        <f t="shared" si="110"/>
        <v>0</v>
      </c>
      <c r="X237" s="21">
        <f t="shared" si="111"/>
        <v>0</v>
      </c>
      <c r="Y237" s="21">
        <f t="shared" si="112"/>
        <v>0</v>
      </c>
      <c r="Z237" s="20">
        <f t="shared" si="113"/>
        <v>0</v>
      </c>
      <c r="AA237" s="21">
        <f t="shared" si="114"/>
        <v>0</v>
      </c>
    </row>
    <row r="238" spans="1:27" x14ac:dyDescent="0.3">
      <c r="A238" s="8" t="s">
        <v>76</v>
      </c>
      <c r="F238" s="20">
        <f t="shared" ref="F238:AA238" si="115">SUM(F228:F237)</f>
        <v>0</v>
      </c>
      <c r="G238" s="20">
        <f t="shared" si="115"/>
        <v>0</v>
      </c>
      <c r="H238" s="20">
        <f t="shared" si="115"/>
        <v>0</v>
      </c>
      <c r="I238" s="20">
        <f t="shared" si="115"/>
        <v>0</v>
      </c>
      <c r="J238" s="20">
        <f t="shared" si="115"/>
        <v>0</v>
      </c>
      <c r="K238" s="20">
        <f t="shared" si="115"/>
        <v>0</v>
      </c>
      <c r="L238" s="20">
        <f t="shared" si="115"/>
        <v>0</v>
      </c>
      <c r="M238" s="20">
        <f t="shared" si="115"/>
        <v>0</v>
      </c>
      <c r="N238" s="20">
        <f t="shared" si="115"/>
        <v>0</v>
      </c>
      <c r="O238" s="20">
        <f t="shared" si="115"/>
        <v>0</v>
      </c>
      <c r="P238" s="20">
        <f t="shared" si="115"/>
        <v>0</v>
      </c>
      <c r="Q238" s="20">
        <f t="shared" si="115"/>
        <v>0</v>
      </c>
      <c r="R238" s="20">
        <f t="shared" si="115"/>
        <v>0</v>
      </c>
      <c r="S238" s="20">
        <f t="shared" si="115"/>
        <v>0</v>
      </c>
      <c r="T238" s="20">
        <f t="shared" si="115"/>
        <v>0</v>
      </c>
      <c r="U238" s="20">
        <f t="shared" si="115"/>
        <v>0</v>
      </c>
      <c r="V238" s="20">
        <f t="shared" si="115"/>
        <v>0</v>
      </c>
      <c r="W238" s="20">
        <f t="shared" si="115"/>
        <v>0</v>
      </c>
      <c r="X238" s="20">
        <f t="shared" si="115"/>
        <v>0</v>
      </c>
      <c r="Y238" s="20">
        <f t="shared" si="115"/>
        <v>0</v>
      </c>
      <c r="Z238" s="20">
        <f t="shared" si="115"/>
        <v>0</v>
      </c>
      <c r="AA238" s="20">
        <f t="shared" si="115"/>
        <v>0</v>
      </c>
    </row>
    <row r="240" spans="1:27" x14ac:dyDescent="0.3">
      <c r="A240" s="8" t="s">
        <v>161</v>
      </c>
      <c r="B240" s="26">
        <f>$Z$238</f>
        <v>0</v>
      </c>
    </row>
    <row r="241" spans="1:2" x14ac:dyDescent="0.3">
      <c r="A241" s="16" t="s">
        <v>14</v>
      </c>
      <c r="B241" s="21">
        <f>$AA$238-$Z$238</f>
        <v>0</v>
      </c>
    </row>
    <row r="242" spans="1:2" x14ac:dyDescent="0.3">
      <c r="A242" s="16" t="s">
        <v>162</v>
      </c>
      <c r="B242" s="16" t="str">
        <f>IF(OR($F$214="missing",AND($B$197&gt;0,$F$224="missing")),"missing",IF(OR($F$214="estimated",AND($B$197&gt;0,$F$224="estimated")),"estimated",IF($B$197&gt;0,$F$224,$F$214)))</f>
        <v>missing</v>
      </c>
    </row>
    <row r="243" spans="1:2" x14ac:dyDescent="0.3">
      <c r="A243" s="16" t="s">
        <v>163</v>
      </c>
      <c r="B243" s="16">
        <f>IF(OR($F$214="missing",AND($B$197&gt;0,$F$224="missing"),$F$215="missing"),1,0)</f>
        <v>1</v>
      </c>
    </row>
    <row r="246" spans="1:2" ht="15.6" x14ac:dyDescent="0.3">
      <c r="A246" s="7" t="s">
        <v>94</v>
      </c>
    </row>
    <row r="247" spans="1:2" x14ac:dyDescent="0.3">
      <c r="A247" s="16" t="s">
        <v>104</v>
      </c>
      <c r="B247" s="12">
        <f>IF(CmpChild&lt;=NumChildren,1,0)</f>
        <v>1</v>
      </c>
    </row>
    <row r="248" spans="1:2" x14ac:dyDescent="0.3">
      <c r="A248" s="16" t="s">
        <v>30</v>
      </c>
      <c r="B248" s="12" t="str">
        <f>IF("Australia"="","","Australia")</f>
        <v>Australia</v>
      </c>
    </row>
    <row r="249" spans="1:2" x14ac:dyDescent="0.3">
      <c r="A249" s="16" t="s">
        <v>31</v>
      </c>
      <c r="B249" s="12" t="str">
        <f>IF(CHOOSE(CmpChild,Inputs!$C$18,Inputs!$D$18,Inputs!$E$18,Inputs!$F$18)="","",CHOOSE(CmpChild,Inputs!$C$18,Inputs!$D$18,Inputs!$E$18,Inputs!$F$18))</f>
        <v/>
      </c>
    </row>
    <row r="250" spans="1:2" x14ac:dyDescent="0.3">
      <c r="A250" s="16" t="s">
        <v>105</v>
      </c>
      <c r="B250" s="12" t="str">
        <f>IF(CHOOSE(CmpChild,Inputs!$C$15,Inputs!$D$15,Inputs!$E$15,Inputs!$F$15)="","",CHOOSE(CmpChild,Inputs!$C$15,Inputs!$D$15,Inputs!$E$15,Inputs!$F$15))</f>
        <v/>
      </c>
    </row>
    <row r="251" spans="1:2" x14ac:dyDescent="0.3">
      <c r="A251" s="16" t="s">
        <v>106</v>
      </c>
      <c r="B251" s="12">
        <f>IF(CHOOSE(CmpChild,Inputs!$C$19,Inputs!$D$19,Inputs!$E$19,Inputs!$F$19)="","",CHOOSE(CmpChild,Inputs!$C$19,Inputs!$D$19,Inputs!$E$19,Inputs!$F$19))</f>
        <v>18</v>
      </c>
    </row>
    <row r="252" spans="1:2" x14ac:dyDescent="0.3">
      <c r="A252" s="16" t="s">
        <v>107</v>
      </c>
      <c r="B252" s="12" t="str">
        <f>IF($B$248="","",IF(COUNTIF(DomKey,$B$248&amp;"|"&amp;Nationality)&gt;0,"domestic","international"))</f>
        <v>international</v>
      </c>
    </row>
    <row r="253" spans="1:2" x14ac:dyDescent="0.3">
      <c r="A253" s="16" t="s">
        <v>108</v>
      </c>
      <c r="B253" s="12" t="str">
        <f>$B$248&amp;"|"&amp;$B$249&amp;"|"&amp;$B$252</f>
        <v>Australia||international</v>
      </c>
    </row>
    <row r="254" spans="1:2" x14ac:dyDescent="0.3">
      <c r="A254" s="16" t="s">
        <v>109</v>
      </c>
      <c r="B254" s="12">
        <f>IFERROR(MATCH($B$253,DB_Key,0),0)</f>
        <v>0</v>
      </c>
    </row>
    <row r="255" spans="1:2" x14ac:dyDescent="0.3">
      <c r="A255" s="16" t="s">
        <v>110</v>
      </c>
      <c r="B255" s="12" t="str">
        <f>IFERROR(INDEX(Ctry_Ccy,MATCH($B$248,Ctry_Name,0)),"USD")</f>
        <v>AUD</v>
      </c>
    </row>
    <row r="256" spans="1:2" x14ac:dyDescent="0.3">
      <c r="A256" s="16" t="s">
        <v>68</v>
      </c>
      <c r="B256" s="12">
        <f>IF($B$254&gt;0,INDEX(DB_Dur,$B$254),0)</f>
        <v>0</v>
      </c>
    </row>
    <row r="257" spans="1:2" x14ac:dyDescent="0.3">
      <c r="A257" s="16" t="s">
        <v>111</v>
      </c>
      <c r="B257" s="12">
        <f>IF($B$254&gt;0,INDEX(DB_Avail,$B$254),0)</f>
        <v>0</v>
      </c>
    </row>
    <row r="258" spans="1:2" x14ac:dyDescent="0.3">
      <c r="A258" s="16" t="s">
        <v>112</v>
      </c>
      <c r="B258" s="12">
        <f>IF($B$254&gt;0,INDEX(DB_PreYears,$B$254),0)</f>
        <v>0</v>
      </c>
    </row>
    <row r="259" spans="1:2" x14ac:dyDescent="0.3">
      <c r="A259" s="16" t="s">
        <v>113</v>
      </c>
      <c r="B259" s="14">
        <f>IF(ISNUMBER(CHOOSE(CmpChild,Inputs!$C$20,Inputs!$D$20,Inputs!$E$20,Inputs!$F$20)),CHOOSE(CmpChild,Inputs!$C$20,Inputs!$D$20,Inputs!$E$20,Inputs!$F$20),IF($B$254&gt;0,INDEX(DB_TInf,$B$254),0))</f>
        <v>0</v>
      </c>
    </row>
    <row r="260" spans="1:2" x14ac:dyDescent="0.3">
      <c r="A260" s="16" t="s">
        <v>114</v>
      </c>
      <c r="B260" s="14">
        <f>IF(ISNUMBER(CHOOSE(CmpChild,Inputs!$C$21,Inputs!$D$21,Inputs!$E$21,Inputs!$F$21)),CHOOSE(CmpChild,Inputs!$C$21,Inputs!$D$21,Inputs!$E$21,Inputs!$F$21),IFERROR(INDEX(Ctry_LInf,MATCH($B$248,Ctry_Name,0)),0))</f>
        <v>0.03</v>
      </c>
    </row>
    <row r="261" spans="1:2" x14ac:dyDescent="0.3">
      <c r="A261" s="16" t="s">
        <v>115</v>
      </c>
      <c r="B261" s="12">
        <f>IF($B$265=1,MAX(0,$B$251-$B$250),0)</f>
        <v>0</v>
      </c>
    </row>
    <row r="262" spans="1:2" x14ac:dyDescent="0.3">
      <c r="A262" s="16" t="s">
        <v>116</v>
      </c>
      <c r="B262" s="12">
        <f>ROUNDUP($B$256,0)</f>
        <v>0</v>
      </c>
    </row>
    <row r="263" spans="1:2" x14ac:dyDescent="0.3">
      <c r="A263" s="16" t="s">
        <v>117</v>
      </c>
      <c r="B263" s="12">
        <f>IF($B$265=1,$B$261+$B$262,0)</f>
        <v>0</v>
      </c>
    </row>
    <row r="264" spans="1:2" x14ac:dyDescent="0.3">
      <c r="A264" s="16" t="s">
        <v>118</v>
      </c>
      <c r="B264" s="12">
        <f>MAX(0,$B$263-1)</f>
        <v>0</v>
      </c>
    </row>
    <row r="265" spans="1:2" x14ac:dyDescent="0.3">
      <c r="A265" s="16" t="s">
        <v>119</v>
      </c>
      <c r="B265" s="12">
        <f>IF(IFERROR(AND($B$247=1,$B$248&lt;&gt;"",$B$249&lt;&gt;"",$B$257=1,IFERROR(AND(ISNUMBER($B$250),$B$250&gt;=0,$B$250&lt;=18,INT($B$250)=$B$250),FALSE),IFERROR(AND(ISNUMBER($B$251),$B$251&gt;=14,$B$251&lt;=45,INT($B$251)=$B$251),FALSE)),FALSE),1,0)</f>
        <v>0</v>
      </c>
    </row>
    <row r="266" spans="1:2" x14ac:dyDescent="0.3">
      <c r="A266" s="16" t="s">
        <v>70</v>
      </c>
      <c r="B266" s="12" t="str">
        <f>IF($B$247&lt;&gt;1,"",IF(AND($B$250="",$B$248="",$B$249=""),"Enter this child's details on the Inputs sheet.",IF(NOT(IFERROR(AND(ISNUMBER($B$250),$B$250&gt;=0,$B$250&lt;=18,INT($B$250)=$B$250),FALSE)),"Choose the child's current age (0 to 18).",IF(NOT(IFERROR(AND(ISNUMBER($B$251),$B$251&gt;=14,$B$251&lt;=45,INT($B$251)=$B$251),FALSE)),"College-entry age must be a whole number from 14 to 45.",IF($B$248="","Choose the education country.",IF($B$249="","Choose the qualification.",IF($B$257&lt;&gt;1,"This qualification is not offered (or has no typical duration) in the selected country.","")))))))</f>
        <v>Choose the child's current age (0 to 18).</v>
      </c>
    </row>
    <row r="267" spans="1:2" x14ac:dyDescent="0.3">
      <c r="A267" s="16" t="s">
        <v>120</v>
      </c>
      <c r="B267" s="12">
        <f>INDEX(FxUsed,MATCH(RepCcy,FxCodes,0))/INDEX(FxUsed,MATCH($B$255,FxCodes,0))</f>
        <v>0.69504778453518679</v>
      </c>
    </row>
    <row r="268" spans="1:2" x14ac:dyDescent="0.3">
      <c r="A268" s="16" t="s">
        <v>121</v>
      </c>
      <c r="B268" s="12">
        <f>IF($B$254=0,0,COUNTIF(RecKey,$B$253))</f>
        <v>0</v>
      </c>
    </row>
    <row r="269" spans="1:2" x14ac:dyDescent="0.3">
      <c r="A269" s="16" t="s">
        <v>122</v>
      </c>
      <c r="B269" s="12" t="str">
        <f>IF($B$268&gt;0,INDEX(DB_RecCcy,$B$254),IF($B$254&gt;0,INDEX(DB_EstCcy,$B$254),$B$255))</f>
        <v>AUD</v>
      </c>
    </row>
    <row r="270" spans="1:2" x14ac:dyDescent="0.3">
      <c r="A270" s="16" t="s">
        <v>123</v>
      </c>
      <c r="B270" s="12">
        <f>IFERROR(MATCH($B$248&amp;"|"&amp;$B$252,LivKey,0),0)</f>
        <v>10</v>
      </c>
    </row>
    <row r="271" spans="1:2" x14ac:dyDescent="0.3">
      <c r="A271" s="16" t="s">
        <v>124</v>
      </c>
      <c r="B271" s="12">
        <f>IFERROR(MATCH($B$248&amp;"|"&amp;Nationality,VisaKey,0),0)</f>
        <v>281</v>
      </c>
    </row>
    <row r="272" spans="1:2" x14ac:dyDescent="0.3">
      <c r="A272" s="16" t="s">
        <v>125</v>
      </c>
      <c r="B272" s="12">
        <f>IFERROR(MATCH($B$248&amp;"|"&amp;Residence,TravKey,0),0)</f>
        <v>281</v>
      </c>
    </row>
    <row r="274" spans="1:27" ht="79.2" x14ac:dyDescent="0.3">
      <c r="A274" s="22" t="s">
        <v>126</v>
      </c>
      <c r="B274" s="22" t="s">
        <v>127</v>
      </c>
      <c r="C274" s="22" t="s">
        <v>128</v>
      </c>
      <c r="D274" s="22" t="s">
        <v>129</v>
      </c>
      <c r="E274" s="22" t="s">
        <v>130</v>
      </c>
      <c r="F274" s="22" t="s">
        <v>131</v>
      </c>
      <c r="G274" s="22" t="s">
        <v>132</v>
      </c>
      <c r="H274" s="22" t="s">
        <v>133</v>
      </c>
      <c r="I274" s="22" t="s">
        <v>134</v>
      </c>
      <c r="J274" s="22" t="s">
        <v>135</v>
      </c>
    </row>
    <row r="275" spans="1:27" x14ac:dyDescent="0.3">
      <c r="A275" s="16" t="s">
        <v>36</v>
      </c>
      <c r="B275" s="25">
        <f>IF($B$254=0,0,(IF($B$268&gt;0,SUMPRODUCT((RecKey=$B$253)*RecTuition*(1+$B$259)^(PlanYear-RecYear))/$B$268,INDEX(DB_EstTuition,$B$254)))/INDEX(FxUsed,MATCH($B$269,FxCodes,0))*INDEX(FxUsed,MATCH($B$255,FxCodes,0)))</f>
        <v>0</v>
      </c>
      <c r="C275" s="21"/>
      <c r="D275" s="25">
        <f t="shared" ref="D275:D286" si="116">IF(ISNUMBER(C275),IF(C275&gt;=0,C275,B275),B275)</f>
        <v>0</v>
      </c>
      <c r="E275" s="12">
        <f>IF(ISNUMBER(C275),PlanYear,IF($B$268&gt;0,PlanYear,IF($B$254&gt;0,INDEX(DB_EstBase,$B$254),PlanYear)))</f>
        <v>2026</v>
      </c>
      <c r="F275" s="12" t="str">
        <f>IF(ISNUMBER(C275),"override",IF($B$254=0,"missing",IF($B$268&gt;0,"verified",INDEX(DB_EstStatus,$B$254))))</f>
        <v>missing</v>
      </c>
      <c r="G275" s="16" t="str">
        <f t="shared" ref="G275:G286" si="117">IF(F275="verified","Published figure",IF(F275="estimated","Estimated — please review",IF(F275="notNeeded","Not needed",IF(F275="override","Your figure",IF(F275="missing","No figure yet — enter your own","")))))</f>
        <v>No figure yet — enter your own</v>
      </c>
      <c r="H275" s="16" t="s">
        <v>136</v>
      </c>
      <c r="I275" s="16" t="s">
        <v>137</v>
      </c>
      <c r="J275" s="16" t="s">
        <v>138</v>
      </c>
    </row>
    <row r="276" spans="1:27" x14ac:dyDescent="0.3">
      <c r="A276" s="16" t="s">
        <v>37</v>
      </c>
      <c r="B276" s="25">
        <f>IF($B$270=0,0,(INDEX(Liv_accommodation_Amt,$B$270))/INDEX(FxUsed,MATCH(INDEX(Liv_accommodation_Ccy,$B$270),FxCodes,0))*INDEX(FxUsed,MATCH($B$255,FxCodes,0)))</f>
        <v>11760</v>
      </c>
      <c r="C276" s="21"/>
      <c r="D276" s="25">
        <f t="shared" si="116"/>
        <v>11760</v>
      </c>
      <c r="E276" s="12">
        <f>IF(ISNUMBER(C276),PlanYear,IF($B$270=0,PlanYear,INDEX(Liv_accommodation_Base,$B$270)))</f>
        <v>2026</v>
      </c>
      <c r="F276" s="12" t="str">
        <f>IF(ISNUMBER(C276),"override",IF($B$270=0,"missing",INDEX(Liv_accommodation_Status,$B$270)))</f>
        <v>verified</v>
      </c>
      <c r="G276" s="16" t="str">
        <f t="shared" si="117"/>
        <v>Published figure</v>
      </c>
      <c r="H276" s="16" t="s">
        <v>139</v>
      </c>
      <c r="I276" s="16" t="s">
        <v>137</v>
      </c>
      <c r="J276" s="16" t="s">
        <v>138</v>
      </c>
    </row>
    <row r="277" spans="1:27" x14ac:dyDescent="0.3">
      <c r="A277" s="16" t="s">
        <v>38</v>
      </c>
      <c r="B277" s="25">
        <f>IF($B$270=0,0,(INDEX(Liv_food_Amt,$B$270))/INDEX(FxUsed,MATCH(INDEX(Liv_food_Ccy,$B$270),FxCodes,0))*INDEX(FxUsed,MATCH($B$255,FxCodes,0)))</f>
        <v>12000.000000000002</v>
      </c>
      <c r="C277" s="21"/>
      <c r="D277" s="25">
        <f t="shared" si="116"/>
        <v>12000.000000000002</v>
      </c>
      <c r="E277" s="12">
        <f>IF(ISNUMBER(C277),PlanYear,IF($B$270=0,PlanYear,INDEX(Liv_food_Base,$B$270)))</f>
        <v>2026</v>
      </c>
      <c r="F277" s="12" t="str">
        <f>IF(ISNUMBER(C277),"override",IF($B$270=0,"missing",INDEX(Liv_food_Status,$B$270)))</f>
        <v>verified</v>
      </c>
      <c r="G277" s="16" t="str">
        <f t="shared" si="117"/>
        <v>Published figure</v>
      </c>
      <c r="H277" s="16" t="s">
        <v>139</v>
      </c>
      <c r="I277" s="16" t="s">
        <v>137</v>
      </c>
      <c r="J277" s="16" t="s">
        <v>138</v>
      </c>
    </row>
    <row r="278" spans="1:27" x14ac:dyDescent="0.3">
      <c r="A278" s="16" t="s">
        <v>39</v>
      </c>
      <c r="B278" s="25">
        <f>IF($B$270=0,0,(INDEX(Liv_transport_Amt,$B$270))/INDEX(FxUsed,MATCH(INDEX(Liv_transport_Ccy,$B$270),FxCodes,0))*INDEX(FxUsed,MATCH($B$255,FxCodes,0)))</f>
        <v>1560</v>
      </c>
      <c r="C278" s="21"/>
      <c r="D278" s="25">
        <f t="shared" si="116"/>
        <v>1560</v>
      </c>
      <c r="E278" s="12">
        <f>IF(ISNUMBER(C278),PlanYear,IF($B$270=0,PlanYear,INDEX(Liv_transport_Base,$B$270)))</f>
        <v>2026</v>
      </c>
      <c r="F278" s="12" t="str">
        <f>IF(ISNUMBER(C278),"override",IF($B$270=0,"missing",INDEX(Liv_transport_Status,$B$270)))</f>
        <v>verified</v>
      </c>
      <c r="G278" s="16" t="str">
        <f t="shared" si="117"/>
        <v>Published figure</v>
      </c>
      <c r="H278" s="16" t="s">
        <v>139</v>
      </c>
      <c r="I278" s="16" t="s">
        <v>137</v>
      </c>
      <c r="J278" s="16" t="s">
        <v>138</v>
      </c>
    </row>
    <row r="279" spans="1:27" x14ac:dyDescent="0.3">
      <c r="A279" s="16" t="s">
        <v>40</v>
      </c>
      <c r="B279" s="25">
        <f>IF($B$270=0,0,(INDEX(Liv_healthInsurance_Amt,$B$270))/INDEX(FxUsed,MATCH(INDEX(Liv_healthInsurance_Ccy,$B$270),FxCodes,0))*INDEX(FxUsed,MATCH($B$255,FxCodes,0)))</f>
        <v>700</v>
      </c>
      <c r="C279" s="21"/>
      <c r="D279" s="25">
        <f t="shared" si="116"/>
        <v>700</v>
      </c>
      <c r="E279" s="12">
        <f>IF(ISNUMBER(C279),PlanYear,IF($B$270=0,PlanYear,INDEX(Liv_healthInsurance_Base,$B$270)))</f>
        <v>2026</v>
      </c>
      <c r="F279" s="12" t="str">
        <f>IF(ISNUMBER(C279),"override",IF($B$270=0,"missing",INDEX(Liv_healthInsurance_Status,$B$270)))</f>
        <v>estimated</v>
      </c>
      <c r="G279" s="16" t="str">
        <f t="shared" si="117"/>
        <v>Estimated — please review</v>
      </c>
      <c r="H279" s="16" t="s">
        <v>139</v>
      </c>
      <c r="I279" s="16" t="s">
        <v>137</v>
      </c>
      <c r="J279" s="16" t="s">
        <v>138</v>
      </c>
    </row>
    <row r="280" spans="1:27" x14ac:dyDescent="0.3">
      <c r="A280" s="16" t="s">
        <v>41</v>
      </c>
      <c r="B280" s="25">
        <f>IF($B$270=0,0,(INDEX(Liv_books_Amt,$B$270))/INDEX(FxUsed,MATCH(INDEX(Liv_books_Ccy,$B$270),FxCodes,0))*INDEX(FxUsed,MATCH($B$255,FxCodes,0)))</f>
        <v>1000</v>
      </c>
      <c r="C280" s="21"/>
      <c r="D280" s="25">
        <f t="shared" si="116"/>
        <v>1000</v>
      </c>
      <c r="E280" s="12">
        <f>IF(ISNUMBER(C280),PlanYear,IF($B$270=0,PlanYear,INDEX(Liv_books_Base,$B$270)))</f>
        <v>2026</v>
      </c>
      <c r="F280" s="12" t="str">
        <f>IF(ISNUMBER(C280),"override",IF($B$270=0,"missing",INDEX(Liv_books_Status,$B$270)))</f>
        <v>verified</v>
      </c>
      <c r="G280" s="16" t="str">
        <f t="shared" si="117"/>
        <v>Published figure</v>
      </c>
      <c r="H280" s="16" t="s">
        <v>139</v>
      </c>
      <c r="I280" s="16" t="s">
        <v>137</v>
      </c>
      <c r="J280" s="16" t="s">
        <v>138</v>
      </c>
    </row>
    <row r="281" spans="1:27" x14ac:dyDescent="0.3">
      <c r="A281" s="16" t="s">
        <v>42</v>
      </c>
      <c r="B281" s="25">
        <f>IF($B$254=0,0,(IF($B$268&gt;0,SUMPRODUCT((RecKey=$B$253)*RecOther*(1+$B$259)^(PlanYear-RecYear))/$B$268,INDEX(DB_EstOther,$B$254)))/INDEX(FxUsed,MATCH($B$269,FxCodes,0))*INDEX(FxUsed,MATCH($B$255,FxCodes,0)))</f>
        <v>0</v>
      </c>
      <c r="C281" s="21"/>
      <c r="D281" s="25">
        <f t="shared" si="116"/>
        <v>0</v>
      </c>
      <c r="E281" s="12">
        <f>IF(ISNUMBER(C281),PlanYear,IF($B$268&gt;0,PlanYear,IF($B$254&gt;0,INDEX(DB_EstBase,$B$254),PlanYear)))</f>
        <v>2026</v>
      </c>
      <c r="F281" s="12" t="str">
        <f>IF(ISNUMBER(C281),"override",IF($B$254=0,"missing",IF($B$268&gt;0,"verified",INDEX(DB_EstStatus,$B$254))))</f>
        <v>missing</v>
      </c>
      <c r="G281" s="16" t="str">
        <f t="shared" si="117"/>
        <v>No figure yet — enter your own</v>
      </c>
      <c r="H281" s="16" t="s">
        <v>136</v>
      </c>
      <c r="I281" s="16" t="s">
        <v>137</v>
      </c>
      <c r="J281" s="16" t="s">
        <v>138</v>
      </c>
    </row>
    <row r="282" spans="1:27" x14ac:dyDescent="0.3">
      <c r="A282" s="16" t="s">
        <v>140</v>
      </c>
      <c r="B282" s="25">
        <f>IF($B$258&gt;0,IF($B$258&gt;0,(INDEX(DB_PreAdm,$B$254))/INDEX(FxUsed,MATCH(INDEX(DB_PreCcy,$B$254),FxCodes,0))*INDEX(FxUsed,MATCH($B$255,FxCodes,0)),0),IF($B$254=0,0,(IF($B$268&gt;0,SUMPRODUCT((RecKey=$B$253)*RecAdm*(1+$B$259)^(PlanYear-RecYear))/$B$268,INDEX(DB_EstAdm,$B$254)))/INDEX(FxUsed,MATCH($B$269,FxCodes,0))*INDEX(FxUsed,MATCH($B$255,FxCodes,0))))</f>
        <v>0</v>
      </c>
      <c r="C282" s="21"/>
      <c r="D282" s="25">
        <f t="shared" si="116"/>
        <v>0</v>
      </c>
      <c r="E282" s="12">
        <f>IF(ISNUMBER(C282),PlanYear,IF($B$258&gt;0,INDEX(DB_PreBase,$B$254),IF($B$268&gt;0,PlanYear,IF($B$254&gt;0,INDEX(DB_EstBase,$B$254),PlanYear))))</f>
        <v>2026</v>
      </c>
      <c r="F282" s="12" t="str">
        <f>IF(ISNUMBER(C282),"override",IF($B$258&gt;0,INDEX(DB_PreStatus,$B$254),IF($B$254=0,"missing",IF($B$268&gt;0,"verified",INDEX(DB_EstStatus,$B$254)))))</f>
        <v>missing</v>
      </c>
      <c r="G282" s="16" t="str">
        <f t="shared" si="117"/>
        <v>No figure yet — enter your own</v>
      </c>
      <c r="H282" s="16" t="s">
        <v>136</v>
      </c>
      <c r="I282" s="16" t="s">
        <v>141</v>
      </c>
      <c r="J282" s="16" t="s">
        <v>138</v>
      </c>
    </row>
    <row r="283" spans="1:27" x14ac:dyDescent="0.3">
      <c r="A283" s="16" t="s">
        <v>142</v>
      </c>
      <c r="B283" s="25">
        <f>IF(OR($B$271=0,AND($B$252&lt;&gt;"domestic",Residence=$B$248,COUNTIF(ResNoVisa,$B$248)&gt;0)),0,(INDEX(VisaAmt,$B$271))/INDEX(FxUsed,MATCH(INDEX(VisaCcy,$B$271),FxCodes,0))*INDEX(FxUsed,MATCH($B$255,FxCodes,0)))</f>
        <v>2500</v>
      </c>
      <c r="C283" s="21"/>
      <c r="D283" s="25">
        <f t="shared" si="116"/>
        <v>2500</v>
      </c>
      <c r="E283" s="12">
        <f>IF(ISNUMBER(C283),PlanYear,IF(OR($B$271=0,AND($B$252&lt;&gt;"domestic",Residence=$B$248,COUNTIF(ResNoVisa,$B$248)&gt;0)),PlanYear,INDEX(VisaBase,$B$271)))</f>
        <v>2026</v>
      </c>
      <c r="F283" s="12" t="str">
        <f>IF(ISNUMBER(C283),"override",IF(AND($B$252&lt;&gt;"domestic",Residence=$B$248,COUNTIF(ResNoVisa,$B$248)&gt;0),"notNeeded",IF($B$271=0,"missing",INDEX(VisaStatus,$B$271))))</f>
        <v>verified</v>
      </c>
      <c r="G283" s="16" t="str">
        <f t="shared" si="117"/>
        <v>Published figure</v>
      </c>
      <c r="H283" s="16" t="s">
        <v>139</v>
      </c>
      <c r="I283" s="16" t="s">
        <v>141</v>
      </c>
      <c r="J283" s="16" t="s">
        <v>143</v>
      </c>
    </row>
    <row r="284" spans="1:27" x14ac:dyDescent="0.3">
      <c r="A284" s="16" t="s">
        <v>144</v>
      </c>
      <c r="B284" s="25">
        <f>IF($B$272=0,0,(INDEX(TravAmt,$B$272))/INDEX(FxUsed,MATCH(INDEX(TravCcy,$B$272),FxCodes,0))*INDEX(FxUsed,MATCH($B$255,FxCodes,0)))</f>
        <v>2014.25</v>
      </c>
      <c r="C284" s="21"/>
      <c r="D284" s="25">
        <f t="shared" si="116"/>
        <v>2014.25</v>
      </c>
      <c r="E284" s="12">
        <f>IF(ISNUMBER(C284),PlanYear,IF($B$272=0,PlanYear,INDEX(TravBase,$B$272)))</f>
        <v>2026</v>
      </c>
      <c r="F284" s="12" t="str">
        <f>IF(ISNUMBER(C284),"override",IF($B$272=0,"missing",INDEX(TravStatus,$B$272)))</f>
        <v>estimated</v>
      </c>
      <c r="G284" s="16" t="str">
        <f t="shared" si="117"/>
        <v>Estimated — please review</v>
      </c>
      <c r="H284" s="16" t="s">
        <v>139</v>
      </c>
      <c r="I284" s="16" t="s">
        <v>141</v>
      </c>
      <c r="J284" s="16" t="s">
        <v>143</v>
      </c>
    </row>
    <row r="285" spans="1:27" x14ac:dyDescent="0.3">
      <c r="A285" s="16" t="s">
        <v>46</v>
      </c>
      <c r="B285" s="25">
        <f>IF($B$258&gt;0,(INDEX(DB_PreTuition,$B$254))/INDEX(FxUsed,MATCH(INDEX(DB_PreCcy,$B$254),FxCodes,0))*INDEX(FxUsed,MATCH($B$255,FxCodes,0)),0)</f>
        <v>0</v>
      </c>
      <c r="C285" s="21"/>
      <c r="D285" s="25">
        <f t="shared" si="116"/>
        <v>0</v>
      </c>
      <c r="E285" s="12">
        <f>IF(ISNUMBER(C285),PlanYear,IF($B$258&gt;0,INDEX(DB_PreBase,$B$254),PlanYear))</f>
        <v>2026</v>
      </c>
      <c r="F285" s="12" t="str">
        <f>IF(ISNUMBER(C285),"override",IF($B$258&gt;0,INDEX(DB_PreStatus,$B$254),""))</f>
        <v/>
      </c>
      <c r="G285" s="16" t="str">
        <f t="shared" si="117"/>
        <v/>
      </c>
      <c r="H285" s="16" t="s">
        <v>136</v>
      </c>
      <c r="I285" s="16" t="s">
        <v>137</v>
      </c>
      <c r="J285" s="16" t="s">
        <v>138</v>
      </c>
    </row>
    <row r="286" spans="1:27" x14ac:dyDescent="0.3">
      <c r="A286" s="16" t="s">
        <v>47</v>
      </c>
      <c r="B286" s="25">
        <f>IF($B$258&gt;0,(INDEX(DB_PreOther,$B$254))/INDEX(FxUsed,MATCH(INDEX(DB_PreCcy,$B$254),FxCodes,0))*INDEX(FxUsed,MATCH($B$255,FxCodes,0)),0)</f>
        <v>0</v>
      </c>
      <c r="C286" s="21"/>
      <c r="D286" s="25">
        <f t="shared" si="116"/>
        <v>0</v>
      </c>
      <c r="E286" s="12">
        <f>IF(ISNUMBER(C286),PlanYear,IF($B$258&gt;0,INDEX(DB_PreBase,$B$254),PlanYear))</f>
        <v>2026</v>
      </c>
      <c r="F286" s="12" t="str">
        <f>IF(ISNUMBER(C286),"override",IF($B$258&gt;0,INDEX(DB_PreStatus,$B$254),""))</f>
        <v/>
      </c>
      <c r="G286" s="16" t="str">
        <f t="shared" si="117"/>
        <v/>
      </c>
      <c r="H286" s="16" t="s">
        <v>136</v>
      </c>
      <c r="I286" s="16" t="s">
        <v>137</v>
      </c>
      <c r="J286" s="16" t="s">
        <v>138</v>
      </c>
    </row>
    <row r="288" spans="1:27" ht="79.2" x14ac:dyDescent="0.3">
      <c r="A288" s="22" t="s">
        <v>145</v>
      </c>
      <c r="B288" s="22" t="s">
        <v>146</v>
      </c>
      <c r="C288" s="22" t="s">
        <v>147</v>
      </c>
      <c r="D288" s="22" t="s">
        <v>148</v>
      </c>
      <c r="E288" s="22" t="s">
        <v>149</v>
      </c>
      <c r="F288" s="22" t="s">
        <v>150</v>
      </c>
      <c r="G288" s="22" t="s">
        <v>151</v>
      </c>
      <c r="H288" s="22" t="s">
        <v>152</v>
      </c>
      <c r="I288" s="22" t="s">
        <v>153</v>
      </c>
      <c r="J288" s="22" t="s">
        <v>154</v>
      </c>
      <c r="K288" s="22" t="s">
        <v>155</v>
      </c>
      <c r="L288" s="22" t="s">
        <v>156</v>
      </c>
      <c r="M288" s="22" t="s">
        <v>157</v>
      </c>
      <c r="N288" s="22" t="s">
        <v>158</v>
      </c>
      <c r="O288" s="22" t="s">
        <v>159</v>
      </c>
      <c r="P288" s="22" t="s">
        <v>36</v>
      </c>
      <c r="Q288" s="22" t="s">
        <v>37</v>
      </c>
      <c r="R288" s="22" t="s">
        <v>38</v>
      </c>
      <c r="S288" s="22" t="s">
        <v>39</v>
      </c>
      <c r="T288" s="22" t="s">
        <v>40</v>
      </c>
      <c r="U288" s="22" t="s">
        <v>41</v>
      </c>
      <c r="V288" s="22" t="s">
        <v>42</v>
      </c>
      <c r="W288" s="22" t="s">
        <v>140</v>
      </c>
      <c r="X288" s="22" t="s">
        <v>142</v>
      </c>
      <c r="Y288" s="22" t="s">
        <v>144</v>
      </c>
      <c r="Z288" s="22" t="s">
        <v>83</v>
      </c>
      <c r="AA288" s="22" t="s">
        <v>160</v>
      </c>
    </row>
    <row r="289" spans="1:27" x14ac:dyDescent="0.3">
      <c r="A289" s="16">
        <v>0</v>
      </c>
      <c r="B289" s="16">
        <f t="shared" ref="B289:B298" si="118">PlanYear+$B$261+A289</f>
        <v>2026</v>
      </c>
      <c r="C289" s="16">
        <f t="shared" ref="C289:C298" si="119">MAX(0,MIN(1,$B$256-A289))</f>
        <v>0</v>
      </c>
      <c r="D289" s="16">
        <f t="shared" ref="D289:D298" si="120">IF(A289&lt;$B$258,1,0)</f>
        <v>0</v>
      </c>
      <c r="E289" s="16">
        <f t="shared" ref="E289:E298" si="121">IF(AND($B$265=1,A289&lt;$B$262),1,0)</f>
        <v>0</v>
      </c>
      <c r="F289" s="21">
        <f t="shared" ref="F289:F298" si="122">IF(AND(E289=1),IF(D289=1,$D$285,$D$275)*(1+$B$259)^(B289-IF(D289=1,$E$285,$E$275))*C289*$B$267,0)</f>
        <v>0</v>
      </c>
      <c r="G289" s="21">
        <f t="shared" ref="G289:G298" si="123">IF(AND(E289=1),$D$276*(1+$B$260)^(B289-$E$276)*C289*$B$267,0)</f>
        <v>0</v>
      </c>
      <c r="H289" s="21">
        <f t="shared" ref="H289:H298" si="124">IF(AND(E289=1),$D$277*(1+$B$260)^(B289-$E$277)*C289*$B$267,0)</f>
        <v>0</v>
      </c>
      <c r="I289" s="21">
        <f t="shared" ref="I289:I298" si="125">IF(AND(E289=1),$D$278*(1+$B$260)^(B289-$E$278)*C289*$B$267,0)</f>
        <v>0</v>
      </c>
      <c r="J289" s="21">
        <f t="shared" ref="J289:J298" si="126">IF(AND(E289=1),$D$279*(1+$B$260)^(B289-$E$279)*C289*$B$267,0)</f>
        <v>0</v>
      </c>
      <c r="K289" s="21">
        <f t="shared" ref="K289:K298" si="127">IF(AND(E289=1),$D$280*(1+$B$260)^(B289-$E$280)*C289*$B$267,0)</f>
        <v>0</v>
      </c>
      <c r="L289" s="21">
        <f t="shared" ref="L289:L298" si="128">IF(AND(E289=1),IF(D289=1,$D$286,$D$281)*(1+$B$259)^(B289-IF(D289=1,$E$286,$E$281))*C289*$B$267,0)</f>
        <v>0</v>
      </c>
      <c r="M289" s="21">
        <f t="shared" ref="M289:M298" si="129">IF(AND(E289=1,A289=0),$D$282*(1+$B$259)^(B289-$E$282)*$B$267,0)</f>
        <v>0</v>
      </c>
      <c r="N289" s="21">
        <f t="shared" ref="N289:N298" si="130">IF(AND(E289=1,A289=0),$D$283*(1+$B$260)^(B289-$E$283)*$B$267,0)</f>
        <v>0</v>
      </c>
      <c r="O289" s="21">
        <f t="shared" ref="O289:O298" si="131">IF(AND(E289=1,A289=0),$D$284*(1+$B$260)^(B289-$E$284)*$B$267,0)</f>
        <v>0</v>
      </c>
      <c r="P289" s="21">
        <f t="shared" ref="P289:P298" si="132">F289*(1-Coverage)</f>
        <v>0</v>
      </c>
      <c r="Q289" s="21">
        <f t="shared" ref="Q289:Q298" si="133">G289*(1-Coverage)</f>
        <v>0</v>
      </c>
      <c r="R289" s="21">
        <f t="shared" ref="R289:R298" si="134">H289*(1-Coverage)</f>
        <v>0</v>
      </c>
      <c r="S289" s="21">
        <f t="shared" ref="S289:S298" si="135">I289*(1-Coverage)</f>
        <v>0</v>
      </c>
      <c r="T289" s="21">
        <f t="shared" ref="T289:T298" si="136">J289*(1-Coverage)</f>
        <v>0</v>
      </c>
      <c r="U289" s="21">
        <f t="shared" ref="U289:U298" si="137">K289*(1-Coverage)</f>
        <v>0</v>
      </c>
      <c r="V289" s="21">
        <f t="shared" ref="V289:V298" si="138">L289*(1-Coverage)</f>
        <v>0</v>
      </c>
      <c r="W289" s="21">
        <f t="shared" ref="W289:W298" si="139">M289*(1-Coverage)</f>
        <v>0</v>
      </c>
      <c r="X289" s="21">
        <f t="shared" ref="X289:X298" si="140">N289*1</f>
        <v>0</v>
      </c>
      <c r="Y289" s="21">
        <f t="shared" ref="Y289:Y298" si="141">O289*1</f>
        <v>0</v>
      </c>
      <c r="Z289" s="20">
        <f t="shared" ref="Z289:Z298" si="142">SUM(P289:Y289)</f>
        <v>0</v>
      </c>
      <c r="AA289" s="21">
        <f t="shared" ref="AA289:AA298" si="143">SUM(F289:O289)</f>
        <v>0</v>
      </c>
    </row>
    <row r="290" spans="1:27" x14ac:dyDescent="0.3">
      <c r="A290" s="16">
        <v>1</v>
      </c>
      <c r="B290" s="16">
        <f t="shared" si="118"/>
        <v>2027</v>
      </c>
      <c r="C290" s="16">
        <f t="shared" si="119"/>
        <v>0</v>
      </c>
      <c r="D290" s="16">
        <f t="shared" si="120"/>
        <v>0</v>
      </c>
      <c r="E290" s="16">
        <f t="shared" si="121"/>
        <v>0</v>
      </c>
      <c r="F290" s="21">
        <f t="shared" si="122"/>
        <v>0</v>
      </c>
      <c r="G290" s="21">
        <f t="shared" si="123"/>
        <v>0</v>
      </c>
      <c r="H290" s="21">
        <f t="shared" si="124"/>
        <v>0</v>
      </c>
      <c r="I290" s="21">
        <f t="shared" si="125"/>
        <v>0</v>
      </c>
      <c r="J290" s="21">
        <f t="shared" si="126"/>
        <v>0</v>
      </c>
      <c r="K290" s="21">
        <f t="shared" si="127"/>
        <v>0</v>
      </c>
      <c r="L290" s="21">
        <f t="shared" si="128"/>
        <v>0</v>
      </c>
      <c r="M290" s="21">
        <f t="shared" si="129"/>
        <v>0</v>
      </c>
      <c r="N290" s="21">
        <f t="shared" si="130"/>
        <v>0</v>
      </c>
      <c r="O290" s="21">
        <f t="shared" si="131"/>
        <v>0</v>
      </c>
      <c r="P290" s="21">
        <f t="shared" si="132"/>
        <v>0</v>
      </c>
      <c r="Q290" s="21">
        <f t="shared" si="133"/>
        <v>0</v>
      </c>
      <c r="R290" s="21">
        <f t="shared" si="134"/>
        <v>0</v>
      </c>
      <c r="S290" s="21">
        <f t="shared" si="135"/>
        <v>0</v>
      </c>
      <c r="T290" s="21">
        <f t="shared" si="136"/>
        <v>0</v>
      </c>
      <c r="U290" s="21">
        <f t="shared" si="137"/>
        <v>0</v>
      </c>
      <c r="V290" s="21">
        <f t="shared" si="138"/>
        <v>0</v>
      </c>
      <c r="W290" s="21">
        <f t="shared" si="139"/>
        <v>0</v>
      </c>
      <c r="X290" s="21">
        <f t="shared" si="140"/>
        <v>0</v>
      </c>
      <c r="Y290" s="21">
        <f t="shared" si="141"/>
        <v>0</v>
      </c>
      <c r="Z290" s="20">
        <f t="shared" si="142"/>
        <v>0</v>
      </c>
      <c r="AA290" s="21">
        <f t="shared" si="143"/>
        <v>0</v>
      </c>
    </row>
    <row r="291" spans="1:27" x14ac:dyDescent="0.3">
      <c r="A291" s="16">
        <v>2</v>
      </c>
      <c r="B291" s="16">
        <f t="shared" si="118"/>
        <v>2028</v>
      </c>
      <c r="C291" s="16">
        <f t="shared" si="119"/>
        <v>0</v>
      </c>
      <c r="D291" s="16">
        <f t="shared" si="120"/>
        <v>0</v>
      </c>
      <c r="E291" s="16">
        <f t="shared" si="121"/>
        <v>0</v>
      </c>
      <c r="F291" s="21">
        <f t="shared" si="122"/>
        <v>0</v>
      </c>
      <c r="G291" s="21">
        <f t="shared" si="123"/>
        <v>0</v>
      </c>
      <c r="H291" s="21">
        <f t="shared" si="124"/>
        <v>0</v>
      </c>
      <c r="I291" s="21">
        <f t="shared" si="125"/>
        <v>0</v>
      </c>
      <c r="J291" s="21">
        <f t="shared" si="126"/>
        <v>0</v>
      </c>
      <c r="K291" s="21">
        <f t="shared" si="127"/>
        <v>0</v>
      </c>
      <c r="L291" s="21">
        <f t="shared" si="128"/>
        <v>0</v>
      </c>
      <c r="M291" s="21">
        <f t="shared" si="129"/>
        <v>0</v>
      </c>
      <c r="N291" s="21">
        <f t="shared" si="130"/>
        <v>0</v>
      </c>
      <c r="O291" s="21">
        <f t="shared" si="131"/>
        <v>0</v>
      </c>
      <c r="P291" s="21">
        <f t="shared" si="132"/>
        <v>0</v>
      </c>
      <c r="Q291" s="21">
        <f t="shared" si="133"/>
        <v>0</v>
      </c>
      <c r="R291" s="21">
        <f t="shared" si="134"/>
        <v>0</v>
      </c>
      <c r="S291" s="21">
        <f t="shared" si="135"/>
        <v>0</v>
      </c>
      <c r="T291" s="21">
        <f t="shared" si="136"/>
        <v>0</v>
      </c>
      <c r="U291" s="21">
        <f t="shared" si="137"/>
        <v>0</v>
      </c>
      <c r="V291" s="21">
        <f t="shared" si="138"/>
        <v>0</v>
      </c>
      <c r="W291" s="21">
        <f t="shared" si="139"/>
        <v>0</v>
      </c>
      <c r="X291" s="21">
        <f t="shared" si="140"/>
        <v>0</v>
      </c>
      <c r="Y291" s="21">
        <f t="shared" si="141"/>
        <v>0</v>
      </c>
      <c r="Z291" s="20">
        <f t="shared" si="142"/>
        <v>0</v>
      </c>
      <c r="AA291" s="21">
        <f t="shared" si="143"/>
        <v>0</v>
      </c>
    </row>
    <row r="292" spans="1:27" x14ac:dyDescent="0.3">
      <c r="A292" s="16">
        <v>3</v>
      </c>
      <c r="B292" s="16">
        <f t="shared" si="118"/>
        <v>2029</v>
      </c>
      <c r="C292" s="16">
        <f t="shared" si="119"/>
        <v>0</v>
      </c>
      <c r="D292" s="16">
        <f t="shared" si="120"/>
        <v>0</v>
      </c>
      <c r="E292" s="16">
        <f t="shared" si="121"/>
        <v>0</v>
      </c>
      <c r="F292" s="21">
        <f t="shared" si="122"/>
        <v>0</v>
      </c>
      <c r="G292" s="21">
        <f t="shared" si="123"/>
        <v>0</v>
      </c>
      <c r="H292" s="21">
        <f t="shared" si="124"/>
        <v>0</v>
      </c>
      <c r="I292" s="21">
        <f t="shared" si="125"/>
        <v>0</v>
      </c>
      <c r="J292" s="21">
        <f t="shared" si="126"/>
        <v>0</v>
      </c>
      <c r="K292" s="21">
        <f t="shared" si="127"/>
        <v>0</v>
      </c>
      <c r="L292" s="21">
        <f t="shared" si="128"/>
        <v>0</v>
      </c>
      <c r="M292" s="21">
        <f t="shared" si="129"/>
        <v>0</v>
      </c>
      <c r="N292" s="21">
        <f t="shared" si="130"/>
        <v>0</v>
      </c>
      <c r="O292" s="21">
        <f t="shared" si="131"/>
        <v>0</v>
      </c>
      <c r="P292" s="21">
        <f t="shared" si="132"/>
        <v>0</v>
      </c>
      <c r="Q292" s="21">
        <f t="shared" si="133"/>
        <v>0</v>
      </c>
      <c r="R292" s="21">
        <f t="shared" si="134"/>
        <v>0</v>
      </c>
      <c r="S292" s="21">
        <f t="shared" si="135"/>
        <v>0</v>
      </c>
      <c r="T292" s="21">
        <f t="shared" si="136"/>
        <v>0</v>
      </c>
      <c r="U292" s="21">
        <f t="shared" si="137"/>
        <v>0</v>
      </c>
      <c r="V292" s="21">
        <f t="shared" si="138"/>
        <v>0</v>
      </c>
      <c r="W292" s="21">
        <f t="shared" si="139"/>
        <v>0</v>
      </c>
      <c r="X292" s="21">
        <f t="shared" si="140"/>
        <v>0</v>
      </c>
      <c r="Y292" s="21">
        <f t="shared" si="141"/>
        <v>0</v>
      </c>
      <c r="Z292" s="20">
        <f t="shared" si="142"/>
        <v>0</v>
      </c>
      <c r="AA292" s="21">
        <f t="shared" si="143"/>
        <v>0</v>
      </c>
    </row>
    <row r="293" spans="1:27" x14ac:dyDescent="0.3">
      <c r="A293" s="16">
        <v>4</v>
      </c>
      <c r="B293" s="16">
        <f t="shared" si="118"/>
        <v>2030</v>
      </c>
      <c r="C293" s="16">
        <f t="shared" si="119"/>
        <v>0</v>
      </c>
      <c r="D293" s="16">
        <f t="shared" si="120"/>
        <v>0</v>
      </c>
      <c r="E293" s="16">
        <f t="shared" si="121"/>
        <v>0</v>
      </c>
      <c r="F293" s="21">
        <f t="shared" si="122"/>
        <v>0</v>
      </c>
      <c r="G293" s="21">
        <f t="shared" si="123"/>
        <v>0</v>
      </c>
      <c r="H293" s="21">
        <f t="shared" si="124"/>
        <v>0</v>
      </c>
      <c r="I293" s="21">
        <f t="shared" si="125"/>
        <v>0</v>
      </c>
      <c r="J293" s="21">
        <f t="shared" si="126"/>
        <v>0</v>
      </c>
      <c r="K293" s="21">
        <f t="shared" si="127"/>
        <v>0</v>
      </c>
      <c r="L293" s="21">
        <f t="shared" si="128"/>
        <v>0</v>
      </c>
      <c r="M293" s="21">
        <f t="shared" si="129"/>
        <v>0</v>
      </c>
      <c r="N293" s="21">
        <f t="shared" si="130"/>
        <v>0</v>
      </c>
      <c r="O293" s="21">
        <f t="shared" si="131"/>
        <v>0</v>
      </c>
      <c r="P293" s="21">
        <f t="shared" si="132"/>
        <v>0</v>
      </c>
      <c r="Q293" s="21">
        <f t="shared" si="133"/>
        <v>0</v>
      </c>
      <c r="R293" s="21">
        <f t="shared" si="134"/>
        <v>0</v>
      </c>
      <c r="S293" s="21">
        <f t="shared" si="135"/>
        <v>0</v>
      </c>
      <c r="T293" s="21">
        <f t="shared" si="136"/>
        <v>0</v>
      </c>
      <c r="U293" s="21">
        <f t="shared" si="137"/>
        <v>0</v>
      </c>
      <c r="V293" s="21">
        <f t="shared" si="138"/>
        <v>0</v>
      </c>
      <c r="W293" s="21">
        <f t="shared" si="139"/>
        <v>0</v>
      </c>
      <c r="X293" s="21">
        <f t="shared" si="140"/>
        <v>0</v>
      </c>
      <c r="Y293" s="21">
        <f t="shared" si="141"/>
        <v>0</v>
      </c>
      <c r="Z293" s="20">
        <f t="shared" si="142"/>
        <v>0</v>
      </c>
      <c r="AA293" s="21">
        <f t="shared" si="143"/>
        <v>0</v>
      </c>
    </row>
    <row r="294" spans="1:27" x14ac:dyDescent="0.3">
      <c r="A294" s="16">
        <v>5</v>
      </c>
      <c r="B294" s="16">
        <f t="shared" si="118"/>
        <v>2031</v>
      </c>
      <c r="C294" s="16">
        <f t="shared" si="119"/>
        <v>0</v>
      </c>
      <c r="D294" s="16">
        <f t="shared" si="120"/>
        <v>0</v>
      </c>
      <c r="E294" s="16">
        <f t="shared" si="121"/>
        <v>0</v>
      </c>
      <c r="F294" s="21">
        <f t="shared" si="122"/>
        <v>0</v>
      </c>
      <c r="G294" s="21">
        <f t="shared" si="123"/>
        <v>0</v>
      </c>
      <c r="H294" s="21">
        <f t="shared" si="124"/>
        <v>0</v>
      </c>
      <c r="I294" s="21">
        <f t="shared" si="125"/>
        <v>0</v>
      </c>
      <c r="J294" s="21">
        <f t="shared" si="126"/>
        <v>0</v>
      </c>
      <c r="K294" s="21">
        <f t="shared" si="127"/>
        <v>0</v>
      </c>
      <c r="L294" s="21">
        <f t="shared" si="128"/>
        <v>0</v>
      </c>
      <c r="M294" s="21">
        <f t="shared" si="129"/>
        <v>0</v>
      </c>
      <c r="N294" s="21">
        <f t="shared" si="130"/>
        <v>0</v>
      </c>
      <c r="O294" s="21">
        <f t="shared" si="131"/>
        <v>0</v>
      </c>
      <c r="P294" s="21">
        <f t="shared" si="132"/>
        <v>0</v>
      </c>
      <c r="Q294" s="21">
        <f t="shared" si="133"/>
        <v>0</v>
      </c>
      <c r="R294" s="21">
        <f t="shared" si="134"/>
        <v>0</v>
      </c>
      <c r="S294" s="21">
        <f t="shared" si="135"/>
        <v>0</v>
      </c>
      <c r="T294" s="21">
        <f t="shared" si="136"/>
        <v>0</v>
      </c>
      <c r="U294" s="21">
        <f t="shared" si="137"/>
        <v>0</v>
      </c>
      <c r="V294" s="21">
        <f t="shared" si="138"/>
        <v>0</v>
      </c>
      <c r="W294" s="21">
        <f t="shared" si="139"/>
        <v>0</v>
      </c>
      <c r="X294" s="21">
        <f t="shared" si="140"/>
        <v>0</v>
      </c>
      <c r="Y294" s="21">
        <f t="shared" si="141"/>
        <v>0</v>
      </c>
      <c r="Z294" s="20">
        <f t="shared" si="142"/>
        <v>0</v>
      </c>
      <c r="AA294" s="21">
        <f t="shared" si="143"/>
        <v>0</v>
      </c>
    </row>
    <row r="295" spans="1:27" x14ac:dyDescent="0.3">
      <c r="A295" s="16">
        <v>6</v>
      </c>
      <c r="B295" s="16">
        <f t="shared" si="118"/>
        <v>2032</v>
      </c>
      <c r="C295" s="16">
        <f t="shared" si="119"/>
        <v>0</v>
      </c>
      <c r="D295" s="16">
        <f t="shared" si="120"/>
        <v>0</v>
      </c>
      <c r="E295" s="16">
        <f t="shared" si="121"/>
        <v>0</v>
      </c>
      <c r="F295" s="21">
        <f t="shared" si="122"/>
        <v>0</v>
      </c>
      <c r="G295" s="21">
        <f t="shared" si="123"/>
        <v>0</v>
      </c>
      <c r="H295" s="21">
        <f t="shared" si="124"/>
        <v>0</v>
      </c>
      <c r="I295" s="21">
        <f t="shared" si="125"/>
        <v>0</v>
      </c>
      <c r="J295" s="21">
        <f t="shared" si="126"/>
        <v>0</v>
      </c>
      <c r="K295" s="21">
        <f t="shared" si="127"/>
        <v>0</v>
      </c>
      <c r="L295" s="21">
        <f t="shared" si="128"/>
        <v>0</v>
      </c>
      <c r="M295" s="21">
        <f t="shared" si="129"/>
        <v>0</v>
      </c>
      <c r="N295" s="21">
        <f t="shared" si="130"/>
        <v>0</v>
      </c>
      <c r="O295" s="21">
        <f t="shared" si="131"/>
        <v>0</v>
      </c>
      <c r="P295" s="21">
        <f t="shared" si="132"/>
        <v>0</v>
      </c>
      <c r="Q295" s="21">
        <f t="shared" si="133"/>
        <v>0</v>
      </c>
      <c r="R295" s="21">
        <f t="shared" si="134"/>
        <v>0</v>
      </c>
      <c r="S295" s="21">
        <f t="shared" si="135"/>
        <v>0</v>
      </c>
      <c r="T295" s="21">
        <f t="shared" si="136"/>
        <v>0</v>
      </c>
      <c r="U295" s="21">
        <f t="shared" si="137"/>
        <v>0</v>
      </c>
      <c r="V295" s="21">
        <f t="shared" si="138"/>
        <v>0</v>
      </c>
      <c r="W295" s="21">
        <f t="shared" si="139"/>
        <v>0</v>
      </c>
      <c r="X295" s="21">
        <f t="shared" si="140"/>
        <v>0</v>
      </c>
      <c r="Y295" s="21">
        <f t="shared" si="141"/>
        <v>0</v>
      </c>
      <c r="Z295" s="20">
        <f t="shared" si="142"/>
        <v>0</v>
      </c>
      <c r="AA295" s="21">
        <f t="shared" si="143"/>
        <v>0</v>
      </c>
    </row>
    <row r="296" spans="1:27" x14ac:dyDescent="0.3">
      <c r="A296" s="16">
        <v>7</v>
      </c>
      <c r="B296" s="16">
        <f t="shared" si="118"/>
        <v>2033</v>
      </c>
      <c r="C296" s="16">
        <f t="shared" si="119"/>
        <v>0</v>
      </c>
      <c r="D296" s="16">
        <f t="shared" si="120"/>
        <v>0</v>
      </c>
      <c r="E296" s="16">
        <f t="shared" si="121"/>
        <v>0</v>
      </c>
      <c r="F296" s="21">
        <f t="shared" si="122"/>
        <v>0</v>
      </c>
      <c r="G296" s="21">
        <f t="shared" si="123"/>
        <v>0</v>
      </c>
      <c r="H296" s="21">
        <f t="shared" si="124"/>
        <v>0</v>
      </c>
      <c r="I296" s="21">
        <f t="shared" si="125"/>
        <v>0</v>
      </c>
      <c r="J296" s="21">
        <f t="shared" si="126"/>
        <v>0</v>
      </c>
      <c r="K296" s="21">
        <f t="shared" si="127"/>
        <v>0</v>
      </c>
      <c r="L296" s="21">
        <f t="shared" si="128"/>
        <v>0</v>
      </c>
      <c r="M296" s="21">
        <f t="shared" si="129"/>
        <v>0</v>
      </c>
      <c r="N296" s="21">
        <f t="shared" si="130"/>
        <v>0</v>
      </c>
      <c r="O296" s="21">
        <f t="shared" si="131"/>
        <v>0</v>
      </c>
      <c r="P296" s="21">
        <f t="shared" si="132"/>
        <v>0</v>
      </c>
      <c r="Q296" s="21">
        <f t="shared" si="133"/>
        <v>0</v>
      </c>
      <c r="R296" s="21">
        <f t="shared" si="134"/>
        <v>0</v>
      </c>
      <c r="S296" s="21">
        <f t="shared" si="135"/>
        <v>0</v>
      </c>
      <c r="T296" s="21">
        <f t="shared" si="136"/>
        <v>0</v>
      </c>
      <c r="U296" s="21">
        <f t="shared" si="137"/>
        <v>0</v>
      </c>
      <c r="V296" s="21">
        <f t="shared" si="138"/>
        <v>0</v>
      </c>
      <c r="W296" s="21">
        <f t="shared" si="139"/>
        <v>0</v>
      </c>
      <c r="X296" s="21">
        <f t="shared" si="140"/>
        <v>0</v>
      </c>
      <c r="Y296" s="21">
        <f t="shared" si="141"/>
        <v>0</v>
      </c>
      <c r="Z296" s="20">
        <f t="shared" si="142"/>
        <v>0</v>
      </c>
      <c r="AA296" s="21">
        <f t="shared" si="143"/>
        <v>0</v>
      </c>
    </row>
    <row r="297" spans="1:27" x14ac:dyDescent="0.3">
      <c r="A297" s="16">
        <v>8</v>
      </c>
      <c r="B297" s="16">
        <f t="shared" si="118"/>
        <v>2034</v>
      </c>
      <c r="C297" s="16">
        <f t="shared" si="119"/>
        <v>0</v>
      </c>
      <c r="D297" s="16">
        <f t="shared" si="120"/>
        <v>0</v>
      </c>
      <c r="E297" s="16">
        <f t="shared" si="121"/>
        <v>0</v>
      </c>
      <c r="F297" s="21">
        <f t="shared" si="122"/>
        <v>0</v>
      </c>
      <c r="G297" s="21">
        <f t="shared" si="123"/>
        <v>0</v>
      </c>
      <c r="H297" s="21">
        <f t="shared" si="124"/>
        <v>0</v>
      </c>
      <c r="I297" s="21">
        <f t="shared" si="125"/>
        <v>0</v>
      </c>
      <c r="J297" s="21">
        <f t="shared" si="126"/>
        <v>0</v>
      </c>
      <c r="K297" s="21">
        <f t="shared" si="127"/>
        <v>0</v>
      </c>
      <c r="L297" s="21">
        <f t="shared" si="128"/>
        <v>0</v>
      </c>
      <c r="M297" s="21">
        <f t="shared" si="129"/>
        <v>0</v>
      </c>
      <c r="N297" s="21">
        <f t="shared" si="130"/>
        <v>0</v>
      </c>
      <c r="O297" s="21">
        <f t="shared" si="131"/>
        <v>0</v>
      </c>
      <c r="P297" s="21">
        <f t="shared" si="132"/>
        <v>0</v>
      </c>
      <c r="Q297" s="21">
        <f t="shared" si="133"/>
        <v>0</v>
      </c>
      <c r="R297" s="21">
        <f t="shared" si="134"/>
        <v>0</v>
      </c>
      <c r="S297" s="21">
        <f t="shared" si="135"/>
        <v>0</v>
      </c>
      <c r="T297" s="21">
        <f t="shared" si="136"/>
        <v>0</v>
      </c>
      <c r="U297" s="21">
        <f t="shared" si="137"/>
        <v>0</v>
      </c>
      <c r="V297" s="21">
        <f t="shared" si="138"/>
        <v>0</v>
      </c>
      <c r="W297" s="21">
        <f t="shared" si="139"/>
        <v>0</v>
      </c>
      <c r="X297" s="21">
        <f t="shared" si="140"/>
        <v>0</v>
      </c>
      <c r="Y297" s="21">
        <f t="shared" si="141"/>
        <v>0</v>
      </c>
      <c r="Z297" s="20">
        <f t="shared" si="142"/>
        <v>0</v>
      </c>
      <c r="AA297" s="21">
        <f t="shared" si="143"/>
        <v>0</v>
      </c>
    </row>
    <row r="298" spans="1:27" x14ac:dyDescent="0.3">
      <c r="A298" s="16">
        <v>9</v>
      </c>
      <c r="B298" s="16">
        <f t="shared" si="118"/>
        <v>2035</v>
      </c>
      <c r="C298" s="16">
        <f t="shared" si="119"/>
        <v>0</v>
      </c>
      <c r="D298" s="16">
        <f t="shared" si="120"/>
        <v>0</v>
      </c>
      <c r="E298" s="16">
        <f t="shared" si="121"/>
        <v>0</v>
      </c>
      <c r="F298" s="21">
        <f t="shared" si="122"/>
        <v>0</v>
      </c>
      <c r="G298" s="21">
        <f t="shared" si="123"/>
        <v>0</v>
      </c>
      <c r="H298" s="21">
        <f t="shared" si="124"/>
        <v>0</v>
      </c>
      <c r="I298" s="21">
        <f t="shared" si="125"/>
        <v>0</v>
      </c>
      <c r="J298" s="21">
        <f t="shared" si="126"/>
        <v>0</v>
      </c>
      <c r="K298" s="21">
        <f t="shared" si="127"/>
        <v>0</v>
      </c>
      <c r="L298" s="21">
        <f t="shared" si="128"/>
        <v>0</v>
      </c>
      <c r="M298" s="21">
        <f t="shared" si="129"/>
        <v>0</v>
      </c>
      <c r="N298" s="21">
        <f t="shared" si="130"/>
        <v>0</v>
      </c>
      <c r="O298" s="21">
        <f t="shared" si="131"/>
        <v>0</v>
      </c>
      <c r="P298" s="21">
        <f t="shared" si="132"/>
        <v>0</v>
      </c>
      <c r="Q298" s="21">
        <f t="shared" si="133"/>
        <v>0</v>
      </c>
      <c r="R298" s="21">
        <f t="shared" si="134"/>
        <v>0</v>
      </c>
      <c r="S298" s="21">
        <f t="shared" si="135"/>
        <v>0</v>
      </c>
      <c r="T298" s="21">
        <f t="shared" si="136"/>
        <v>0</v>
      </c>
      <c r="U298" s="21">
        <f t="shared" si="137"/>
        <v>0</v>
      </c>
      <c r="V298" s="21">
        <f t="shared" si="138"/>
        <v>0</v>
      </c>
      <c r="W298" s="21">
        <f t="shared" si="139"/>
        <v>0</v>
      </c>
      <c r="X298" s="21">
        <f t="shared" si="140"/>
        <v>0</v>
      </c>
      <c r="Y298" s="21">
        <f t="shared" si="141"/>
        <v>0</v>
      </c>
      <c r="Z298" s="20">
        <f t="shared" si="142"/>
        <v>0</v>
      </c>
      <c r="AA298" s="21">
        <f t="shared" si="143"/>
        <v>0</v>
      </c>
    </row>
    <row r="299" spans="1:27" x14ac:dyDescent="0.3">
      <c r="A299" s="8" t="s">
        <v>76</v>
      </c>
      <c r="F299" s="20">
        <f t="shared" ref="F299:AA299" si="144">SUM(F289:F298)</f>
        <v>0</v>
      </c>
      <c r="G299" s="20">
        <f t="shared" si="144"/>
        <v>0</v>
      </c>
      <c r="H299" s="20">
        <f t="shared" si="144"/>
        <v>0</v>
      </c>
      <c r="I299" s="20">
        <f t="shared" si="144"/>
        <v>0</v>
      </c>
      <c r="J299" s="20">
        <f t="shared" si="144"/>
        <v>0</v>
      </c>
      <c r="K299" s="20">
        <f t="shared" si="144"/>
        <v>0</v>
      </c>
      <c r="L299" s="20">
        <f t="shared" si="144"/>
        <v>0</v>
      </c>
      <c r="M299" s="20">
        <f t="shared" si="144"/>
        <v>0</v>
      </c>
      <c r="N299" s="20">
        <f t="shared" si="144"/>
        <v>0</v>
      </c>
      <c r="O299" s="20">
        <f t="shared" si="144"/>
        <v>0</v>
      </c>
      <c r="P299" s="20">
        <f t="shared" si="144"/>
        <v>0</v>
      </c>
      <c r="Q299" s="20">
        <f t="shared" si="144"/>
        <v>0</v>
      </c>
      <c r="R299" s="20">
        <f t="shared" si="144"/>
        <v>0</v>
      </c>
      <c r="S299" s="20">
        <f t="shared" si="144"/>
        <v>0</v>
      </c>
      <c r="T299" s="20">
        <f t="shared" si="144"/>
        <v>0</v>
      </c>
      <c r="U299" s="20">
        <f t="shared" si="144"/>
        <v>0</v>
      </c>
      <c r="V299" s="20">
        <f t="shared" si="144"/>
        <v>0</v>
      </c>
      <c r="W299" s="20">
        <f t="shared" si="144"/>
        <v>0</v>
      </c>
      <c r="X299" s="20">
        <f t="shared" si="144"/>
        <v>0</v>
      </c>
      <c r="Y299" s="20">
        <f t="shared" si="144"/>
        <v>0</v>
      </c>
      <c r="Z299" s="20">
        <f t="shared" si="144"/>
        <v>0</v>
      </c>
      <c r="AA299" s="20">
        <f t="shared" si="144"/>
        <v>0</v>
      </c>
    </row>
    <row r="301" spans="1:27" x14ac:dyDescent="0.3">
      <c r="A301" s="8" t="s">
        <v>161</v>
      </c>
      <c r="B301" s="26">
        <f>$Z$299</f>
        <v>0</v>
      </c>
    </row>
    <row r="302" spans="1:27" x14ac:dyDescent="0.3">
      <c r="A302" s="16" t="s">
        <v>14</v>
      </c>
      <c r="B302" s="21">
        <f>$AA$299-$Z$299</f>
        <v>0</v>
      </c>
    </row>
    <row r="303" spans="1:27" x14ac:dyDescent="0.3">
      <c r="A303" s="16" t="s">
        <v>162</v>
      </c>
      <c r="B303" s="16" t="str">
        <f>IF(OR($F$275="missing",AND($B$258&gt;0,$F$285="missing")),"missing",IF(OR($F$275="estimated",AND($B$258&gt;0,$F$285="estimated")),"estimated",IF($B$258&gt;0,$F$285,$F$275)))</f>
        <v>missing</v>
      </c>
    </row>
    <row r="304" spans="1:27" x14ac:dyDescent="0.3">
      <c r="A304" s="16" t="s">
        <v>163</v>
      </c>
      <c r="B304" s="16">
        <f>IF(OR($F$275="missing",AND($B$258&gt;0,$F$285="missing"),$F$276="missing"),1,0)</f>
        <v>1</v>
      </c>
    </row>
    <row r="307" spans="1:2" ht="15.6" x14ac:dyDescent="0.3">
      <c r="A307" s="7" t="s">
        <v>95</v>
      </c>
    </row>
    <row r="308" spans="1:2" x14ac:dyDescent="0.3">
      <c r="A308" s="16" t="s">
        <v>104</v>
      </c>
      <c r="B308" s="12">
        <f>IF(CmpChild&lt;=NumChildren,1,0)</f>
        <v>1</v>
      </c>
    </row>
    <row r="309" spans="1:2" x14ac:dyDescent="0.3">
      <c r="A309" s="16" t="s">
        <v>30</v>
      </c>
      <c r="B309" s="12" t="str">
        <f>IF("Germany"="","","Germany")</f>
        <v>Germany</v>
      </c>
    </row>
    <row r="310" spans="1:2" x14ac:dyDescent="0.3">
      <c r="A310" s="16" t="s">
        <v>31</v>
      </c>
      <c r="B310" s="12" t="str">
        <f>IF(CHOOSE(CmpChild,Inputs!$C$18,Inputs!$D$18,Inputs!$E$18,Inputs!$F$18)="","",CHOOSE(CmpChild,Inputs!$C$18,Inputs!$D$18,Inputs!$E$18,Inputs!$F$18))</f>
        <v/>
      </c>
    </row>
    <row r="311" spans="1:2" x14ac:dyDescent="0.3">
      <c r="A311" s="16" t="s">
        <v>105</v>
      </c>
      <c r="B311" s="12" t="str">
        <f>IF(CHOOSE(CmpChild,Inputs!$C$15,Inputs!$D$15,Inputs!$E$15,Inputs!$F$15)="","",CHOOSE(CmpChild,Inputs!$C$15,Inputs!$D$15,Inputs!$E$15,Inputs!$F$15))</f>
        <v/>
      </c>
    </row>
    <row r="312" spans="1:2" x14ac:dyDescent="0.3">
      <c r="A312" s="16" t="s">
        <v>106</v>
      </c>
      <c r="B312" s="12">
        <f>IF(CHOOSE(CmpChild,Inputs!$C$19,Inputs!$D$19,Inputs!$E$19,Inputs!$F$19)="","",CHOOSE(CmpChild,Inputs!$C$19,Inputs!$D$19,Inputs!$E$19,Inputs!$F$19))</f>
        <v>18</v>
      </c>
    </row>
    <row r="313" spans="1:2" x14ac:dyDescent="0.3">
      <c r="A313" s="16" t="s">
        <v>107</v>
      </c>
      <c r="B313" s="12" t="str">
        <f>IF($B$309="","",IF(COUNTIF(DomKey,$B$309&amp;"|"&amp;Nationality)&gt;0,"domestic","international"))</f>
        <v>international</v>
      </c>
    </row>
    <row r="314" spans="1:2" x14ac:dyDescent="0.3">
      <c r="A314" s="16" t="s">
        <v>108</v>
      </c>
      <c r="B314" s="12" t="str">
        <f>$B$309&amp;"|"&amp;$B$310&amp;"|"&amp;$B$313</f>
        <v>Germany||international</v>
      </c>
    </row>
    <row r="315" spans="1:2" x14ac:dyDescent="0.3">
      <c r="A315" s="16" t="s">
        <v>109</v>
      </c>
      <c r="B315" s="12">
        <f>IFERROR(MATCH($B$314,DB_Key,0),0)</f>
        <v>0</v>
      </c>
    </row>
    <row r="316" spans="1:2" x14ac:dyDescent="0.3">
      <c r="A316" s="16" t="s">
        <v>110</v>
      </c>
      <c r="B316" s="12" t="str">
        <f>IFERROR(INDEX(Ctry_Ccy,MATCH($B$309,Ctry_Name,0)),"USD")</f>
        <v>EUR</v>
      </c>
    </row>
    <row r="317" spans="1:2" x14ac:dyDescent="0.3">
      <c r="A317" s="16" t="s">
        <v>68</v>
      </c>
      <c r="B317" s="12">
        <f>IF($B$315&gt;0,INDEX(DB_Dur,$B$315),0)</f>
        <v>0</v>
      </c>
    </row>
    <row r="318" spans="1:2" x14ac:dyDescent="0.3">
      <c r="A318" s="16" t="s">
        <v>111</v>
      </c>
      <c r="B318" s="12">
        <f>IF($B$315&gt;0,INDEX(DB_Avail,$B$315),0)</f>
        <v>0</v>
      </c>
    </row>
    <row r="319" spans="1:2" x14ac:dyDescent="0.3">
      <c r="A319" s="16" t="s">
        <v>112</v>
      </c>
      <c r="B319" s="12">
        <f>IF($B$315&gt;0,INDEX(DB_PreYears,$B$315),0)</f>
        <v>0</v>
      </c>
    </row>
    <row r="320" spans="1:2" x14ac:dyDescent="0.3">
      <c r="A320" s="16" t="s">
        <v>113</v>
      </c>
      <c r="B320" s="14">
        <f>IF(ISNUMBER(CHOOSE(CmpChild,Inputs!$C$20,Inputs!$D$20,Inputs!$E$20,Inputs!$F$20)),CHOOSE(CmpChild,Inputs!$C$20,Inputs!$D$20,Inputs!$E$20,Inputs!$F$20),IF($B$315&gt;0,INDEX(DB_TInf,$B$315),0))</f>
        <v>0</v>
      </c>
    </row>
    <row r="321" spans="1:10" x14ac:dyDescent="0.3">
      <c r="A321" s="16" t="s">
        <v>114</v>
      </c>
      <c r="B321" s="14">
        <f>IF(ISNUMBER(CHOOSE(CmpChild,Inputs!$C$21,Inputs!$D$21,Inputs!$E$21,Inputs!$F$21)),CHOOSE(CmpChild,Inputs!$C$21,Inputs!$D$21,Inputs!$E$21,Inputs!$F$21),IFERROR(INDEX(Ctry_LInf,MATCH($B$309,Ctry_Name,0)),0))</f>
        <v>0.03</v>
      </c>
    </row>
    <row r="322" spans="1:10" x14ac:dyDescent="0.3">
      <c r="A322" s="16" t="s">
        <v>115</v>
      </c>
      <c r="B322" s="12">
        <f>IF($B$326=1,MAX(0,$B$312-$B$311),0)</f>
        <v>0</v>
      </c>
    </row>
    <row r="323" spans="1:10" x14ac:dyDescent="0.3">
      <c r="A323" s="16" t="s">
        <v>116</v>
      </c>
      <c r="B323" s="12">
        <f>ROUNDUP($B$317,0)</f>
        <v>0</v>
      </c>
    </row>
    <row r="324" spans="1:10" x14ac:dyDescent="0.3">
      <c r="A324" s="16" t="s">
        <v>117</v>
      </c>
      <c r="B324" s="12">
        <f>IF($B$326=1,$B$322+$B$323,0)</f>
        <v>0</v>
      </c>
    </row>
    <row r="325" spans="1:10" x14ac:dyDescent="0.3">
      <c r="A325" s="16" t="s">
        <v>118</v>
      </c>
      <c r="B325" s="12">
        <f>MAX(0,$B$324-1)</f>
        <v>0</v>
      </c>
    </row>
    <row r="326" spans="1:10" x14ac:dyDescent="0.3">
      <c r="A326" s="16" t="s">
        <v>119</v>
      </c>
      <c r="B326" s="12">
        <f>IF(IFERROR(AND($B$308=1,$B$309&lt;&gt;"",$B$310&lt;&gt;"",$B$318=1,IFERROR(AND(ISNUMBER($B$311),$B$311&gt;=0,$B$311&lt;=18,INT($B$311)=$B$311),FALSE),IFERROR(AND(ISNUMBER($B$312),$B$312&gt;=14,$B$312&lt;=45,INT($B$312)=$B$312),FALSE)),FALSE),1,0)</f>
        <v>0</v>
      </c>
    </row>
    <row r="327" spans="1:10" x14ac:dyDescent="0.3">
      <c r="A327" s="16" t="s">
        <v>70</v>
      </c>
      <c r="B327" s="12" t="str">
        <f>IF($B$308&lt;&gt;1,"",IF(AND($B$311="",$B$309="",$B$310=""),"Enter this child's details on the Inputs sheet.",IF(NOT(IFERROR(AND(ISNUMBER($B$311),$B$311&gt;=0,$B$311&lt;=18,INT($B$311)=$B$311),FALSE)),"Choose the child's current age (0 to 18).",IF(NOT(IFERROR(AND(ISNUMBER($B$312),$B$312&gt;=14,$B$312&lt;=45,INT($B$312)=$B$312),FALSE)),"College-entry age must be a whole number from 14 to 45.",IF($B$309="","Choose the education country.",IF($B$310="","Choose the qualification.",IF($B$318&lt;&gt;1,"This qualification is not offered (or has no typical duration) in the selected country.","")))))))</f>
        <v>Choose the child's current age (0 to 18).</v>
      </c>
    </row>
    <row r="328" spans="1:10" x14ac:dyDescent="0.3">
      <c r="A328" s="16" t="s">
        <v>120</v>
      </c>
      <c r="B328" s="12">
        <f>INDEX(FxUsed,MATCH(RepCcy,FxCodes,0))/INDEX(FxUsed,MATCH($B$316,FxCodes,0))</f>
        <v>1.1298005224197616</v>
      </c>
    </row>
    <row r="329" spans="1:10" x14ac:dyDescent="0.3">
      <c r="A329" s="16" t="s">
        <v>121</v>
      </c>
      <c r="B329" s="12">
        <f>IF($B$315=0,0,COUNTIF(RecKey,$B$314))</f>
        <v>0</v>
      </c>
    </row>
    <row r="330" spans="1:10" x14ac:dyDescent="0.3">
      <c r="A330" s="16" t="s">
        <v>122</v>
      </c>
      <c r="B330" s="12" t="str">
        <f>IF($B$329&gt;0,INDEX(DB_RecCcy,$B$315),IF($B$315&gt;0,INDEX(DB_EstCcy,$B$315),$B$316))</f>
        <v>EUR</v>
      </c>
    </row>
    <row r="331" spans="1:10" x14ac:dyDescent="0.3">
      <c r="A331" s="16" t="s">
        <v>123</v>
      </c>
      <c r="B331" s="12">
        <f>IFERROR(MATCH($B$309&amp;"|"&amp;$B$313,LivKey,0),0)</f>
        <v>12</v>
      </c>
    </row>
    <row r="332" spans="1:10" x14ac:dyDescent="0.3">
      <c r="A332" s="16" t="s">
        <v>124</v>
      </c>
      <c r="B332" s="12">
        <f>IFERROR(MATCH($B$309&amp;"|"&amp;Nationality,VisaKey,0),0)</f>
        <v>351</v>
      </c>
    </row>
    <row r="333" spans="1:10" x14ac:dyDescent="0.3">
      <c r="A333" s="16" t="s">
        <v>125</v>
      </c>
      <c r="B333" s="12">
        <f>IFERROR(MATCH($B$309&amp;"|"&amp;Residence,TravKey,0),0)</f>
        <v>351</v>
      </c>
    </row>
    <row r="335" spans="1:10" ht="79.2" x14ac:dyDescent="0.3">
      <c r="A335" s="22" t="s">
        <v>126</v>
      </c>
      <c r="B335" s="22" t="s">
        <v>127</v>
      </c>
      <c r="C335" s="22" t="s">
        <v>128</v>
      </c>
      <c r="D335" s="22" t="s">
        <v>129</v>
      </c>
      <c r="E335" s="22" t="s">
        <v>130</v>
      </c>
      <c r="F335" s="22" t="s">
        <v>131</v>
      </c>
      <c r="G335" s="22" t="s">
        <v>132</v>
      </c>
      <c r="H335" s="22" t="s">
        <v>133</v>
      </c>
      <c r="I335" s="22" t="s">
        <v>134</v>
      </c>
      <c r="J335" s="22" t="s">
        <v>135</v>
      </c>
    </row>
    <row r="336" spans="1:10" x14ac:dyDescent="0.3">
      <c r="A336" s="16" t="s">
        <v>36</v>
      </c>
      <c r="B336" s="25">
        <f>IF($B$315=0,0,(IF($B$329&gt;0,SUMPRODUCT((RecKey=$B$314)*RecTuition*(1+$B$320)^(PlanYear-RecYear))/$B$329,INDEX(DB_EstTuition,$B$315)))/INDEX(FxUsed,MATCH($B$330,FxCodes,0))*INDEX(FxUsed,MATCH($B$316,FxCodes,0)))</f>
        <v>0</v>
      </c>
      <c r="C336" s="21"/>
      <c r="D336" s="25">
        <f t="shared" ref="D336:D347" si="145">IF(ISNUMBER(C336),IF(C336&gt;=0,C336,B336),B336)</f>
        <v>0</v>
      </c>
      <c r="E336" s="12">
        <f>IF(ISNUMBER(C336),PlanYear,IF($B$329&gt;0,PlanYear,IF($B$315&gt;0,INDEX(DB_EstBase,$B$315),PlanYear)))</f>
        <v>2026</v>
      </c>
      <c r="F336" s="12" t="str">
        <f>IF(ISNUMBER(C336),"override",IF($B$315=0,"missing",IF($B$329&gt;0,"verified",INDEX(DB_EstStatus,$B$315))))</f>
        <v>missing</v>
      </c>
      <c r="G336" s="16" t="str">
        <f t="shared" ref="G336:G347" si="146">IF(F336="verified","Published figure",IF(F336="estimated","Estimated — please review",IF(F336="notNeeded","Not needed",IF(F336="override","Your figure",IF(F336="missing","No figure yet — enter your own","")))))</f>
        <v>No figure yet — enter your own</v>
      </c>
      <c r="H336" s="16" t="s">
        <v>136</v>
      </c>
      <c r="I336" s="16" t="s">
        <v>137</v>
      </c>
      <c r="J336" s="16" t="s">
        <v>138</v>
      </c>
    </row>
    <row r="337" spans="1:27" x14ac:dyDescent="0.3">
      <c r="A337" s="16" t="s">
        <v>37</v>
      </c>
      <c r="B337" s="25">
        <f>IF($B$331=0,0,(INDEX(Liv_accommodation_Amt,$B$331))/INDEX(FxUsed,MATCH(INDEX(Liv_accommodation_Ccy,$B$331),FxCodes,0))*INDEX(FxUsed,MATCH($B$316,FxCodes,0)))</f>
        <v>4920</v>
      </c>
      <c r="C337" s="21"/>
      <c r="D337" s="25">
        <f t="shared" si="145"/>
        <v>4920</v>
      </c>
      <c r="E337" s="12">
        <f>IF(ISNUMBER(C337),PlanYear,IF($B$331=0,PlanYear,INDEX(Liv_accommodation_Base,$B$331)))</f>
        <v>2023</v>
      </c>
      <c r="F337" s="12" t="str">
        <f>IF(ISNUMBER(C337),"override",IF($B$331=0,"missing",INDEX(Liv_accommodation_Status,$B$331)))</f>
        <v>verified</v>
      </c>
      <c r="G337" s="16" t="str">
        <f t="shared" si="146"/>
        <v>Published figure</v>
      </c>
      <c r="H337" s="16" t="s">
        <v>139</v>
      </c>
      <c r="I337" s="16" t="s">
        <v>137</v>
      </c>
      <c r="J337" s="16" t="s">
        <v>138</v>
      </c>
    </row>
    <row r="338" spans="1:27" x14ac:dyDescent="0.3">
      <c r="A338" s="16" t="s">
        <v>38</v>
      </c>
      <c r="B338" s="25">
        <f>IF($B$331=0,0,(INDEX(Liv_food_Amt,$B$331))/INDEX(FxUsed,MATCH(INDEX(Liv_food_Ccy,$B$331),FxCodes,0))*INDEX(FxUsed,MATCH($B$316,FxCodes,0)))</f>
        <v>2376</v>
      </c>
      <c r="C338" s="21"/>
      <c r="D338" s="25">
        <f t="shared" si="145"/>
        <v>2376</v>
      </c>
      <c r="E338" s="12">
        <f>IF(ISNUMBER(C338),PlanYear,IF($B$331=0,PlanYear,INDEX(Liv_food_Base,$B$331)))</f>
        <v>2023</v>
      </c>
      <c r="F338" s="12" t="str">
        <f>IF(ISNUMBER(C338),"override",IF($B$331=0,"missing",INDEX(Liv_food_Status,$B$331)))</f>
        <v>verified</v>
      </c>
      <c r="G338" s="16" t="str">
        <f t="shared" si="146"/>
        <v>Published figure</v>
      </c>
      <c r="H338" s="16" t="s">
        <v>139</v>
      </c>
      <c r="I338" s="16" t="s">
        <v>137</v>
      </c>
      <c r="J338" s="16" t="s">
        <v>138</v>
      </c>
    </row>
    <row r="339" spans="1:27" x14ac:dyDescent="0.3">
      <c r="A339" s="16" t="s">
        <v>39</v>
      </c>
      <c r="B339" s="25">
        <f>IF($B$331=0,0,(INDEX(Liv_transport_Amt,$B$331))/INDEX(FxUsed,MATCH(INDEX(Liv_transport_Ccy,$B$331),FxCodes,0))*INDEX(FxUsed,MATCH($B$316,FxCodes,0)))</f>
        <v>1068</v>
      </c>
      <c r="C339" s="21"/>
      <c r="D339" s="25">
        <f t="shared" si="145"/>
        <v>1068</v>
      </c>
      <c r="E339" s="12">
        <f>IF(ISNUMBER(C339),PlanYear,IF($B$331=0,PlanYear,INDEX(Liv_transport_Base,$B$331)))</f>
        <v>2023</v>
      </c>
      <c r="F339" s="12" t="str">
        <f>IF(ISNUMBER(C339),"override",IF($B$331=0,"missing",INDEX(Liv_transport_Status,$B$331)))</f>
        <v>verified</v>
      </c>
      <c r="G339" s="16" t="str">
        <f t="shared" si="146"/>
        <v>Published figure</v>
      </c>
      <c r="H339" s="16" t="s">
        <v>139</v>
      </c>
      <c r="I339" s="16" t="s">
        <v>137</v>
      </c>
      <c r="J339" s="16" t="s">
        <v>138</v>
      </c>
    </row>
    <row r="340" spans="1:27" x14ac:dyDescent="0.3">
      <c r="A340" s="16" t="s">
        <v>40</v>
      </c>
      <c r="B340" s="25">
        <f>IF($B$331=0,0,(INDEX(Liv_healthInsurance_Amt,$B$331))/INDEX(FxUsed,MATCH(INDEX(Liv_healthInsurance_Ccy,$B$331),FxCodes,0))*INDEX(FxUsed,MATCH($B$316,FxCodes,0)))</f>
        <v>1200</v>
      </c>
      <c r="C340" s="21"/>
      <c r="D340" s="25">
        <f t="shared" si="145"/>
        <v>1200</v>
      </c>
      <c r="E340" s="12">
        <f>IF(ISNUMBER(C340),PlanYear,IF($B$331=0,PlanYear,INDEX(Liv_healthInsurance_Base,$B$331)))</f>
        <v>2023</v>
      </c>
      <c r="F340" s="12" t="str">
        <f>IF(ISNUMBER(C340),"override",IF($B$331=0,"missing",INDEX(Liv_healthInsurance_Status,$B$331)))</f>
        <v>verified</v>
      </c>
      <c r="G340" s="16" t="str">
        <f t="shared" si="146"/>
        <v>Published figure</v>
      </c>
      <c r="H340" s="16" t="s">
        <v>139</v>
      </c>
      <c r="I340" s="16" t="s">
        <v>137</v>
      </c>
      <c r="J340" s="16" t="s">
        <v>138</v>
      </c>
    </row>
    <row r="341" spans="1:27" x14ac:dyDescent="0.3">
      <c r="A341" s="16" t="s">
        <v>41</v>
      </c>
      <c r="B341" s="25">
        <f>IF($B$331=0,0,(INDEX(Liv_books_Amt,$B$331))/INDEX(FxUsed,MATCH(INDEX(Liv_books_Ccy,$B$331),FxCodes,0))*INDEX(FxUsed,MATCH($B$316,FxCodes,0)))</f>
        <v>372</v>
      </c>
      <c r="C341" s="21"/>
      <c r="D341" s="25">
        <f t="shared" si="145"/>
        <v>372</v>
      </c>
      <c r="E341" s="12">
        <f>IF(ISNUMBER(C341),PlanYear,IF($B$331=0,PlanYear,INDEX(Liv_books_Base,$B$331)))</f>
        <v>2023</v>
      </c>
      <c r="F341" s="12" t="str">
        <f>IF(ISNUMBER(C341),"override",IF($B$331=0,"missing",INDEX(Liv_books_Status,$B$331)))</f>
        <v>verified</v>
      </c>
      <c r="G341" s="16" t="str">
        <f t="shared" si="146"/>
        <v>Published figure</v>
      </c>
      <c r="H341" s="16" t="s">
        <v>139</v>
      </c>
      <c r="I341" s="16" t="s">
        <v>137</v>
      </c>
      <c r="J341" s="16" t="s">
        <v>138</v>
      </c>
    </row>
    <row r="342" spans="1:27" x14ac:dyDescent="0.3">
      <c r="A342" s="16" t="s">
        <v>42</v>
      </c>
      <c r="B342" s="25">
        <f>IF($B$315=0,0,(IF($B$329&gt;0,SUMPRODUCT((RecKey=$B$314)*RecOther*(1+$B$320)^(PlanYear-RecYear))/$B$329,INDEX(DB_EstOther,$B$315)))/INDEX(FxUsed,MATCH($B$330,FxCodes,0))*INDEX(FxUsed,MATCH($B$316,FxCodes,0)))</f>
        <v>0</v>
      </c>
      <c r="C342" s="21"/>
      <c r="D342" s="25">
        <f t="shared" si="145"/>
        <v>0</v>
      </c>
      <c r="E342" s="12">
        <f>IF(ISNUMBER(C342),PlanYear,IF($B$329&gt;0,PlanYear,IF($B$315&gt;0,INDEX(DB_EstBase,$B$315),PlanYear)))</f>
        <v>2026</v>
      </c>
      <c r="F342" s="12" t="str">
        <f>IF(ISNUMBER(C342),"override",IF($B$315=0,"missing",IF($B$329&gt;0,"verified",INDEX(DB_EstStatus,$B$315))))</f>
        <v>missing</v>
      </c>
      <c r="G342" s="16" t="str">
        <f t="shared" si="146"/>
        <v>No figure yet — enter your own</v>
      </c>
      <c r="H342" s="16" t="s">
        <v>136</v>
      </c>
      <c r="I342" s="16" t="s">
        <v>137</v>
      </c>
      <c r="J342" s="16" t="s">
        <v>138</v>
      </c>
    </row>
    <row r="343" spans="1:27" x14ac:dyDescent="0.3">
      <c r="A343" s="16" t="s">
        <v>140</v>
      </c>
      <c r="B343" s="25">
        <f>IF($B$319&gt;0,IF($B$319&gt;0,(INDEX(DB_PreAdm,$B$315))/INDEX(FxUsed,MATCH(INDEX(DB_PreCcy,$B$315),FxCodes,0))*INDEX(FxUsed,MATCH($B$316,FxCodes,0)),0),IF($B$315=0,0,(IF($B$329&gt;0,SUMPRODUCT((RecKey=$B$314)*RecAdm*(1+$B$320)^(PlanYear-RecYear))/$B$329,INDEX(DB_EstAdm,$B$315)))/INDEX(FxUsed,MATCH($B$330,FxCodes,0))*INDEX(FxUsed,MATCH($B$316,FxCodes,0))))</f>
        <v>0</v>
      </c>
      <c r="C343" s="21"/>
      <c r="D343" s="25">
        <f t="shared" si="145"/>
        <v>0</v>
      </c>
      <c r="E343" s="12">
        <f>IF(ISNUMBER(C343),PlanYear,IF($B$319&gt;0,INDEX(DB_PreBase,$B$315),IF($B$329&gt;0,PlanYear,IF($B$315&gt;0,INDEX(DB_EstBase,$B$315),PlanYear))))</f>
        <v>2026</v>
      </c>
      <c r="F343" s="12" t="str">
        <f>IF(ISNUMBER(C343),"override",IF($B$319&gt;0,INDEX(DB_PreStatus,$B$315),IF($B$315=0,"missing",IF($B$329&gt;0,"verified",INDEX(DB_EstStatus,$B$315)))))</f>
        <v>missing</v>
      </c>
      <c r="G343" s="16" t="str">
        <f t="shared" si="146"/>
        <v>No figure yet — enter your own</v>
      </c>
      <c r="H343" s="16" t="s">
        <v>136</v>
      </c>
      <c r="I343" s="16" t="s">
        <v>141</v>
      </c>
      <c r="J343" s="16" t="s">
        <v>138</v>
      </c>
    </row>
    <row r="344" spans="1:27" x14ac:dyDescent="0.3">
      <c r="A344" s="16" t="s">
        <v>142</v>
      </c>
      <c r="B344" s="25">
        <f>IF(OR($B$332=0,AND($B$313&lt;&gt;"domestic",Residence=$B$309,COUNTIF(ResNoVisa,$B$309)&gt;0)),0,(INDEX(VisaAmt,$B$332))/INDEX(FxUsed,MATCH(INDEX(VisaCcy,$B$332),FxCodes,0))*INDEX(FxUsed,MATCH($B$316,FxCodes,0)))</f>
        <v>75</v>
      </c>
      <c r="C344" s="21"/>
      <c r="D344" s="25">
        <f t="shared" si="145"/>
        <v>75</v>
      </c>
      <c r="E344" s="12">
        <f>IF(ISNUMBER(C344),PlanYear,IF(OR($B$332=0,AND($B$313&lt;&gt;"domestic",Residence=$B$309,COUNTIF(ResNoVisa,$B$309)&gt;0)),PlanYear,INDEX(VisaBase,$B$332)))</f>
        <v>2026</v>
      </c>
      <c r="F344" s="12" t="str">
        <f>IF(ISNUMBER(C344),"override",IF(AND($B$313&lt;&gt;"domestic",Residence=$B$309,COUNTIF(ResNoVisa,$B$309)&gt;0),"notNeeded",IF($B$332=0,"missing",INDEX(VisaStatus,$B$332))))</f>
        <v>verified</v>
      </c>
      <c r="G344" s="16" t="str">
        <f t="shared" si="146"/>
        <v>Published figure</v>
      </c>
      <c r="H344" s="16" t="s">
        <v>139</v>
      </c>
      <c r="I344" s="16" t="s">
        <v>141</v>
      </c>
      <c r="J344" s="16" t="s">
        <v>143</v>
      </c>
    </row>
    <row r="345" spans="1:27" x14ac:dyDescent="0.3">
      <c r="A345" s="16" t="s">
        <v>144</v>
      </c>
      <c r="B345" s="25">
        <f>IF($B$333=0,0,(INDEX(TravAmt,$B$333))/INDEX(FxUsed,MATCH(INDEX(TravCcy,$B$333),FxCodes,0))*INDEX(FxUsed,MATCH($B$316,FxCodes,0)))</f>
        <v>1017.8788</v>
      </c>
      <c r="C345" s="21"/>
      <c r="D345" s="25">
        <f t="shared" si="145"/>
        <v>1017.8788</v>
      </c>
      <c r="E345" s="12">
        <f>IF(ISNUMBER(C345),PlanYear,IF($B$333=0,PlanYear,INDEX(TravBase,$B$333)))</f>
        <v>2026</v>
      </c>
      <c r="F345" s="12" t="str">
        <f>IF(ISNUMBER(C345),"override",IF($B$333=0,"missing",INDEX(TravStatus,$B$333)))</f>
        <v>estimated</v>
      </c>
      <c r="G345" s="16" t="str">
        <f t="shared" si="146"/>
        <v>Estimated — please review</v>
      </c>
      <c r="H345" s="16" t="s">
        <v>139</v>
      </c>
      <c r="I345" s="16" t="s">
        <v>141</v>
      </c>
      <c r="J345" s="16" t="s">
        <v>143</v>
      </c>
    </row>
    <row r="346" spans="1:27" x14ac:dyDescent="0.3">
      <c r="A346" s="16" t="s">
        <v>46</v>
      </c>
      <c r="B346" s="25">
        <f>IF($B$319&gt;0,(INDEX(DB_PreTuition,$B$315))/INDEX(FxUsed,MATCH(INDEX(DB_PreCcy,$B$315),FxCodes,0))*INDEX(FxUsed,MATCH($B$316,FxCodes,0)),0)</f>
        <v>0</v>
      </c>
      <c r="C346" s="21"/>
      <c r="D346" s="25">
        <f t="shared" si="145"/>
        <v>0</v>
      </c>
      <c r="E346" s="12">
        <f>IF(ISNUMBER(C346),PlanYear,IF($B$319&gt;0,INDEX(DB_PreBase,$B$315),PlanYear))</f>
        <v>2026</v>
      </c>
      <c r="F346" s="12" t="str">
        <f>IF(ISNUMBER(C346),"override",IF($B$319&gt;0,INDEX(DB_PreStatus,$B$315),""))</f>
        <v/>
      </c>
      <c r="G346" s="16" t="str">
        <f t="shared" si="146"/>
        <v/>
      </c>
      <c r="H346" s="16" t="s">
        <v>136</v>
      </c>
      <c r="I346" s="16" t="s">
        <v>137</v>
      </c>
      <c r="J346" s="16" t="s">
        <v>138</v>
      </c>
    </row>
    <row r="347" spans="1:27" x14ac:dyDescent="0.3">
      <c r="A347" s="16" t="s">
        <v>47</v>
      </c>
      <c r="B347" s="25">
        <f>IF($B$319&gt;0,(INDEX(DB_PreOther,$B$315))/INDEX(FxUsed,MATCH(INDEX(DB_PreCcy,$B$315),FxCodes,0))*INDEX(FxUsed,MATCH($B$316,FxCodes,0)),0)</f>
        <v>0</v>
      </c>
      <c r="C347" s="21"/>
      <c r="D347" s="25">
        <f t="shared" si="145"/>
        <v>0</v>
      </c>
      <c r="E347" s="12">
        <f>IF(ISNUMBER(C347),PlanYear,IF($B$319&gt;0,INDEX(DB_PreBase,$B$315),PlanYear))</f>
        <v>2026</v>
      </c>
      <c r="F347" s="12" t="str">
        <f>IF(ISNUMBER(C347),"override",IF($B$319&gt;0,INDEX(DB_PreStatus,$B$315),""))</f>
        <v/>
      </c>
      <c r="G347" s="16" t="str">
        <f t="shared" si="146"/>
        <v/>
      </c>
      <c r="H347" s="16" t="s">
        <v>136</v>
      </c>
      <c r="I347" s="16" t="s">
        <v>137</v>
      </c>
      <c r="J347" s="16" t="s">
        <v>138</v>
      </c>
    </row>
    <row r="349" spans="1:27" ht="79.2" x14ac:dyDescent="0.3">
      <c r="A349" s="22" t="s">
        <v>145</v>
      </c>
      <c r="B349" s="22" t="s">
        <v>146</v>
      </c>
      <c r="C349" s="22" t="s">
        <v>147</v>
      </c>
      <c r="D349" s="22" t="s">
        <v>148</v>
      </c>
      <c r="E349" s="22" t="s">
        <v>149</v>
      </c>
      <c r="F349" s="22" t="s">
        <v>150</v>
      </c>
      <c r="G349" s="22" t="s">
        <v>151</v>
      </c>
      <c r="H349" s="22" t="s">
        <v>152</v>
      </c>
      <c r="I349" s="22" t="s">
        <v>153</v>
      </c>
      <c r="J349" s="22" t="s">
        <v>154</v>
      </c>
      <c r="K349" s="22" t="s">
        <v>155</v>
      </c>
      <c r="L349" s="22" t="s">
        <v>156</v>
      </c>
      <c r="M349" s="22" t="s">
        <v>157</v>
      </c>
      <c r="N349" s="22" t="s">
        <v>158</v>
      </c>
      <c r="O349" s="22" t="s">
        <v>159</v>
      </c>
      <c r="P349" s="22" t="s">
        <v>36</v>
      </c>
      <c r="Q349" s="22" t="s">
        <v>37</v>
      </c>
      <c r="R349" s="22" t="s">
        <v>38</v>
      </c>
      <c r="S349" s="22" t="s">
        <v>39</v>
      </c>
      <c r="T349" s="22" t="s">
        <v>40</v>
      </c>
      <c r="U349" s="22" t="s">
        <v>41</v>
      </c>
      <c r="V349" s="22" t="s">
        <v>42</v>
      </c>
      <c r="W349" s="22" t="s">
        <v>140</v>
      </c>
      <c r="X349" s="22" t="s">
        <v>142</v>
      </c>
      <c r="Y349" s="22" t="s">
        <v>144</v>
      </c>
      <c r="Z349" s="22" t="s">
        <v>83</v>
      </c>
      <c r="AA349" s="22" t="s">
        <v>160</v>
      </c>
    </row>
    <row r="350" spans="1:27" x14ac:dyDescent="0.3">
      <c r="A350" s="16">
        <v>0</v>
      </c>
      <c r="B350" s="16">
        <f t="shared" ref="B350:B359" si="147">PlanYear+$B$322+A350</f>
        <v>2026</v>
      </c>
      <c r="C350" s="16">
        <f t="shared" ref="C350:C359" si="148">MAX(0,MIN(1,$B$317-A350))</f>
        <v>0</v>
      </c>
      <c r="D350" s="16">
        <f t="shared" ref="D350:D359" si="149">IF(A350&lt;$B$319,1,0)</f>
        <v>0</v>
      </c>
      <c r="E350" s="16">
        <f t="shared" ref="E350:E359" si="150">IF(AND($B$326=1,A350&lt;$B$323),1,0)</f>
        <v>0</v>
      </c>
      <c r="F350" s="21">
        <f t="shared" ref="F350:F359" si="151">IF(AND(E350=1),IF(D350=1,$D$346,$D$336)*(1+$B$320)^(B350-IF(D350=1,$E$346,$E$336))*C350*$B$328,0)</f>
        <v>0</v>
      </c>
      <c r="G350" s="21">
        <f t="shared" ref="G350:G359" si="152">IF(AND(E350=1),$D$337*(1+$B$321)^(B350-$E$337)*C350*$B$328,0)</f>
        <v>0</v>
      </c>
      <c r="H350" s="21">
        <f t="shared" ref="H350:H359" si="153">IF(AND(E350=1),$D$338*(1+$B$321)^(B350-$E$338)*C350*$B$328,0)</f>
        <v>0</v>
      </c>
      <c r="I350" s="21">
        <f t="shared" ref="I350:I359" si="154">IF(AND(E350=1),$D$339*(1+$B$321)^(B350-$E$339)*C350*$B$328,0)</f>
        <v>0</v>
      </c>
      <c r="J350" s="21">
        <f t="shared" ref="J350:J359" si="155">IF(AND(E350=1),$D$340*(1+$B$321)^(B350-$E$340)*C350*$B$328,0)</f>
        <v>0</v>
      </c>
      <c r="K350" s="21">
        <f t="shared" ref="K350:K359" si="156">IF(AND(E350=1),$D$341*(1+$B$321)^(B350-$E$341)*C350*$B$328,0)</f>
        <v>0</v>
      </c>
      <c r="L350" s="21">
        <f t="shared" ref="L350:L359" si="157">IF(AND(E350=1),IF(D350=1,$D$347,$D$342)*(1+$B$320)^(B350-IF(D350=1,$E$347,$E$342))*C350*$B$328,0)</f>
        <v>0</v>
      </c>
      <c r="M350" s="21">
        <f t="shared" ref="M350:M359" si="158">IF(AND(E350=1,A350=0),$D$343*(1+$B$320)^(B350-$E$343)*$B$328,0)</f>
        <v>0</v>
      </c>
      <c r="N350" s="21">
        <f t="shared" ref="N350:N359" si="159">IF(AND(E350=1,A350=0),$D$344*(1+$B$321)^(B350-$E$344)*$B$328,0)</f>
        <v>0</v>
      </c>
      <c r="O350" s="21">
        <f t="shared" ref="O350:O359" si="160">IF(AND(E350=1,A350=0),$D$345*(1+$B$321)^(B350-$E$345)*$B$328,0)</f>
        <v>0</v>
      </c>
      <c r="P350" s="21">
        <f t="shared" ref="P350:P359" si="161">F350*(1-Coverage)</f>
        <v>0</v>
      </c>
      <c r="Q350" s="21">
        <f t="shared" ref="Q350:Q359" si="162">G350*(1-Coverage)</f>
        <v>0</v>
      </c>
      <c r="R350" s="21">
        <f t="shared" ref="R350:R359" si="163">H350*(1-Coverage)</f>
        <v>0</v>
      </c>
      <c r="S350" s="21">
        <f t="shared" ref="S350:S359" si="164">I350*(1-Coverage)</f>
        <v>0</v>
      </c>
      <c r="T350" s="21">
        <f t="shared" ref="T350:T359" si="165">J350*(1-Coverage)</f>
        <v>0</v>
      </c>
      <c r="U350" s="21">
        <f t="shared" ref="U350:U359" si="166">K350*(1-Coverage)</f>
        <v>0</v>
      </c>
      <c r="V350" s="21">
        <f t="shared" ref="V350:V359" si="167">L350*(1-Coverage)</f>
        <v>0</v>
      </c>
      <c r="W350" s="21">
        <f t="shared" ref="W350:W359" si="168">M350*(1-Coverage)</f>
        <v>0</v>
      </c>
      <c r="X350" s="21">
        <f t="shared" ref="X350:X359" si="169">N350*1</f>
        <v>0</v>
      </c>
      <c r="Y350" s="21">
        <f t="shared" ref="Y350:Y359" si="170">O350*1</f>
        <v>0</v>
      </c>
      <c r="Z350" s="20">
        <f t="shared" ref="Z350:Z359" si="171">SUM(P350:Y350)</f>
        <v>0</v>
      </c>
      <c r="AA350" s="21">
        <f t="shared" ref="AA350:AA359" si="172">SUM(F350:O350)</f>
        <v>0</v>
      </c>
    </row>
    <row r="351" spans="1:27" x14ac:dyDescent="0.3">
      <c r="A351" s="16">
        <v>1</v>
      </c>
      <c r="B351" s="16">
        <f t="shared" si="147"/>
        <v>2027</v>
      </c>
      <c r="C351" s="16">
        <f t="shared" si="148"/>
        <v>0</v>
      </c>
      <c r="D351" s="16">
        <f t="shared" si="149"/>
        <v>0</v>
      </c>
      <c r="E351" s="16">
        <f t="shared" si="150"/>
        <v>0</v>
      </c>
      <c r="F351" s="21">
        <f t="shared" si="151"/>
        <v>0</v>
      </c>
      <c r="G351" s="21">
        <f t="shared" si="152"/>
        <v>0</v>
      </c>
      <c r="H351" s="21">
        <f t="shared" si="153"/>
        <v>0</v>
      </c>
      <c r="I351" s="21">
        <f t="shared" si="154"/>
        <v>0</v>
      </c>
      <c r="J351" s="21">
        <f t="shared" si="155"/>
        <v>0</v>
      </c>
      <c r="K351" s="21">
        <f t="shared" si="156"/>
        <v>0</v>
      </c>
      <c r="L351" s="21">
        <f t="shared" si="157"/>
        <v>0</v>
      </c>
      <c r="M351" s="21">
        <f t="shared" si="158"/>
        <v>0</v>
      </c>
      <c r="N351" s="21">
        <f t="shared" si="159"/>
        <v>0</v>
      </c>
      <c r="O351" s="21">
        <f t="shared" si="160"/>
        <v>0</v>
      </c>
      <c r="P351" s="21">
        <f t="shared" si="161"/>
        <v>0</v>
      </c>
      <c r="Q351" s="21">
        <f t="shared" si="162"/>
        <v>0</v>
      </c>
      <c r="R351" s="21">
        <f t="shared" si="163"/>
        <v>0</v>
      </c>
      <c r="S351" s="21">
        <f t="shared" si="164"/>
        <v>0</v>
      </c>
      <c r="T351" s="21">
        <f t="shared" si="165"/>
        <v>0</v>
      </c>
      <c r="U351" s="21">
        <f t="shared" si="166"/>
        <v>0</v>
      </c>
      <c r="V351" s="21">
        <f t="shared" si="167"/>
        <v>0</v>
      </c>
      <c r="W351" s="21">
        <f t="shared" si="168"/>
        <v>0</v>
      </c>
      <c r="X351" s="21">
        <f t="shared" si="169"/>
        <v>0</v>
      </c>
      <c r="Y351" s="21">
        <f t="shared" si="170"/>
        <v>0</v>
      </c>
      <c r="Z351" s="20">
        <f t="shared" si="171"/>
        <v>0</v>
      </c>
      <c r="AA351" s="21">
        <f t="shared" si="172"/>
        <v>0</v>
      </c>
    </row>
    <row r="352" spans="1:27" x14ac:dyDescent="0.3">
      <c r="A352" s="16">
        <v>2</v>
      </c>
      <c r="B352" s="16">
        <f t="shared" si="147"/>
        <v>2028</v>
      </c>
      <c r="C352" s="16">
        <f t="shared" si="148"/>
        <v>0</v>
      </c>
      <c r="D352" s="16">
        <f t="shared" si="149"/>
        <v>0</v>
      </c>
      <c r="E352" s="16">
        <f t="shared" si="150"/>
        <v>0</v>
      </c>
      <c r="F352" s="21">
        <f t="shared" si="151"/>
        <v>0</v>
      </c>
      <c r="G352" s="21">
        <f t="shared" si="152"/>
        <v>0</v>
      </c>
      <c r="H352" s="21">
        <f t="shared" si="153"/>
        <v>0</v>
      </c>
      <c r="I352" s="21">
        <f t="shared" si="154"/>
        <v>0</v>
      </c>
      <c r="J352" s="21">
        <f t="shared" si="155"/>
        <v>0</v>
      </c>
      <c r="K352" s="21">
        <f t="shared" si="156"/>
        <v>0</v>
      </c>
      <c r="L352" s="21">
        <f t="shared" si="157"/>
        <v>0</v>
      </c>
      <c r="M352" s="21">
        <f t="shared" si="158"/>
        <v>0</v>
      </c>
      <c r="N352" s="21">
        <f t="shared" si="159"/>
        <v>0</v>
      </c>
      <c r="O352" s="21">
        <f t="shared" si="160"/>
        <v>0</v>
      </c>
      <c r="P352" s="21">
        <f t="shared" si="161"/>
        <v>0</v>
      </c>
      <c r="Q352" s="21">
        <f t="shared" si="162"/>
        <v>0</v>
      </c>
      <c r="R352" s="21">
        <f t="shared" si="163"/>
        <v>0</v>
      </c>
      <c r="S352" s="21">
        <f t="shared" si="164"/>
        <v>0</v>
      </c>
      <c r="T352" s="21">
        <f t="shared" si="165"/>
        <v>0</v>
      </c>
      <c r="U352" s="21">
        <f t="shared" si="166"/>
        <v>0</v>
      </c>
      <c r="V352" s="21">
        <f t="shared" si="167"/>
        <v>0</v>
      </c>
      <c r="W352" s="21">
        <f t="shared" si="168"/>
        <v>0</v>
      </c>
      <c r="X352" s="21">
        <f t="shared" si="169"/>
        <v>0</v>
      </c>
      <c r="Y352" s="21">
        <f t="shared" si="170"/>
        <v>0</v>
      </c>
      <c r="Z352" s="20">
        <f t="shared" si="171"/>
        <v>0</v>
      </c>
      <c r="AA352" s="21">
        <f t="shared" si="172"/>
        <v>0</v>
      </c>
    </row>
    <row r="353" spans="1:27" x14ac:dyDescent="0.3">
      <c r="A353" s="16">
        <v>3</v>
      </c>
      <c r="B353" s="16">
        <f t="shared" si="147"/>
        <v>2029</v>
      </c>
      <c r="C353" s="16">
        <f t="shared" si="148"/>
        <v>0</v>
      </c>
      <c r="D353" s="16">
        <f t="shared" si="149"/>
        <v>0</v>
      </c>
      <c r="E353" s="16">
        <f t="shared" si="150"/>
        <v>0</v>
      </c>
      <c r="F353" s="21">
        <f t="shared" si="151"/>
        <v>0</v>
      </c>
      <c r="G353" s="21">
        <f t="shared" si="152"/>
        <v>0</v>
      </c>
      <c r="H353" s="21">
        <f t="shared" si="153"/>
        <v>0</v>
      </c>
      <c r="I353" s="21">
        <f t="shared" si="154"/>
        <v>0</v>
      </c>
      <c r="J353" s="21">
        <f t="shared" si="155"/>
        <v>0</v>
      </c>
      <c r="K353" s="21">
        <f t="shared" si="156"/>
        <v>0</v>
      </c>
      <c r="L353" s="21">
        <f t="shared" si="157"/>
        <v>0</v>
      </c>
      <c r="M353" s="21">
        <f t="shared" si="158"/>
        <v>0</v>
      </c>
      <c r="N353" s="21">
        <f t="shared" si="159"/>
        <v>0</v>
      </c>
      <c r="O353" s="21">
        <f t="shared" si="160"/>
        <v>0</v>
      </c>
      <c r="P353" s="21">
        <f t="shared" si="161"/>
        <v>0</v>
      </c>
      <c r="Q353" s="21">
        <f t="shared" si="162"/>
        <v>0</v>
      </c>
      <c r="R353" s="21">
        <f t="shared" si="163"/>
        <v>0</v>
      </c>
      <c r="S353" s="21">
        <f t="shared" si="164"/>
        <v>0</v>
      </c>
      <c r="T353" s="21">
        <f t="shared" si="165"/>
        <v>0</v>
      </c>
      <c r="U353" s="21">
        <f t="shared" si="166"/>
        <v>0</v>
      </c>
      <c r="V353" s="21">
        <f t="shared" si="167"/>
        <v>0</v>
      </c>
      <c r="W353" s="21">
        <f t="shared" si="168"/>
        <v>0</v>
      </c>
      <c r="X353" s="21">
        <f t="shared" si="169"/>
        <v>0</v>
      </c>
      <c r="Y353" s="21">
        <f t="shared" si="170"/>
        <v>0</v>
      </c>
      <c r="Z353" s="20">
        <f t="shared" si="171"/>
        <v>0</v>
      </c>
      <c r="AA353" s="21">
        <f t="shared" si="172"/>
        <v>0</v>
      </c>
    </row>
    <row r="354" spans="1:27" x14ac:dyDescent="0.3">
      <c r="A354" s="16">
        <v>4</v>
      </c>
      <c r="B354" s="16">
        <f t="shared" si="147"/>
        <v>2030</v>
      </c>
      <c r="C354" s="16">
        <f t="shared" si="148"/>
        <v>0</v>
      </c>
      <c r="D354" s="16">
        <f t="shared" si="149"/>
        <v>0</v>
      </c>
      <c r="E354" s="16">
        <f t="shared" si="150"/>
        <v>0</v>
      </c>
      <c r="F354" s="21">
        <f t="shared" si="151"/>
        <v>0</v>
      </c>
      <c r="G354" s="21">
        <f t="shared" si="152"/>
        <v>0</v>
      </c>
      <c r="H354" s="21">
        <f t="shared" si="153"/>
        <v>0</v>
      </c>
      <c r="I354" s="21">
        <f t="shared" si="154"/>
        <v>0</v>
      </c>
      <c r="J354" s="21">
        <f t="shared" si="155"/>
        <v>0</v>
      </c>
      <c r="K354" s="21">
        <f t="shared" si="156"/>
        <v>0</v>
      </c>
      <c r="L354" s="21">
        <f t="shared" si="157"/>
        <v>0</v>
      </c>
      <c r="M354" s="21">
        <f t="shared" si="158"/>
        <v>0</v>
      </c>
      <c r="N354" s="21">
        <f t="shared" si="159"/>
        <v>0</v>
      </c>
      <c r="O354" s="21">
        <f t="shared" si="160"/>
        <v>0</v>
      </c>
      <c r="P354" s="21">
        <f t="shared" si="161"/>
        <v>0</v>
      </c>
      <c r="Q354" s="21">
        <f t="shared" si="162"/>
        <v>0</v>
      </c>
      <c r="R354" s="21">
        <f t="shared" si="163"/>
        <v>0</v>
      </c>
      <c r="S354" s="21">
        <f t="shared" si="164"/>
        <v>0</v>
      </c>
      <c r="T354" s="21">
        <f t="shared" si="165"/>
        <v>0</v>
      </c>
      <c r="U354" s="21">
        <f t="shared" si="166"/>
        <v>0</v>
      </c>
      <c r="V354" s="21">
        <f t="shared" si="167"/>
        <v>0</v>
      </c>
      <c r="W354" s="21">
        <f t="shared" si="168"/>
        <v>0</v>
      </c>
      <c r="X354" s="21">
        <f t="shared" si="169"/>
        <v>0</v>
      </c>
      <c r="Y354" s="21">
        <f t="shared" si="170"/>
        <v>0</v>
      </c>
      <c r="Z354" s="20">
        <f t="shared" si="171"/>
        <v>0</v>
      </c>
      <c r="AA354" s="21">
        <f t="shared" si="172"/>
        <v>0</v>
      </c>
    </row>
    <row r="355" spans="1:27" x14ac:dyDescent="0.3">
      <c r="A355" s="16">
        <v>5</v>
      </c>
      <c r="B355" s="16">
        <f t="shared" si="147"/>
        <v>2031</v>
      </c>
      <c r="C355" s="16">
        <f t="shared" si="148"/>
        <v>0</v>
      </c>
      <c r="D355" s="16">
        <f t="shared" si="149"/>
        <v>0</v>
      </c>
      <c r="E355" s="16">
        <f t="shared" si="150"/>
        <v>0</v>
      </c>
      <c r="F355" s="21">
        <f t="shared" si="151"/>
        <v>0</v>
      </c>
      <c r="G355" s="21">
        <f t="shared" si="152"/>
        <v>0</v>
      </c>
      <c r="H355" s="21">
        <f t="shared" si="153"/>
        <v>0</v>
      </c>
      <c r="I355" s="21">
        <f t="shared" si="154"/>
        <v>0</v>
      </c>
      <c r="J355" s="21">
        <f t="shared" si="155"/>
        <v>0</v>
      </c>
      <c r="K355" s="21">
        <f t="shared" si="156"/>
        <v>0</v>
      </c>
      <c r="L355" s="21">
        <f t="shared" si="157"/>
        <v>0</v>
      </c>
      <c r="M355" s="21">
        <f t="shared" si="158"/>
        <v>0</v>
      </c>
      <c r="N355" s="21">
        <f t="shared" si="159"/>
        <v>0</v>
      </c>
      <c r="O355" s="21">
        <f t="shared" si="160"/>
        <v>0</v>
      </c>
      <c r="P355" s="21">
        <f t="shared" si="161"/>
        <v>0</v>
      </c>
      <c r="Q355" s="21">
        <f t="shared" si="162"/>
        <v>0</v>
      </c>
      <c r="R355" s="21">
        <f t="shared" si="163"/>
        <v>0</v>
      </c>
      <c r="S355" s="21">
        <f t="shared" si="164"/>
        <v>0</v>
      </c>
      <c r="T355" s="21">
        <f t="shared" si="165"/>
        <v>0</v>
      </c>
      <c r="U355" s="21">
        <f t="shared" si="166"/>
        <v>0</v>
      </c>
      <c r="V355" s="21">
        <f t="shared" si="167"/>
        <v>0</v>
      </c>
      <c r="W355" s="21">
        <f t="shared" si="168"/>
        <v>0</v>
      </c>
      <c r="X355" s="21">
        <f t="shared" si="169"/>
        <v>0</v>
      </c>
      <c r="Y355" s="21">
        <f t="shared" si="170"/>
        <v>0</v>
      </c>
      <c r="Z355" s="20">
        <f t="shared" si="171"/>
        <v>0</v>
      </c>
      <c r="AA355" s="21">
        <f t="shared" si="172"/>
        <v>0</v>
      </c>
    </row>
    <row r="356" spans="1:27" x14ac:dyDescent="0.3">
      <c r="A356" s="16">
        <v>6</v>
      </c>
      <c r="B356" s="16">
        <f t="shared" si="147"/>
        <v>2032</v>
      </c>
      <c r="C356" s="16">
        <f t="shared" si="148"/>
        <v>0</v>
      </c>
      <c r="D356" s="16">
        <f t="shared" si="149"/>
        <v>0</v>
      </c>
      <c r="E356" s="16">
        <f t="shared" si="150"/>
        <v>0</v>
      </c>
      <c r="F356" s="21">
        <f t="shared" si="151"/>
        <v>0</v>
      </c>
      <c r="G356" s="21">
        <f t="shared" si="152"/>
        <v>0</v>
      </c>
      <c r="H356" s="21">
        <f t="shared" si="153"/>
        <v>0</v>
      </c>
      <c r="I356" s="21">
        <f t="shared" si="154"/>
        <v>0</v>
      </c>
      <c r="J356" s="21">
        <f t="shared" si="155"/>
        <v>0</v>
      </c>
      <c r="K356" s="21">
        <f t="shared" si="156"/>
        <v>0</v>
      </c>
      <c r="L356" s="21">
        <f t="shared" si="157"/>
        <v>0</v>
      </c>
      <c r="M356" s="21">
        <f t="shared" si="158"/>
        <v>0</v>
      </c>
      <c r="N356" s="21">
        <f t="shared" si="159"/>
        <v>0</v>
      </c>
      <c r="O356" s="21">
        <f t="shared" si="160"/>
        <v>0</v>
      </c>
      <c r="P356" s="21">
        <f t="shared" si="161"/>
        <v>0</v>
      </c>
      <c r="Q356" s="21">
        <f t="shared" si="162"/>
        <v>0</v>
      </c>
      <c r="R356" s="21">
        <f t="shared" si="163"/>
        <v>0</v>
      </c>
      <c r="S356" s="21">
        <f t="shared" si="164"/>
        <v>0</v>
      </c>
      <c r="T356" s="21">
        <f t="shared" si="165"/>
        <v>0</v>
      </c>
      <c r="U356" s="21">
        <f t="shared" si="166"/>
        <v>0</v>
      </c>
      <c r="V356" s="21">
        <f t="shared" si="167"/>
        <v>0</v>
      </c>
      <c r="W356" s="21">
        <f t="shared" si="168"/>
        <v>0</v>
      </c>
      <c r="X356" s="21">
        <f t="shared" si="169"/>
        <v>0</v>
      </c>
      <c r="Y356" s="21">
        <f t="shared" si="170"/>
        <v>0</v>
      </c>
      <c r="Z356" s="20">
        <f t="shared" si="171"/>
        <v>0</v>
      </c>
      <c r="AA356" s="21">
        <f t="shared" si="172"/>
        <v>0</v>
      </c>
    </row>
    <row r="357" spans="1:27" x14ac:dyDescent="0.3">
      <c r="A357" s="16">
        <v>7</v>
      </c>
      <c r="B357" s="16">
        <f t="shared" si="147"/>
        <v>2033</v>
      </c>
      <c r="C357" s="16">
        <f t="shared" si="148"/>
        <v>0</v>
      </c>
      <c r="D357" s="16">
        <f t="shared" si="149"/>
        <v>0</v>
      </c>
      <c r="E357" s="16">
        <f t="shared" si="150"/>
        <v>0</v>
      </c>
      <c r="F357" s="21">
        <f t="shared" si="151"/>
        <v>0</v>
      </c>
      <c r="G357" s="21">
        <f t="shared" si="152"/>
        <v>0</v>
      </c>
      <c r="H357" s="21">
        <f t="shared" si="153"/>
        <v>0</v>
      </c>
      <c r="I357" s="21">
        <f t="shared" si="154"/>
        <v>0</v>
      </c>
      <c r="J357" s="21">
        <f t="shared" si="155"/>
        <v>0</v>
      </c>
      <c r="K357" s="21">
        <f t="shared" si="156"/>
        <v>0</v>
      </c>
      <c r="L357" s="21">
        <f t="shared" si="157"/>
        <v>0</v>
      </c>
      <c r="M357" s="21">
        <f t="shared" si="158"/>
        <v>0</v>
      </c>
      <c r="N357" s="21">
        <f t="shared" si="159"/>
        <v>0</v>
      </c>
      <c r="O357" s="21">
        <f t="shared" si="160"/>
        <v>0</v>
      </c>
      <c r="P357" s="21">
        <f t="shared" si="161"/>
        <v>0</v>
      </c>
      <c r="Q357" s="21">
        <f t="shared" si="162"/>
        <v>0</v>
      </c>
      <c r="R357" s="21">
        <f t="shared" si="163"/>
        <v>0</v>
      </c>
      <c r="S357" s="21">
        <f t="shared" si="164"/>
        <v>0</v>
      </c>
      <c r="T357" s="21">
        <f t="shared" si="165"/>
        <v>0</v>
      </c>
      <c r="U357" s="21">
        <f t="shared" si="166"/>
        <v>0</v>
      </c>
      <c r="V357" s="21">
        <f t="shared" si="167"/>
        <v>0</v>
      </c>
      <c r="W357" s="21">
        <f t="shared" si="168"/>
        <v>0</v>
      </c>
      <c r="X357" s="21">
        <f t="shared" si="169"/>
        <v>0</v>
      </c>
      <c r="Y357" s="21">
        <f t="shared" si="170"/>
        <v>0</v>
      </c>
      <c r="Z357" s="20">
        <f t="shared" si="171"/>
        <v>0</v>
      </c>
      <c r="AA357" s="21">
        <f t="shared" si="172"/>
        <v>0</v>
      </c>
    </row>
    <row r="358" spans="1:27" x14ac:dyDescent="0.3">
      <c r="A358" s="16">
        <v>8</v>
      </c>
      <c r="B358" s="16">
        <f t="shared" si="147"/>
        <v>2034</v>
      </c>
      <c r="C358" s="16">
        <f t="shared" si="148"/>
        <v>0</v>
      </c>
      <c r="D358" s="16">
        <f t="shared" si="149"/>
        <v>0</v>
      </c>
      <c r="E358" s="16">
        <f t="shared" si="150"/>
        <v>0</v>
      </c>
      <c r="F358" s="21">
        <f t="shared" si="151"/>
        <v>0</v>
      </c>
      <c r="G358" s="21">
        <f t="shared" si="152"/>
        <v>0</v>
      </c>
      <c r="H358" s="21">
        <f t="shared" si="153"/>
        <v>0</v>
      </c>
      <c r="I358" s="21">
        <f t="shared" si="154"/>
        <v>0</v>
      </c>
      <c r="J358" s="21">
        <f t="shared" si="155"/>
        <v>0</v>
      </c>
      <c r="K358" s="21">
        <f t="shared" si="156"/>
        <v>0</v>
      </c>
      <c r="L358" s="21">
        <f t="shared" si="157"/>
        <v>0</v>
      </c>
      <c r="M358" s="21">
        <f t="shared" si="158"/>
        <v>0</v>
      </c>
      <c r="N358" s="21">
        <f t="shared" si="159"/>
        <v>0</v>
      </c>
      <c r="O358" s="21">
        <f t="shared" si="160"/>
        <v>0</v>
      </c>
      <c r="P358" s="21">
        <f t="shared" si="161"/>
        <v>0</v>
      </c>
      <c r="Q358" s="21">
        <f t="shared" si="162"/>
        <v>0</v>
      </c>
      <c r="R358" s="21">
        <f t="shared" si="163"/>
        <v>0</v>
      </c>
      <c r="S358" s="21">
        <f t="shared" si="164"/>
        <v>0</v>
      </c>
      <c r="T358" s="21">
        <f t="shared" si="165"/>
        <v>0</v>
      </c>
      <c r="U358" s="21">
        <f t="shared" si="166"/>
        <v>0</v>
      </c>
      <c r="V358" s="21">
        <f t="shared" si="167"/>
        <v>0</v>
      </c>
      <c r="W358" s="21">
        <f t="shared" si="168"/>
        <v>0</v>
      </c>
      <c r="X358" s="21">
        <f t="shared" si="169"/>
        <v>0</v>
      </c>
      <c r="Y358" s="21">
        <f t="shared" si="170"/>
        <v>0</v>
      </c>
      <c r="Z358" s="20">
        <f t="shared" si="171"/>
        <v>0</v>
      </c>
      <c r="AA358" s="21">
        <f t="shared" si="172"/>
        <v>0</v>
      </c>
    </row>
    <row r="359" spans="1:27" x14ac:dyDescent="0.3">
      <c r="A359" s="16">
        <v>9</v>
      </c>
      <c r="B359" s="16">
        <f t="shared" si="147"/>
        <v>2035</v>
      </c>
      <c r="C359" s="16">
        <f t="shared" si="148"/>
        <v>0</v>
      </c>
      <c r="D359" s="16">
        <f t="shared" si="149"/>
        <v>0</v>
      </c>
      <c r="E359" s="16">
        <f t="shared" si="150"/>
        <v>0</v>
      </c>
      <c r="F359" s="21">
        <f t="shared" si="151"/>
        <v>0</v>
      </c>
      <c r="G359" s="21">
        <f t="shared" si="152"/>
        <v>0</v>
      </c>
      <c r="H359" s="21">
        <f t="shared" si="153"/>
        <v>0</v>
      </c>
      <c r="I359" s="21">
        <f t="shared" si="154"/>
        <v>0</v>
      </c>
      <c r="J359" s="21">
        <f t="shared" si="155"/>
        <v>0</v>
      </c>
      <c r="K359" s="21">
        <f t="shared" si="156"/>
        <v>0</v>
      </c>
      <c r="L359" s="21">
        <f t="shared" si="157"/>
        <v>0</v>
      </c>
      <c r="M359" s="21">
        <f t="shared" si="158"/>
        <v>0</v>
      </c>
      <c r="N359" s="21">
        <f t="shared" si="159"/>
        <v>0</v>
      </c>
      <c r="O359" s="21">
        <f t="shared" si="160"/>
        <v>0</v>
      </c>
      <c r="P359" s="21">
        <f t="shared" si="161"/>
        <v>0</v>
      </c>
      <c r="Q359" s="21">
        <f t="shared" si="162"/>
        <v>0</v>
      </c>
      <c r="R359" s="21">
        <f t="shared" si="163"/>
        <v>0</v>
      </c>
      <c r="S359" s="21">
        <f t="shared" si="164"/>
        <v>0</v>
      </c>
      <c r="T359" s="21">
        <f t="shared" si="165"/>
        <v>0</v>
      </c>
      <c r="U359" s="21">
        <f t="shared" si="166"/>
        <v>0</v>
      </c>
      <c r="V359" s="21">
        <f t="shared" si="167"/>
        <v>0</v>
      </c>
      <c r="W359" s="21">
        <f t="shared" si="168"/>
        <v>0</v>
      </c>
      <c r="X359" s="21">
        <f t="shared" si="169"/>
        <v>0</v>
      </c>
      <c r="Y359" s="21">
        <f t="shared" si="170"/>
        <v>0</v>
      </c>
      <c r="Z359" s="20">
        <f t="shared" si="171"/>
        <v>0</v>
      </c>
      <c r="AA359" s="21">
        <f t="shared" si="172"/>
        <v>0</v>
      </c>
    </row>
    <row r="360" spans="1:27" x14ac:dyDescent="0.3">
      <c r="A360" s="8" t="s">
        <v>76</v>
      </c>
      <c r="F360" s="20">
        <f t="shared" ref="F360:AA360" si="173">SUM(F350:F359)</f>
        <v>0</v>
      </c>
      <c r="G360" s="20">
        <f t="shared" si="173"/>
        <v>0</v>
      </c>
      <c r="H360" s="20">
        <f t="shared" si="173"/>
        <v>0</v>
      </c>
      <c r="I360" s="20">
        <f t="shared" si="173"/>
        <v>0</v>
      </c>
      <c r="J360" s="20">
        <f t="shared" si="173"/>
        <v>0</v>
      </c>
      <c r="K360" s="20">
        <f t="shared" si="173"/>
        <v>0</v>
      </c>
      <c r="L360" s="20">
        <f t="shared" si="173"/>
        <v>0</v>
      </c>
      <c r="M360" s="20">
        <f t="shared" si="173"/>
        <v>0</v>
      </c>
      <c r="N360" s="20">
        <f t="shared" si="173"/>
        <v>0</v>
      </c>
      <c r="O360" s="20">
        <f t="shared" si="173"/>
        <v>0</v>
      </c>
      <c r="P360" s="20">
        <f t="shared" si="173"/>
        <v>0</v>
      </c>
      <c r="Q360" s="20">
        <f t="shared" si="173"/>
        <v>0</v>
      </c>
      <c r="R360" s="20">
        <f t="shared" si="173"/>
        <v>0</v>
      </c>
      <c r="S360" s="20">
        <f t="shared" si="173"/>
        <v>0</v>
      </c>
      <c r="T360" s="20">
        <f t="shared" si="173"/>
        <v>0</v>
      </c>
      <c r="U360" s="20">
        <f t="shared" si="173"/>
        <v>0</v>
      </c>
      <c r="V360" s="20">
        <f t="shared" si="173"/>
        <v>0</v>
      </c>
      <c r="W360" s="20">
        <f t="shared" si="173"/>
        <v>0</v>
      </c>
      <c r="X360" s="20">
        <f t="shared" si="173"/>
        <v>0</v>
      </c>
      <c r="Y360" s="20">
        <f t="shared" si="173"/>
        <v>0</v>
      </c>
      <c r="Z360" s="20">
        <f t="shared" si="173"/>
        <v>0</v>
      </c>
      <c r="AA360" s="20">
        <f t="shared" si="173"/>
        <v>0</v>
      </c>
    </row>
    <row r="362" spans="1:27" x14ac:dyDescent="0.3">
      <c r="A362" s="8" t="s">
        <v>161</v>
      </c>
      <c r="B362" s="26">
        <f>$Z$360</f>
        <v>0</v>
      </c>
    </row>
    <row r="363" spans="1:27" x14ac:dyDescent="0.3">
      <c r="A363" s="16" t="s">
        <v>14</v>
      </c>
      <c r="B363" s="21">
        <f>$AA$360-$Z$360</f>
        <v>0</v>
      </c>
    </row>
    <row r="364" spans="1:27" x14ac:dyDescent="0.3">
      <c r="A364" s="16" t="s">
        <v>162</v>
      </c>
      <c r="B364" s="16" t="str">
        <f>IF(OR($F$336="missing",AND($B$319&gt;0,$F$346="missing")),"missing",IF(OR($F$336="estimated",AND($B$319&gt;0,$F$346="estimated")),"estimated",IF($B$319&gt;0,$F$346,$F$336)))</f>
        <v>missing</v>
      </c>
    </row>
    <row r="365" spans="1:27" x14ac:dyDescent="0.3">
      <c r="A365" s="16" t="s">
        <v>163</v>
      </c>
      <c r="B365" s="16">
        <f>IF(OR($F$336="missing",AND($B$319&gt;0,$F$346="missing"),$F$337="missing"),1,0)</f>
        <v>1</v>
      </c>
    </row>
    <row r="368" spans="1:27" ht="15.6" x14ac:dyDescent="0.3">
      <c r="A368" s="7" t="s">
        <v>96</v>
      </c>
    </row>
    <row r="369" spans="1:2" x14ac:dyDescent="0.3">
      <c r="A369" s="16" t="s">
        <v>104</v>
      </c>
      <c r="B369" s="12">
        <f>IF(CmpChild&lt;=NumChildren,1,0)</f>
        <v>1</v>
      </c>
    </row>
    <row r="370" spans="1:2" x14ac:dyDescent="0.3">
      <c r="A370" s="16" t="s">
        <v>30</v>
      </c>
      <c r="B370" s="12" t="str">
        <f>IF("Singapore"="","","Singapore")</f>
        <v>Singapore</v>
      </c>
    </row>
    <row r="371" spans="1:2" x14ac:dyDescent="0.3">
      <c r="A371" s="16" t="s">
        <v>31</v>
      </c>
      <c r="B371" s="12" t="str">
        <f>IF(CHOOSE(CmpChild,Inputs!$C$18,Inputs!$D$18,Inputs!$E$18,Inputs!$F$18)="","",CHOOSE(CmpChild,Inputs!$C$18,Inputs!$D$18,Inputs!$E$18,Inputs!$F$18))</f>
        <v/>
      </c>
    </row>
    <row r="372" spans="1:2" x14ac:dyDescent="0.3">
      <c r="A372" s="16" t="s">
        <v>105</v>
      </c>
      <c r="B372" s="12" t="str">
        <f>IF(CHOOSE(CmpChild,Inputs!$C$15,Inputs!$D$15,Inputs!$E$15,Inputs!$F$15)="","",CHOOSE(CmpChild,Inputs!$C$15,Inputs!$D$15,Inputs!$E$15,Inputs!$F$15))</f>
        <v/>
      </c>
    </row>
    <row r="373" spans="1:2" x14ac:dyDescent="0.3">
      <c r="A373" s="16" t="s">
        <v>106</v>
      </c>
      <c r="B373" s="12">
        <f>IF(CHOOSE(CmpChild,Inputs!$C$19,Inputs!$D$19,Inputs!$E$19,Inputs!$F$19)="","",CHOOSE(CmpChild,Inputs!$C$19,Inputs!$D$19,Inputs!$E$19,Inputs!$F$19))</f>
        <v>18</v>
      </c>
    </row>
    <row r="374" spans="1:2" x14ac:dyDescent="0.3">
      <c r="A374" s="16" t="s">
        <v>107</v>
      </c>
      <c r="B374" s="12" t="str">
        <f>IF($B$370="","",IF(COUNTIF(DomKey,$B$370&amp;"|"&amp;Nationality)&gt;0,"domestic","international"))</f>
        <v>international</v>
      </c>
    </row>
    <row r="375" spans="1:2" x14ac:dyDescent="0.3">
      <c r="A375" s="16" t="s">
        <v>108</v>
      </c>
      <c r="B375" s="12" t="str">
        <f>$B$370&amp;"|"&amp;$B$371&amp;"|"&amp;$B$374</f>
        <v>Singapore||international</v>
      </c>
    </row>
    <row r="376" spans="1:2" x14ac:dyDescent="0.3">
      <c r="A376" s="16" t="s">
        <v>109</v>
      </c>
      <c r="B376" s="12">
        <f>IFERROR(MATCH($B$375,DB_Key,0),0)</f>
        <v>0</v>
      </c>
    </row>
    <row r="377" spans="1:2" x14ac:dyDescent="0.3">
      <c r="A377" s="16" t="s">
        <v>110</v>
      </c>
      <c r="B377" s="12" t="str">
        <f>IFERROR(INDEX(Ctry_Ccy,MATCH($B$370,Ctry_Name,0)),"USD")</f>
        <v>SGD</v>
      </c>
    </row>
    <row r="378" spans="1:2" x14ac:dyDescent="0.3">
      <c r="A378" s="16" t="s">
        <v>68</v>
      </c>
      <c r="B378" s="12">
        <f>IF($B$376&gt;0,INDEX(DB_Dur,$B$376),0)</f>
        <v>0</v>
      </c>
    </row>
    <row r="379" spans="1:2" x14ac:dyDescent="0.3">
      <c r="A379" s="16" t="s">
        <v>111</v>
      </c>
      <c r="B379" s="12">
        <f>IF($B$376&gt;0,INDEX(DB_Avail,$B$376),0)</f>
        <v>0</v>
      </c>
    </row>
    <row r="380" spans="1:2" x14ac:dyDescent="0.3">
      <c r="A380" s="16" t="s">
        <v>112</v>
      </c>
      <c r="B380" s="12">
        <f>IF($B$376&gt;0,INDEX(DB_PreYears,$B$376),0)</f>
        <v>0</v>
      </c>
    </row>
    <row r="381" spans="1:2" x14ac:dyDescent="0.3">
      <c r="A381" s="16" t="s">
        <v>113</v>
      </c>
      <c r="B381" s="14">
        <f>IF(ISNUMBER(CHOOSE(CmpChild,Inputs!$C$20,Inputs!$D$20,Inputs!$E$20,Inputs!$F$20)),CHOOSE(CmpChild,Inputs!$C$20,Inputs!$D$20,Inputs!$E$20,Inputs!$F$20),IF($B$376&gt;0,INDEX(DB_TInf,$B$376),0))</f>
        <v>0</v>
      </c>
    </row>
    <row r="382" spans="1:2" x14ac:dyDescent="0.3">
      <c r="A382" s="16" t="s">
        <v>114</v>
      </c>
      <c r="B382" s="14">
        <f>IF(ISNUMBER(CHOOSE(CmpChild,Inputs!$C$21,Inputs!$D$21,Inputs!$E$21,Inputs!$F$21)),CHOOSE(CmpChild,Inputs!$C$21,Inputs!$D$21,Inputs!$E$21,Inputs!$F$21),IFERROR(INDEX(Ctry_LInf,MATCH($B$370,Ctry_Name,0)),0))</f>
        <v>0.03</v>
      </c>
    </row>
    <row r="383" spans="1:2" x14ac:dyDescent="0.3">
      <c r="A383" s="16" t="s">
        <v>115</v>
      </c>
      <c r="B383" s="12">
        <f>IF($B$387=1,MAX(0,$B$373-$B$372),0)</f>
        <v>0</v>
      </c>
    </row>
    <row r="384" spans="1:2" x14ac:dyDescent="0.3">
      <c r="A384" s="16" t="s">
        <v>116</v>
      </c>
      <c r="B384" s="12">
        <f>ROUNDUP($B$378,0)</f>
        <v>0</v>
      </c>
    </row>
    <row r="385" spans="1:10" x14ac:dyDescent="0.3">
      <c r="A385" s="16" t="s">
        <v>117</v>
      </c>
      <c r="B385" s="12">
        <f>IF($B$387=1,$B$383+$B$384,0)</f>
        <v>0</v>
      </c>
    </row>
    <row r="386" spans="1:10" x14ac:dyDescent="0.3">
      <c r="A386" s="16" t="s">
        <v>118</v>
      </c>
      <c r="B386" s="12">
        <f>MAX(0,$B$385-1)</f>
        <v>0</v>
      </c>
    </row>
    <row r="387" spans="1:10" x14ac:dyDescent="0.3">
      <c r="A387" s="16" t="s">
        <v>119</v>
      </c>
      <c r="B387" s="12">
        <f>IF(IFERROR(AND($B$369=1,$B$370&lt;&gt;"",$B$371&lt;&gt;"",$B$379=1,IFERROR(AND(ISNUMBER($B$372),$B$372&gt;=0,$B$372&lt;=18,INT($B$372)=$B$372),FALSE),IFERROR(AND(ISNUMBER($B$373),$B$373&gt;=14,$B$373&lt;=45,INT($B$373)=$B$373),FALSE)),FALSE),1,0)</f>
        <v>0</v>
      </c>
    </row>
    <row r="388" spans="1:10" x14ac:dyDescent="0.3">
      <c r="A388" s="16" t="s">
        <v>70</v>
      </c>
      <c r="B388" s="12" t="str">
        <f>IF($B$369&lt;&gt;1,"",IF(AND($B$372="",$B$370="",$B$371=""),"Enter this child's details on the Inputs sheet.",IF(NOT(IFERROR(AND(ISNUMBER($B$372),$B$372&gt;=0,$B$372&lt;=18,INT($B$372)=$B$372),FALSE)),"Choose the child's current age (0 to 18).",IF(NOT(IFERROR(AND(ISNUMBER($B$373),$B$373&gt;=14,$B$373&lt;=45,INT($B$373)=$B$373),FALSE)),"College-entry age must be a whole number from 14 to 45.",IF($B$370="","Choose the education country.",IF($B$371="","Choose the qualification.",IF($B$379&lt;&gt;1,"This qualification is not offered (or has no typical duration) in the selected country.","")))))))</f>
        <v>Choose the child's current age (0 to 18).</v>
      </c>
    </row>
    <row r="389" spans="1:10" x14ac:dyDescent="0.3">
      <c r="A389" s="16" t="s">
        <v>120</v>
      </c>
      <c r="B389" s="12">
        <f>INDEX(FxUsed,MATCH(RepCcy,FxCodes,0))/INDEX(FxUsed,MATCH($B$377,FxCodes,0))</f>
        <v>0.78132752234010716</v>
      </c>
    </row>
    <row r="390" spans="1:10" x14ac:dyDescent="0.3">
      <c r="A390" s="16" t="s">
        <v>121</v>
      </c>
      <c r="B390" s="12">
        <f>IF($B$376=0,0,COUNTIF(RecKey,$B$375))</f>
        <v>0</v>
      </c>
    </row>
    <row r="391" spans="1:10" x14ac:dyDescent="0.3">
      <c r="A391" s="16" t="s">
        <v>122</v>
      </c>
      <c r="B391" s="12" t="str">
        <f>IF($B$390&gt;0,INDEX(DB_RecCcy,$B$376),IF($B$376&gt;0,INDEX(DB_EstCcy,$B$376),$B$377))</f>
        <v>SGD</v>
      </c>
    </row>
    <row r="392" spans="1:10" x14ac:dyDescent="0.3">
      <c r="A392" s="16" t="s">
        <v>123</v>
      </c>
      <c r="B392" s="12">
        <f>IFERROR(MATCH($B$370&amp;"|"&amp;$B$374,LivKey,0),0)</f>
        <v>14</v>
      </c>
    </row>
    <row r="393" spans="1:10" x14ac:dyDescent="0.3">
      <c r="A393" s="16" t="s">
        <v>124</v>
      </c>
      <c r="B393" s="12">
        <f>IFERROR(MATCH($B$370&amp;"|"&amp;Nationality,VisaKey,0),0)</f>
        <v>421</v>
      </c>
    </row>
    <row r="394" spans="1:10" x14ac:dyDescent="0.3">
      <c r="A394" s="16" t="s">
        <v>125</v>
      </c>
      <c r="B394" s="12">
        <f>IFERROR(MATCH($B$370&amp;"|"&amp;Residence,TravKey,0),0)</f>
        <v>421</v>
      </c>
    </row>
    <row r="396" spans="1:10" ht="79.2" x14ac:dyDescent="0.3">
      <c r="A396" s="22" t="s">
        <v>126</v>
      </c>
      <c r="B396" s="22" t="s">
        <v>127</v>
      </c>
      <c r="C396" s="22" t="s">
        <v>128</v>
      </c>
      <c r="D396" s="22" t="s">
        <v>129</v>
      </c>
      <c r="E396" s="22" t="s">
        <v>130</v>
      </c>
      <c r="F396" s="22" t="s">
        <v>131</v>
      </c>
      <c r="G396" s="22" t="s">
        <v>132</v>
      </c>
      <c r="H396" s="22" t="s">
        <v>133</v>
      </c>
      <c r="I396" s="22" t="s">
        <v>134</v>
      </c>
      <c r="J396" s="22" t="s">
        <v>135</v>
      </c>
    </row>
    <row r="397" spans="1:10" x14ac:dyDescent="0.3">
      <c r="A397" s="16" t="s">
        <v>36</v>
      </c>
      <c r="B397" s="25">
        <f>IF($B$376=0,0,(IF($B$390&gt;0,SUMPRODUCT((RecKey=$B$375)*RecTuition*(1+$B$381)^(PlanYear-RecYear))/$B$390,INDEX(DB_EstTuition,$B$376)))/INDEX(FxUsed,MATCH($B$391,FxCodes,0))*INDEX(FxUsed,MATCH($B$377,FxCodes,0)))</f>
        <v>0</v>
      </c>
      <c r="C397" s="21"/>
      <c r="D397" s="25">
        <f t="shared" ref="D397:D408" si="174">IF(ISNUMBER(C397),IF(C397&gt;=0,C397,B397),B397)</f>
        <v>0</v>
      </c>
      <c r="E397" s="12">
        <f>IF(ISNUMBER(C397),PlanYear,IF($B$390&gt;0,PlanYear,IF($B$376&gt;0,INDEX(DB_EstBase,$B$376),PlanYear)))</f>
        <v>2026</v>
      </c>
      <c r="F397" s="12" t="str">
        <f>IF(ISNUMBER(C397),"override",IF($B$376=0,"missing",IF($B$390&gt;0,"verified",INDEX(DB_EstStatus,$B$376))))</f>
        <v>missing</v>
      </c>
      <c r="G397" s="16" t="str">
        <f t="shared" ref="G397:G408" si="175">IF(F397="verified","Published figure",IF(F397="estimated","Estimated — please review",IF(F397="notNeeded","Not needed",IF(F397="override","Your figure",IF(F397="missing","No figure yet — enter your own","")))))</f>
        <v>No figure yet — enter your own</v>
      </c>
      <c r="H397" s="16" t="s">
        <v>136</v>
      </c>
      <c r="I397" s="16" t="s">
        <v>137</v>
      </c>
      <c r="J397" s="16" t="s">
        <v>138</v>
      </c>
    </row>
    <row r="398" spans="1:10" x14ac:dyDescent="0.3">
      <c r="A398" s="16" t="s">
        <v>37</v>
      </c>
      <c r="B398" s="25">
        <f>IF($B$392=0,0,(INDEX(Liv_accommodation_Amt,$B$392))/INDEX(FxUsed,MATCH(INDEX(Liv_accommodation_Ccy,$B$392),FxCodes,0))*INDEX(FxUsed,MATCH($B$377,FxCodes,0)))</f>
        <v>5750</v>
      </c>
      <c r="C398" s="21"/>
      <c r="D398" s="25">
        <f t="shared" si="174"/>
        <v>5750</v>
      </c>
      <c r="E398" s="12">
        <f>IF(ISNUMBER(C398),PlanYear,IF($B$392=0,PlanYear,INDEX(Liv_accommodation_Base,$B$392)))</f>
        <v>2026</v>
      </c>
      <c r="F398" s="12" t="str">
        <f>IF(ISNUMBER(C398),"override",IF($B$392=0,"missing",INDEX(Liv_accommodation_Status,$B$392)))</f>
        <v>verified</v>
      </c>
      <c r="G398" s="16" t="str">
        <f t="shared" si="175"/>
        <v>Published figure</v>
      </c>
      <c r="H398" s="16" t="s">
        <v>139</v>
      </c>
      <c r="I398" s="16" t="s">
        <v>137</v>
      </c>
      <c r="J398" s="16" t="s">
        <v>138</v>
      </c>
    </row>
    <row r="399" spans="1:10" x14ac:dyDescent="0.3">
      <c r="A399" s="16" t="s">
        <v>38</v>
      </c>
      <c r="B399" s="25">
        <f>IF($B$392=0,0,(INDEX(Liv_food_Amt,$B$392))/INDEX(FxUsed,MATCH(INDEX(Liv_food_Ccy,$B$392),FxCodes,0))*INDEX(FxUsed,MATCH($B$377,FxCodes,0)))</f>
        <v>2600</v>
      </c>
      <c r="C399" s="21"/>
      <c r="D399" s="25">
        <f t="shared" si="174"/>
        <v>2600</v>
      </c>
      <c r="E399" s="12">
        <f>IF(ISNUMBER(C399),PlanYear,IF($B$392=0,PlanYear,INDEX(Liv_food_Base,$B$392)))</f>
        <v>2026</v>
      </c>
      <c r="F399" s="12" t="str">
        <f>IF(ISNUMBER(C399),"override",IF($B$392=0,"missing",INDEX(Liv_food_Status,$B$392)))</f>
        <v>verified</v>
      </c>
      <c r="G399" s="16" t="str">
        <f t="shared" si="175"/>
        <v>Published figure</v>
      </c>
      <c r="H399" s="16" t="s">
        <v>139</v>
      </c>
      <c r="I399" s="16" t="s">
        <v>137</v>
      </c>
      <c r="J399" s="16" t="s">
        <v>138</v>
      </c>
    </row>
    <row r="400" spans="1:10" x14ac:dyDescent="0.3">
      <c r="A400" s="16" t="s">
        <v>39</v>
      </c>
      <c r="B400" s="25">
        <f>IF($B$392=0,0,(INDEX(Liv_transport_Amt,$B$392))/INDEX(FxUsed,MATCH(INDEX(Liv_transport_Ccy,$B$392),FxCodes,0))*INDEX(FxUsed,MATCH($B$377,FxCodes,0)))</f>
        <v>799.99999999999989</v>
      </c>
      <c r="C400" s="21"/>
      <c r="D400" s="25">
        <f t="shared" si="174"/>
        <v>799.99999999999989</v>
      </c>
      <c r="E400" s="12">
        <f>IF(ISNUMBER(C400),PlanYear,IF($B$392=0,PlanYear,INDEX(Liv_transport_Base,$B$392)))</f>
        <v>2026</v>
      </c>
      <c r="F400" s="12" t="str">
        <f>IF(ISNUMBER(C400),"override",IF($B$392=0,"missing",INDEX(Liv_transport_Status,$B$392)))</f>
        <v>verified</v>
      </c>
      <c r="G400" s="16" t="str">
        <f t="shared" si="175"/>
        <v>Published figure</v>
      </c>
      <c r="H400" s="16" t="s">
        <v>139</v>
      </c>
      <c r="I400" s="16" t="s">
        <v>137</v>
      </c>
      <c r="J400" s="16" t="s">
        <v>138</v>
      </c>
    </row>
    <row r="401" spans="1:27" x14ac:dyDescent="0.3">
      <c r="A401" s="16" t="s">
        <v>40</v>
      </c>
      <c r="B401" s="25">
        <f>IF($B$392=0,0,(INDEX(Liv_healthInsurance_Amt,$B$392))/INDEX(FxUsed,MATCH(INDEX(Liv_healthInsurance_Ccy,$B$392),FxCodes,0))*INDEX(FxUsed,MATCH($B$377,FxCodes,0)))</f>
        <v>450</v>
      </c>
      <c r="C401" s="21"/>
      <c r="D401" s="25">
        <f t="shared" si="174"/>
        <v>450</v>
      </c>
      <c r="E401" s="12">
        <f>IF(ISNUMBER(C401),PlanYear,IF($B$392=0,PlanYear,INDEX(Liv_healthInsurance_Base,$B$392)))</f>
        <v>2026</v>
      </c>
      <c r="F401" s="12" t="str">
        <f>IF(ISNUMBER(C401),"override",IF($B$392=0,"missing",INDEX(Liv_healthInsurance_Status,$B$392)))</f>
        <v>estimated</v>
      </c>
      <c r="G401" s="16" t="str">
        <f t="shared" si="175"/>
        <v>Estimated — please review</v>
      </c>
      <c r="H401" s="16" t="s">
        <v>139</v>
      </c>
      <c r="I401" s="16" t="s">
        <v>137</v>
      </c>
      <c r="J401" s="16" t="s">
        <v>138</v>
      </c>
    </row>
    <row r="402" spans="1:27" x14ac:dyDescent="0.3">
      <c r="A402" s="16" t="s">
        <v>41</v>
      </c>
      <c r="B402" s="25">
        <f>IF($B$392=0,0,(INDEX(Liv_books_Amt,$B$392))/INDEX(FxUsed,MATCH(INDEX(Liv_books_Ccy,$B$392),FxCodes,0))*INDEX(FxUsed,MATCH($B$377,FxCodes,0)))</f>
        <v>399.99999999999994</v>
      </c>
      <c r="C402" s="21"/>
      <c r="D402" s="25">
        <f t="shared" si="174"/>
        <v>399.99999999999994</v>
      </c>
      <c r="E402" s="12">
        <f>IF(ISNUMBER(C402),PlanYear,IF($B$392=0,PlanYear,INDEX(Liv_books_Base,$B$392)))</f>
        <v>2026</v>
      </c>
      <c r="F402" s="12" t="str">
        <f>IF(ISNUMBER(C402),"override",IF($B$392=0,"missing",INDEX(Liv_books_Status,$B$392)))</f>
        <v>verified</v>
      </c>
      <c r="G402" s="16" t="str">
        <f t="shared" si="175"/>
        <v>Published figure</v>
      </c>
      <c r="H402" s="16" t="s">
        <v>139</v>
      </c>
      <c r="I402" s="16" t="s">
        <v>137</v>
      </c>
      <c r="J402" s="16" t="s">
        <v>138</v>
      </c>
    </row>
    <row r="403" spans="1:27" x14ac:dyDescent="0.3">
      <c r="A403" s="16" t="s">
        <v>42</v>
      </c>
      <c r="B403" s="25">
        <f>IF($B$376=0,0,(IF($B$390&gt;0,SUMPRODUCT((RecKey=$B$375)*RecOther*(1+$B$381)^(PlanYear-RecYear))/$B$390,INDEX(DB_EstOther,$B$376)))/INDEX(FxUsed,MATCH($B$391,FxCodes,0))*INDEX(FxUsed,MATCH($B$377,FxCodes,0)))</f>
        <v>0</v>
      </c>
      <c r="C403" s="21"/>
      <c r="D403" s="25">
        <f t="shared" si="174"/>
        <v>0</v>
      </c>
      <c r="E403" s="12">
        <f>IF(ISNUMBER(C403),PlanYear,IF($B$390&gt;0,PlanYear,IF($B$376&gt;0,INDEX(DB_EstBase,$B$376),PlanYear)))</f>
        <v>2026</v>
      </c>
      <c r="F403" s="12" t="str">
        <f>IF(ISNUMBER(C403),"override",IF($B$376=0,"missing",IF($B$390&gt;0,"verified",INDEX(DB_EstStatus,$B$376))))</f>
        <v>missing</v>
      </c>
      <c r="G403" s="16" t="str">
        <f t="shared" si="175"/>
        <v>No figure yet — enter your own</v>
      </c>
      <c r="H403" s="16" t="s">
        <v>136</v>
      </c>
      <c r="I403" s="16" t="s">
        <v>137</v>
      </c>
      <c r="J403" s="16" t="s">
        <v>138</v>
      </c>
    </row>
    <row r="404" spans="1:27" x14ac:dyDescent="0.3">
      <c r="A404" s="16" t="s">
        <v>140</v>
      </c>
      <c r="B404" s="25">
        <f>IF($B$380&gt;0,IF($B$380&gt;0,(INDEX(DB_PreAdm,$B$376))/INDEX(FxUsed,MATCH(INDEX(DB_PreCcy,$B$376),FxCodes,0))*INDEX(FxUsed,MATCH($B$377,FxCodes,0)),0),IF($B$376=0,0,(IF($B$390&gt;0,SUMPRODUCT((RecKey=$B$375)*RecAdm*(1+$B$381)^(PlanYear-RecYear))/$B$390,INDEX(DB_EstAdm,$B$376)))/INDEX(FxUsed,MATCH($B$391,FxCodes,0))*INDEX(FxUsed,MATCH($B$377,FxCodes,0))))</f>
        <v>0</v>
      </c>
      <c r="C404" s="21"/>
      <c r="D404" s="25">
        <f t="shared" si="174"/>
        <v>0</v>
      </c>
      <c r="E404" s="12">
        <f>IF(ISNUMBER(C404),PlanYear,IF($B$380&gt;0,INDEX(DB_PreBase,$B$376),IF($B$390&gt;0,PlanYear,IF($B$376&gt;0,INDEX(DB_EstBase,$B$376),PlanYear))))</f>
        <v>2026</v>
      </c>
      <c r="F404" s="12" t="str">
        <f>IF(ISNUMBER(C404),"override",IF($B$380&gt;0,INDEX(DB_PreStatus,$B$376),IF($B$376=0,"missing",IF($B$390&gt;0,"verified",INDEX(DB_EstStatus,$B$376)))))</f>
        <v>missing</v>
      </c>
      <c r="G404" s="16" t="str">
        <f t="shared" si="175"/>
        <v>No figure yet — enter your own</v>
      </c>
      <c r="H404" s="16" t="s">
        <v>136</v>
      </c>
      <c r="I404" s="16" t="s">
        <v>141</v>
      </c>
      <c r="J404" s="16" t="s">
        <v>138</v>
      </c>
    </row>
    <row r="405" spans="1:27" x14ac:dyDescent="0.3">
      <c r="A405" s="16" t="s">
        <v>142</v>
      </c>
      <c r="B405" s="25">
        <f>IF(OR($B$393=0,AND($B$374&lt;&gt;"domestic",Residence=$B$370,COUNTIF(ResNoVisa,$B$370)&gt;0)),0,(INDEX(VisaAmt,$B$393))/INDEX(FxUsed,MATCH(INDEX(VisaCcy,$B$393),FxCodes,0))*INDEX(FxUsed,MATCH($B$377,FxCodes,0)))</f>
        <v>120.00000000000001</v>
      </c>
      <c r="C405" s="21"/>
      <c r="D405" s="25">
        <f t="shared" si="174"/>
        <v>120.00000000000001</v>
      </c>
      <c r="E405" s="12">
        <f>IF(ISNUMBER(C405),PlanYear,IF(OR($B$393=0,AND($B$374&lt;&gt;"domestic",Residence=$B$370,COUNTIF(ResNoVisa,$B$370)&gt;0)),PlanYear,INDEX(VisaBase,$B$393)))</f>
        <v>2026</v>
      </c>
      <c r="F405" s="12" t="str">
        <f>IF(ISNUMBER(C405),"override",IF(AND($B$374&lt;&gt;"domestic",Residence=$B$370,COUNTIF(ResNoVisa,$B$370)&gt;0),"notNeeded",IF($B$393=0,"missing",INDEX(VisaStatus,$B$393))))</f>
        <v>verified</v>
      </c>
      <c r="G405" s="16" t="str">
        <f t="shared" si="175"/>
        <v>Published figure</v>
      </c>
      <c r="H405" s="16" t="s">
        <v>139</v>
      </c>
      <c r="I405" s="16" t="s">
        <v>141</v>
      </c>
      <c r="J405" s="16" t="s">
        <v>143</v>
      </c>
    </row>
    <row r="406" spans="1:27" x14ac:dyDescent="0.3">
      <c r="A406" s="16" t="s">
        <v>144</v>
      </c>
      <c r="B406" s="25">
        <f>IF($B$394=0,0,(INDEX(TravAmt,$B$394))/INDEX(FxUsed,MATCH(INDEX(TravCcy,$B$394),FxCodes,0))*INDEX(FxUsed,MATCH($B$377,FxCodes,0)))</f>
        <v>1151.8857</v>
      </c>
      <c r="C406" s="21"/>
      <c r="D406" s="25">
        <f t="shared" si="174"/>
        <v>1151.8857</v>
      </c>
      <c r="E406" s="12">
        <f>IF(ISNUMBER(C406),PlanYear,IF($B$394=0,PlanYear,INDEX(TravBase,$B$394)))</f>
        <v>2026</v>
      </c>
      <c r="F406" s="12" t="str">
        <f>IF(ISNUMBER(C406),"override",IF($B$394=0,"missing",INDEX(TravStatus,$B$394)))</f>
        <v>estimated</v>
      </c>
      <c r="G406" s="16" t="str">
        <f t="shared" si="175"/>
        <v>Estimated — please review</v>
      </c>
      <c r="H406" s="16" t="s">
        <v>139</v>
      </c>
      <c r="I406" s="16" t="s">
        <v>141</v>
      </c>
      <c r="J406" s="16" t="s">
        <v>143</v>
      </c>
    </row>
    <row r="407" spans="1:27" x14ac:dyDescent="0.3">
      <c r="A407" s="16" t="s">
        <v>46</v>
      </c>
      <c r="B407" s="25">
        <f>IF($B$380&gt;0,(INDEX(DB_PreTuition,$B$376))/INDEX(FxUsed,MATCH(INDEX(DB_PreCcy,$B$376),FxCodes,0))*INDEX(FxUsed,MATCH($B$377,FxCodes,0)),0)</f>
        <v>0</v>
      </c>
      <c r="C407" s="21"/>
      <c r="D407" s="25">
        <f t="shared" si="174"/>
        <v>0</v>
      </c>
      <c r="E407" s="12">
        <f>IF(ISNUMBER(C407),PlanYear,IF($B$380&gt;0,INDEX(DB_PreBase,$B$376),PlanYear))</f>
        <v>2026</v>
      </c>
      <c r="F407" s="12" t="str">
        <f>IF(ISNUMBER(C407),"override",IF($B$380&gt;0,INDEX(DB_PreStatus,$B$376),""))</f>
        <v/>
      </c>
      <c r="G407" s="16" t="str">
        <f t="shared" si="175"/>
        <v/>
      </c>
      <c r="H407" s="16" t="s">
        <v>136</v>
      </c>
      <c r="I407" s="16" t="s">
        <v>137</v>
      </c>
      <c r="J407" s="16" t="s">
        <v>138</v>
      </c>
    </row>
    <row r="408" spans="1:27" x14ac:dyDescent="0.3">
      <c r="A408" s="16" t="s">
        <v>47</v>
      </c>
      <c r="B408" s="25">
        <f>IF($B$380&gt;0,(INDEX(DB_PreOther,$B$376))/INDEX(FxUsed,MATCH(INDEX(DB_PreCcy,$B$376),FxCodes,0))*INDEX(FxUsed,MATCH($B$377,FxCodes,0)),0)</f>
        <v>0</v>
      </c>
      <c r="C408" s="21"/>
      <c r="D408" s="25">
        <f t="shared" si="174"/>
        <v>0</v>
      </c>
      <c r="E408" s="12">
        <f>IF(ISNUMBER(C408),PlanYear,IF($B$380&gt;0,INDEX(DB_PreBase,$B$376),PlanYear))</f>
        <v>2026</v>
      </c>
      <c r="F408" s="12" t="str">
        <f>IF(ISNUMBER(C408),"override",IF($B$380&gt;0,INDEX(DB_PreStatus,$B$376),""))</f>
        <v/>
      </c>
      <c r="G408" s="16" t="str">
        <f t="shared" si="175"/>
        <v/>
      </c>
      <c r="H408" s="16" t="s">
        <v>136</v>
      </c>
      <c r="I408" s="16" t="s">
        <v>137</v>
      </c>
      <c r="J408" s="16" t="s">
        <v>138</v>
      </c>
    </row>
    <row r="410" spans="1:27" ht="79.2" x14ac:dyDescent="0.3">
      <c r="A410" s="22" t="s">
        <v>145</v>
      </c>
      <c r="B410" s="22" t="s">
        <v>146</v>
      </c>
      <c r="C410" s="22" t="s">
        <v>147</v>
      </c>
      <c r="D410" s="22" t="s">
        <v>148</v>
      </c>
      <c r="E410" s="22" t="s">
        <v>149</v>
      </c>
      <c r="F410" s="22" t="s">
        <v>150</v>
      </c>
      <c r="G410" s="22" t="s">
        <v>151</v>
      </c>
      <c r="H410" s="22" t="s">
        <v>152</v>
      </c>
      <c r="I410" s="22" t="s">
        <v>153</v>
      </c>
      <c r="J410" s="22" t="s">
        <v>154</v>
      </c>
      <c r="K410" s="22" t="s">
        <v>155</v>
      </c>
      <c r="L410" s="22" t="s">
        <v>156</v>
      </c>
      <c r="M410" s="22" t="s">
        <v>157</v>
      </c>
      <c r="N410" s="22" t="s">
        <v>158</v>
      </c>
      <c r="O410" s="22" t="s">
        <v>159</v>
      </c>
      <c r="P410" s="22" t="s">
        <v>36</v>
      </c>
      <c r="Q410" s="22" t="s">
        <v>37</v>
      </c>
      <c r="R410" s="22" t="s">
        <v>38</v>
      </c>
      <c r="S410" s="22" t="s">
        <v>39</v>
      </c>
      <c r="T410" s="22" t="s">
        <v>40</v>
      </c>
      <c r="U410" s="22" t="s">
        <v>41</v>
      </c>
      <c r="V410" s="22" t="s">
        <v>42</v>
      </c>
      <c r="W410" s="22" t="s">
        <v>140</v>
      </c>
      <c r="X410" s="22" t="s">
        <v>142</v>
      </c>
      <c r="Y410" s="22" t="s">
        <v>144</v>
      </c>
      <c r="Z410" s="22" t="s">
        <v>83</v>
      </c>
      <c r="AA410" s="22" t="s">
        <v>160</v>
      </c>
    </row>
    <row r="411" spans="1:27" x14ac:dyDescent="0.3">
      <c r="A411" s="16">
        <v>0</v>
      </c>
      <c r="B411" s="16">
        <f t="shared" ref="B411:B420" si="176">PlanYear+$B$383+A411</f>
        <v>2026</v>
      </c>
      <c r="C411" s="16">
        <f t="shared" ref="C411:C420" si="177">MAX(0,MIN(1,$B$378-A411))</f>
        <v>0</v>
      </c>
      <c r="D411" s="16">
        <f t="shared" ref="D411:D420" si="178">IF(A411&lt;$B$380,1,0)</f>
        <v>0</v>
      </c>
      <c r="E411" s="16">
        <f t="shared" ref="E411:E420" si="179">IF(AND($B$387=1,A411&lt;$B$384),1,0)</f>
        <v>0</v>
      </c>
      <c r="F411" s="21">
        <f t="shared" ref="F411:F420" si="180">IF(AND(E411=1),IF(D411=1,$D$407,$D$397)*(1+$B$381)^(B411-IF(D411=1,$E$407,$E$397))*C411*$B$389,0)</f>
        <v>0</v>
      </c>
      <c r="G411" s="21">
        <f t="shared" ref="G411:G420" si="181">IF(AND(E411=1),$D$398*(1+$B$382)^(B411-$E$398)*C411*$B$389,0)</f>
        <v>0</v>
      </c>
      <c r="H411" s="21">
        <f t="shared" ref="H411:H420" si="182">IF(AND(E411=1),$D$399*(1+$B$382)^(B411-$E$399)*C411*$B$389,0)</f>
        <v>0</v>
      </c>
      <c r="I411" s="21">
        <f t="shared" ref="I411:I420" si="183">IF(AND(E411=1),$D$400*(1+$B$382)^(B411-$E$400)*C411*$B$389,0)</f>
        <v>0</v>
      </c>
      <c r="J411" s="21">
        <f t="shared" ref="J411:J420" si="184">IF(AND(E411=1),$D$401*(1+$B$382)^(B411-$E$401)*C411*$B$389,0)</f>
        <v>0</v>
      </c>
      <c r="K411" s="21">
        <f t="shared" ref="K411:K420" si="185">IF(AND(E411=1),$D$402*(1+$B$382)^(B411-$E$402)*C411*$B$389,0)</f>
        <v>0</v>
      </c>
      <c r="L411" s="21">
        <f t="shared" ref="L411:L420" si="186">IF(AND(E411=1),IF(D411=1,$D$408,$D$403)*(1+$B$381)^(B411-IF(D411=1,$E$408,$E$403))*C411*$B$389,0)</f>
        <v>0</v>
      </c>
      <c r="M411" s="21">
        <f t="shared" ref="M411:M420" si="187">IF(AND(E411=1,A411=0),$D$404*(1+$B$381)^(B411-$E$404)*$B$389,0)</f>
        <v>0</v>
      </c>
      <c r="N411" s="21">
        <f t="shared" ref="N411:N420" si="188">IF(AND(E411=1,A411=0),$D$405*(1+$B$382)^(B411-$E$405)*$B$389,0)</f>
        <v>0</v>
      </c>
      <c r="O411" s="21">
        <f t="shared" ref="O411:O420" si="189">IF(AND(E411=1,A411=0),$D$406*(1+$B$382)^(B411-$E$406)*$B$389,0)</f>
        <v>0</v>
      </c>
      <c r="P411" s="21">
        <f t="shared" ref="P411:P420" si="190">F411*(1-Coverage)</f>
        <v>0</v>
      </c>
      <c r="Q411" s="21">
        <f t="shared" ref="Q411:Q420" si="191">G411*(1-Coverage)</f>
        <v>0</v>
      </c>
      <c r="R411" s="21">
        <f t="shared" ref="R411:R420" si="192">H411*(1-Coverage)</f>
        <v>0</v>
      </c>
      <c r="S411" s="21">
        <f t="shared" ref="S411:S420" si="193">I411*(1-Coverage)</f>
        <v>0</v>
      </c>
      <c r="T411" s="21">
        <f t="shared" ref="T411:T420" si="194">J411*(1-Coverage)</f>
        <v>0</v>
      </c>
      <c r="U411" s="21">
        <f t="shared" ref="U411:U420" si="195">K411*(1-Coverage)</f>
        <v>0</v>
      </c>
      <c r="V411" s="21">
        <f t="shared" ref="V411:V420" si="196">L411*(1-Coverage)</f>
        <v>0</v>
      </c>
      <c r="W411" s="21">
        <f t="shared" ref="W411:W420" si="197">M411*(1-Coverage)</f>
        <v>0</v>
      </c>
      <c r="X411" s="21">
        <f t="shared" ref="X411:X420" si="198">N411*1</f>
        <v>0</v>
      </c>
      <c r="Y411" s="21">
        <f t="shared" ref="Y411:Y420" si="199">O411*1</f>
        <v>0</v>
      </c>
      <c r="Z411" s="20">
        <f t="shared" ref="Z411:Z420" si="200">SUM(P411:Y411)</f>
        <v>0</v>
      </c>
      <c r="AA411" s="21">
        <f t="shared" ref="AA411:AA420" si="201">SUM(F411:O411)</f>
        <v>0</v>
      </c>
    </row>
    <row r="412" spans="1:27" x14ac:dyDescent="0.3">
      <c r="A412" s="16">
        <v>1</v>
      </c>
      <c r="B412" s="16">
        <f t="shared" si="176"/>
        <v>2027</v>
      </c>
      <c r="C412" s="16">
        <f t="shared" si="177"/>
        <v>0</v>
      </c>
      <c r="D412" s="16">
        <f t="shared" si="178"/>
        <v>0</v>
      </c>
      <c r="E412" s="16">
        <f t="shared" si="179"/>
        <v>0</v>
      </c>
      <c r="F412" s="21">
        <f t="shared" si="180"/>
        <v>0</v>
      </c>
      <c r="G412" s="21">
        <f t="shared" si="181"/>
        <v>0</v>
      </c>
      <c r="H412" s="21">
        <f t="shared" si="182"/>
        <v>0</v>
      </c>
      <c r="I412" s="21">
        <f t="shared" si="183"/>
        <v>0</v>
      </c>
      <c r="J412" s="21">
        <f t="shared" si="184"/>
        <v>0</v>
      </c>
      <c r="K412" s="21">
        <f t="shared" si="185"/>
        <v>0</v>
      </c>
      <c r="L412" s="21">
        <f t="shared" si="186"/>
        <v>0</v>
      </c>
      <c r="M412" s="21">
        <f t="shared" si="187"/>
        <v>0</v>
      </c>
      <c r="N412" s="21">
        <f t="shared" si="188"/>
        <v>0</v>
      </c>
      <c r="O412" s="21">
        <f t="shared" si="189"/>
        <v>0</v>
      </c>
      <c r="P412" s="21">
        <f t="shared" si="190"/>
        <v>0</v>
      </c>
      <c r="Q412" s="21">
        <f t="shared" si="191"/>
        <v>0</v>
      </c>
      <c r="R412" s="21">
        <f t="shared" si="192"/>
        <v>0</v>
      </c>
      <c r="S412" s="21">
        <f t="shared" si="193"/>
        <v>0</v>
      </c>
      <c r="T412" s="21">
        <f t="shared" si="194"/>
        <v>0</v>
      </c>
      <c r="U412" s="21">
        <f t="shared" si="195"/>
        <v>0</v>
      </c>
      <c r="V412" s="21">
        <f t="shared" si="196"/>
        <v>0</v>
      </c>
      <c r="W412" s="21">
        <f t="shared" si="197"/>
        <v>0</v>
      </c>
      <c r="X412" s="21">
        <f t="shared" si="198"/>
        <v>0</v>
      </c>
      <c r="Y412" s="21">
        <f t="shared" si="199"/>
        <v>0</v>
      </c>
      <c r="Z412" s="20">
        <f t="shared" si="200"/>
        <v>0</v>
      </c>
      <c r="AA412" s="21">
        <f t="shared" si="201"/>
        <v>0</v>
      </c>
    </row>
    <row r="413" spans="1:27" x14ac:dyDescent="0.3">
      <c r="A413" s="16">
        <v>2</v>
      </c>
      <c r="B413" s="16">
        <f t="shared" si="176"/>
        <v>2028</v>
      </c>
      <c r="C413" s="16">
        <f t="shared" si="177"/>
        <v>0</v>
      </c>
      <c r="D413" s="16">
        <f t="shared" si="178"/>
        <v>0</v>
      </c>
      <c r="E413" s="16">
        <f t="shared" si="179"/>
        <v>0</v>
      </c>
      <c r="F413" s="21">
        <f t="shared" si="180"/>
        <v>0</v>
      </c>
      <c r="G413" s="21">
        <f t="shared" si="181"/>
        <v>0</v>
      </c>
      <c r="H413" s="21">
        <f t="shared" si="182"/>
        <v>0</v>
      </c>
      <c r="I413" s="21">
        <f t="shared" si="183"/>
        <v>0</v>
      </c>
      <c r="J413" s="21">
        <f t="shared" si="184"/>
        <v>0</v>
      </c>
      <c r="K413" s="21">
        <f t="shared" si="185"/>
        <v>0</v>
      </c>
      <c r="L413" s="21">
        <f t="shared" si="186"/>
        <v>0</v>
      </c>
      <c r="M413" s="21">
        <f t="shared" si="187"/>
        <v>0</v>
      </c>
      <c r="N413" s="21">
        <f t="shared" si="188"/>
        <v>0</v>
      </c>
      <c r="O413" s="21">
        <f t="shared" si="189"/>
        <v>0</v>
      </c>
      <c r="P413" s="21">
        <f t="shared" si="190"/>
        <v>0</v>
      </c>
      <c r="Q413" s="21">
        <f t="shared" si="191"/>
        <v>0</v>
      </c>
      <c r="R413" s="21">
        <f t="shared" si="192"/>
        <v>0</v>
      </c>
      <c r="S413" s="21">
        <f t="shared" si="193"/>
        <v>0</v>
      </c>
      <c r="T413" s="21">
        <f t="shared" si="194"/>
        <v>0</v>
      </c>
      <c r="U413" s="21">
        <f t="shared" si="195"/>
        <v>0</v>
      </c>
      <c r="V413" s="21">
        <f t="shared" si="196"/>
        <v>0</v>
      </c>
      <c r="W413" s="21">
        <f t="shared" si="197"/>
        <v>0</v>
      </c>
      <c r="X413" s="21">
        <f t="shared" si="198"/>
        <v>0</v>
      </c>
      <c r="Y413" s="21">
        <f t="shared" si="199"/>
        <v>0</v>
      </c>
      <c r="Z413" s="20">
        <f t="shared" si="200"/>
        <v>0</v>
      </c>
      <c r="AA413" s="21">
        <f t="shared" si="201"/>
        <v>0</v>
      </c>
    </row>
    <row r="414" spans="1:27" x14ac:dyDescent="0.3">
      <c r="A414" s="16">
        <v>3</v>
      </c>
      <c r="B414" s="16">
        <f t="shared" si="176"/>
        <v>2029</v>
      </c>
      <c r="C414" s="16">
        <f t="shared" si="177"/>
        <v>0</v>
      </c>
      <c r="D414" s="16">
        <f t="shared" si="178"/>
        <v>0</v>
      </c>
      <c r="E414" s="16">
        <f t="shared" si="179"/>
        <v>0</v>
      </c>
      <c r="F414" s="21">
        <f t="shared" si="180"/>
        <v>0</v>
      </c>
      <c r="G414" s="21">
        <f t="shared" si="181"/>
        <v>0</v>
      </c>
      <c r="H414" s="21">
        <f t="shared" si="182"/>
        <v>0</v>
      </c>
      <c r="I414" s="21">
        <f t="shared" si="183"/>
        <v>0</v>
      </c>
      <c r="J414" s="21">
        <f t="shared" si="184"/>
        <v>0</v>
      </c>
      <c r="K414" s="21">
        <f t="shared" si="185"/>
        <v>0</v>
      </c>
      <c r="L414" s="21">
        <f t="shared" si="186"/>
        <v>0</v>
      </c>
      <c r="M414" s="21">
        <f t="shared" si="187"/>
        <v>0</v>
      </c>
      <c r="N414" s="21">
        <f t="shared" si="188"/>
        <v>0</v>
      </c>
      <c r="O414" s="21">
        <f t="shared" si="189"/>
        <v>0</v>
      </c>
      <c r="P414" s="21">
        <f t="shared" si="190"/>
        <v>0</v>
      </c>
      <c r="Q414" s="21">
        <f t="shared" si="191"/>
        <v>0</v>
      </c>
      <c r="R414" s="21">
        <f t="shared" si="192"/>
        <v>0</v>
      </c>
      <c r="S414" s="21">
        <f t="shared" si="193"/>
        <v>0</v>
      </c>
      <c r="T414" s="21">
        <f t="shared" si="194"/>
        <v>0</v>
      </c>
      <c r="U414" s="21">
        <f t="shared" si="195"/>
        <v>0</v>
      </c>
      <c r="V414" s="21">
        <f t="shared" si="196"/>
        <v>0</v>
      </c>
      <c r="W414" s="21">
        <f t="shared" si="197"/>
        <v>0</v>
      </c>
      <c r="X414" s="21">
        <f t="shared" si="198"/>
        <v>0</v>
      </c>
      <c r="Y414" s="21">
        <f t="shared" si="199"/>
        <v>0</v>
      </c>
      <c r="Z414" s="20">
        <f t="shared" si="200"/>
        <v>0</v>
      </c>
      <c r="AA414" s="21">
        <f t="shared" si="201"/>
        <v>0</v>
      </c>
    </row>
    <row r="415" spans="1:27" x14ac:dyDescent="0.3">
      <c r="A415" s="16">
        <v>4</v>
      </c>
      <c r="B415" s="16">
        <f t="shared" si="176"/>
        <v>2030</v>
      </c>
      <c r="C415" s="16">
        <f t="shared" si="177"/>
        <v>0</v>
      </c>
      <c r="D415" s="16">
        <f t="shared" si="178"/>
        <v>0</v>
      </c>
      <c r="E415" s="16">
        <f t="shared" si="179"/>
        <v>0</v>
      </c>
      <c r="F415" s="21">
        <f t="shared" si="180"/>
        <v>0</v>
      </c>
      <c r="G415" s="21">
        <f t="shared" si="181"/>
        <v>0</v>
      </c>
      <c r="H415" s="21">
        <f t="shared" si="182"/>
        <v>0</v>
      </c>
      <c r="I415" s="21">
        <f t="shared" si="183"/>
        <v>0</v>
      </c>
      <c r="J415" s="21">
        <f t="shared" si="184"/>
        <v>0</v>
      </c>
      <c r="K415" s="21">
        <f t="shared" si="185"/>
        <v>0</v>
      </c>
      <c r="L415" s="21">
        <f t="shared" si="186"/>
        <v>0</v>
      </c>
      <c r="M415" s="21">
        <f t="shared" si="187"/>
        <v>0</v>
      </c>
      <c r="N415" s="21">
        <f t="shared" si="188"/>
        <v>0</v>
      </c>
      <c r="O415" s="21">
        <f t="shared" si="189"/>
        <v>0</v>
      </c>
      <c r="P415" s="21">
        <f t="shared" si="190"/>
        <v>0</v>
      </c>
      <c r="Q415" s="21">
        <f t="shared" si="191"/>
        <v>0</v>
      </c>
      <c r="R415" s="21">
        <f t="shared" si="192"/>
        <v>0</v>
      </c>
      <c r="S415" s="21">
        <f t="shared" si="193"/>
        <v>0</v>
      </c>
      <c r="T415" s="21">
        <f t="shared" si="194"/>
        <v>0</v>
      </c>
      <c r="U415" s="21">
        <f t="shared" si="195"/>
        <v>0</v>
      </c>
      <c r="V415" s="21">
        <f t="shared" si="196"/>
        <v>0</v>
      </c>
      <c r="W415" s="21">
        <f t="shared" si="197"/>
        <v>0</v>
      </c>
      <c r="X415" s="21">
        <f t="shared" si="198"/>
        <v>0</v>
      </c>
      <c r="Y415" s="21">
        <f t="shared" si="199"/>
        <v>0</v>
      </c>
      <c r="Z415" s="20">
        <f t="shared" si="200"/>
        <v>0</v>
      </c>
      <c r="AA415" s="21">
        <f t="shared" si="201"/>
        <v>0</v>
      </c>
    </row>
    <row r="416" spans="1:27" x14ac:dyDescent="0.3">
      <c r="A416" s="16">
        <v>5</v>
      </c>
      <c r="B416" s="16">
        <f t="shared" si="176"/>
        <v>2031</v>
      </c>
      <c r="C416" s="16">
        <f t="shared" si="177"/>
        <v>0</v>
      </c>
      <c r="D416" s="16">
        <f t="shared" si="178"/>
        <v>0</v>
      </c>
      <c r="E416" s="16">
        <f t="shared" si="179"/>
        <v>0</v>
      </c>
      <c r="F416" s="21">
        <f t="shared" si="180"/>
        <v>0</v>
      </c>
      <c r="G416" s="21">
        <f t="shared" si="181"/>
        <v>0</v>
      </c>
      <c r="H416" s="21">
        <f t="shared" si="182"/>
        <v>0</v>
      </c>
      <c r="I416" s="21">
        <f t="shared" si="183"/>
        <v>0</v>
      </c>
      <c r="J416" s="21">
        <f t="shared" si="184"/>
        <v>0</v>
      </c>
      <c r="K416" s="21">
        <f t="shared" si="185"/>
        <v>0</v>
      </c>
      <c r="L416" s="21">
        <f t="shared" si="186"/>
        <v>0</v>
      </c>
      <c r="M416" s="21">
        <f t="shared" si="187"/>
        <v>0</v>
      </c>
      <c r="N416" s="21">
        <f t="shared" si="188"/>
        <v>0</v>
      </c>
      <c r="O416" s="21">
        <f t="shared" si="189"/>
        <v>0</v>
      </c>
      <c r="P416" s="21">
        <f t="shared" si="190"/>
        <v>0</v>
      </c>
      <c r="Q416" s="21">
        <f t="shared" si="191"/>
        <v>0</v>
      </c>
      <c r="R416" s="21">
        <f t="shared" si="192"/>
        <v>0</v>
      </c>
      <c r="S416" s="21">
        <f t="shared" si="193"/>
        <v>0</v>
      </c>
      <c r="T416" s="21">
        <f t="shared" si="194"/>
        <v>0</v>
      </c>
      <c r="U416" s="21">
        <f t="shared" si="195"/>
        <v>0</v>
      </c>
      <c r="V416" s="21">
        <f t="shared" si="196"/>
        <v>0</v>
      </c>
      <c r="W416" s="21">
        <f t="shared" si="197"/>
        <v>0</v>
      </c>
      <c r="X416" s="21">
        <f t="shared" si="198"/>
        <v>0</v>
      </c>
      <c r="Y416" s="21">
        <f t="shared" si="199"/>
        <v>0</v>
      </c>
      <c r="Z416" s="20">
        <f t="shared" si="200"/>
        <v>0</v>
      </c>
      <c r="AA416" s="21">
        <f t="shared" si="201"/>
        <v>0</v>
      </c>
    </row>
    <row r="417" spans="1:27" x14ac:dyDescent="0.3">
      <c r="A417" s="16">
        <v>6</v>
      </c>
      <c r="B417" s="16">
        <f t="shared" si="176"/>
        <v>2032</v>
      </c>
      <c r="C417" s="16">
        <f t="shared" si="177"/>
        <v>0</v>
      </c>
      <c r="D417" s="16">
        <f t="shared" si="178"/>
        <v>0</v>
      </c>
      <c r="E417" s="16">
        <f t="shared" si="179"/>
        <v>0</v>
      </c>
      <c r="F417" s="21">
        <f t="shared" si="180"/>
        <v>0</v>
      </c>
      <c r="G417" s="21">
        <f t="shared" si="181"/>
        <v>0</v>
      </c>
      <c r="H417" s="21">
        <f t="shared" si="182"/>
        <v>0</v>
      </c>
      <c r="I417" s="21">
        <f t="shared" si="183"/>
        <v>0</v>
      </c>
      <c r="J417" s="21">
        <f t="shared" si="184"/>
        <v>0</v>
      </c>
      <c r="K417" s="21">
        <f t="shared" si="185"/>
        <v>0</v>
      </c>
      <c r="L417" s="21">
        <f t="shared" si="186"/>
        <v>0</v>
      </c>
      <c r="M417" s="21">
        <f t="shared" si="187"/>
        <v>0</v>
      </c>
      <c r="N417" s="21">
        <f t="shared" si="188"/>
        <v>0</v>
      </c>
      <c r="O417" s="21">
        <f t="shared" si="189"/>
        <v>0</v>
      </c>
      <c r="P417" s="21">
        <f t="shared" si="190"/>
        <v>0</v>
      </c>
      <c r="Q417" s="21">
        <f t="shared" si="191"/>
        <v>0</v>
      </c>
      <c r="R417" s="21">
        <f t="shared" si="192"/>
        <v>0</v>
      </c>
      <c r="S417" s="21">
        <f t="shared" si="193"/>
        <v>0</v>
      </c>
      <c r="T417" s="21">
        <f t="shared" si="194"/>
        <v>0</v>
      </c>
      <c r="U417" s="21">
        <f t="shared" si="195"/>
        <v>0</v>
      </c>
      <c r="V417" s="21">
        <f t="shared" si="196"/>
        <v>0</v>
      </c>
      <c r="W417" s="21">
        <f t="shared" si="197"/>
        <v>0</v>
      </c>
      <c r="X417" s="21">
        <f t="shared" si="198"/>
        <v>0</v>
      </c>
      <c r="Y417" s="21">
        <f t="shared" si="199"/>
        <v>0</v>
      </c>
      <c r="Z417" s="20">
        <f t="shared" si="200"/>
        <v>0</v>
      </c>
      <c r="AA417" s="21">
        <f t="shared" si="201"/>
        <v>0</v>
      </c>
    </row>
    <row r="418" spans="1:27" x14ac:dyDescent="0.3">
      <c r="A418" s="16">
        <v>7</v>
      </c>
      <c r="B418" s="16">
        <f t="shared" si="176"/>
        <v>2033</v>
      </c>
      <c r="C418" s="16">
        <f t="shared" si="177"/>
        <v>0</v>
      </c>
      <c r="D418" s="16">
        <f t="shared" si="178"/>
        <v>0</v>
      </c>
      <c r="E418" s="16">
        <f t="shared" si="179"/>
        <v>0</v>
      </c>
      <c r="F418" s="21">
        <f t="shared" si="180"/>
        <v>0</v>
      </c>
      <c r="G418" s="21">
        <f t="shared" si="181"/>
        <v>0</v>
      </c>
      <c r="H418" s="21">
        <f t="shared" si="182"/>
        <v>0</v>
      </c>
      <c r="I418" s="21">
        <f t="shared" si="183"/>
        <v>0</v>
      </c>
      <c r="J418" s="21">
        <f t="shared" si="184"/>
        <v>0</v>
      </c>
      <c r="K418" s="21">
        <f t="shared" si="185"/>
        <v>0</v>
      </c>
      <c r="L418" s="21">
        <f t="shared" si="186"/>
        <v>0</v>
      </c>
      <c r="M418" s="21">
        <f t="shared" si="187"/>
        <v>0</v>
      </c>
      <c r="N418" s="21">
        <f t="shared" si="188"/>
        <v>0</v>
      </c>
      <c r="O418" s="21">
        <f t="shared" si="189"/>
        <v>0</v>
      </c>
      <c r="P418" s="21">
        <f t="shared" si="190"/>
        <v>0</v>
      </c>
      <c r="Q418" s="21">
        <f t="shared" si="191"/>
        <v>0</v>
      </c>
      <c r="R418" s="21">
        <f t="shared" si="192"/>
        <v>0</v>
      </c>
      <c r="S418" s="21">
        <f t="shared" si="193"/>
        <v>0</v>
      </c>
      <c r="T418" s="21">
        <f t="shared" si="194"/>
        <v>0</v>
      </c>
      <c r="U418" s="21">
        <f t="shared" si="195"/>
        <v>0</v>
      </c>
      <c r="V418" s="21">
        <f t="shared" si="196"/>
        <v>0</v>
      </c>
      <c r="W418" s="21">
        <f t="shared" si="197"/>
        <v>0</v>
      </c>
      <c r="X418" s="21">
        <f t="shared" si="198"/>
        <v>0</v>
      </c>
      <c r="Y418" s="21">
        <f t="shared" si="199"/>
        <v>0</v>
      </c>
      <c r="Z418" s="20">
        <f t="shared" si="200"/>
        <v>0</v>
      </c>
      <c r="AA418" s="21">
        <f t="shared" si="201"/>
        <v>0</v>
      </c>
    </row>
    <row r="419" spans="1:27" x14ac:dyDescent="0.3">
      <c r="A419" s="16">
        <v>8</v>
      </c>
      <c r="B419" s="16">
        <f t="shared" si="176"/>
        <v>2034</v>
      </c>
      <c r="C419" s="16">
        <f t="shared" si="177"/>
        <v>0</v>
      </c>
      <c r="D419" s="16">
        <f t="shared" si="178"/>
        <v>0</v>
      </c>
      <c r="E419" s="16">
        <f t="shared" si="179"/>
        <v>0</v>
      </c>
      <c r="F419" s="21">
        <f t="shared" si="180"/>
        <v>0</v>
      </c>
      <c r="G419" s="21">
        <f t="shared" si="181"/>
        <v>0</v>
      </c>
      <c r="H419" s="21">
        <f t="shared" si="182"/>
        <v>0</v>
      </c>
      <c r="I419" s="21">
        <f t="shared" si="183"/>
        <v>0</v>
      </c>
      <c r="J419" s="21">
        <f t="shared" si="184"/>
        <v>0</v>
      </c>
      <c r="K419" s="21">
        <f t="shared" si="185"/>
        <v>0</v>
      </c>
      <c r="L419" s="21">
        <f t="shared" si="186"/>
        <v>0</v>
      </c>
      <c r="M419" s="21">
        <f t="shared" si="187"/>
        <v>0</v>
      </c>
      <c r="N419" s="21">
        <f t="shared" si="188"/>
        <v>0</v>
      </c>
      <c r="O419" s="21">
        <f t="shared" si="189"/>
        <v>0</v>
      </c>
      <c r="P419" s="21">
        <f t="shared" si="190"/>
        <v>0</v>
      </c>
      <c r="Q419" s="21">
        <f t="shared" si="191"/>
        <v>0</v>
      </c>
      <c r="R419" s="21">
        <f t="shared" si="192"/>
        <v>0</v>
      </c>
      <c r="S419" s="21">
        <f t="shared" si="193"/>
        <v>0</v>
      </c>
      <c r="T419" s="21">
        <f t="shared" si="194"/>
        <v>0</v>
      </c>
      <c r="U419" s="21">
        <f t="shared" si="195"/>
        <v>0</v>
      </c>
      <c r="V419" s="21">
        <f t="shared" si="196"/>
        <v>0</v>
      </c>
      <c r="W419" s="21">
        <f t="shared" si="197"/>
        <v>0</v>
      </c>
      <c r="X419" s="21">
        <f t="shared" si="198"/>
        <v>0</v>
      </c>
      <c r="Y419" s="21">
        <f t="shared" si="199"/>
        <v>0</v>
      </c>
      <c r="Z419" s="20">
        <f t="shared" si="200"/>
        <v>0</v>
      </c>
      <c r="AA419" s="21">
        <f t="shared" si="201"/>
        <v>0</v>
      </c>
    </row>
    <row r="420" spans="1:27" x14ac:dyDescent="0.3">
      <c r="A420" s="16">
        <v>9</v>
      </c>
      <c r="B420" s="16">
        <f t="shared" si="176"/>
        <v>2035</v>
      </c>
      <c r="C420" s="16">
        <f t="shared" si="177"/>
        <v>0</v>
      </c>
      <c r="D420" s="16">
        <f t="shared" si="178"/>
        <v>0</v>
      </c>
      <c r="E420" s="16">
        <f t="shared" si="179"/>
        <v>0</v>
      </c>
      <c r="F420" s="21">
        <f t="shared" si="180"/>
        <v>0</v>
      </c>
      <c r="G420" s="21">
        <f t="shared" si="181"/>
        <v>0</v>
      </c>
      <c r="H420" s="21">
        <f t="shared" si="182"/>
        <v>0</v>
      </c>
      <c r="I420" s="21">
        <f t="shared" si="183"/>
        <v>0</v>
      </c>
      <c r="J420" s="21">
        <f t="shared" si="184"/>
        <v>0</v>
      </c>
      <c r="K420" s="21">
        <f t="shared" si="185"/>
        <v>0</v>
      </c>
      <c r="L420" s="21">
        <f t="shared" si="186"/>
        <v>0</v>
      </c>
      <c r="M420" s="21">
        <f t="shared" si="187"/>
        <v>0</v>
      </c>
      <c r="N420" s="21">
        <f t="shared" si="188"/>
        <v>0</v>
      </c>
      <c r="O420" s="21">
        <f t="shared" si="189"/>
        <v>0</v>
      </c>
      <c r="P420" s="21">
        <f t="shared" si="190"/>
        <v>0</v>
      </c>
      <c r="Q420" s="21">
        <f t="shared" si="191"/>
        <v>0</v>
      </c>
      <c r="R420" s="21">
        <f t="shared" si="192"/>
        <v>0</v>
      </c>
      <c r="S420" s="21">
        <f t="shared" si="193"/>
        <v>0</v>
      </c>
      <c r="T420" s="21">
        <f t="shared" si="194"/>
        <v>0</v>
      </c>
      <c r="U420" s="21">
        <f t="shared" si="195"/>
        <v>0</v>
      </c>
      <c r="V420" s="21">
        <f t="shared" si="196"/>
        <v>0</v>
      </c>
      <c r="W420" s="21">
        <f t="shared" si="197"/>
        <v>0</v>
      </c>
      <c r="X420" s="21">
        <f t="shared" si="198"/>
        <v>0</v>
      </c>
      <c r="Y420" s="21">
        <f t="shared" si="199"/>
        <v>0</v>
      </c>
      <c r="Z420" s="20">
        <f t="shared" si="200"/>
        <v>0</v>
      </c>
      <c r="AA420" s="21">
        <f t="shared" si="201"/>
        <v>0</v>
      </c>
    </row>
    <row r="421" spans="1:27" x14ac:dyDescent="0.3">
      <c r="A421" s="8" t="s">
        <v>76</v>
      </c>
      <c r="F421" s="20">
        <f t="shared" ref="F421:AA421" si="202">SUM(F411:F420)</f>
        <v>0</v>
      </c>
      <c r="G421" s="20">
        <f t="shared" si="202"/>
        <v>0</v>
      </c>
      <c r="H421" s="20">
        <f t="shared" si="202"/>
        <v>0</v>
      </c>
      <c r="I421" s="20">
        <f t="shared" si="202"/>
        <v>0</v>
      </c>
      <c r="J421" s="20">
        <f t="shared" si="202"/>
        <v>0</v>
      </c>
      <c r="K421" s="20">
        <f t="shared" si="202"/>
        <v>0</v>
      </c>
      <c r="L421" s="20">
        <f t="shared" si="202"/>
        <v>0</v>
      </c>
      <c r="M421" s="20">
        <f t="shared" si="202"/>
        <v>0</v>
      </c>
      <c r="N421" s="20">
        <f t="shared" si="202"/>
        <v>0</v>
      </c>
      <c r="O421" s="20">
        <f t="shared" si="202"/>
        <v>0</v>
      </c>
      <c r="P421" s="20">
        <f t="shared" si="202"/>
        <v>0</v>
      </c>
      <c r="Q421" s="20">
        <f t="shared" si="202"/>
        <v>0</v>
      </c>
      <c r="R421" s="20">
        <f t="shared" si="202"/>
        <v>0</v>
      </c>
      <c r="S421" s="20">
        <f t="shared" si="202"/>
        <v>0</v>
      </c>
      <c r="T421" s="20">
        <f t="shared" si="202"/>
        <v>0</v>
      </c>
      <c r="U421" s="20">
        <f t="shared" si="202"/>
        <v>0</v>
      </c>
      <c r="V421" s="20">
        <f t="shared" si="202"/>
        <v>0</v>
      </c>
      <c r="W421" s="20">
        <f t="shared" si="202"/>
        <v>0</v>
      </c>
      <c r="X421" s="20">
        <f t="shared" si="202"/>
        <v>0</v>
      </c>
      <c r="Y421" s="20">
        <f t="shared" si="202"/>
        <v>0</v>
      </c>
      <c r="Z421" s="20">
        <f t="shared" si="202"/>
        <v>0</v>
      </c>
      <c r="AA421" s="20">
        <f t="shared" si="202"/>
        <v>0</v>
      </c>
    </row>
    <row r="423" spans="1:27" x14ac:dyDescent="0.3">
      <c r="A423" s="8" t="s">
        <v>161</v>
      </c>
      <c r="B423" s="26">
        <f>$Z$421</f>
        <v>0</v>
      </c>
    </row>
    <row r="424" spans="1:27" x14ac:dyDescent="0.3">
      <c r="A424" s="16" t="s">
        <v>14</v>
      </c>
      <c r="B424" s="21">
        <f>$AA$421-$Z$421</f>
        <v>0</v>
      </c>
    </row>
    <row r="425" spans="1:27" x14ac:dyDescent="0.3">
      <c r="A425" s="16" t="s">
        <v>162</v>
      </c>
      <c r="B425" s="16" t="str">
        <f>IF(OR($F$397="missing",AND($B$380&gt;0,$F$407="missing")),"missing",IF(OR($F$397="estimated",AND($B$380&gt;0,$F$407="estimated")),"estimated",IF($B$380&gt;0,$F$407,$F$397)))</f>
        <v>missing</v>
      </c>
    </row>
    <row r="426" spans="1:27" x14ac:dyDescent="0.3">
      <c r="A426" s="16" t="s">
        <v>163</v>
      </c>
      <c r="B426" s="16">
        <f>IF(OR($F$397="missing",AND($B$380&gt;0,$F$407="missing"),$F$398="missing"),1,0)</f>
        <v>1</v>
      </c>
    </row>
    <row r="429" spans="1:27" ht="15.6" x14ac:dyDescent="0.3">
      <c r="A429" s="7" t="s">
        <v>97</v>
      </c>
    </row>
    <row r="430" spans="1:27" x14ac:dyDescent="0.3">
      <c r="A430" s="16" t="s">
        <v>104</v>
      </c>
      <c r="B430" s="12">
        <f>IF(CmpChild&lt;=NumChildren,1,0)</f>
        <v>1</v>
      </c>
    </row>
    <row r="431" spans="1:27" x14ac:dyDescent="0.3">
      <c r="A431" s="16" t="s">
        <v>30</v>
      </c>
      <c r="B431" s="12" t="str">
        <f>IF("Malaysia"="","","Malaysia")</f>
        <v>Malaysia</v>
      </c>
    </row>
    <row r="432" spans="1:27" x14ac:dyDescent="0.3">
      <c r="A432" s="16" t="s">
        <v>31</v>
      </c>
      <c r="B432" s="12" t="str">
        <f>IF(CHOOSE(CmpChild,Inputs!$C$18,Inputs!$D$18,Inputs!$E$18,Inputs!$F$18)="","",CHOOSE(CmpChild,Inputs!$C$18,Inputs!$D$18,Inputs!$E$18,Inputs!$F$18))</f>
        <v/>
      </c>
    </row>
    <row r="433" spans="1:2" x14ac:dyDescent="0.3">
      <c r="A433" s="16" t="s">
        <v>105</v>
      </c>
      <c r="B433" s="12" t="str">
        <f>IF(CHOOSE(CmpChild,Inputs!$C$15,Inputs!$D$15,Inputs!$E$15,Inputs!$F$15)="","",CHOOSE(CmpChild,Inputs!$C$15,Inputs!$D$15,Inputs!$E$15,Inputs!$F$15))</f>
        <v/>
      </c>
    </row>
    <row r="434" spans="1:2" x14ac:dyDescent="0.3">
      <c r="A434" s="16" t="s">
        <v>106</v>
      </c>
      <c r="B434" s="12">
        <f>IF(CHOOSE(CmpChild,Inputs!$C$19,Inputs!$D$19,Inputs!$E$19,Inputs!$F$19)="","",CHOOSE(CmpChild,Inputs!$C$19,Inputs!$D$19,Inputs!$E$19,Inputs!$F$19))</f>
        <v>18</v>
      </c>
    </row>
    <row r="435" spans="1:2" x14ac:dyDescent="0.3">
      <c r="A435" s="16" t="s">
        <v>107</v>
      </c>
      <c r="B435" s="12" t="str">
        <f>IF($B$431="","",IF(COUNTIF(DomKey,$B$431&amp;"|"&amp;Nationality)&gt;0,"domestic","international"))</f>
        <v>international</v>
      </c>
    </row>
    <row r="436" spans="1:2" x14ac:dyDescent="0.3">
      <c r="A436" s="16" t="s">
        <v>108</v>
      </c>
      <c r="B436" s="12" t="str">
        <f>$B$431&amp;"|"&amp;$B$432&amp;"|"&amp;$B$435</f>
        <v>Malaysia||international</v>
      </c>
    </row>
    <row r="437" spans="1:2" x14ac:dyDescent="0.3">
      <c r="A437" s="16" t="s">
        <v>109</v>
      </c>
      <c r="B437" s="12">
        <f>IFERROR(MATCH($B$436,DB_Key,0),0)</f>
        <v>0</v>
      </c>
    </row>
    <row r="438" spans="1:2" x14ac:dyDescent="0.3">
      <c r="A438" s="16" t="s">
        <v>110</v>
      </c>
      <c r="B438" s="12" t="str">
        <f>IFERROR(INDEX(Ctry_Ccy,MATCH($B$431,Ctry_Name,0)),"USD")</f>
        <v>MYR</v>
      </c>
    </row>
    <row r="439" spans="1:2" x14ac:dyDescent="0.3">
      <c r="A439" s="16" t="s">
        <v>68</v>
      </c>
      <c r="B439" s="12">
        <f>IF($B$437&gt;0,INDEX(DB_Dur,$B$437),0)</f>
        <v>0</v>
      </c>
    </row>
    <row r="440" spans="1:2" x14ac:dyDescent="0.3">
      <c r="A440" s="16" t="s">
        <v>111</v>
      </c>
      <c r="B440" s="12">
        <f>IF($B$437&gt;0,INDEX(DB_Avail,$B$437),0)</f>
        <v>0</v>
      </c>
    </row>
    <row r="441" spans="1:2" x14ac:dyDescent="0.3">
      <c r="A441" s="16" t="s">
        <v>112</v>
      </c>
      <c r="B441" s="12">
        <f>IF($B$437&gt;0,INDEX(DB_PreYears,$B$437),0)</f>
        <v>0</v>
      </c>
    </row>
    <row r="442" spans="1:2" x14ac:dyDescent="0.3">
      <c r="A442" s="16" t="s">
        <v>113</v>
      </c>
      <c r="B442" s="14">
        <f>IF(ISNUMBER(CHOOSE(CmpChild,Inputs!$C$20,Inputs!$D$20,Inputs!$E$20,Inputs!$F$20)),CHOOSE(CmpChild,Inputs!$C$20,Inputs!$D$20,Inputs!$E$20,Inputs!$F$20),IF($B$437&gt;0,INDEX(DB_TInf,$B$437),0))</f>
        <v>0</v>
      </c>
    </row>
    <row r="443" spans="1:2" x14ac:dyDescent="0.3">
      <c r="A443" s="16" t="s">
        <v>114</v>
      </c>
      <c r="B443" s="14">
        <f>IF(ISNUMBER(CHOOSE(CmpChild,Inputs!$C$21,Inputs!$D$21,Inputs!$E$21,Inputs!$F$21)),CHOOSE(CmpChild,Inputs!$C$21,Inputs!$D$21,Inputs!$E$21,Inputs!$F$21),IFERROR(INDEX(Ctry_LInf,MATCH($B$431,Ctry_Name,0)),0))</f>
        <v>0.03</v>
      </c>
    </row>
    <row r="444" spans="1:2" x14ac:dyDescent="0.3">
      <c r="A444" s="16" t="s">
        <v>115</v>
      </c>
      <c r="B444" s="12">
        <f>IF($B$448=1,MAX(0,$B$434-$B$433),0)</f>
        <v>0</v>
      </c>
    </row>
    <row r="445" spans="1:2" x14ac:dyDescent="0.3">
      <c r="A445" s="16" t="s">
        <v>116</v>
      </c>
      <c r="B445" s="12">
        <f>ROUNDUP($B$439,0)</f>
        <v>0</v>
      </c>
    </row>
    <row r="446" spans="1:2" x14ac:dyDescent="0.3">
      <c r="A446" s="16" t="s">
        <v>117</v>
      </c>
      <c r="B446" s="12">
        <f>IF($B$448=1,$B$444+$B$445,0)</f>
        <v>0</v>
      </c>
    </row>
    <row r="447" spans="1:2" x14ac:dyDescent="0.3">
      <c r="A447" s="16" t="s">
        <v>118</v>
      </c>
      <c r="B447" s="12">
        <f>MAX(0,$B$446-1)</f>
        <v>0</v>
      </c>
    </row>
    <row r="448" spans="1:2" x14ac:dyDescent="0.3">
      <c r="A448" s="16" t="s">
        <v>119</v>
      </c>
      <c r="B448" s="12">
        <f>IF(IFERROR(AND($B$430=1,$B$431&lt;&gt;"",$B$432&lt;&gt;"",$B$440=1,IFERROR(AND(ISNUMBER($B$433),$B$433&gt;=0,$B$433&lt;=18,INT($B$433)=$B$433),FALSE),IFERROR(AND(ISNUMBER($B$434),$B$434&gt;=14,$B$434&lt;=45,INT($B$434)=$B$434),FALSE)),FALSE),1,0)</f>
        <v>0</v>
      </c>
    </row>
    <row r="449" spans="1:10" x14ac:dyDescent="0.3">
      <c r="A449" s="16" t="s">
        <v>70</v>
      </c>
      <c r="B449" s="12" t="str">
        <f>IF($B$430&lt;&gt;1,"",IF(AND($B$433="",$B$431="",$B$432=""),"Enter this child's details on the Inputs sheet.",IF(NOT(IFERROR(AND(ISNUMBER($B$433),$B$433&gt;=0,$B$433&lt;=18,INT($B$433)=$B$433),FALSE)),"Choose the child's current age (0 to 18).",IF(NOT(IFERROR(AND(ISNUMBER($B$434),$B$434&gt;=14,$B$434&lt;=45,INT($B$434)=$B$434),FALSE)),"College-entry age must be a whole number from 14 to 45.",IF($B$431="","Choose the education country.",IF($B$432="","Choose the qualification.",IF($B$440&lt;&gt;1,"This qualification is not offered (or has no typical duration) in the selected country.","")))))))</f>
        <v>Choose the child's current age (0 to 18).</v>
      </c>
    </row>
    <row r="450" spans="1:10" x14ac:dyDescent="0.3">
      <c r="A450" s="16" t="s">
        <v>120</v>
      </c>
      <c r="B450" s="12">
        <f>INDEX(FxUsed,MATCH(RepCcy,FxCodes,0))/INDEX(FxUsed,MATCH($B$438,FxCodes,0))</f>
        <v>0.24482632999455509</v>
      </c>
    </row>
    <row r="451" spans="1:10" x14ac:dyDescent="0.3">
      <c r="A451" s="16" t="s">
        <v>121</v>
      </c>
      <c r="B451" s="12">
        <f>IF($B$437=0,0,COUNTIF(RecKey,$B$436))</f>
        <v>0</v>
      </c>
    </row>
    <row r="452" spans="1:10" x14ac:dyDescent="0.3">
      <c r="A452" s="16" t="s">
        <v>122</v>
      </c>
      <c r="B452" s="12" t="str">
        <f>IF($B$451&gt;0,INDEX(DB_RecCcy,$B$437),IF($B$437&gt;0,INDEX(DB_EstCcy,$B$437),$B$438))</f>
        <v>MYR</v>
      </c>
    </row>
    <row r="453" spans="1:10" x14ac:dyDescent="0.3">
      <c r="A453" s="16" t="s">
        <v>123</v>
      </c>
      <c r="B453" s="12">
        <f>IFERROR(MATCH($B$431&amp;"|"&amp;$B$435,LivKey,0),0)</f>
        <v>16</v>
      </c>
    </row>
    <row r="454" spans="1:10" x14ac:dyDescent="0.3">
      <c r="A454" s="16" t="s">
        <v>124</v>
      </c>
      <c r="B454" s="12">
        <f>IFERROR(MATCH($B$431&amp;"|"&amp;Nationality,VisaKey,0),0)</f>
        <v>491</v>
      </c>
    </row>
    <row r="455" spans="1:10" x14ac:dyDescent="0.3">
      <c r="A455" s="16" t="s">
        <v>125</v>
      </c>
      <c r="B455" s="12">
        <f>IFERROR(MATCH($B$431&amp;"|"&amp;Residence,TravKey,0),0)</f>
        <v>491</v>
      </c>
    </row>
    <row r="457" spans="1:10" ht="79.2" x14ac:dyDescent="0.3">
      <c r="A457" s="22" t="s">
        <v>126</v>
      </c>
      <c r="B457" s="22" t="s">
        <v>127</v>
      </c>
      <c r="C457" s="22" t="s">
        <v>128</v>
      </c>
      <c r="D457" s="22" t="s">
        <v>129</v>
      </c>
      <c r="E457" s="22" t="s">
        <v>130</v>
      </c>
      <c r="F457" s="22" t="s">
        <v>131</v>
      </c>
      <c r="G457" s="22" t="s">
        <v>132</v>
      </c>
      <c r="H457" s="22" t="s">
        <v>133</v>
      </c>
      <c r="I457" s="22" t="s">
        <v>134</v>
      </c>
      <c r="J457" s="22" t="s">
        <v>135</v>
      </c>
    </row>
    <row r="458" spans="1:10" x14ac:dyDescent="0.3">
      <c r="A458" s="16" t="s">
        <v>36</v>
      </c>
      <c r="B458" s="25">
        <f>IF($B$437=0,0,(IF($B$451&gt;0,SUMPRODUCT((RecKey=$B$436)*RecTuition*(1+$B$442)^(PlanYear-RecYear))/$B$451,INDEX(DB_EstTuition,$B$437)))/INDEX(FxUsed,MATCH($B$452,FxCodes,0))*INDEX(FxUsed,MATCH($B$438,FxCodes,0)))</f>
        <v>0</v>
      </c>
      <c r="C458" s="21"/>
      <c r="D458" s="25">
        <f t="shared" ref="D458:D469" si="203">IF(ISNUMBER(C458),IF(C458&gt;=0,C458,B458),B458)</f>
        <v>0</v>
      </c>
      <c r="E458" s="12">
        <f>IF(ISNUMBER(C458),PlanYear,IF($B$451&gt;0,PlanYear,IF($B$437&gt;0,INDEX(DB_EstBase,$B$437),PlanYear)))</f>
        <v>2026</v>
      </c>
      <c r="F458" s="12" t="str">
        <f>IF(ISNUMBER(C458),"override",IF($B$437=0,"missing",IF($B$451&gt;0,"verified",INDEX(DB_EstStatus,$B$437))))</f>
        <v>missing</v>
      </c>
      <c r="G458" s="16" t="str">
        <f t="shared" ref="G458:G469" si="204">IF(F458="verified","Published figure",IF(F458="estimated","Estimated — please review",IF(F458="notNeeded","Not needed",IF(F458="override","Your figure",IF(F458="missing","No figure yet — enter your own","")))))</f>
        <v>No figure yet — enter your own</v>
      </c>
      <c r="H458" s="16" t="s">
        <v>136</v>
      </c>
      <c r="I458" s="16" t="s">
        <v>137</v>
      </c>
      <c r="J458" s="16" t="s">
        <v>138</v>
      </c>
    </row>
    <row r="459" spans="1:10" x14ac:dyDescent="0.3">
      <c r="A459" s="16" t="s">
        <v>37</v>
      </c>
      <c r="B459" s="25">
        <f>IF($B$453=0,0,(INDEX(Liv_accommodation_Amt,$B$453))/INDEX(FxUsed,MATCH(INDEX(Liv_accommodation_Ccy,$B$453),FxCodes,0))*INDEX(FxUsed,MATCH($B$438,FxCodes,0)))</f>
        <v>10200</v>
      </c>
      <c r="C459" s="21"/>
      <c r="D459" s="25">
        <f t="shared" si="203"/>
        <v>10200</v>
      </c>
      <c r="E459" s="12">
        <f>IF(ISNUMBER(C459),PlanYear,IF($B$453=0,PlanYear,INDEX(Liv_accommodation_Base,$B$453)))</f>
        <v>2026</v>
      </c>
      <c r="F459" s="12" t="str">
        <f>IF(ISNUMBER(C459),"override",IF($B$453=0,"missing",INDEX(Liv_accommodation_Status,$B$453)))</f>
        <v>verified</v>
      </c>
      <c r="G459" s="16" t="str">
        <f t="shared" si="204"/>
        <v>Published figure</v>
      </c>
      <c r="H459" s="16" t="s">
        <v>139</v>
      </c>
      <c r="I459" s="16" t="s">
        <v>137</v>
      </c>
      <c r="J459" s="16" t="s">
        <v>138</v>
      </c>
    </row>
    <row r="460" spans="1:10" x14ac:dyDescent="0.3">
      <c r="A460" s="16" t="s">
        <v>38</v>
      </c>
      <c r="B460" s="25">
        <f>IF($B$453=0,0,(INDEX(Liv_food_Amt,$B$453))/INDEX(FxUsed,MATCH(INDEX(Liv_food_Ccy,$B$453),FxCodes,0))*INDEX(FxUsed,MATCH($B$438,FxCodes,0)))</f>
        <v>7200</v>
      </c>
      <c r="C460" s="21"/>
      <c r="D460" s="25">
        <f t="shared" si="203"/>
        <v>7200</v>
      </c>
      <c r="E460" s="12">
        <f>IF(ISNUMBER(C460),PlanYear,IF($B$453=0,PlanYear,INDEX(Liv_food_Base,$B$453)))</f>
        <v>2026</v>
      </c>
      <c r="F460" s="12" t="str">
        <f>IF(ISNUMBER(C460),"override",IF($B$453=0,"missing",INDEX(Liv_food_Status,$B$453)))</f>
        <v>verified</v>
      </c>
      <c r="G460" s="16" t="str">
        <f t="shared" si="204"/>
        <v>Published figure</v>
      </c>
      <c r="H460" s="16" t="s">
        <v>139</v>
      </c>
      <c r="I460" s="16" t="s">
        <v>137</v>
      </c>
      <c r="J460" s="16" t="s">
        <v>138</v>
      </c>
    </row>
    <row r="461" spans="1:10" x14ac:dyDescent="0.3">
      <c r="A461" s="16" t="s">
        <v>39</v>
      </c>
      <c r="B461" s="25">
        <f>IF($B$453=0,0,(INDEX(Liv_transport_Amt,$B$453))/INDEX(FxUsed,MATCH(INDEX(Liv_transport_Ccy,$B$453),FxCodes,0))*INDEX(FxUsed,MATCH($B$438,FxCodes,0)))</f>
        <v>1200</v>
      </c>
      <c r="C461" s="21"/>
      <c r="D461" s="25">
        <f t="shared" si="203"/>
        <v>1200</v>
      </c>
      <c r="E461" s="12">
        <f>IF(ISNUMBER(C461),PlanYear,IF($B$453=0,PlanYear,INDEX(Liv_transport_Base,$B$453)))</f>
        <v>2026</v>
      </c>
      <c r="F461" s="12" t="str">
        <f>IF(ISNUMBER(C461),"override",IF($B$453=0,"missing",INDEX(Liv_transport_Status,$B$453)))</f>
        <v>verified</v>
      </c>
      <c r="G461" s="16" t="str">
        <f t="shared" si="204"/>
        <v>Published figure</v>
      </c>
      <c r="H461" s="16" t="s">
        <v>139</v>
      </c>
      <c r="I461" s="16" t="s">
        <v>137</v>
      </c>
      <c r="J461" s="16" t="s">
        <v>138</v>
      </c>
    </row>
    <row r="462" spans="1:10" x14ac:dyDescent="0.3">
      <c r="A462" s="16" t="s">
        <v>40</v>
      </c>
      <c r="B462" s="25">
        <f>IF($B$453=0,0,(INDEX(Liv_healthInsurance_Amt,$B$453))/INDEX(FxUsed,MATCH(INDEX(Liv_healthInsurance_Ccy,$B$453),FxCodes,0))*INDEX(FxUsed,MATCH($B$438,FxCodes,0)))</f>
        <v>644</v>
      </c>
      <c r="C462" s="21"/>
      <c r="D462" s="25">
        <f t="shared" si="203"/>
        <v>644</v>
      </c>
      <c r="E462" s="12">
        <f>IF(ISNUMBER(C462),PlanYear,IF($B$453=0,PlanYear,INDEX(Liv_healthInsurance_Base,$B$453)))</f>
        <v>2026</v>
      </c>
      <c r="F462" s="12" t="str">
        <f>IF(ISNUMBER(C462),"override",IF($B$453=0,"missing",INDEX(Liv_healthInsurance_Status,$B$453)))</f>
        <v>verified</v>
      </c>
      <c r="G462" s="16" t="str">
        <f t="shared" si="204"/>
        <v>Published figure</v>
      </c>
      <c r="H462" s="16" t="s">
        <v>139</v>
      </c>
      <c r="I462" s="16" t="s">
        <v>137</v>
      </c>
      <c r="J462" s="16" t="s">
        <v>138</v>
      </c>
    </row>
    <row r="463" spans="1:10" x14ac:dyDescent="0.3">
      <c r="A463" s="16" t="s">
        <v>41</v>
      </c>
      <c r="B463" s="25">
        <f>IF($B$453=0,0,(INDEX(Liv_books_Amt,$B$453))/INDEX(FxUsed,MATCH(INDEX(Liv_books_Ccy,$B$453),FxCodes,0))*INDEX(FxUsed,MATCH($B$438,FxCodes,0)))</f>
        <v>1000</v>
      </c>
      <c r="C463" s="21"/>
      <c r="D463" s="25">
        <f t="shared" si="203"/>
        <v>1000</v>
      </c>
      <c r="E463" s="12">
        <f>IF(ISNUMBER(C463),PlanYear,IF($B$453=0,PlanYear,INDEX(Liv_books_Base,$B$453)))</f>
        <v>2026</v>
      </c>
      <c r="F463" s="12" t="str">
        <f>IF(ISNUMBER(C463),"override",IF($B$453=0,"missing",INDEX(Liv_books_Status,$B$453)))</f>
        <v>estimated</v>
      </c>
      <c r="G463" s="16" t="str">
        <f t="shared" si="204"/>
        <v>Estimated — please review</v>
      </c>
      <c r="H463" s="16" t="s">
        <v>139</v>
      </c>
      <c r="I463" s="16" t="s">
        <v>137</v>
      </c>
      <c r="J463" s="16" t="s">
        <v>138</v>
      </c>
    </row>
    <row r="464" spans="1:10" x14ac:dyDescent="0.3">
      <c r="A464" s="16" t="s">
        <v>42</v>
      </c>
      <c r="B464" s="25">
        <f>IF($B$437=0,0,(IF($B$451&gt;0,SUMPRODUCT((RecKey=$B$436)*RecOther*(1+$B$442)^(PlanYear-RecYear))/$B$451,INDEX(DB_EstOther,$B$437)))/INDEX(FxUsed,MATCH($B$452,FxCodes,0))*INDEX(FxUsed,MATCH($B$438,FxCodes,0)))</f>
        <v>0</v>
      </c>
      <c r="C464" s="21"/>
      <c r="D464" s="25">
        <f t="shared" si="203"/>
        <v>0</v>
      </c>
      <c r="E464" s="12">
        <f>IF(ISNUMBER(C464),PlanYear,IF($B$451&gt;0,PlanYear,IF($B$437&gt;0,INDEX(DB_EstBase,$B$437),PlanYear)))</f>
        <v>2026</v>
      </c>
      <c r="F464" s="12" t="str">
        <f>IF(ISNUMBER(C464),"override",IF($B$437=0,"missing",IF($B$451&gt;0,"verified",INDEX(DB_EstStatus,$B$437))))</f>
        <v>missing</v>
      </c>
      <c r="G464" s="16" t="str">
        <f t="shared" si="204"/>
        <v>No figure yet — enter your own</v>
      </c>
      <c r="H464" s="16" t="s">
        <v>136</v>
      </c>
      <c r="I464" s="16" t="s">
        <v>137</v>
      </c>
      <c r="J464" s="16" t="s">
        <v>138</v>
      </c>
    </row>
    <row r="465" spans="1:27" x14ac:dyDescent="0.3">
      <c r="A465" s="16" t="s">
        <v>140</v>
      </c>
      <c r="B465" s="25">
        <f>IF($B$441&gt;0,IF($B$441&gt;0,(INDEX(DB_PreAdm,$B$437))/INDEX(FxUsed,MATCH(INDEX(DB_PreCcy,$B$437),FxCodes,0))*INDEX(FxUsed,MATCH($B$438,FxCodes,0)),0),IF($B$437=0,0,(IF($B$451&gt;0,SUMPRODUCT((RecKey=$B$436)*RecAdm*(1+$B$442)^(PlanYear-RecYear))/$B$451,INDEX(DB_EstAdm,$B$437)))/INDEX(FxUsed,MATCH($B$452,FxCodes,0))*INDEX(FxUsed,MATCH($B$438,FxCodes,0))))</f>
        <v>0</v>
      </c>
      <c r="C465" s="21"/>
      <c r="D465" s="25">
        <f t="shared" si="203"/>
        <v>0</v>
      </c>
      <c r="E465" s="12">
        <f>IF(ISNUMBER(C465),PlanYear,IF($B$441&gt;0,INDEX(DB_PreBase,$B$437),IF($B$451&gt;0,PlanYear,IF($B$437&gt;0,INDEX(DB_EstBase,$B$437),PlanYear))))</f>
        <v>2026</v>
      </c>
      <c r="F465" s="12" t="str">
        <f>IF(ISNUMBER(C465),"override",IF($B$441&gt;0,INDEX(DB_PreStatus,$B$437),IF($B$437=0,"missing",IF($B$451&gt;0,"verified",INDEX(DB_EstStatus,$B$437)))))</f>
        <v>missing</v>
      </c>
      <c r="G465" s="16" t="str">
        <f t="shared" si="204"/>
        <v>No figure yet — enter your own</v>
      </c>
      <c r="H465" s="16" t="s">
        <v>136</v>
      </c>
      <c r="I465" s="16" t="s">
        <v>141</v>
      </c>
      <c r="J465" s="16" t="s">
        <v>138</v>
      </c>
    </row>
    <row r="466" spans="1:27" x14ac:dyDescent="0.3">
      <c r="A466" s="16" t="s">
        <v>142</v>
      </c>
      <c r="B466" s="25">
        <f>IF(OR($B$454=0,AND($B$435&lt;&gt;"domestic",Residence=$B$431,COUNTIF(ResNoVisa,$B$431)&gt;0)),0,(INDEX(VisaAmt,$B$454))/INDEX(FxUsed,MATCH(INDEX(VisaCcy,$B$454),FxCodes,0))*INDEX(FxUsed,MATCH($B$438,FxCodes,0)))</f>
        <v>2920</v>
      </c>
      <c r="C466" s="21"/>
      <c r="D466" s="25">
        <f t="shared" si="203"/>
        <v>2920</v>
      </c>
      <c r="E466" s="12">
        <f>IF(ISNUMBER(C466),PlanYear,IF(OR($B$454=0,AND($B$435&lt;&gt;"domestic",Residence=$B$431,COUNTIF(ResNoVisa,$B$431)&gt;0)),PlanYear,INDEX(VisaBase,$B$454)))</f>
        <v>2026</v>
      </c>
      <c r="F466" s="12" t="str">
        <f>IF(ISNUMBER(C466),"override",IF(AND($B$435&lt;&gt;"domestic",Residence=$B$431,COUNTIF(ResNoVisa,$B$431)&gt;0),"notNeeded",IF($B$454=0,"missing",INDEX(VisaStatus,$B$454))))</f>
        <v>verified</v>
      </c>
      <c r="G466" s="16" t="str">
        <f t="shared" si="204"/>
        <v>Published figure</v>
      </c>
      <c r="H466" s="16" t="s">
        <v>139</v>
      </c>
      <c r="I466" s="16" t="s">
        <v>141</v>
      </c>
      <c r="J466" s="16" t="s">
        <v>143</v>
      </c>
    </row>
    <row r="467" spans="1:27" x14ac:dyDescent="0.3">
      <c r="A467" s="16" t="s">
        <v>144</v>
      </c>
      <c r="B467" s="25">
        <f>IF($B$455=0,0,(INDEX(TravAmt,$B$455))/INDEX(FxUsed,MATCH(INDEX(TravCcy,$B$455),FxCodes,0))*INDEX(FxUsed,MATCH($B$438,FxCodes,0)))</f>
        <v>3471.8487999999998</v>
      </c>
      <c r="C467" s="21"/>
      <c r="D467" s="25">
        <f t="shared" si="203"/>
        <v>3471.8487999999998</v>
      </c>
      <c r="E467" s="12">
        <f>IF(ISNUMBER(C467),PlanYear,IF($B$455=0,PlanYear,INDEX(TravBase,$B$455)))</f>
        <v>2026</v>
      </c>
      <c r="F467" s="12" t="str">
        <f>IF(ISNUMBER(C467),"override",IF($B$455=0,"missing",INDEX(TravStatus,$B$455)))</f>
        <v>estimated</v>
      </c>
      <c r="G467" s="16" t="str">
        <f t="shared" si="204"/>
        <v>Estimated — please review</v>
      </c>
      <c r="H467" s="16" t="s">
        <v>139</v>
      </c>
      <c r="I467" s="16" t="s">
        <v>141</v>
      </c>
      <c r="J467" s="16" t="s">
        <v>143</v>
      </c>
    </row>
    <row r="468" spans="1:27" x14ac:dyDescent="0.3">
      <c r="A468" s="16" t="s">
        <v>46</v>
      </c>
      <c r="B468" s="25">
        <f>IF($B$441&gt;0,(INDEX(DB_PreTuition,$B$437))/INDEX(FxUsed,MATCH(INDEX(DB_PreCcy,$B$437),FxCodes,0))*INDEX(FxUsed,MATCH($B$438,FxCodes,0)),0)</f>
        <v>0</v>
      </c>
      <c r="C468" s="21"/>
      <c r="D468" s="25">
        <f t="shared" si="203"/>
        <v>0</v>
      </c>
      <c r="E468" s="12">
        <f>IF(ISNUMBER(C468),PlanYear,IF($B$441&gt;0,INDEX(DB_PreBase,$B$437),PlanYear))</f>
        <v>2026</v>
      </c>
      <c r="F468" s="12" t="str">
        <f>IF(ISNUMBER(C468),"override",IF($B$441&gt;0,INDEX(DB_PreStatus,$B$437),""))</f>
        <v/>
      </c>
      <c r="G468" s="16" t="str">
        <f t="shared" si="204"/>
        <v/>
      </c>
      <c r="H468" s="16" t="s">
        <v>136</v>
      </c>
      <c r="I468" s="16" t="s">
        <v>137</v>
      </c>
      <c r="J468" s="16" t="s">
        <v>138</v>
      </c>
    </row>
    <row r="469" spans="1:27" x14ac:dyDescent="0.3">
      <c r="A469" s="16" t="s">
        <v>47</v>
      </c>
      <c r="B469" s="25">
        <f>IF($B$441&gt;0,(INDEX(DB_PreOther,$B$437))/INDEX(FxUsed,MATCH(INDEX(DB_PreCcy,$B$437),FxCodes,0))*INDEX(FxUsed,MATCH($B$438,FxCodes,0)),0)</f>
        <v>0</v>
      </c>
      <c r="C469" s="21"/>
      <c r="D469" s="25">
        <f t="shared" si="203"/>
        <v>0</v>
      </c>
      <c r="E469" s="12">
        <f>IF(ISNUMBER(C469),PlanYear,IF($B$441&gt;0,INDEX(DB_PreBase,$B$437),PlanYear))</f>
        <v>2026</v>
      </c>
      <c r="F469" s="12" t="str">
        <f>IF(ISNUMBER(C469),"override",IF($B$441&gt;0,INDEX(DB_PreStatus,$B$437),""))</f>
        <v/>
      </c>
      <c r="G469" s="16" t="str">
        <f t="shared" si="204"/>
        <v/>
      </c>
      <c r="H469" s="16" t="s">
        <v>136</v>
      </c>
      <c r="I469" s="16" t="s">
        <v>137</v>
      </c>
      <c r="J469" s="16" t="s">
        <v>138</v>
      </c>
    </row>
    <row r="471" spans="1:27" ht="79.2" x14ac:dyDescent="0.3">
      <c r="A471" s="22" t="s">
        <v>145</v>
      </c>
      <c r="B471" s="22" t="s">
        <v>146</v>
      </c>
      <c r="C471" s="22" t="s">
        <v>147</v>
      </c>
      <c r="D471" s="22" t="s">
        <v>148</v>
      </c>
      <c r="E471" s="22" t="s">
        <v>149</v>
      </c>
      <c r="F471" s="22" t="s">
        <v>150</v>
      </c>
      <c r="G471" s="22" t="s">
        <v>151</v>
      </c>
      <c r="H471" s="22" t="s">
        <v>152</v>
      </c>
      <c r="I471" s="22" t="s">
        <v>153</v>
      </c>
      <c r="J471" s="22" t="s">
        <v>154</v>
      </c>
      <c r="K471" s="22" t="s">
        <v>155</v>
      </c>
      <c r="L471" s="22" t="s">
        <v>156</v>
      </c>
      <c r="M471" s="22" t="s">
        <v>157</v>
      </c>
      <c r="N471" s="22" t="s">
        <v>158</v>
      </c>
      <c r="O471" s="22" t="s">
        <v>159</v>
      </c>
      <c r="P471" s="22" t="s">
        <v>36</v>
      </c>
      <c r="Q471" s="22" t="s">
        <v>37</v>
      </c>
      <c r="R471" s="22" t="s">
        <v>38</v>
      </c>
      <c r="S471" s="22" t="s">
        <v>39</v>
      </c>
      <c r="T471" s="22" t="s">
        <v>40</v>
      </c>
      <c r="U471" s="22" t="s">
        <v>41</v>
      </c>
      <c r="V471" s="22" t="s">
        <v>42</v>
      </c>
      <c r="W471" s="22" t="s">
        <v>140</v>
      </c>
      <c r="X471" s="22" t="s">
        <v>142</v>
      </c>
      <c r="Y471" s="22" t="s">
        <v>144</v>
      </c>
      <c r="Z471" s="22" t="s">
        <v>83</v>
      </c>
      <c r="AA471" s="22" t="s">
        <v>160</v>
      </c>
    </row>
    <row r="472" spans="1:27" x14ac:dyDescent="0.3">
      <c r="A472" s="16">
        <v>0</v>
      </c>
      <c r="B472" s="16">
        <f t="shared" ref="B472:B481" si="205">PlanYear+$B$444+A472</f>
        <v>2026</v>
      </c>
      <c r="C472" s="16">
        <f t="shared" ref="C472:C481" si="206">MAX(0,MIN(1,$B$439-A472))</f>
        <v>0</v>
      </c>
      <c r="D472" s="16">
        <f t="shared" ref="D472:D481" si="207">IF(A472&lt;$B$441,1,0)</f>
        <v>0</v>
      </c>
      <c r="E472" s="16">
        <f t="shared" ref="E472:E481" si="208">IF(AND($B$448=1,A472&lt;$B$445),1,0)</f>
        <v>0</v>
      </c>
      <c r="F472" s="21">
        <f t="shared" ref="F472:F481" si="209">IF(AND(E472=1),IF(D472=1,$D$468,$D$458)*(1+$B$442)^(B472-IF(D472=1,$E$468,$E$458))*C472*$B$450,0)</f>
        <v>0</v>
      </c>
      <c r="G472" s="21">
        <f t="shared" ref="G472:G481" si="210">IF(AND(E472=1),$D$459*(1+$B$443)^(B472-$E$459)*C472*$B$450,0)</f>
        <v>0</v>
      </c>
      <c r="H472" s="21">
        <f t="shared" ref="H472:H481" si="211">IF(AND(E472=1),$D$460*(1+$B$443)^(B472-$E$460)*C472*$B$450,0)</f>
        <v>0</v>
      </c>
      <c r="I472" s="21">
        <f t="shared" ref="I472:I481" si="212">IF(AND(E472=1),$D$461*(1+$B$443)^(B472-$E$461)*C472*$B$450,0)</f>
        <v>0</v>
      </c>
      <c r="J472" s="21">
        <f t="shared" ref="J472:J481" si="213">IF(AND(E472=1),$D$462*(1+$B$443)^(B472-$E$462)*C472*$B$450,0)</f>
        <v>0</v>
      </c>
      <c r="K472" s="21">
        <f t="shared" ref="K472:K481" si="214">IF(AND(E472=1),$D$463*(1+$B$443)^(B472-$E$463)*C472*$B$450,0)</f>
        <v>0</v>
      </c>
      <c r="L472" s="21">
        <f t="shared" ref="L472:L481" si="215">IF(AND(E472=1),IF(D472=1,$D$469,$D$464)*(1+$B$442)^(B472-IF(D472=1,$E$469,$E$464))*C472*$B$450,0)</f>
        <v>0</v>
      </c>
      <c r="M472" s="21">
        <f t="shared" ref="M472:M481" si="216">IF(AND(E472=1,A472=0),$D$465*(1+$B$442)^(B472-$E$465)*$B$450,0)</f>
        <v>0</v>
      </c>
      <c r="N472" s="21">
        <f t="shared" ref="N472:N481" si="217">IF(AND(E472=1,A472=0),$D$466*(1+$B$443)^(B472-$E$466)*$B$450,0)</f>
        <v>0</v>
      </c>
      <c r="O472" s="21">
        <f t="shared" ref="O472:O481" si="218">IF(AND(E472=1,A472=0),$D$467*(1+$B$443)^(B472-$E$467)*$B$450,0)</f>
        <v>0</v>
      </c>
      <c r="P472" s="21">
        <f t="shared" ref="P472:P481" si="219">F472*(1-Coverage)</f>
        <v>0</v>
      </c>
      <c r="Q472" s="21">
        <f t="shared" ref="Q472:Q481" si="220">G472*(1-Coverage)</f>
        <v>0</v>
      </c>
      <c r="R472" s="21">
        <f t="shared" ref="R472:R481" si="221">H472*(1-Coverage)</f>
        <v>0</v>
      </c>
      <c r="S472" s="21">
        <f t="shared" ref="S472:S481" si="222">I472*(1-Coverage)</f>
        <v>0</v>
      </c>
      <c r="T472" s="21">
        <f t="shared" ref="T472:T481" si="223">J472*(1-Coverage)</f>
        <v>0</v>
      </c>
      <c r="U472" s="21">
        <f t="shared" ref="U472:U481" si="224">K472*(1-Coverage)</f>
        <v>0</v>
      </c>
      <c r="V472" s="21">
        <f t="shared" ref="V472:V481" si="225">L472*(1-Coverage)</f>
        <v>0</v>
      </c>
      <c r="W472" s="21">
        <f t="shared" ref="W472:W481" si="226">M472*(1-Coverage)</f>
        <v>0</v>
      </c>
      <c r="X472" s="21">
        <f t="shared" ref="X472:X481" si="227">N472*1</f>
        <v>0</v>
      </c>
      <c r="Y472" s="21">
        <f t="shared" ref="Y472:Y481" si="228">O472*1</f>
        <v>0</v>
      </c>
      <c r="Z472" s="20">
        <f t="shared" ref="Z472:Z481" si="229">SUM(P472:Y472)</f>
        <v>0</v>
      </c>
      <c r="AA472" s="21">
        <f t="shared" ref="AA472:AA481" si="230">SUM(F472:O472)</f>
        <v>0</v>
      </c>
    </row>
    <row r="473" spans="1:27" x14ac:dyDescent="0.3">
      <c r="A473" s="16">
        <v>1</v>
      </c>
      <c r="B473" s="16">
        <f t="shared" si="205"/>
        <v>2027</v>
      </c>
      <c r="C473" s="16">
        <f t="shared" si="206"/>
        <v>0</v>
      </c>
      <c r="D473" s="16">
        <f t="shared" si="207"/>
        <v>0</v>
      </c>
      <c r="E473" s="16">
        <f t="shared" si="208"/>
        <v>0</v>
      </c>
      <c r="F473" s="21">
        <f t="shared" si="209"/>
        <v>0</v>
      </c>
      <c r="G473" s="21">
        <f t="shared" si="210"/>
        <v>0</v>
      </c>
      <c r="H473" s="21">
        <f t="shared" si="211"/>
        <v>0</v>
      </c>
      <c r="I473" s="21">
        <f t="shared" si="212"/>
        <v>0</v>
      </c>
      <c r="J473" s="21">
        <f t="shared" si="213"/>
        <v>0</v>
      </c>
      <c r="K473" s="21">
        <f t="shared" si="214"/>
        <v>0</v>
      </c>
      <c r="L473" s="21">
        <f t="shared" si="215"/>
        <v>0</v>
      </c>
      <c r="M473" s="21">
        <f t="shared" si="216"/>
        <v>0</v>
      </c>
      <c r="N473" s="21">
        <f t="shared" si="217"/>
        <v>0</v>
      </c>
      <c r="O473" s="21">
        <f t="shared" si="218"/>
        <v>0</v>
      </c>
      <c r="P473" s="21">
        <f t="shared" si="219"/>
        <v>0</v>
      </c>
      <c r="Q473" s="21">
        <f t="shared" si="220"/>
        <v>0</v>
      </c>
      <c r="R473" s="21">
        <f t="shared" si="221"/>
        <v>0</v>
      </c>
      <c r="S473" s="21">
        <f t="shared" si="222"/>
        <v>0</v>
      </c>
      <c r="T473" s="21">
        <f t="shared" si="223"/>
        <v>0</v>
      </c>
      <c r="U473" s="21">
        <f t="shared" si="224"/>
        <v>0</v>
      </c>
      <c r="V473" s="21">
        <f t="shared" si="225"/>
        <v>0</v>
      </c>
      <c r="W473" s="21">
        <f t="shared" si="226"/>
        <v>0</v>
      </c>
      <c r="X473" s="21">
        <f t="shared" si="227"/>
        <v>0</v>
      </c>
      <c r="Y473" s="21">
        <f t="shared" si="228"/>
        <v>0</v>
      </c>
      <c r="Z473" s="20">
        <f t="shared" si="229"/>
        <v>0</v>
      </c>
      <c r="AA473" s="21">
        <f t="shared" si="230"/>
        <v>0</v>
      </c>
    </row>
    <row r="474" spans="1:27" x14ac:dyDescent="0.3">
      <c r="A474" s="16">
        <v>2</v>
      </c>
      <c r="B474" s="16">
        <f t="shared" si="205"/>
        <v>2028</v>
      </c>
      <c r="C474" s="16">
        <f t="shared" si="206"/>
        <v>0</v>
      </c>
      <c r="D474" s="16">
        <f t="shared" si="207"/>
        <v>0</v>
      </c>
      <c r="E474" s="16">
        <f t="shared" si="208"/>
        <v>0</v>
      </c>
      <c r="F474" s="21">
        <f t="shared" si="209"/>
        <v>0</v>
      </c>
      <c r="G474" s="21">
        <f t="shared" si="210"/>
        <v>0</v>
      </c>
      <c r="H474" s="21">
        <f t="shared" si="211"/>
        <v>0</v>
      </c>
      <c r="I474" s="21">
        <f t="shared" si="212"/>
        <v>0</v>
      </c>
      <c r="J474" s="21">
        <f t="shared" si="213"/>
        <v>0</v>
      </c>
      <c r="K474" s="21">
        <f t="shared" si="214"/>
        <v>0</v>
      </c>
      <c r="L474" s="21">
        <f t="shared" si="215"/>
        <v>0</v>
      </c>
      <c r="M474" s="21">
        <f t="shared" si="216"/>
        <v>0</v>
      </c>
      <c r="N474" s="21">
        <f t="shared" si="217"/>
        <v>0</v>
      </c>
      <c r="O474" s="21">
        <f t="shared" si="218"/>
        <v>0</v>
      </c>
      <c r="P474" s="21">
        <f t="shared" si="219"/>
        <v>0</v>
      </c>
      <c r="Q474" s="21">
        <f t="shared" si="220"/>
        <v>0</v>
      </c>
      <c r="R474" s="21">
        <f t="shared" si="221"/>
        <v>0</v>
      </c>
      <c r="S474" s="21">
        <f t="shared" si="222"/>
        <v>0</v>
      </c>
      <c r="T474" s="21">
        <f t="shared" si="223"/>
        <v>0</v>
      </c>
      <c r="U474" s="21">
        <f t="shared" si="224"/>
        <v>0</v>
      </c>
      <c r="V474" s="21">
        <f t="shared" si="225"/>
        <v>0</v>
      </c>
      <c r="W474" s="21">
        <f t="shared" si="226"/>
        <v>0</v>
      </c>
      <c r="X474" s="21">
        <f t="shared" si="227"/>
        <v>0</v>
      </c>
      <c r="Y474" s="21">
        <f t="shared" si="228"/>
        <v>0</v>
      </c>
      <c r="Z474" s="20">
        <f t="shared" si="229"/>
        <v>0</v>
      </c>
      <c r="AA474" s="21">
        <f t="shared" si="230"/>
        <v>0</v>
      </c>
    </row>
    <row r="475" spans="1:27" x14ac:dyDescent="0.3">
      <c r="A475" s="16">
        <v>3</v>
      </c>
      <c r="B475" s="16">
        <f t="shared" si="205"/>
        <v>2029</v>
      </c>
      <c r="C475" s="16">
        <f t="shared" si="206"/>
        <v>0</v>
      </c>
      <c r="D475" s="16">
        <f t="shared" si="207"/>
        <v>0</v>
      </c>
      <c r="E475" s="16">
        <f t="shared" si="208"/>
        <v>0</v>
      </c>
      <c r="F475" s="21">
        <f t="shared" si="209"/>
        <v>0</v>
      </c>
      <c r="G475" s="21">
        <f t="shared" si="210"/>
        <v>0</v>
      </c>
      <c r="H475" s="21">
        <f t="shared" si="211"/>
        <v>0</v>
      </c>
      <c r="I475" s="21">
        <f t="shared" si="212"/>
        <v>0</v>
      </c>
      <c r="J475" s="21">
        <f t="shared" si="213"/>
        <v>0</v>
      </c>
      <c r="K475" s="21">
        <f t="shared" si="214"/>
        <v>0</v>
      </c>
      <c r="L475" s="21">
        <f t="shared" si="215"/>
        <v>0</v>
      </c>
      <c r="M475" s="21">
        <f t="shared" si="216"/>
        <v>0</v>
      </c>
      <c r="N475" s="21">
        <f t="shared" si="217"/>
        <v>0</v>
      </c>
      <c r="O475" s="21">
        <f t="shared" si="218"/>
        <v>0</v>
      </c>
      <c r="P475" s="21">
        <f t="shared" si="219"/>
        <v>0</v>
      </c>
      <c r="Q475" s="21">
        <f t="shared" si="220"/>
        <v>0</v>
      </c>
      <c r="R475" s="21">
        <f t="shared" si="221"/>
        <v>0</v>
      </c>
      <c r="S475" s="21">
        <f t="shared" si="222"/>
        <v>0</v>
      </c>
      <c r="T475" s="21">
        <f t="shared" si="223"/>
        <v>0</v>
      </c>
      <c r="U475" s="21">
        <f t="shared" si="224"/>
        <v>0</v>
      </c>
      <c r="V475" s="21">
        <f t="shared" si="225"/>
        <v>0</v>
      </c>
      <c r="W475" s="21">
        <f t="shared" si="226"/>
        <v>0</v>
      </c>
      <c r="X475" s="21">
        <f t="shared" si="227"/>
        <v>0</v>
      </c>
      <c r="Y475" s="21">
        <f t="shared" si="228"/>
        <v>0</v>
      </c>
      <c r="Z475" s="20">
        <f t="shared" si="229"/>
        <v>0</v>
      </c>
      <c r="AA475" s="21">
        <f t="shared" si="230"/>
        <v>0</v>
      </c>
    </row>
    <row r="476" spans="1:27" x14ac:dyDescent="0.3">
      <c r="A476" s="16">
        <v>4</v>
      </c>
      <c r="B476" s="16">
        <f t="shared" si="205"/>
        <v>2030</v>
      </c>
      <c r="C476" s="16">
        <f t="shared" si="206"/>
        <v>0</v>
      </c>
      <c r="D476" s="16">
        <f t="shared" si="207"/>
        <v>0</v>
      </c>
      <c r="E476" s="16">
        <f t="shared" si="208"/>
        <v>0</v>
      </c>
      <c r="F476" s="21">
        <f t="shared" si="209"/>
        <v>0</v>
      </c>
      <c r="G476" s="21">
        <f t="shared" si="210"/>
        <v>0</v>
      </c>
      <c r="H476" s="21">
        <f t="shared" si="211"/>
        <v>0</v>
      </c>
      <c r="I476" s="21">
        <f t="shared" si="212"/>
        <v>0</v>
      </c>
      <c r="J476" s="21">
        <f t="shared" si="213"/>
        <v>0</v>
      </c>
      <c r="K476" s="21">
        <f t="shared" si="214"/>
        <v>0</v>
      </c>
      <c r="L476" s="21">
        <f t="shared" si="215"/>
        <v>0</v>
      </c>
      <c r="M476" s="21">
        <f t="shared" si="216"/>
        <v>0</v>
      </c>
      <c r="N476" s="21">
        <f t="shared" si="217"/>
        <v>0</v>
      </c>
      <c r="O476" s="21">
        <f t="shared" si="218"/>
        <v>0</v>
      </c>
      <c r="P476" s="21">
        <f t="shared" si="219"/>
        <v>0</v>
      </c>
      <c r="Q476" s="21">
        <f t="shared" si="220"/>
        <v>0</v>
      </c>
      <c r="R476" s="21">
        <f t="shared" si="221"/>
        <v>0</v>
      </c>
      <c r="S476" s="21">
        <f t="shared" si="222"/>
        <v>0</v>
      </c>
      <c r="T476" s="21">
        <f t="shared" si="223"/>
        <v>0</v>
      </c>
      <c r="U476" s="21">
        <f t="shared" si="224"/>
        <v>0</v>
      </c>
      <c r="V476" s="21">
        <f t="shared" si="225"/>
        <v>0</v>
      </c>
      <c r="W476" s="21">
        <f t="shared" si="226"/>
        <v>0</v>
      </c>
      <c r="X476" s="21">
        <f t="shared" si="227"/>
        <v>0</v>
      </c>
      <c r="Y476" s="21">
        <f t="shared" si="228"/>
        <v>0</v>
      </c>
      <c r="Z476" s="20">
        <f t="shared" si="229"/>
        <v>0</v>
      </c>
      <c r="AA476" s="21">
        <f t="shared" si="230"/>
        <v>0</v>
      </c>
    </row>
    <row r="477" spans="1:27" x14ac:dyDescent="0.3">
      <c r="A477" s="16">
        <v>5</v>
      </c>
      <c r="B477" s="16">
        <f t="shared" si="205"/>
        <v>2031</v>
      </c>
      <c r="C477" s="16">
        <f t="shared" si="206"/>
        <v>0</v>
      </c>
      <c r="D477" s="16">
        <f t="shared" si="207"/>
        <v>0</v>
      </c>
      <c r="E477" s="16">
        <f t="shared" si="208"/>
        <v>0</v>
      </c>
      <c r="F477" s="21">
        <f t="shared" si="209"/>
        <v>0</v>
      </c>
      <c r="G477" s="21">
        <f t="shared" si="210"/>
        <v>0</v>
      </c>
      <c r="H477" s="21">
        <f t="shared" si="211"/>
        <v>0</v>
      </c>
      <c r="I477" s="21">
        <f t="shared" si="212"/>
        <v>0</v>
      </c>
      <c r="J477" s="21">
        <f t="shared" si="213"/>
        <v>0</v>
      </c>
      <c r="K477" s="21">
        <f t="shared" si="214"/>
        <v>0</v>
      </c>
      <c r="L477" s="21">
        <f t="shared" si="215"/>
        <v>0</v>
      </c>
      <c r="M477" s="21">
        <f t="shared" si="216"/>
        <v>0</v>
      </c>
      <c r="N477" s="21">
        <f t="shared" si="217"/>
        <v>0</v>
      </c>
      <c r="O477" s="21">
        <f t="shared" si="218"/>
        <v>0</v>
      </c>
      <c r="P477" s="21">
        <f t="shared" si="219"/>
        <v>0</v>
      </c>
      <c r="Q477" s="21">
        <f t="shared" si="220"/>
        <v>0</v>
      </c>
      <c r="R477" s="21">
        <f t="shared" si="221"/>
        <v>0</v>
      </c>
      <c r="S477" s="21">
        <f t="shared" si="222"/>
        <v>0</v>
      </c>
      <c r="T477" s="21">
        <f t="shared" si="223"/>
        <v>0</v>
      </c>
      <c r="U477" s="21">
        <f t="shared" si="224"/>
        <v>0</v>
      </c>
      <c r="V477" s="21">
        <f t="shared" si="225"/>
        <v>0</v>
      </c>
      <c r="W477" s="21">
        <f t="shared" si="226"/>
        <v>0</v>
      </c>
      <c r="X477" s="21">
        <f t="shared" si="227"/>
        <v>0</v>
      </c>
      <c r="Y477" s="21">
        <f t="shared" si="228"/>
        <v>0</v>
      </c>
      <c r="Z477" s="20">
        <f t="shared" si="229"/>
        <v>0</v>
      </c>
      <c r="AA477" s="21">
        <f t="shared" si="230"/>
        <v>0</v>
      </c>
    </row>
    <row r="478" spans="1:27" x14ac:dyDescent="0.3">
      <c r="A478" s="16">
        <v>6</v>
      </c>
      <c r="B478" s="16">
        <f t="shared" si="205"/>
        <v>2032</v>
      </c>
      <c r="C478" s="16">
        <f t="shared" si="206"/>
        <v>0</v>
      </c>
      <c r="D478" s="16">
        <f t="shared" si="207"/>
        <v>0</v>
      </c>
      <c r="E478" s="16">
        <f t="shared" si="208"/>
        <v>0</v>
      </c>
      <c r="F478" s="21">
        <f t="shared" si="209"/>
        <v>0</v>
      </c>
      <c r="G478" s="21">
        <f t="shared" si="210"/>
        <v>0</v>
      </c>
      <c r="H478" s="21">
        <f t="shared" si="211"/>
        <v>0</v>
      </c>
      <c r="I478" s="21">
        <f t="shared" si="212"/>
        <v>0</v>
      </c>
      <c r="J478" s="21">
        <f t="shared" si="213"/>
        <v>0</v>
      </c>
      <c r="K478" s="21">
        <f t="shared" si="214"/>
        <v>0</v>
      </c>
      <c r="L478" s="21">
        <f t="shared" si="215"/>
        <v>0</v>
      </c>
      <c r="M478" s="21">
        <f t="shared" si="216"/>
        <v>0</v>
      </c>
      <c r="N478" s="21">
        <f t="shared" si="217"/>
        <v>0</v>
      </c>
      <c r="O478" s="21">
        <f t="shared" si="218"/>
        <v>0</v>
      </c>
      <c r="P478" s="21">
        <f t="shared" si="219"/>
        <v>0</v>
      </c>
      <c r="Q478" s="21">
        <f t="shared" si="220"/>
        <v>0</v>
      </c>
      <c r="R478" s="21">
        <f t="shared" si="221"/>
        <v>0</v>
      </c>
      <c r="S478" s="21">
        <f t="shared" si="222"/>
        <v>0</v>
      </c>
      <c r="T478" s="21">
        <f t="shared" si="223"/>
        <v>0</v>
      </c>
      <c r="U478" s="21">
        <f t="shared" si="224"/>
        <v>0</v>
      </c>
      <c r="V478" s="21">
        <f t="shared" si="225"/>
        <v>0</v>
      </c>
      <c r="W478" s="21">
        <f t="shared" si="226"/>
        <v>0</v>
      </c>
      <c r="X478" s="21">
        <f t="shared" si="227"/>
        <v>0</v>
      </c>
      <c r="Y478" s="21">
        <f t="shared" si="228"/>
        <v>0</v>
      </c>
      <c r="Z478" s="20">
        <f t="shared" si="229"/>
        <v>0</v>
      </c>
      <c r="AA478" s="21">
        <f t="shared" si="230"/>
        <v>0</v>
      </c>
    </row>
    <row r="479" spans="1:27" x14ac:dyDescent="0.3">
      <c r="A479" s="16">
        <v>7</v>
      </c>
      <c r="B479" s="16">
        <f t="shared" si="205"/>
        <v>2033</v>
      </c>
      <c r="C479" s="16">
        <f t="shared" si="206"/>
        <v>0</v>
      </c>
      <c r="D479" s="16">
        <f t="shared" si="207"/>
        <v>0</v>
      </c>
      <c r="E479" s="16">
        <f t="shared" si="208"/>
        <v>0</v>
      </c>
      <c r="F479" s="21">
        <f t="shared" si="209"/>
        <v>0</v>
      </c>
      <c r="G479" s="21">
        <f t="shared" si="210"/>
        <v>0</v>
      </c>
      <c r="H479" s="21">
        <f t="shared" si="211"/>
        <v>0</v>
      </c>
      <c r="I479" s="21">
        <f t="shared" si="212"/>
        <v>0</v>
      </c>
      <c r="J479" s="21">
        <f t="shared" si="213"/>
        <v>0</v>
      </c>
      <c r="K479" s="21">
        <f t="shared" si="214"/>
        <v>0</v>
      </c>
      <c r="L479" s="21">
        <f t="shared" si="215"/>
        <v>0</v>
      </c>
      <c r="M479" s="21">
        <f t="shared" si="216"/>
        <v>0</v>
      </c>
      <c r="N479" s="21">
        <f t="shared" si="217"/>
        <v>0</v>
      </c>
      <c r="O479" s="21">
        <f t="shared" si="218"/>
        <v>0</v>
      </c>
      <c r="P479" s="21">
        <f t="shared" si="219"/>
        <v>0</v>
      </c>
      <c r="Q479" s="21">
        <f t="shared" si="220"/>
        <v>0</v>
      </c>
      <c r="R479" s="21">
        <f t="shared" si="221"/>
        <v>0</v>
      </c>
      <c r="S479" s="21">
        <f t="shared" si="222"/>
        <v>0</v>
      </c>
      <c r="T479" s="21">
        <f t="shared" si="223"/>
        <v>0</v>
      </c>
      <c r="U479" s="21">
        <f t="shared" si="224"/>
        <v>0</v>
      </c>
      <c r="V479" s="21">
        <f t="shared" si="225"/>
        <v>0</v>
      </c>
      <c r="W479" s="21">
        <f t="shared" si="226"/>
        <v>0</v>
      </c>
      <c r="X479" s="21">
        <f t="shared" si="227"/>
        <v>0</v>
      </c>
      <c r="Y479" s="21">
        <f t="shared" si="228"/>
        <v>0</v>
      </c>
      <c r="Z479" s="20">
        <f t="shared" si="229"/>
        <v>0</v>
      </c>
      <c r="AA479" s="21">
        <f t="shared" si="230"/>
        <v>0</v>
      </c>
    </row>
    <row r="480" spans="1:27" x14ac:dyDescent="0.3">
      <c r="A480" s="16">
        <v>8</v>
      </c>
      <c r="B480" s="16">
        <f t="shared" si="205"/>
        <v>2034</v>
      </c>
      <c r="C480" s="16">
        <f t="shared" si="206"/>
        <v>0</v>
      </c>
      <c r="D480" s="16">
        <f t="shared" si="207"/>
        <v>0</v>
      </c>
      <c r="E480" s="16">
        <f t="shared" si="208"/>
        <v>0</v>
      </c>
      <c r="F480" s="21">
        <f t="shared" si="209"/>
        <v>0</v>
      </c>
      <c r="G480" s="21">
        <f t="shared" si="210"/>
        <v>0</v>
      </c>
      <c r="H480" s="21">
        <f t="shared" si="211"/>
        <v>0</v>
      </c>
      <c r="I480" s="21">
        <f t="shared" si="212"/>
        <v>0</v>
      </c>
      <c r="J480" s="21">
        <f t="shared" si="213"/>
        <v>0</v>
      </c>
      <c r="K480" s="21">
        <f t="shared" si="214"/>
        <v>0</v>
      </c>
      <c r="L480" s="21">
        <f t="shared" si="215"/>
        <v>0</v>
      </c>
      <c r="M480" s="21">
        <f t="shared" si="216"/>
        <v>0</v>
      </c>
      <c r="N480" s="21">
        <f t="shared" si="217"/>
        <v>0</v>
      </c>
      <c r="O480" s="21">
        <f t="shared" si="218"/>
        <v>0</v>
      </c>
      <c r="P480" s="21">
        <f t="shared" si="219"/>
        <v>0</v>
      </c>
      <c r="Q480" s="21">
        <f t="shared" si="220"/>
        <v>0</v>
      </c>
      <c r="R480" s="21">
        <f t="shared" si="221"/>
        <v>0</v>
      </c>
      <c r="S480" s="21">
        <f t="shared" si="222"/>
        <v>0</v>
      </c>
      <c r="T480" s="21">
        <f t="shared" si="223"/>
        <v>0</v>
      </c>
      <c r="U480" s="21">
        <f t="shared" si="224"/>
        <v>0</v>
      </c>
      <c r="V480" s="21">
        <f t="shared" si="225"/>
        <v>0</v>
      </c>
      <c r="W480" s="21">
        <f t="shared" si="226"/>
        <v>0</v>
      </c>
      <c r="X480" s="21">
        <f t="shared" si="227"/>
        <v>0</v>
      </c>
      <c r="Y480" s="21">
        <f t="shared" si="228"/>
        <v>0</v>
      </c>
      <c r="Z480" s="20">
        <f t="shared" si="229"/>
        <v>0</v>
      </c>
      <c r="AA480" s="21">
        <f t="shared" si="230"/>
        <v>0</v>
      </c>
    </row>
    <row r="481" spans="1:27" x14ac:dyDescent="0.3">
      <c r="A481" s="16">
        <v>9</v>
      </c>
      <c r="B481" s="16">
        <f t="shared" si="205"/>
        <v>2035</v>
      </c>
      <c r="C481" s="16">
        <f t="shared" si="206"/>
        <v>0</v>
      </c>
      <c r="D481" s="16">
        <f t="shared" si="207"/>
        <v>0</v>
      </c>
      <c r="E481" s="16">
        <f t="shared" si="208"/>
        <v>0</v>
      </c>
      <c r="F481" s="21">
        <f t="shared" si="209"/>
        <v>0</v>
      </c>
      <c r="G481" s="21">
        <f t="shared" si="210"/>
        <v>0</v>
      </c>
      <c r="H481" s="21">
        <f t="shared" si="211"/>
        <v>0</v>
      </c>
      <c r="I481" s="21">
        <f t="shared" si="212"/>
        <v>0</v>
      </c>
      <c r="J481" s="21">
        <f t="shared" si="213"/>
        <v>0</v>
      </c>
      <c r="K481" s="21">
        <f t="shared" si="214"/>
        <v>0</v>
      </c>
      <c r="L481" s="21">
        <f t="shared" si="215"/>
        <v>0</v>
      </c>
      <c r="M481" s="21">
        <f t="shared" si="216"/>
        <v>0</v>
      </c>
      <c r="N481" s="21">
        <f t="shared" si="217"/>
        <v>0</v>
      </c>
      <c r="O481" s="21">
        <f t="shared" si="218"/>
        <v>0</v>
      </c>
      <c r="P481" s="21">
        <f t="shared" si="219"/>
        <v>0</v>
      </c>
      <c r="Q481" s="21">
        <f t="shared" si="220"/>
        <v>0</v>
      </c>
      <c r="R481" s="21">
        <f t="shared" si="221"/>
        <v>0</v>
      </c>
      <c r="S481" s="21">
        <f t="shared" si="222"/>
        <v>0</v>
      </c>
      <c r="T481" s="21">
        <f t="shared" si="223"/>
        <v>0</v>
      </c>
      <c r="U481" s="21">
        <f t="shared" si="224"/>
        <v>0</v>
      </c>
      <c r="V481" s="21">
        <f t="shared" si="225"/>
        <v>0</v>
      </c>
      <c r="W481" s="21">
        <f t="shared" si="226"/>
        <v>0</v>
      </c>
      <c r="X481" s="21">
        <f t="shared" si="227"/>
        <v>0</v>
      </c>
      <c r="Y481" s="21">
        <f t="shared" si="228"/>
        <v>0</v>
      </c>
      <c r="Z481" s="20">
        <f t="shared" si="229"/>
        <v>0</v>
      </c>
      <c r="AA481" s="21">
        <f t="shared" si="230"/>
        <v>0</v>
      </c>
    </row>
    <row r="482" spans="1:27" x14ac:dyDescent="0.3">
      <c r="A482" s="8" t="s">
        <v>76</v>
      </c>
      <c r="F482" s="20">
        <f t="shared" ref="F482:AA482" si="231">SUM(F472:F481)</f>
        <v>0</v>
      </c>
      <c r="G482" s="20">
        <f t="shared" si="231"/>
        <v>0</v>
      </c>
      <c r="H482" s="20">
        <f t="shared" si="231"/>
        <v>0</v>
      </c>
      <c r="I482" s="20">
        <f t="shared" si="231"/>
        <v>0</v>
      </c>
      <c r="J482" s="20">
        <f t="shared" si="231"/>
        <v>0</v>
      </c>
      <c r="K482" s="20">
        <f t="shared" si="231"/>
        <v>0</v>
      </c>
      <c r="L482" s="20">
        <f t="shared" si="231"/>
        <v>0</v>
      </c>
      <c r="M482" s="20">
        <f t="shared" si="231"/>
        <v>0</v>
      </c>
      <c r="N482" s="20">
        <f t="shared" si="231"/>
        <v>0</v>
      </c>
      <c r="O482" s="20">
        <f t="shared" si="231"/>
        <v>0</v>
      </c>
      <c r="P482" s="20">
        <f t="shared" si="231"/>
        <v>0</v>
      </c>
      <c r="Q482" s="20">
        <f t="shared" si="231"/>
        <v>0</v>
      </c>
      <c r="R482" s="20">
        <f t="shared" si="231"/>
        <v>0</v>
      </c>
      <c r="S482" s="20">
        <f t="shared" si="231"/>
        <v>0</v>
      </c>
      <c r="T482" s="20">
        <f t="shared" si="231"/>
        <v>0</v>
      </c>
      <c r="U482" s="20">
        <f t="shared" si="231"/>
        <v>0</v>
      </c>
      <c r="V482" s="20">
        <f t="shared" si="231"/>
        <v>0</v>
      </c>
      <c r="W482" s="20">
        <f t="shared" si="231"/>
        <v>0</v>
      </c>
      <c r="X482" s="20">
        <f t="shared" si="231"/>
        <v>0</v>
      </c>
      <c r="Y482" s="20">
        <f t="shared" si="231"/>
        <v>0</v>
      </c>
      <c r="Z482" s="20">
        <f t="shared" si="231"/>
        <v>0</v>
      </c>
      <c r="AA482" s="20">
        <f t="shared" si="231"/>
        <v>0</v>
      </c>
    </row>
    <row r="484" spans="1:27" x14ac:dyDescent="0.3">
      <c r="A484" s="8" t="s">
        <v>161</v>
      </c>
      <c r="B484" s="26">
        <f>$Z$482</f>
        <v>0</v>
      </c>
    </row>
    <row r="485" spans="1:27" x14ac:dyDescent="0.3">
      <c r="A485" s="16" t="s">
        <v>14</v>
      </c>
      <c r="B485" s="21">
        <f>$AA$482-$Z$482</f>
        <v>0</v>
      </c>
    </row>
    <row r="486" spans="1:27" x14ac:dyDescent="0.3">
      <c r="A486" s="16" t="s">
        <v>162</v>
      </c>
      <c r="B486" s="16" t="str">
        <f>IF(OR($F$458="missing",AND($B$441&gt;0,$F$468="missing")),"missing",IF(OR($F$458="estimated",AND($B$441&gt;0,$F$468="estimated")),"estimated",IF($B$441&gt;0,$F$468,$F$458)))</f>
        <v>missing</v>
      </c>
    </row>
    <row r="487" spans="1:27" x14ac:dyDescent="0.3">
      <c r="A487" s="16" t="s">
        <v>163</v>
      </c>
      <c r="B487" s="16">
        <f>IF(OR($F$458="missing",AND($B$441&gt;0,$F$468="missing"),$F$459="missing"),1,0)</f>
        <v>1</v>
      </c>
    </row>
    <row r="490" spans="1:27" ht="15.6" x14ac:dyDescent="0.3">
      <c r="A490" s="7" t="s">
        <v>98</v>
      </c>
    </row>
    <row r="491" spans="1:27" x14ac:dyDescent="0.3">
      <c r="A491" s="16" t="s">
        <v>104</v>
      </c>
      <c r="B491" s="12">
        <f>IF(CmpChild&lt;=NumChildren,1,0)</f>
        <v>1</v>
      </c>
    </row>
    <row r="492" spans="1:27" x14ac:dyDescent="0.3">
      <c r="A492" s="16" t="s">
        <v>30</v>
      </c>
      <c r="B492" s="12" t="str">
        <f>IF("Ireland"="","","Ireland")</f>
        <v>Ireland</v>
      </c>
    </row>
    <row r="493" spans="1:27" x14ac:dyDescent="0.3">
      <c r="A493" s="16" t="s">
        <v>31</v>
      </c>
      <c r="B493" s="12" t="str">
        <f>IF(CHOOSE(CmpChild,Inputs!$C$18,Inputs!$D$18,Inputs!$E$18,Inputs!$F$18)="","",CHOOSE(CmpChild,Inputs!$C$18,Inputs!$D$18,Inputs!$E$18,Inputs!$F$18))</f>
        <v/>
      </c>
    </row>
    <row r="494" spans="1:27" x14ac:dyDescent="0.3">
      <c r="A494" s="16" t="s">
        <v>105</v>
      </c>
      <c r="B494" s="12" t="str">
        <f>IF(CHOOSE(CmpChild,Inputs!$C$15,Inputs!$D$15,Inputs!$E$15,Inputs!$F$15)="","",CHOOSE(CmpChild,Inputs!$C$15,Inputs!$D$15,Inputs!$E$15,Inputs!$F$15))</f>
        <v/>
      </c>
    </row>
    <row r="495" spans="1:27" x14ac:dyDescent="0.3">
      <c r="A495" s="16" t="s">
        <v>106</v>
      </c>
      <c r="B495" s="12">
        <f>IF(CHOOSE(CmpChild,Inputs!$C$19,Inputs!$D$19,Inputs!$E$19,Inputs!$F$19)="","",CHOOSE(CmpChild,Inputs!$C$19,Inputs!$D$19,Inputs!$E$19,Inputs!$F$19))</f>
        <v>18</v>
      </c>
    </row>
    <row r="496" spans="1:27" x14ac:dyDescent="0.3">
      <c r="A496" s="16" t="s">
        <v>107</v>
      </c>
      <c r="B496" s="12" t="str">
        <f>IF($B$492="","",IF(COUNTIF(DomKey,$B$492&amp;"|"&amp;Nationality)&gt;0,"domestic","international"))</f>
        <v>international</v>
      </c>
    </row>
    <row r="497" spans="1:2" x14ac:dyDescent="0.3">
      <c r="A497" s="16" t="s">
        <v>108</v>
      </c>
      <c r="B497" s="12" t="str">
        <f>$B$492&amp;"|"&amp;$B$493&amp;"|"&amp;$B$496</f>
        <v>Ireland||international</v>
      </c>
    </row>
    <row r="498" spans="1:2" x14ac:dyDescent="0.3">
      <c r="A498" s="16" t="s">
        <v>109</v>
      </c>
      <c r="B498" s="12">
        <f>IFERROR(MATCH($B$497,DB_Key,0),0)</f>
        <v>0</v>
      </c>
    </row>
    <row r="499" spans="1:2" x14ac:dyDescent="0.3">
      <c r="A499" s="16" t="s">
        <v>110</v>
      </c>
      <c r="B499" s="12" t="str">
        <f>IFERROR(INDEX(Ctry_Ccy,MATCH($B$492,Ctry_Name,0)),"USD")</f>
        <v>EUR</v>
      </c>
    </row>
    <row r="500" spans="1:2" x14ac:dyDescent="0.3">
      <c r="A500" s="16" t="s">
        <v>68</v>
      </c>
      <c r="B500" s="12">
        <f>IF($B$498&gt;0,INDEX(DB_Dur,$B$498),0)</f>
        <v>0</v>
      </c>
    </row>
    <row r="501" spans="1:2" x14ac:dyDescent="0.3">
      <c r="A501" s="16" t="s">
        <v>111</v>
      </c>
      <c r="B501" s="12">
        <f>IF($B$498&gt;0,INDEX(DB_Avail,$B$498),0)</f>
        <v>0</v>
      </c>
    </row>
    <row r="502" spans="1:2" x14ac:dyDescent="0.3">
      <c r="A502" s="16" t="s">
        <v>112</v>
      </c>
      <c r="B502" s="12">
        <f>IF($B$498&gt;0,INDEX(DB_PreYears,$B$498),0)</f>
        <v>0</v>
      </c>
    </row>
    <row r="503" spans="1:2" x14ac:dyDescent="0.3">
      <c r="A503" s="16" t="s">
        <v>113</v>
      </c>
      <c r="B503" s="14">
        <f>IF(ISNUMBER(CHOOSE(CmpChild,Inputs!$C$20,Inputs!$D$20,Inputs!$E$20,Inputs!$F$20)),CHOOSE(CmpChild,Inputs!$C$20,Inputs!$D$20,Inputs!$E$20,Inputs!$F$20),IF($B$498&gt;0,INDEX(DB_TInf,$B$498),0))</f>
        <v>0</v>
      </c>
    </row>
    <row r="504" spans="1:2" x14ac:dyDescent="0.3">
      <c r="A504" s="16" t="s">
        <v>114</v>
      </c>
      <c r="B504" s="14">
        <f>IF(ISNUMBER(CHOOSE(CmpChild,Inputs!$C$21,Inputs!$D$21,Inputs!$E$21,Inputs!$F$21)),CHOOSE(CmpChild,Inputs!$C$21,Inputs!$D$21,Inputs!$E$21,Inputs!$F$21),IFERROR(INDEX(Ctry_LInf,MATCH($B$492,Ctry_Name,0)),0))</f>
        <v>0.04</v>
      </c>
    </row>
    <row r="505" spans="1:2" x14ac:dyDescent="0.3">
      <c r="A505" s="16" t="s">
        <v>115</v>
      </c>
      <c r="B505" s="12">
        <f>IF($B$509=1,MAX(0,$B$495-$B$494),0)</f>
        <v>0</v>
      </c>
    </row>
    <row r="506" spans="1:2" x14ac:dyDescent="0.3">
      <c r="A506" s="16" t="s">
        <v>116</v>
      </c>
      <c r="B506" s="12">
        <f>ROUNDUP($B$500,0)</f>
        <v>0</v>
      </c>
    </row>
    <row r="507" spans="1:2" x14ac:dyDescent="0.3">
      <c r="A507" s="16" t="s">
        <v>117</v>
      </c>
      <c r="B507" s="12">
        <f>IF($B$509=1,$B$505+$B$506,0)</f>
        <v>0</v>
      </c>
    </row>
    <row r="508" spans="1:2" x14ac:dyDescent="0.3">
      <c r="A508" s="16" t="s">
        <v>118</v>
      </c>
      <c r="B508" s="12">
        <f>MAX(0,$B$507-1)</f>
        <v>0</v>
      </c>
    </row>
    <row r="509" spans="1:2" x14ac:dyDescent="0.3">
      <c r="A509" s="16" t="s">
        <v>119</v>
      </c>
      <c r="B509" s="12">
        <f>IF(IFERROR(AND($B$491=1,$B$492&lt;&gt;"",$B$493&lt;&gt;"",$B$501=1,IFERROR(AND(ISNUMBER($B$494),$B$494&gt;=0,$B$494&lt;=18,INT($B$494)=$B$494),FALSE),IFERROR(AND(ISNUMBER($B$495),$B$495&gt;=14,$B$495&lt;=45,INT($B$495)=$B$495),FALSE)),FALSE),1,0)</f>
        <v>0</v>
      </c>
    </row>
    <row r="510" spans="1:2" x14ac:dyDescent="0.3">
      <c r="A510" s="16" t="s">
        <v>70</v>
      </c>
      <c r="B510" s="12" t="str">
        <f>IF($B$491&lt;&gt;1,"",IF(AND($B$494="",$B$492="",$B$493=""),"Enter this child's details on the Inputs sheet.",IF(NOT(IFERROR(AND(ISNUMBER($B$494),$B$494&gt;=0,$B$494&lt;=18,INT($B$494)=$B$494),FALSE)),"Choose the child's current age (0 to 18).",IF(NOT(IFERROR(AND(ISNUMBER($B$495),$B$495&gt;=14,$B$495&lt;=45,INT($B$495)=$B$495),FALSE)),"College-entry age must be a whole number from 14 to 45.",IF($B$492="","Choose the education country.",IF($B$493="","Choose the qualification.",IF($B$501&lt;&gt;1,"This qualification is not offered (or has no typical duration) in the selected country.","")))))))</f>
        <v>Choose the child's current age (0 to 18).</v>
      </c>
    </row>
    <row r="511" spans="1:2" x14ac:dyDescent="0.3">
      <c r="A511" s="16" t="s">
        <v>120</v>
      </c>
      <c r="B511" s="12">
        <f>INDEX(FxUsed,MATCH(RepCcy,FxCodes,0))/INDEX(FxUsed,MATCH($B$499,FxCodes,0))</f>
        <v>1.1298005224197616</v>
      </c>
    </row>
    <row r="512" spans="1:2" x14ac:dyDescent="0.3">
      <c r="A512" s="16" t="s">
        <v>121</v>
      </c>
      <c r="B512" s="12">
        <f>IF($B$498=0,0,COUNTIF(RecKey,$B$497))</f>
        <v>0</v>
      </c>
    </row>
    <row r="513" spans="1:10" x14ac:dyDescent="0.3">
      <c r="A513" s="16" t="s">
        <v>122</v>
      </c>
      <c r="B513" s="12" t="str">
        <f>IF($B$512&gt;0,INDEX(DB_RecCcy,$B$498),IF($B$498&gt;0,INDEX(DB_EstCcy,$B$498),$B$499))</f>
        <v>EUR</v>
      </c>
    </row>
    <row r="514" spans="1:10" x14ac:dyDescent="0.3">
      <c r="A514" s="16" t="s">
        <v>123</v>
      </c>
      <c r="B514" s="12">
        <f>IFERROR(MATCH($B$492&amp;"|"&amp;$B$496,LivKey,0),0)</f>
        <v>18</v>
      </c>
    </row>
    <row r="515" spans="1:10" x14ac:dyDescent="0.3">
      <c r="A515" s="16" t="s">
        <v>124</v>
      </c>
      <c r="B515" s="12">
        <f>IFERROR(MATCH($B$492&amp;"|"&amp;Nationality,VisaKey,0),0)</f>
        <v>561</v>
      </c>
    </row>
    <row r="516" spans="1:10" x14ac:dyDescent="0.3">
      <c r="A516" s="16" t="s">
        <v>125</v>
      </c>
      <c r="B516" s="12">
        <f>IFERROR(MATCH($B$492&amp;"|"&amp;Residence,TravKey,0),0)</f>
        <v>561</v>
      </c>
    </row>
    <row r="518" spans="1:10" ht="79.2" x14ac:dyDescent="0.3">
      <c r="A518" s="22" t="s">
        <v>126</v>
      </c>
      <c r="B518" s="22" t="s">
        <v>127</v>
      </c>
      <c r="C518" s="22" t="s">
        <v>128</v>
      </c>
      <c r="D518" s="22" t="s">
        <v>129</v>
      </c>
      <c r="E518" s="22" t="s">
        <v>130</v>
      </c>
      <c r="F518" s="22" t="s">
        <v>131</v>
      </c>
      <c r="G518" s="22" t="s">
        <v>132</v>
      </c>
      <c r="H518" s="22" t="s">
        <v>133</v>
      </c>
      <c r="I518" s="22" t="s">
        <v>134</v>
      </c>
      <c r="J518" s="22" t="s">
        <v>135</v>
      </c>
    </row>
    <row r="519" spans="1:10" x14ac:dyDescent="0.3">
      <c r="A519" s="16" t="s">
        <v>36</v>
      </c>
      <c r="B519" s="25">
        <f>IF($B$498=0,0,(IF($B$512&gt;0,SUMPRODUCT((RecKey=$B$497)*RecTuition*(1+$B$503)^(PlanYear-RecYear))/$B$512,INDEX(DB_EstTuition,$B$498)))/INDEX(FxUsed,MATCH($B$513,FxCodes,0))*INDEX(FxUsed,MATCH($B$499,FxCodes,0)))</f>
        <v>0</v>
      </c>
      <c r="C519" s="21"/>
      <c r="D519" s="25">
        <f t="shared" ref="D519:D530" si="232">IF(ISNUMBER(C519),IF(C519&gt;=0,C519,B519),B519)</f>
        <v>0</v>
      </c>
      <c r="E519" s="12">
        <f>IF(ISNUMBER(C519),PlanYear,IF($B$512&gt;0,PlanYear,IF($B$498&gt;0,INDEX(DB_EstBase,$B$498),PlanYear)))</f>
        <v>2026</v>
      </c>
      <c r="F519" s="12" t="str">
        <f>IF(ISNUMBER(C519),"override",IF($B$498=0,"missing",IF($B$512&gt;0,"verified",INDEX(DB_EstStatus,$B$498))))</f>
        <v>missing</v>
      </c>
      <c r="G519" s="16" t="str">
        <f t="shared" ref="G519:G530" si="233">IF(F519="verified","Published figure",IF(F519="estimated","Estimated — please review",IF(F519="notNeeded","Not needed",IF(F519="override","Your figure",IF(F519="missing","No figure yet — enter your own","")))))</f>
        <v>No figure yet — enter your own</v>
      </c>
      <c r="H519" s="16" t="s">
        <v>136</v>
      </c>
      <c r="I519" s="16" t="s">
        <v>137</v>
      </c>
      <c r="J519" s="16" t="s">
        <v>138</v>
      </c>
    </row>
    <row r="520" spans="1:10" x14ac:dyDescent="0.3">
      <c r="A520" s="16" t="s">
        <v>37</v>
      </c>
      <c r="B520" s="25">
        <f>IF($B$514=0,0,(INDEX(Liv_accommodation_Amt,$B$514))/INDEX(FxUsed,MATCH(INDEX(Liv_accommodation_Ccy,$B$514),FxCodes,0))*INDEX(FxUsed,MATCH($B$499,FxCodes,0)))</f>
        <v>7227</v>
      </c>
      <c r="C520" s="21"/>
      <c r="D520" s="25">
        <f t="shared" si="232"/>
        <v>7227</v>
      </c>
      <c r="E520" s="12">
        <f>IF(ISNUMBER(C520),PlanYear,IF($B$514=0,PlanYear,INDEX(Liv_accommodation_Base,$B$514)))</f>
        <v>2026</v>
      </c>
      <c r="F520" s="12" t="str">
        <f>IF(ISNUMBER(C520),"override",IF($B$514=0,"missing",INDEX(Liv_accommodation_Status,$B$514)))</f>
        <v>verified</v>
      </c>
      <c r="G520" s="16" t="str">
        <f t="shared" si="233"/>
        <v>Published figure</v>
      </c>
      <c r="H520" s="16" t="s">
        <v>139</v>
      </c>
      <c r="I520" s="16" t="s">
        <v>137</v>
      </c>
      <c r="J520" s="16" t="s">
        <v>138</v>
      </c>
    </row>
    <row r="521" spans="1:10" x14ac:dyDescent="0.3">
      <c r="A521" s="16" t="s">
        <v>38</v>
      </c>
      <c r="B521" s="25">
        <f>IF($B$514=0,0,(INDEX(Liv_food_Amt,$B$514))/INDEX(FxUsed,MATCH(INDEX(Liv_food_Ccy,$B$514),FxCodes,0))*INDEX(FxUsed,MATCH($B$499,FxCodes,0)))</f>
        <v>3000</v>
      </c>
      <c r="C521" s="21"/>
      <c r="D521" s="25">
        <f t="shared" si="232"/>
        <v>3000</v>
      </c>
      <c r="E521" s="12">
        <f>IF(ISNUMBER(C521),PlanYear,IF($B$514=0,PlanYear,INDEX(Liv_food_Base,$B$514)))</f>
        <v>2026</v>
      </c>
      <c r="F521" s="12" t="str">
        <f>IF(ISNUMBER(C521),"override",IF($B$514=0,"missing",INDEX(Liv_food_Status,$B$514)))</f>
        <v>verified</v>
      </c>
      <c r="G521" s="16" t="str">
        <f t="shared" si="233"/>
        <v>Published figure</v>
      </c>
      <c r="H521" s="16" t="s">
        <v>139</v>
      </c>
      <c r="I521" s="16" t="s">
        <v>137</v>
      </c>
      <c r="J521" s="16" t="s">
        <v>138</v>
      </c>
    </row>
    <row r="522" spans="1:10" x14ac:dyDescent="0.3">
      <c r="A522" s="16" t="s">
        <v>39</v>
      </c>
      <c r="B522" s="25">
        <f>IF($B$514=0,0,(INDEX(Liv_transport_Amt,$B$514))/INDEX(FxUsed,MATCH(INDEX(Liv_transport_Ccy,$B$514),FxCodes,0))*INDEX(FxUsed,MATCH($B$499,FxCodes,0)))</f>
        <v>1000</v>
      </c>
      <c r="C522" s="21"/>
      <c r="D522" s="25">
        <f t="shared" si="232"/>
        <v>1000</v>
      </c>
      <c r="E522" s="12">
        <f>IF(ISNUMBER(C522),PlanYear,IF($B$514=0,PlanYear,INDEX(Liv_transport_Base,$B$514)))</f>
        <v>2026</v>
      </c>
      <c r="F522" s="12" t="str">
        <f>IF(ISNUMBER(C522),"override",IF($B$514=0,"missing",INDEX(Liv_transport_Status,$B$514)))</f>
        <v>verified</v>
      </c>
      <c r="G522" s="16" t="str">
        <f t="shared" si="233"/>
        <v>Published figure</v>
      </c>
      <c r="H522" s="16" t="s">
        <v>139</v>
      </c>
      <c r="I522" s="16" t="s">
        <v>137</v>
      </c>
      <c r="J522" s="16" t="s">
        <v>138</v>
      </c>
    </row>
    <row r="523" spans="1:10" x14ac:dyDescent="0.3">
      <c r="A523" s="16" t="s">
        <v>40</v>
      </c>
      <c r="B523" s="25">
        <f>IF($B$514=0,0,(INDEX(Liv_healthInsurance_Amt,$B$514))/INDEX(FxUsed,MATCH(INDEX(Liv_healthInsurance_Ccy,$B$514),FxCodes,0))*INDEX(FxUsed,MATCH($B$499,FxCodes,0)))</f>
        <v>550</v>
      </c>
      <c r="C523" s="21"/>
      <c r="D523" s="25">
        <f t="shared" si="232"/>
        <v>550</v>
      </c>
      <c r="E523" s="12">
        <f>IF(ISNUMBER(C523),PlanYear,IF($B$514=0,PlanYear,INDEX(Liv_healthInsurance_Base,$B$514)))</f>
        <v>2026</v>
      </c>
      <c r="F523" s="12" t="str">
        <f>IF(ISNUMBER(C523),"override",IF($B$514=0,"missing",INDEX(Liv_healthInsurance_Status,$B$514)))</f>
        <v>verified</v>
      </c>
      <c r="G523" s="16" t="str">
        <f t="shared" si="233"/>
        <v>Published figure</v>
      </c>
      <c r="H523" s="16" t="s">
        <v>139</v>
      </c>
      <c r="I523" s="16" t="s">
        <v>137</v>
      </c>
      <c r="J523" s="16" t="s">
        <v>138</v>
      </c>
    </row>
    <row r="524" spans="1:10" x14ac:dyDescent="0.3">
      <c r="A524" s="16" t="s">
        <v>41</v>
      </c>
      <c r="B524" s="25">
        <f>IF($B$514=0,0,(INDEX(Liv_books_Amt,$B$514))/INDEX(FxUsed,MATCH(INDEX(Liv_books_Ccy,$B$514),FxCodes,0))*INDEX(FxUsed,MATCH($B$499,FxCodes,0)))</f>
        <v>500</v>
      </c>
      <c r="C524" s="21"/>
      <c r="D524" s="25">
        <f t="shared" si="232"/>
        <v>500</v>
      </c>
      <c r="E524" s="12">
        <f>IF(ISNUMBER(C524),PlanYear,IF($B$514=0,PlanYear,INDEX(Liv_books_Base,$B$514)))</f>
        <v>2026</v>
      </c>
      <c r="F524" s="12" t="str">
        <f>IF(ISNUMBER(C524),"override",IF($B$514=0,"missing",INDEX(Liv_books_Status,$B$514)))</f>
        <v>estimated</v>
      </c>
      <c r="G524" s="16" t="str">
        <f t="shared" si="233"/>
        <v>Estimated — please review</v>
      </c>
      <c r="H524" s="16" t="s">
        <v>139</v>
      </c>
      <c r="I524" s="16" t="s">
        <v>137</v>
      </c>
      <c r="J524" s="16" t="s">
        <v>138</v>
      </c>
    </row>
    <row r="525" spans="1:10" x14ac:dyDescent="0.3">
      <c r="A525" s="16" t="s">
        <v>42</v>
      </c>
      <c r="B525" s="25">
        <f>IF($B$498=0,0,(IF($B$512&gt;0,SUMPRODUCT((RecKey=$B$497)*RecOther*(1+$B$503)^(PlanYear-RecYear))/$B$512,INDEX(DB_EstOther,$B$498)))/INDEX(FxUsed,MATCH($B$513,FxCodes,0))*INDEX(FxUsed,MATCH($B$499,FxCodes,0)))</f>
        <v>0</v>
      </c>
      <c r="C525" s="21"/>
      <c r="D525" s="25">
        <f t="shared" si="232"/>
        <v>0</v>
      </c>
      <c r="E525" s="12">
        <f>IF(ISNUMBER(C525),PlanYear,IF($B$512&gt;0,PlanYear,IF($B$498&gt;0,INDEX(DB_EstBase,$B$498),PlanYear)))</f>
        <v>2026</v>
      </c>
      <c r="F525" s="12" t="str">
        <f>IF(ISNUMBER(C525),"override",IF($B$498=0,"missing",IF($B$512&gt;0,"verified",INDEX(DB_EstStatus,$B$498))))</f>
        <v>missing</v>
      </c>
      <c r="G525" s="16" t="str">
        <f t="shared" si="233"/>
        <v>No figure yet — enter your own</v>
      </c>
      <c r="H525" s="16" t="s">
        <v>136</v>
      </c>
      <c r="I525" s="16" t="s">
        <v>137</v>
      </c>
      <c r="J525" s="16" t="s">
        <v>138</v>
      </c>
    </row>
    <row r="526" spans="1:10" x14ac:dyDescent="0.3">
      <c r="A526" s="16" t="s">
        <v>140</v>
      </c>
      <c r="B526" s="25">
        <f>IF($B$502&gt;0,IF($B$502&gt;0,(INDEX(DB_PreAdm,$B$498))/INDEX(FxUsed,MATCH(INDEX(DB_PreCcy,$B$498),FxCodes,0))*INDEX(FxUsed,MATCH($B$499,FxCodes,0)),0),IF($B$498=0,0,(IF($B$512&gt;0,SUMPRODUCT((RecKey=$B$497)*RecAdm*(1+$B$503)^(PlanYear-RecYear))/$B$512,INDEX(DB_EstAdm,$B$498)))/INDEX(FxUsed,MATCH($B$513,FxCodes,0))*INDEX(FxUsed,MATCH($B$499,FxCodes,0))))</f>
        <v>0</v>
      </c>
      <c r="C526" s="21"/>
      <c r="D526" s="25">
        <f t="shared" si="232"/>
        <v>0</v>
      </c>
      <c r="E526" s="12">
        <f>IF(ISNUMBER(C526),PlanYear,IF($B$502&gt;0,INDEX(DB_PreBase,$B$498),IF($B$512&gt;0,PlanYear,IF($B$498&gt;0,INDEX(DB_EstBase,$B$498),PlanYear))))</f>
        <v>2026</v>
      </c>
      <c r="F526" s="12" t="str">
        <f>IF(ISNUMBER(C526),"override",IF($B$502&gt;0,INDEX(DB_PreStatus,$B$498),IF($B$498=0,"missing",IF($B$512&gt;0,"verified",INDEX(DB_EstStatus,$B$498)))))</f>
        <v>missing</v>
      </c>
      <c r="G526" s="16" t="str">
        <f t="shared" si="233"/>
        <v>No figure yet — enter your own</v>
      </c>
      <c r="H526" s="16" t="s">
        <v>136</v>
      </c>
      <c r="I526" s="16" t="s">
        <v>141</v>
      </c>
      <c r="J526" s="16" t="s">
        <v>138</v>
      </c>
    </row>
    <row r="527" spans="1:10" x14ac:dyDescent="0.3">
      <c r="A527" s="16" t="s">
        <v>142</v>
      </c>
      <c r="B527" s="25">
        <f>IF(OR($B$515=0,AND($B$496&lt;&gt;"domestic",Residence=$B$492,COUNTIF(ResNoVisa,$B$492)&gt;0)),0,(INDEX(VisaAmt,$B$515))/INDEX(FxUsed,MATCH(INDEX(VisaCcy,$B$515),FxCodes,0))*INDEX(FxUsed,MATCH($B$499,FxCodes,0)))</f>
        <v>360</v>
      </c>
      <c r="C527" s="21"/>
      <c r="D527" s="25">
        <f t="shared" si="232"/>
        <v>360</v>
      </c>
      <c r="E527" s="12">
        <f>IF(ISNUMBER(C527),PlanYear,IF(OR($B$515=0,AND($B$496&lt;&gt;"domestic",Residence=$B$492,COUNTIF(ResNoVisa,$B$492)&gt;0)),PlanYear,INDEX(VisaBase,$B$515)))</f>
        <v>2026</v>
      </c>
      <c r="F527" s="12" t="str">
        <f>IF(ISNUMBER(C527),"override",IF(AND($B$496&lt;&gt;"domestic",Residence=$B$492,COUNTIF(ResNoVisa,$B$492)&gt;0),"notNeeded",IF($B$515=0,"missing",INDEX(VisaStatus,$B$515))))</f>
        <v>verified</v>
      </c>
      <c r="G527" s="16" t="str">
        <f t="shared" si="233"/>
        <v>Published figure</v>
      </c>
      <c r="H527" s="16" t="s">
        <v>139</v>
      </c>
      <c r="I527" s="16" t="s">
        <v>141</v>
      </c>
      <c r="J527" s="16" t="s">
        <v>143</v>
      </c>
    </row>
    <row r="528" spans="1:10" x14ac:dyDescent="0.3">
      <c r="A528" s="16" t="s">
        <v>144</v>
      </c>
      <c r="B528" s="25">
        <f>IF($B$516=0,0,(INDEX(TravAmt,$B$516))/INDEX(FxUsed,MATCH(INDEX(TravCcy,$B$516),FxCodes,0))*INDEX(FxUsed,MATCH($B$499,FxCodes,0)))</f>
        <v>1106.3900000000001</v>
      </c>
      <c r="C528" s="21"/>
      <c r="D528" s="25">
        <f t="shared" si="232"/>
        <v>1106.3900000000001</v>
      </c>
      <c r="E528" s="12">
        <f>IF(ISNUMBER(C528),PlanYear,IF($B$516=0,PlanYear,INDEX(TravBase,$B$516)))</f>
        <v>2026</v>
      </c>
      <c r="F528" s="12" t="str">
        <f>IF(ISNUMBER(C528),"override",IF($B$516=0,"missing",INDEX(TravStatus,$B$516)))</f>
        <v>estimated</v>
      </c>
      <c r="G528" s="16" t="str">
        <f t="shared" si="233"/>
        <v>Estimated — please review</v>
      </c>
      <c r="H528" s="16" t="s">
        <v>139</v>
      </c>
      <c r="I528" s="16" t="s">
        <v>141</v>
      </c>
      <c r="J528" s="16" t="s">
        <v>143</v>
      </c>
    </row>
    <row r="529" spans="1:27" x14ac:dyDescent="0.3">
      <c r="A529" s="16" t="s">
        <v>46</v>
      </c>
      <c r="B529" s="25">
        <f>IF($B$502&gt;0,(INDEX(DB_PreTuition,$B$498))/INDEX(FxUsed,MATCH(INDEX(DB_PreCcy,$B$498),FxCodes,0))*INDEX(FxUsed,MATCH($B$499,FxCodes,0)),0)</f>
        <v>0</v>
      </c>
      <c r="C529" s="21"/>
      <c r="D529" s="25">
        <f t="shared" si="232"/>
        <v>0</v>
      </c>
      <c r="E529" s="12">
        <f>IF(ISNUMBER(C529),PlanYear,IF($B$502&gt;0,INDEX(DB_PreBase,$B$498),PlanYear))</f>
        <v>2026</v>
      </c>
      <c r="F529" s="12" t="str">
        <f>IF(ISNUMBER(C529),"override",IF($B$502&gt;0,INDEX(DB_PreStatus,$B$498),""))</f>
        <v/>
      </c>
      <c r="G529" s="16" t="str">
        <f t="shared" si="233"/>
        <v/>
      </c>
      <c r="H529" s="16" t="s">
        <v>136</v>
      </c>
      <c r="I529" s="16" t="s">
        <v>137</v>
      </c>
      <c r="J529" s="16" t="s">
        <v>138</v>
      </c>
    </row>
    <row r="530" spans="1:27" x14ac:dyDescent="0.3">
      <c r="A530" s="16" t="s">
        <v>47</v>
      </c>
      <c r="B530" s="25">
        <f>IF($B$502&gt;0,(INDEX(DB_PreOther,$B$498))/INDEX(FxUsed,MATCH(INDEX(DB_PreCcy,$B$498),FxCodes,0))*INDEX(FxUsed,MATCH($B$499,FxCodes,0)),0)</f>
        <v>0</v>
      </c>
      <c r="C530" s="21"/>
      <c r="D530" s="25">
        <f t="shared" si="232"/>
        <v>0</v>
      </c>
      <c r="E530" s="12">
        <f>IF(ISNUMBER(C530),PlanYear,IF($B$502&gt;0,INDEX(DB_PreBase,$B$498),PlanYear))</f>
        <v>2026</v>
      </c>
      <c r="F530" s="12" t="str">
        <f>IF(ISNUMBER(C530),"override",IF($B$502&gt;0,INDEX(DB_PreStatus,$B$498),""))</f>
        <v/>
      </c>
      <c r="G530" s="16" t="str">
        <f t="shared" si="233"/>
        <v/>
      </c>
      <c r="H530" s="16" t="s">
        <v>136</v>
      </c>
      <c r="I530" s="16" t="s">
        <v>137</v>
      </c>
      <c r="J530" s="16" t="s">
        <v>138</v>
      </c>
    </row>
    <row r="532" spans="1:27" ht="79.2" x14ac:dyDescent="0.3">
      <c r="A532" s="22" t="s">
        <v>145</v>
      </c>
      <c r="B532" s="22" t="s">
        <v>146</v>
      </c>
      <c r="C532" s="22" t="s">
        <v>147</v>
      </c>
      <c r="D532" s="22" t="s">
        <v>148</v>
      </c>
      <c r="E532" s="22" t="s">
        <v>149</v>
      </c>
      <c r="F532" s="22" t="s">
        <v>150</v>
      </c>
      <c r="G532" s="22" t="s">
        <v>151</v>
      </c>
      <c r="H532" s="22" t="s">
        <v>152</v>
      </c>
      <c r="I532" s="22" t="s">
        <v>153</v>
      </c>
      <c r="J532" s="22" t="s">
        <v>154</v>
      </c>
      <c r="K532" s="22" t="s">
        <v>155</v>
      </c>
      <c r="L532" s="22" t="s">
        <v>156</v>
      </c>
      <c r="M532" s="22" t="s">
        <v>157</v>
      </c>
      <c r="N532" s="22" t="s">
        <v>158</v>
      </c>
      <c r="O532" s="22" t="s">
        <v>159</v>
      </c>
      <c r="P532" s="22" t="s">
        <v>36</v>
      </c>
      <c r="Q532" s="22" t="s">
        <v>37</v>
      </c>
      <c r="R532" s="22" t="s">
        <v>38</v>
      </c>
      <c r="S532" s="22" t="s">
        <v>39</v>
      </c>
      <c r="T532" s="22" t="s">
        <v>40</v>
      </c>
      <c r="U532" s="22" t="s">
        <v>41</v>
      </c>
      <c r="V532" s="22" t="s">
        <v>42</v>
      </c>
      <c r="W532" s="22" t="s">
        <v>140</v>
      </c>
      <c r="X532" s="22" t="s">
        <v>142</v>
      </c>
      <c r="Y532" s="22" t="s">
        <v>144</v>
      </c>
      <c r="Z532" s="22" t="s">
        <v>83</v>
      </c>
      <c r="AA532" s="22" t="s">
        <v>160</v>
      </c>
    </row>
    <row r="533" spans="1:27" x14ac:dyDescent="0.3">
      <c r="A533" s="16">
        <v>0</v>
      </c>
      <c r="B533" s="16">
        <f t="shared" ref="B533:B542" si="234">PlanYear+$B$505+A533</f>
        <v>2026</v>
      </c>
      <c r="C533" s="16">
        <f t="shared" ref="C533:C542" si="235">MAX(0,MIN(1,$B$500-A533))</f>
        <v>0</v>
      </c>
      <c r="D533" s="16">
        <f t="shared" ref="D533:D542" si="236">IF(A533&lt;$B$502,1,0)</f>
        <v>0</v>
      </c>
      <c r="E533" s="16">
        <f t="shared" ref="E533:E542" si="237">IF(AND($B$509=1,A533&lt;$B$506),1,0)</f>
        <v>0</v>
      </c>
      <c r="F533" s="21">
        <f t="shared" ref="F533:F542" si="238">IF(AND(E533=1),IF(D533=1,$D$529,$D$519)*(1+$B$503)^(B533-IF(D533=1,$E$529,$E$519))*C533*$B$511,0)</f>
        <v>0</v>
      </c>
      <c r="G533" s="21">
        <f t="shared" ref="G533:G542" si="239">IF(AND(E533=1),$D$520*(1+$B$504)^(B533-$E$520)*C533*$B$511,0)</f>
        <v>0</v>
      </c>
      <c r="H533" s="21">
        <f t="shared" ref="H533:H542" si="240">IF(AND(E533=1),$D$521*(1+$B$504)^(B533-$E$521)*C533*$B$511,0)</f>
        <v>0</v>
      </c>
      <c r="I533" s="21">
        <f t="shared" ref="I533:I542" si="241">IF(AND(E533=1),$D$522*(1+$B$504)^(B533-$E$522)*C533*$B$511,0)</f>
        <v>0</v>
      </c>
      <c r="J533" s="21">
        <f t="shared" ref="J533:J542" si="242">IF(AND(E533=1),$D$523*(1+$B$504)^(B533-$E$523)*C533*$B$511,0)</f>
        <v>0</v>
      </c>
      <c r="K533" s="21">
        <f t="shared" ref="K533:K542" si="243">IF(AND(E533=1),$D$524*(1+$B$504)^(B533-$E$524)*C533*$B$511,0)</f>
        <v>0</v>
      </c>
      <c r="L533" s="21">
        <f t="shared" ref="L533:L542" si="244">IF(AND(E533=1),IF(D533=1,$D$530,$D$525)*(1+$B$503)^(B533-IF(D533=1,$E$530,$E$525))*C533*$B$511,0)</f>
        <v>0</v>
      </c>
      <c r="M533" s="21">
        <f t="shared" ref="M533:M542" si="245">IF(AND(E533=1,A533=0),$D$526*(1+$B$503)^(B533-$E$526)*$B$511,0)</f>
        <v>0</v>
      </c>
      <c r="N533" s="21">
        <f t="shared" ref="N533:N542" si="246">IF(AND(E533=1,A533=0),$D$527*(1+$B$504)^(B533-$E$527)*$B$511,0)</f>
        <v>0</v>
      </c>
      <c r="O533" s="21">
        <f t="shared" ref="O533:O542" si="247">IF(AND(E533=1,A533=0),$D$528*(1+$B$504)^(B533-$E$528)*$B$511,0)</f>
        <v>0</v>
      </c>
      <c r="P533" s="21">
        <f t="shared" ref="P533:P542" si="248">F533*(1-Coverage)</f>
        <v>0</v>
      </c>
      <c r="Q533" s="21">
        <f t="shared" ref="Q533:Q542" si="249">G533*(1-Coverage)</f>
        <v>0</v>
      </c>
      <c r="R533" s="21">
        <f t="shared" ref="R533:R542" si="250">H533*(1-Coverage)</f>
        <v>0</v>
      </c>
      <c r="S533" s="21">
        <f t="shared" ref="S533:S542" si="251">I533*(1-Coverage)</f>
        <v>0</v>
      </c>
      <c r="T533" s="21">
        <f t="shared" ref="T533:T542" si="252">J533*(1-Coverage)</f>
        <v>0</v>
      </c>
      <c r="U533" s="21">
        <f t="shared" ref="U533:U542" si="253">K533*(1-Coverage)</f>
        <v>0</v>
      </c>
      <c r="V533" s="21">
        <f t="shared" ref="V533:V542" si="254">L533*(1-Coverage)</f>
        <v>0</v>
      </c>
      <c r="W533" s="21">
        <f t="shared" ref="W533:W542" si="255">M533*(1-Coverage)</f>
        <v>0</v>
      </c>
      <c r="X533" s="21">
        <f t="shared" ref="X533:X542" si="256">N533*1</f>
        <v>0</v>
      </c>
      <c r="Y533" s="21">
        <f t="shared" ref="Y533:Y542" si="257">O533*1</f>
        <v>0</v>
      </c>
      <c r="Z533" s="20">
        <f t="shared" ref="Z533:Z542" si="258">SUM(P533:Y533)</f>
        <v>0</v>
      </c>
      <c r="AA533" s="21">
        <f t="shared" ref="AA533:AA542" si="259">SUM(F533:O533)</f>
        <v>0</v>
      </c>
    </row>
    <row r="534" spans="1:27" x14ac:dyDescent="0.3">
      <c r="A534" s="16">
        <v>1</v>
      </c>
      <c r="B534" s="16">
        <f t="shared" si="234"/>
        <v>2027</v>
      </c>
      <c r="C534" s="16">
        <f t="shared" si="235"/>
        <v>0</v>
      </c>
      <c r="D534" s="16">
        <f t="shared" si="236"/>
        <v>0</v>
      </c>
      <c r="E534" s="16">
        <f t="shared" si="237"/>
        <v>0</v>
      </c>
      <c r="F534" s="21">
        <f t="shared" si="238"/>
        <v>0</v>
      </c>
      <c r="G534" s="21">
        <f t="shared" si="239"/>
        <v>0</v>
      </c>
      <c r="H534" s="21">
        <f t="shared" si="240"/>
        <v>0</v>
      </c>
      <c r="I534" s="21">
        <f t="shared" si="241"/>
        <v>0</v>
      </c>
      <c r="J534" s="21">
        <f t="shared" si="242"/>
        <v>0</v>
      </c>
      <c r="K534" s="21">
        <f t="shared" si="243"/>
        <v>0</v>
      </c>
      <c r="L534" s="21">
        <f t="shared" si="244"/>
        <v>0</v>
      </c>
      <c r="M534" s="21">
        <f t="shared" si="245"/>
        <v>0</v>
      </c>
      <c r="N534" s="21">
        <f t="shared" si="246"/>
        <v>0</v>
      </c>
      <c r="O534" s="21">
        <f t="shared" si="247"/>
        <v>0</v>
      </c>
      <c r="P534" s="21">
        <f t="shared" si="248"/>
        <v>0</v>
      </c>
      <c r="Q534" s="21">
        <f t="shared" si="249"/>
        <v>0</v>
      </c>
      <c r="R534" s="21">
        <f t="shared" si="250"/>
        <v>0</v>
      </c>
      <c r="S534" s="21">
        <f t="shared" si="251"/>
        <v>0</v>
      </c>
      <c r="T534" s="21">
        <f t="shared" si="252"/>
        <v>0</v>
      </c>
      <c r="U534" s="21">
        <f t="shared" si="253"/>
        <v>0</v>
      </c>
      <c r="V534" s="21">
        <f t="shared" si="254"/>
        <v>0</v>
      </c>
      <c r="W534" s="21">
        <f t="shared" si="255"/>
        <v>0</v>
      </c>
      <c r="X534" s="21">
        <f t="shared" si="256"/>
        <v>0</v>
      </c>
      <c r="Y534" s="21">
        <f t="shared" si="257"/>
        <v>0</v>
      </c>
      <c r="Z534" s="20">
        <f t="shared" si="258"/>
        <v>0</v>
      </c>
      <c r="AA534" s="21">
        <f t="shared" si="259"/>
        <v>0</v>
      </c>
    </row>
    <row r="535" spans="1:27" x14ac:dyDescent="0.3">
      <c r="A535" s="16">
        <v>2</v>
      </c>
      <c r="B535" s="16">
        <f t="shared" si="234"/>
        <v>2028</v>
      </c>
      <c r="C535" s="16">
        <f t="shared" si="235"/>
        <v>0</v>
      </c>
      <c r="D535" s="16">
        <f t="shared" si="236"/>
        <v>0</v>
      </c>
      <c r="E535" s="16">
        <f t="shared" si="237"/>
        <v>0</v>
      </c>
      <c r="F535" s="21">
        <f t="shared" si="238"/>
        <v>0</v>
      </c>
      <c r="G535" s="21">
        <f t="shared" si="239"/>
        <v>0</v>
      </c>
      <c r="H535" s="21">
        <f t="shared" si="240"/>
        <v>0</v>
      </c>
      <c r="I535" s="21">
        <f t="shared" si="241"/>
        <v>0</v>
      </c>
      <c r="J535" s="21">
        <f t="shared" si="242"/>
        <v>0</v>
      </c>
      <c r="K535" s="21">
        <f t="shared" si="243"/>
        <v>0</v>
      </c>
      <c r="L535" s="21">
        <f t="shared" si="244"/>
        <v>0</v>
      </c>
      <c r="M535" s="21">
        <f t="shared" si="245"/>
        <v>0</v>
      </c>
      <c r="N535" s="21">
        <f t="shared" si="246"/>
        <v>0</v>
      </c>
      <c r="O535" s="21">
        <f t="shared" si="247"/>
        <v>0</v>
      </c>
      <c r="P535" s="21">
        <f t="shared" si="248"/>
        <v>0</v>
      </c>
      <c r="Q535" s="21">
        <f t="shared" si="249"/>
        <v>0</v>
      </c>
      <c r="R535" s="21">
        <f t="shared" si="250"/>
        <v>0</v>
      </c>
      <c r="S535" s="21">
        <f t="shared" si="251"/>
        <v>0</v>
      </c>
      <c r="T535" s="21">
        <f t="shared" si="252"/>
        <v>0</v>
      </c>
      <c r="U535" s="21">
        <f t="shared" si="253"/>
        <v>0</v>
      </c>
      <c r="V535" s="21">
        <f t="shared" si="254"/>
        <v>0</v>
      </c>
      <c r="W535" s="21">
        <f t="shared" si="255"/>
        <v>0</v>
      </c>
      <c r="X535" s="21">
        <f t="shared" si="256"/>
        <v>0</v>
      </c>
      <c r="Y535" s="21">
        <f t="shared" si="257"/>
        <v>0</v>
      </c>
      <c r="Z535" s="20">
        <f t="shared" si="258"/>
        <v>0</v>
      </c>
      <c r="AA535" s="21">
        <f t="shared" si="259"/>
        <v>0</v>
      </c>
    </row>
    <row r="536" spans="1:27" x14ac:dyDescent="0.3">
      <c r="A536" s="16">
        <v>3</v>
      </c>
      <c r="B536" s="16">
        <f t="shared" si="234"/>
        <v>2029</v>
      </c>
      <c r="C536" s="16">
        <f t="shared" si="235"/>
        <v>0</v>
      </c>
      <c r="D536" s="16">
        <f t="shared" si="236"/>
        <v>0</v>
      </c>
      <c r="E536" s="16">
        <f t="shared" si="237"/>
        <v>0</v>
      </c>
      <c r="F536" s="21">
        <f t="shared" si="238"/>
        <v>0</v>
      </c>
      <c r="G536" s="21">
        <f t="shared" si="239"/>
        <v>0</v>
      </c>
      <c r="H536" s="21">
        <f t="shared" si="240"/>
        <v>0</v>
      </c>
      <c r="I536" s="21">
        <f t="shared" si="241"/>
        <v>0</v>
      </c>
      <c r="J536" s="21">
        <f t="shared" si="242"/>
        <v>0</v>
      </c>
      <c r="K536" s="21">
        <f t="shared" si="243"/>
        <v>0</v>
      </c>
      <c r="L536" s="21">
        <f t="shared" si="244"/>
        <v>0</v>
      </c>
      <c r="M536" s="21">
        <f t="shared" si="245"/>
        <v>0</v>
      </c>
      <c r="N536" s="21">
        <f t="shared" si="246"/>
        <v>0</v>
      </c>
      <c r="O536" s="21">
        <f t="shared" si="247"/>
        <v>0</v>
      </c>
      <c r="P536" s="21">
        <f t="shared" si="248"/>
        <v>0</v>
      </c>
      <c r="Q536" s="21">
        <f t="shared" si="249"/>
        <v>0</v>
      </c>
      <c r="R536" s="21">
        <f t="shared" si="250"/>
        <v>0</v>
      </c>
      <c r="S536" s="21">
        <f t="shared" si="251"/>
        <v>0</v>
      </c>
      <c r="T536" s="21">
        <f t="shared" si="252"/>
        <v>0</v>
      </c>
      <c r="U536" s="21">
        <f t="shared" si="253"/>
        <v>0</v>
      </c>
      <c r="V536" s="21">
        <f t="shared" si="254"/>
        <v>0</v>
      </c>
      <c r="W536" s="21">
        <f t="shared" si="255"/>
        <v>0</v>
      </c>
      <c r="X536" s="21">
        <f t="shared" si="256"/>
        <v>0</v>
      </c>
      <c r="Y536" s="21">
        <f t="shared" si="257"/>
        <v>0</v>
      </c>
      <c r="Z536" s="20">
        <f t="shared" si="258"/>
        <v>0</v>
      </c>
      <c r="AA536" s="21">
        <f t="shared" si="259"/>
        <v>0</v>
      </c>
    </row>
    <row r="537" spans="1:27" x14ac:dyDescent="0.3">
      <c r="A537" s="16">
        <v>4</v>
      </c>
      <c r="B537" s="16">
        <f t="shared" si="234"/>
        <v>2030</v>
      </c>
      <c r="C537" s="16">
        <f t="shared" si="235"/>
        <v>0</v>
      </c>
      <c r="D537" s="16">
        <f t="shared" si="236"/>
        <v>0</v>
      </c>
      <c r="E537" s="16">
        <f t="shared" si="237"/>
        <v>0</v>
      </c>
      <c r="F537" s="21">
        <f t="shared" si="238"/>
        <v>0</v>
      </c>
      <c r="G537" s="21">
        <f t="shared" si="239"/>
        <v>0</v>
      </c>
      <c r="H537" s="21">
        <f t="shared" si="240"/>
        <v>0</v>
      </c>
      <c r="I537" s="21">
        <f t="shared" si="241"/>
        <v>0</v>
      </c>
      <c r="J537" s="21">
        <f t="shared" si="242"/>
        <v>0</v>
      </c>
      <c r="K537" s="21">
        <f t="shared" si="243"/>
        <v>0</v>
      </c>
      <c r="L537" s="21">
        <f t="shared" si="244"/>
        <v>0</v>
      </c>
      <c r="M537" s="21">
        <f t="shared" si="245"/>
        <v>0</v>
      </c>
      <c r="N537" s="21">
        <f t="shared" si="246"/>
        <v>0</v>
      </c>
      <c r="O537" s="21">
        <f t="shared" si="247"/>
        <v>0</v>
      </c>
      <c r="P537" s="21">
        <f t="shared" si="248"/>
        <v>0</v>
      </c>
      <c r="Q537" s="21">
        <f t="shared" si="249"/>
        <v>0</v>
      </c>
      <c r="R537" s="21">
        <f t="shared" si="250"/>
        <v>0</v>
      </c>
      <c r="S537" s="21">
        <f t="shared" si="251"/>
        <v>0</v>
      </c>
      <c r="T537" s="21">
        <f t="shared" si="252"/>
        <v>0</v>
      </c>
      <c r="U537" s="21">
        <f t="shared" si="253"/>
        <v>0</v>
      </c>
      <c r="V537" s="21">
        <f t="shared" si="254"/>
        <v>0</v>
      </c>
      <c r="W537" s="21">
        <f t="shared" si="255"/>
        <v>0</v>
      </c>
      <c r="X537" s="21">
        <f t="shared" si="256"/>
        <v>0</v>
      </c>
      <c r="Y537" s="21">
        <f t="shared" si="257"/>
        <v>0</v>
      </c>
      <c r="Z537" s="20">
        <f t="shared" si="258"/>
        <v>0</v>
      </c>
      <c r="AA537" s="21">
        <f t="shared" si="259"/>
        <v>0</v>
      </c>
    </row>
    <row r="538" spans="1:27" x14ac:dyDescent="0.3">
      <c r="A538" s="16">
        <v>5</v>
      </c>
      <c r="B538" s="16">
        <f t="shared" si="234"/>
        <v>2031</v>
      </c>
      <c r="C538" s="16">
        <f t="shared" si="235"/>
        <v>0</v>
      </c>
      <c r="D538" s="16">
        <f t="shared" si="236"/>
        <v>0</v>
      </c>
      <c r="E538" s="16">
        <f t="shared" si="237"/>
        <v>0</v>
      </c>
      <c r="F538" s="21">
        <f t="shared" si="238"/>
        <v>0</v>
      </c>
      <c r="G538" s="21">
        <f t="shared" si="239"/>
        <v>0</v>
      </c>
      <c r="H538" s="21">
        <f t="shared" si="240"/>
        <v>0</v>
      </c>
      <c r="I538" s="21">
        <f t="shared" si="241"/>
        <v>0</v>
      </c>
      <c r="J538" s="21">
        <f t="shared" si="242"/>
        <v>0</v>
      </c>
      <c r="K538" s="21">
        <f t="shared" si="243"/>
        <v>0</v>
      </c>
      <c r="L538" s="21">
        <f t="shared" si="244"/>
        <v>0</v>
      </c>
      <c r="M538" s="21">
        <f t="shared" si="245"/>
        <v>0</v>
      </c>
      <c r="N538" s="21">
        <f t="shared" si="246"/>
        <v>0</v>
      </c>
      <c r="O538" s="21">
        <f t="shared" si="247"/>
        <v>0</v>
      </c>
      <c r="P538" s="21">
        <f t="shared" si="248"/>
        <v>0</v>
      </c>
      <c r="Q538" s="21">
        <f t="shared" si="249"/>
        <v>0</v>
      </c>
      <c r="R538" s="21">
        <f t="shared" si="250"/>
        <v>0</v>
      </c>
      <c r="S538" s="21">
        <f t="shared" si="251"/>
        <v>0</v>
      </c>
      <c r="T538" s="21">
        <f t="shared" si="252"/>
        <v>0</v>
      </c>
      <c r="U538" s="21">
        <f t="shared" si="253"/>
        <v>0</v>
      </c>
      <c r="V538" s="21">
        <f t="shared" si="254"/>
        <v>0</v>
      </c>
      <c r="W538" s="21">
        <f t="shared" si="255"/>
        <v>0</v>
      </c>
      <c r="X538" s="21">
        <f t="shared" si="256"/>
        <v>0</v>
      </c>
      <c r="Y538" s="21">
        <f t="shared" si="257"/>
        <v>0</v>
      </c>
      <c r="Z538" s="20">
        <f t="shared" si="258"/>
        <v>0</v>
      </c>
      <c r="AA538" s="21">
        <f t="shared" si="259"/>
        <v>0</v>
      </c>
    </row>
    <row r="539" spans="1:27" x14ac:dyDescent="0.3">
      <c r="A539" s="16">
        <v>6</v>
      </c>
      <c r="B539" s="16">
        <f t="shared" si="234"/>
        <v>2032</v>
      </c>
      <c r="C539" s="16">
        <f t="shared" si="235"/>
        <v>0</v>
      </c>
      <c r="D539" s="16">
        <f t="shared" si="236"/>
        <v>0</v>
      </c>
      <c r="E539" s="16">
        <f t="shared" si="237"/>
        <v>0</v>
      </c>
      <c r="F539" s="21">
        <f t="shared" si="238"/>
        <v>0</v>
      </c>
      <c r="G539" s="21">
        <f t="shared" si="239"/>
        <v>0</v>
      </c>
      <c r="H539" s="21">
        <f t="shared" si="240"/>
        <v>0</v>
      </c>
      <c r="I539" s="21">
        <f t="shared" si="241"/>
        <v>0</v>
      </c>
      <c r="J539" s="21">
        <f t="shared" si="242"/>
        <v>0</v>
      </c>
      <c r="K539" s="21">
        <f t="shared" si="243"/>
        <v>0</v>
      </c>
      <c r="L539" s="21">
        <f t="shared" si="244"/>
        <v>0</v>
      </c>
      <c r="M539" s="21">
        <f t="shared" si="245"/>
        <v>0</v>
      </c>
      <c r="N539" s="21">
        <f t="shared" si="246"/>
        <v>0</v>
      </c>
      <c r="O539" s="21">
        <f t="shared" si="247"/>
        <v>0</v>
      </c>
      <c r="P539" s="21">
        <f t="shared" si="248"/>
        <v>0</v>
      </c>
      <c r="Q539" s="21">
        <f t="shared" si="249"/>
        <v>0</v>
      </c>
      <c r="R539" s="21">
        <f t="shared" si="250"/>
        <v>0</v>
      </c>
      <c r="S539" s="21">
        <f t="shared" si="251"/>
        <v>0</v>
      </c>
      <c r="T539" s="21">
        <f t="shared" si="252"/>
        <v>0</v>
      </c>
      <c r="U539" s="21">
        <f t="shared" si="253"/>
        <v>0</v>
      </c>
      <c r="V539" s="21">
        <f t="shared" si="254"/>
        <v>0</v>
      </c>
      <c r="W539" s="21">
        <f t="shared" si="255"/>
        <v>0</v>
      </c>
      <c r="X539" s="21">
        <f t="shared" si="256"/>
        <v>0</v>
      </c>
      <c r="Y539" s="21">
        <f t="shared" si="257"/>
        <v>0</v>
      </c>
      <c r="Z539" s="20">
        <f t="shared" si="258"/>
        <v>0</v>
      </c>
      <c r="AA539" s="21">
        <f t="shared" si="259"/>
        <v>0</v>
      </c>
    </row>
    <row r="540" spans="1:27" x14ac:dyDescent="0.3">
      <c r="A540" s="16">
        <v>7</v>
      </c>
      <c r="B540" s="16">
        <f t="shared" si="234"/>
        <v>2033</v>
      </c>
      <c r="C540" s="16">
        <f t="shared" si="235"/>
        <v>0</v>
      </c>
      <c r="D540" s="16">
        <f t="shared" si="236"/>
        <v>0</v>
      </c>
      <c r="E540" s="16">
        <f t="shared" si="237"/>
        <v>0</v>
      </c>
      <c r="F540" s="21">
        <f t="shared" si="238"/>
        <v>0</v>
      </c>
      <c r="G540" s="21">
        <f t="shared" si="239"/>
        <v>0</v>
      </c>
      <c r="H540" s="21">
        <f t="shared" si="240"/>
        <v>0</v>
      </c>
      <c r="I540" s="21">
        <f t="shared" si="241"/>
        <v>0</v>
      </c>
      <c r="J540" s="21">
        <f t="shared" si="242"/>
        <v>0</v>
      </c>
      <c r="K540" s="21">
        <f t="shared" si="243"/>
        <v>0</v>
      </c>
      <c r="L540" s="21">
        <f t="shared" si="244"/>
        <v>0</v>
      </c>
      <c r="M540" s="21">
        <f t="shared" si="245"/>
        <v>0</v>
      </c>
      <c r="N540" s="21">
        <f t="shared" si="246"/>
        <v>0</v>
      </c>
      <c r="O540" s="21">
        <f t="shared" si="247"/>
        <v>0</v>
      </c>
      <c r="P540" s="21">
        <f t="shared" si="248"/>
        <v>0</v>
      </c>
      <c r="Q540" s="21">
        <f t="shared" si="249"/>
        <v>0</v>
      </c>
      <c r="R540" s="21">
        <f t="shared" si="250"/>
        <v>0</v>
      </c>
      <c r="S540" s="21">
        <f t="shared" si="251"/>
        <v>0</v>
      </c>
      <c r="T540" s="21">
        <f t="shared" si="252"/>
        <v>0</v>
      </c>
      <c r="U540" s="21">
        <f t="shared" si="253"/>
        <v>0</v>
      </c>
      <c r="V540" s="21">
        <f t="shared" si="254"/>
        <v>0</v>
      </c>
      <c r="W540" s="21">
        <f t="shared" si="255"/>
        <v>0</v>
      </c>
      <c r="X540" s="21">
        <f t="shared" si="256"/>
        <v>0</v>
      </c>
      <c r="Y540" s="21">
        <f t="shared" si="257"/>
        <v>0</v>
      </c>
      <c r="Z540" s="20">
        <f t="shared" si="258"/>
        <v>0</v>
      </c>
      <c r="AA540" s="21">
        <f t="shared" si="259"/>
        <v>0</v>
      </c>
    </row>
    <row r="541" spans="1:27" x14ac:dyDescent="0.3">
      <c r="A541" s="16">
        <v>8</v>
      </c>
      <c r="B541" s="16">
        <f t="shared" si="234"/>
        <v>2034</v>
      </c>
      <c r="C541" s="16">
        <f t="shared" si="235"/>
        <v>0</v>
      </c>
      <c r="D541" s="16">
        <f t="shared" si="236"/>
        <v>0</v>
      </c>
      <c r="E541" s="16">
        <f t="shared" si="237"/>
        <v>0</v>
      </c>
      <c r="F541" s="21">
        <f t="shared" si="238"/>
        <v>0</v>
      </c>
      <c r="G541" s="21">
        <f t="shared" si="239"/>
        <v>0</v>
      </c>
      <c r="H541" s="21">
        <f t="shared" si="240"/>
        <v>0</v>
      </c>
      <c r="I541" s="21">
        <f t="shared" si="241"/>
        <v>0</v>
      </c>
      <c r="J541" s="21">
        <f t="shared" si="242"/>
        <v>0</v>
      </c>
      <c r="K541" s="21">
        <f t="shared" si="243"/>
        <v>0</v>
      </c>
      <c r="L541" s="21">
        <f t="shared" si="244"/>
        <v>0</v>
      </c>
      <c r="M541" s="21">
        <f t="shared" si="245"/>
        <v>0</v>
      </c>
      <c r="N541" s="21">
        <f t="shared" si="246"/>
        <v>0</v>
      </c>
      <c r="O541" s="21">
        <f t="shared" si="247"/>
        <v>0</v>
      </c>
      <c r="P541" s="21">
        <f t="shared" si="248"/>
        <v>0</v>
      </c>
      <c r="Q541" s="21">
        <f t="shared" si="249"/>
        <v>0</v>
      </c>
      <c r="R541" s="21">
        <f t="shared" si="250"/>
        <v>0</v>
      </c>
      <c r="S541" s="21">
        <f t="shared" si="251"/>
        <v>0</v>
      </c>
      <c r="T541" s="21">
        <f t="shared" si="252"/>
        <v>0</v>
      </c>
      <c r="U541" s="21">
        <f t="shared" si="253"/>
        <v>0</v>
      </c>
      <c r="V541" s="21">
        <f t="shared" si="254"/>
        <v>0</v>
      </c>
      <c r="W541" s="21">
        <f t="shared" si="255"/>
        <v>0</v>
      </c>
      <c r="X541" s="21">
        <f t="shared" si="256"/>
        <v>0</v>
      </c>
      <c r="Y541" s="21">
        <f t="shared" si="257"/>
        <v>0</v>
      </c>
      <c r="Z541" s="20">
        <f t="shared" si="258"/>
        <v>0</v>
      </c>
      <c r="AA541" s="21">
        <f t="shared" si="259"/>
        <v>0</v>
      </c>
    </row>
    <row r="542" spans="1:27" x14ac:dyDescent="0.3">
      <c r="A542" s="16">
        <v>9</v>
      </c>
      <c r="B542" s="16">
        <f t="shared" si="234"/>
        <v>2035</v>
      </c>
      <c r="C542" s="16">
        <f t="shared" si="235"/>
        <v>0</v>
      </c>
      <c r="D542" s="16">
        <f t="shared" si="236"/>
        <v>0</v>
      </c>
      <c r="E542" s="16">
        <f t="shared" si="237"/>
        <v>0</v>
      </c>
      <c r="F542" s="21">
        <f t="shared" si="238"/>
        <v>0</v>
      </c>
      <c r="G542" s="21">
        <f t="shared" si="239"/>
        <v>0</v>
      </c>
      <c r="H542" s="21">
        <f t="shared" si="240"/>
        <v>0</v>
      </c>
      <c r="I542" s="21">
        <f t="shared" si="241"/>
        <v>0</v>
      </c>
      <c r="J542" s="21">
        <f t="shared" si="242"/>
        <v>0</v>
      </c>
      <c r="K542" s="21">
        <f t="shared" si="243"/>
        <v>0</v>
      </c>
      <c r="L542" s="21">
        <f t="shared" si="244"/>
        <v>0</v>
      </c>
      <c r="M542" s="21">
        <f t="shared" si="245"/>
        <v>0</v>
      </c>
      <c r="N542" s="21">
        <f t="shared" si="246"/>
        <v>0</v>
      </c>
      <c r="O542" s="21">
        <f t="shared" si="247"/>
        <v>0</v>
      </c>
      <c r="P542" s="21">
        <f t="shared" si="248"/>
        <v>0</v>
      </c>
      <c r="Q542" s="21">
        <f t="shared" si="249"/>
        <v>0</v>
      </c>
      <c r="R542" s="21">
        <f t="shared" si="250"/>
        <v>0</v>
      </c>
      <c r="S542" s="21">
        <f t="shared" si="251"/>
        <v>0</v>
      </c>
      <c r="T542" s="21">
        <f t="shared" si="252"/>
        <v>0</v>
      </c>
      <c r="U542" s="21">
        <f t="shared" si="253"/>
        <v>0</v>
      </c>
      <c r="V542" s="21">
        <f t="shared" si="254"/>
        <v>0</v>
      </c>
      <c r="W542" s="21">
        <f t="shared" si="255"/>
        <v>0</v>
      </c>
      <c r="X542" s="21">
        <f t="shared" si="256"/>
        <v>0</v>
      </c>
      <c r="Y542" s="21">
        <f t="shared" si="257"/>
        <v>0</v>
      </c>
      <c r="Z542" s="20">
        <f t="shared" si="258"/>
        <v>0</v>
      </c>
      <c r="AA542" s="21">
        <f t="shared" si="259"/>
        <v>0</v>
      </c>
    </row>
    <row r="543" spans="1:27" x14ac:dyDescent="0.3">
      <c r="A543" s="8" t="s">
        <v>76</v>
      </c>
      <c r="F543" s="20">
        <f t="shared" ref="F543:AA543" si="260">SUM(F533:F542)</f>
        <v>0</v>
      </c>
      <c r="G543" s="20">
        <f t="shared" si="260"/>
        <v>0</v>
      </c>
      <c r="H543" s="20">
        <f t="shared" si="260"/>
        <v>0</v>
      </c>
      <c r="I543" s="20">
        <f t="shared" si="260"/>
        <v>0</v>
      </c>
      <c r="J543" s="20">
        <f t="shared" si="260"/>
        <v>0</v>
      </c>
      <c r="K543" s="20">
        <f t="shared" si="260"/>
        <v>0</v>
      </c>
      <c r="L543" s="20">
        <f t="shared" si="260"/>
        <v>0</v>
      </c>
      <c r="M543" s="20">
        <f t="shared" si="260"/>
        <v>0</v>
      </c>
      <c r="N543" s="20">
        <f t="shared" si="260"/>
        <v>0</v>
      </c>
      <c r="O543" s="20">
        <f t="shared" si="260"/>
        <v>0</v>
      </c>
      <c r="P543" s="20">
        <f t="shared" si="260"/>
        <v>0</v>
      </c>
      <c r="Q543" s="20">
        <f t="shared" si="260"/>
        <v>0</v>
      </c>
      <c r="R543" s="20">
        <f t="shared" si="260"/>
        <v>0</v>
      </c>
      <c r="S543" s="20">
        <f t="shared" si="260"/>
        <v>0</v>
      </c>
      <c r="T543" s="20">
        <f t="shared" si="260"/>
        <v>0</v>
      </c>
      <c r="U543" s="20">
        <f t="shared" si="260"/>
        <v>0</v>
      </c>
      <c r="V543" s="20">
        <f t="shared" si="260"/>
        <v>0</v>
      </c>
      <c r="W543" s="20">
        <f t="shared" si="260"/>
        <v>0</v>
      </c>
      <c r="X543" s="20">
        <f t="shared" si="260"/>
        <v>0</v>
      </c>
      <c r="Y543" s="20">
        <f t="shared" si="260"/>
        <v>0</v>
      </c>
      <c r="Z543" s="20">
        <f t="shared" si="260"/>
        <v>0</v>
      </c>
      <c r="AA543" s="20">
        <f t="shared" si="260"/>
        <v>0</v>
      </c>
    </row>
    <row r="545" spans="1:2" x14ac:dyDescent="0.3">
      <c r="A545" s="8" t="s">
        <v>161</v>
      </c>
      <c r="B545" s="26">
        <f>$Z$543</f>
        <v>0</v>
      </c>
    </row>
    <row r="546" spans="1:2" x14ac:dyDescent="0.3">
      <c r="A546" s="16" t="s">
        <v>14</v>
      </c>
      <c r="B546" s="21">
        <f>$AA$543-$Z$543</f>
        <v>0</v>
      </c>
    </row>
    <row r="547" spans="1:2" x14ac:dyDescent="0.3">
      <c r="A547" s="16" t="s">
        <v>162</v>
      </c>
      <c r="B547" s="16" t="str">
        <f>IF(OR($F$519="missing",AND($B$502&gt;0,$F$529="missing")),"missing",IF(OR($F$519="estimated",AND($B$502&gt;0,$F$529="estimated")),"estimated",IF($B$502&gt;0,$F$529,$F$519)))</f>
        <v>missing</v>
      </c>
    </row>
    <row r="548" spans="1:2" x14ac:dyDescent="0.3">
      <c r="A548" s="16" t="s">
        <v>163</v>
      </c>
      <c r="B548" s="16">
        <f>IF(OR($F$519="missing",AND($B$502&gt;0,$F$529="missing"),$F$520="missing"),1,0)</f>
        <v>1</v>
      </c>
    </row>
    <row r="551" spans="1:2" ht="15.6" x14ac:dyDescent="0.3">
      <c r="A551" s="7" t="s">
        <v>99</v>
      </c>
    </row>
    <row r="552" spans="1:2" x14ac:dyDescent="0.3">
      <c r="A552" s="16" t="s">
        <v>104</v>
      </c>
      <c r="B552" s="12">
        <f>IF(CmpChild&lt;=NumChildren,1,0)</f>
        <v>1</v>
      </c>
    </row>
    <row r="553" spans="1:2" x14ac:dyDescent="0.3">
      <c r="A553" s="16" t="s">
        <v>30</v>
      </c>
      <c r="B553" s="12" t="str">
        <f>IF("Qatar"="","","Qatar")</f>
        <v>Qatar</v>
      </c>
    </row>
    <row r="554" spans="1:2" x14ac:dyDescent="0.3">
      <c r="A554" s="16" t="s">
        <v>31</v>
      </c>
      <c r="B554" s="12" t="str">
        <f>IF(CHOOSE(CmpChild,Inputs!$C$18,Inputs!$D$18,Inputs!$E$18,Inputs!$F$18)="","",CHOOSE(CmpChild,Inputs!$C$18,Inputs!$D$18,Inputs!$E$18,Inputs!$F$18))</f>
        <v/>
      </c>
    </row>
    <row r="555" spans="1:2" x14ac:dyDescent="0.3">
      <c r="A555" s="16" t="s">
        <v>105</v>
      </c>
      <c r="B555" s="12" t="str">
        <f>IF(CHOOSE(CmpChild,Inputs!$C$15,Inputs!$D$15,Inputs!$E$15,Inputs!$F$15)="","",CHOOSE(CmpChild,Inputs!$C$15,Inputs!$D$15,Inputs!$E$15,Inputs!$F$15))</f>
        <v/>
      </c>
    </row>
    <row r="556" spans="1:2" x14ac:dyDescent="0.3">
      <c r="A556" s="16" t="s">
        <v>106</v>
      </c>
      <c r="B556" s="12">
        <f>IF(CHOOSE(CmpChild,Inputs!$C$19,Inputs!$D$19,Inputs!$E$19,Inputs!$F$19)="","",CHOOSE(CmpChild,Inputs!$C$19,Inputs!$D$19,Inputs!$E$19,Inputs!$F$19))</f>
        <v>18</v>
      </c>
    </row>
    <row r="557" spans="1:2" x14ac:dyDescent="0.3">
      <c r="A557" s="16" t="s">
        <v>107</v>
      </c>
      <c r="B557" s="12" t="str">
        <f>IF($B$553="","",IF(COUNTIF(DomKey,$B$553&amp;"|"&amp;Nationality)&gt;0,"domestic","international"))</f>
        <v>international</v>
      </c>
    </row>
    <row r="558" spans="1:2" x14ac:dyDescent="0.3">
      <c r="A558" s="16" t="s">
        <v>108</v>
      </c>
      <c r="B558" s="12" t="str">
        <f>$B$553&amp;"|"&amp;$B$554&amp;"|"&amp;$B$557</f>
        <v>Qatar||international</v>
      </c>
    </row>
    <row r="559" spans="1:2" x14ac:dyDescent="0.3">
      <c r="A559" s="16" t="s">
        <v>109</v>
      </c>
      <c r="B559" s="12">
        <f>IFERROR(MATCH($B$558,DB_Key,0),0)</f>
        <v>0</v>
      </c>
    </row>
    <row r="560" spans="1:2" x14ac:dyDescent="0.3">
      <c r="A560" s="16" t="s">
        <v>110</v>
      </c>
      <c r="B560" s="12" t="str">
        <f>IFERROR(INDEX(Ctry_Ccy,MATCH($B$553,Ctry_Name,0)),"USD")</f>
        <v>QAR</v>
      </c>
    </row>
    <row r="561" spans="1:2" x14ac:dyDescent="0.3">
      <c r="A561" s="16" t="s">
        <v>68</v>
      </c>
      <c r="B561" s="12">
        <f>IF($B$559&gt;0,INDEX(DB_Dur,$B$559),0)</f>
        <v>0</v>
      </c>
    </row>
    <row r="562" spans="1:2" x14ac:dyDescent="0.3">
      <c r="A562" s="16" t="s">
        <v>111</v>
      </c>
      <c r="B562" s="12">
        <f>IF($B$559&gt;0,INDEX(DB_Avail,$B$559),0)</f>
        <v>0</v>
      </c>
    </row>
    <row r="563" spans="1:2" x14ac:dyDescent="0.3">
      <c r="A563" s="16" t="s">
        <v>112</v>
      </c>
      <c r="B563" s="12">
        <f>IF($B$559&gt;0,INDEX(DB_PreYears,$B$559),0)</f>
        <v>0</v>
      </c>
    </row>
    <row r="564" spans="1:2" x14ac:dyDescent="0.3">
      <c r="A564" s="16" t="s">
        <v>113</v>
      </c>
      <c r="B564" s="14">
        <f>IF(ISNUMBER(CHOOSE(CmpChild,Inputs!$C$20,Inputs!$D$20,Inputs!$E$20,Inputs!$F$20)),CHOOSE(CmpChild,Inputs!$C$20,Inputs!$D$20,Inputs!$E$20,Inputs!$F$20),IF($B$559&gt;0,INDEX(DB_TInf,$B$559),0))</f>
        <v>0</v>
      </c>
    </row>
    <row r="565" spans="1:2" x14ac:dyDescent="0.3">
      <c r="A565" s="16" t="s">
        <v>114</v>
      </c>
      <c r="B565" s="14">
        <f>IF(ISNUMBER(CHOOSE(CmpChild,Inputs!$C$21,Inputs!$D$21,Inputs!$E$21,Inputs!$F$21)),CHOOSE(CmpChild,Inputs!$C$21,Inputs!$D$21,Inputs!$E$21,Inputs!$F$21),IFERROR(INDEX(Ctry_LInf,MATCH($B$553,Ctry_Name,0)),0))</f>
        <v>0.03</v>
      </c>
    </row>
    <row r="566" spans="1:2" x14ac:dyDescent="0.3">
      <c r="A566" s="16" t="s">
        <v>115</v>
      </c>
      <c r="B566" s="12">
        <f>IF($B$570=1,MAX(0,$B$556-$B$555),0)</f>
        <v>0</v>
      </c>
    </row>
    <row r="567" spans="1:2" x14ac:dyDescent="0.3">
      <c r="A567" s="16" t="s">
        <v>116</v>
      </c>
      <c r="B567" s="12">
        <f>ROUNDUP($B$561,0)</f>
        <v>0</v>
      </c>
    </row>
    <row r="568" spans="1:2" x14ac:dyDescent="0.3">
      <c r="A568" s="16" t="s">
        <v>117</v>
      </c>
      <c r="B568" s="12">
        <f>IF($B$570=1,$B$566+$B$567,0)</f>
        <v>0</v>
      </c>
    </row>
    <row r="569" spans="1:2" x14ac:dyDescent="0.3">
      <c r="A569" s="16" t="s">
        <v>118</v>
      </c>
      <c r="B569" s="12">
        <f>MAX(0,$B$568-1)</f>
        <v>0</v>
      </c>
    </row>
    <row r="570" spans="1:2" x14ac:dyDescent="0.3">
      <c r="A570" s="16" t="s">
        <v>119</v>
      </c>
      <c r="B570" s="12">
        <f>IF(IFERROR(AND($B$552=1,$B$553&lt;&gt;"",$B$554&lt;&gt;"",$B$562=1,IFERROR(AND(ISNUMBER($B$555),$B$555&gt;=0,$B$555&lt;=18,INT($B$555)=$B$555),FALSE),IFERROR(AND(ISNUMBER($B$556),$B$556&gt;=14,$B$556&lt;=45,INT($B$556)=$B$556),FALSE)),FALSE),1,0)</f>
        <v>0</v>
      </c>
    </row>
    <row r="571" spans="1:2" x14ac:dyDescent="0.3">
      <c r="A571" s="16" t="s">
        <v>70</v>
      </c>
      <c r="B571" s="12" t="str">
        <f>IF($B$552&lt;&gt;1,"",IF(AND($B$555="",$B$553="",$B$554=""),"Enter this child's details on the Inputs sheet.",IF(NOT(IFERROR(AND(ISNUMBER($B$555),$B$555&gt;=0,$B$555&lt;=18,INT($B$555)=$B$555),FALSE)),"Choose the child's current age (0 to 18).",IF(NOT(IFERROR(AND(ISNUMBER($B$556),$B$556&gt;=14,$B$556&lt;=45,INT($B$556)=$B$556),FALSE)),"College-entry age must be a whole number from 14 to 45.",IF($B$553="","Choose the education country.",IF($B$554="","Choose the qualification.",IF($B$562&lt;&gt;1,"This qualification is not offered (or has no typical duration) in the selected country.","")))))))</f>
        <v>Choose the child's current age (0 to 18).</v>
      </c>
    </row>
    <row r="572" spans="1:2" x14ac:dyDescent="0.3">
      <c r="A572" s="16" t="s">
        <v>120</v>
      </c>
      <c r="B572" s="12">
        <f>INDEX(FxUsed,MATCH(RepCcy,FxCodes,0))/INDEX(FxUsed,MATCH($B$560,FxCodes,0))</f>
        <v>0.27472527472527469</v>
      </c>
    </row>
    <row r="573" spans="1:2" x14ac:dyDescent="0.3">
      <c r="A573" s="16" t="s">
        <v>121</v>
      </c>
      <c r="B573" s="12">
        <f>IF($B$559=0,0,COUNTIF(RecKey,$B$558))</f>
        <v>0</v>
      </c>
    </row>
    <row r="574" spans="1:2" x14ac:dyDescent="0.3">
      <c r="A574" s="16" t="s">
        <v>122</v>
      </c>
      <c r="B574" s="12" t="str">
        <f>IF($B$573&gt;0,INDEX(DB_RecCcy,$B$559),IF($B$559&gt;0,INDEX(DB_EstCcy,$B$559),$B$560))</f>
        <v>QAR</v>
      </c>
    </row>
    <row r="575" spans="1:2" x14ac:dyDescent="0.3">
      <c r="A575" s="16" t="s">
        <v>123</v>
      </c>
      <c r="B575" s="12">
        <f>IFERROR(MATCH($B$553&amp;"|"&amp;$B$557,LivKey,0),0)</f>
        <v>20</v>
      </c>
    </row>
    <row r="576" spans="1:2" x14ac:dyDescent="0.3">
      <c r="A576" s="16" t="s">
        <v>124</v>
      </c>
      <c r="B576" s="12">
        <f>IFERROR(MATCH($B$553&amp;"|"&amp;Nationality,VisaKey,0),0)</f>
        <v>631</v>
      </c>
    </row>
    <row r="577" spans="1:10" x14ac:dyDescent="0.3">
      <c r="A577" s="16" t="s">
        <v>125</v>
      </c>
      <c r="B577" s="12">
        <f>IFERROR(MATCH($B$553&amp;"|"&amp;Residence,TravKey,0),0)</f>
        <v>631</v>
      </c>
    </row>
    <row r="579" spans="1:10" ht="79.2" x14ac:dyDescent="0.3">
      <c r="A579" s="22" t="s">
        <v>126</v>
      </c>
      <c r="B579" s="22" t="s">
        <v>127</v>
      </c>
      <c r="C579" s="22" t="s">
        <v>128</v>
      </c>
      <c r="D579" s="22" t="s">
        <v>129</v>
      </c>
      <c r="E579" s="22" t="s">
        <v>130</v>
      </c>
      <c r="F579" s="22" t="s">
        <v>131</v>
      </c>
      <c r="G579" s="22" t="s">
        <v>132</v>
      </c>
      <c r="H579" s="22" t="s">
        <v>133</v>
      </c>
      <c r="I579" s="22" t="s">
        <v>134</v>
      </c>
      <c r="J579" s="22" t="s">
        <v>135</v>
      </c>
    </row>
    <row r="580" spans="1:10" x14ac:dyDescent="0.3">
      <c r="A580" s="16" t="s">
        <v>36</v>
      </c>
      <c r="B580" s="25">
        <f>IF($B$559=0,0,(IF($B$573&gt;0,SUMPRODUCT((RecKey=$B$558)*RecTuition*(1+$B$564)^(PlanYear-RecYear))/$B$573,INDEX(DB_EstTuition,$B$559)))/INDEX(FxUsed,MATCH($B$574,FxCodes,0))*INDEX(FxUsed,MATCH($B$560,FxCodes,0)))</f>
        <v>0</v>
      </c>
      <c r="C580" s="21"/>
      <c r="D580" s="25">
        <f t="shared" ref="D580:D591" si="261">IF(ISNUMBER(C580),IF(C580&gt;=0,C580,B580),B580)</f>
        <v>0</v>
      </c>
      <c r="E580" s="12">
        <f>IF(ISNUMBER(C580),PlanYear,IF($B$573&gt;0,PlanYear,IF($B$559&gt;0,INDEX(DB_EstBase,$B$559),PlanYear)))</f>
        <v>2026</v>
      </c>
      <c r="F580" s="12" t="str">
        <f>IF(ISNUMBER(C580),"override",IF($B$559=0,"missing",IF($B$573&gt;0,"verified",INDEX(DB_EstStatus,$B$559))))</f>
        <v>missing</v>
      </c>
      <c r="G580" s="16" t="str">
        <f t="shared" ref="G580:G591" si="262">IF(F580="verified","Published figure",IF(F580="estimated","Estimated — please review",IF(F580="notNeeded","Not needed",IF(F580="override","Your figure",IF(F580="missing","No figure yet — enter your own","")))))</f>
        <v>No figure yet — enter your own</v>
      </c>
      <c r="H580" s="16" t="s">
        <v>136</v>
      </c>
      <c r="I580" s="16" t="s">
        <v>137</v>
      </c>
      <c r="J580" s="16" t="s">
        <v>138</v>
      </c>
    </row>
    <row r="581" spans="1:10" x14ac:dyDescent="0.3">
      <c r="A581" s="16" t="s">
        <v>37</v>
      </c>
      <c r="B581" s="25">
        <f>IF($B$575=0,0,(INDEX(Liv_accommodation_Amt,$B$575))/INDEX(FxUsed,MATCH(INDEX(Liv_accommodation_Ccy,$B$575),FxCodes,0))*INDEX(FxUsed,MATCH($B$560,FxCodes,0)))</f>
        <v>21492</v>
      </c>
      <c r="C581" s="21"/>
      <c r="D581" s="25">
        <f t="shared" si="261"/>
        <v>21492</v>
      </c>
      <c r="E581" s="12">
        <f>IF(ISNUMBER(C581),PlanYear,IF($B$575=0,PlanYear,INDEX(Liv_accommodation_Base,$B$575)))</f>
        <v>2026</v>
      </c>
      <c r="F581" s="12" t="str">
        <f>IF(ISNUMBER(C581),"override",IF($B$575=0,"missing",INDEX(Liv_accommodation_Status,$B$575)))</f>
        <v>verified</v>
      </c>
      <c r="G581" s="16" t="str">
        <f t="shared" si="262"/>
        <v>Published figure</v>
      </c>
      <c r="H581" s="16" t="s">
        <v>139</v>
      </c>
      <c r="I581" s="16" t="s">
        <v>137</v>
      </c>
      <c r="J581" s="16" t="s">
        <v>138</v>
      </c>
    </row>
    <row r="582" spans="1:10" x14ac:dyDescent="0.3">
      <c r="A582" s="16" t="s">
        <v>38</v>
      </c>
      <c r="B582" s="25">
        <f>IF($B$575=0,0,(INDEX(Liv_food_Amt,$B$575))/INDEX(FxUsed,MATCH(INDEX(Liv_food_Ccy,$B$575),FxCodes,0))*INDEX(FxUsed,MATCH($B$560,FxCodes,0)))</f>
        <v>16060</v>
      </c>
      <c r="C582" s="21"/>
      <c r="D582" s="25">
        <f t="shared" si="261"/>
        <v>16060</v>
      </c>
      <c r="E582" s="12">
        <f>IF(ISNUMBER(C582),PlanYear,IF($B$575=0,PlanYear,INDEX(Liv_food_Base,$B$575)))</f>
        <v>2026</v>
      </c>
      <c r="F582" s="12" t="str">
        <f>IF(ISNUMBER(C582),"override",IF($B$575=0,"missing",INDEX(Liv_food_Status,$B$575)))</f>
        <v>verified</v>
      </c>
      <c r="G582" s="16" t="str">
        <f t="shared" si="262"/>
        <v>Published figure</v>
      </c>
      <c r="H582" s="16" t="s">
        <v>139</v>
      </c>
      <c r="I582" s="16" t="s">
        <v>137</v>
      </c>
      <c r="J582" s="16" t="s">
        <v>138</v>
      </c>
    </row>
    <row r="583" spans="1:10" x14ac:dyDescent="0.3">
      <c r="A583" s="16" t="s">
        <v>39</v>
      </c>
      <c r="B583" s="25">
        <f>IF($B$575=0,0,(INDEX(Liv_transport_Amt,$B$575))/INDEX(FxUsed,MATCH(INDEX(Liv_transport_Ccy,$B$575),FxCodes,0))*INDEX(FxUsed,MATCH($B$560,FxCodes,0)))</f>
        <v>3600</v>
      </c>
      <c r="C583" s="21"/>
      <c r="D583" s="25">
        <f t="shared" si="261"/>
        <v>3600</v>
      </c>
      <c r="E583" s="12">
        <f>IF(ISNUMBER(C583),PlanYear,IF($B$575=0,PlanYear,INDEX(Liv_transport_Base,$B$575)))</f>
        <v>2026</v>
      </c>
      <c r="F583" s="12" t="str">
        <f>IF(ISNUMBER(C583),"override",IF($B$575=0,"missing",INDEX(Liv_transport_Status,$B$575)))</f>
        <v>estimated</v>
      </c>
      <c r="G583" s="16" t="str">
        <f t="shared" si="262"/>
        <v>Estimated — please review</v>
      </c>
      <c r="H583" s="16" t="s">
        <v>139</v>
      </c>
      <c r="I583" s="16" t="s">
        <v>137</v>
      </c>
      <c r="J583" s="16" t="s">
        <v>138</v>
      </c>
    </row>
    <row r="584" spans="1:10" x14ac:dyDescent="0.3">
      <c r="A584" s="16" t="s">
        <v>40</v>
      </c>
      <c r="B584" s="25">
        <f>IF($B$575=0,0,(INDEX(Liv_healthInsurance_Amt,$B$575))/INDEX(FxUsed,MATCH(INDEX(Liv_healthInsurance_Ccy,$B$575),FxCodes,0))*INDEX(FxUsed,MATCH($B$560,FxCodes,0)))</f>
        <v>3424</v>
      </c>
      <c r="C584" s="21"/>
      <c r="D584" s="25">
        <f t="shared" si="261"/>
        <v>3424</v>
      </c>
      <c r="E584" s="12">
        <f>IF(ISNUMBER(C584),PlanYear,IF($B$575=0,PlanYear,INDEX(Liv_healthInsurance_Base,$B$575)))</f>
        <v>2026</v>
      </c>
      <c r="F584" s="12" t="str">
        <f>IF(ISNUMBER(C584),"override",IF($B$575=0,"missing",INDEX(Liv_healthInsurance_Status,$B$575)))</f>
        <v>verified</v>
      </c>
      <c r="G584" s="16" t="str">
        <f t="shared" si="262"/>
        <v>Published figure</v>
      </c>
      <c r="H584" s="16" t="s">
        <v>139</v>
      </c>
      <c r="I584" s="16" t="s">
        <v>137</v>
      </c>
      <c r="J584" s="16" t="s">
        <v>138</v>
      </c>
    </row>
    <row r="585" spans="1:10" x14ac:dyDescent="0.3">
      <c r="A585" s="16" t="s">
        <v>41</v>
      </c>
      <c r="B585" s="25">
        <f>IF($B$575=0,0,(INDEX(Liv_books_Amt,$B$575))/INDEX(FxUsed,MATCH(INDEX(Liv_books_Ccy,$B$575),FxCodes,0))*INDEX(FxUsed,MATCH($B$560,FxCodes,0)))</f>
        <v>3650</v>
      </c>
      <c r="C585" s="21"/>
      <c r="D585" s="25">
        <f t="shared" si="261"/>
        <v>3650</v>
      </c>
      <c r="E585" s="12">
        <f>IF(ISNUMBER(C585),PlanYear,IF($B$575=0,PlanYear,INDEX(Liv_books_Base,$B$575)))</f>
        <v>2026</v>
      </c>
      <c r="F585" s="12" t="str">
        <f>IF(ISNUMBER(C585),"override",IF($B$575=0,"missing",INDEX(Liv_books_Status,$B$575)))</f>
        <v>verified</v>
      </c>
      <c r="G585" s="16" t="str">
        <f t="shared" si="262"/>
        <v>Published figure</v>
      </c>
      <c r="H585" s="16" t="s">
        <v>139</v>
      </c>
      <c r="I585" s="16" t="s">
        <v>137</v>
      </c>
      <c r="J585" s="16" t="s">
        <v>138</v>
      </c>
    </row>
    <row r="586" spans="1:10" x14ac:dyDescent="0.3">
      <c r="A586" s="16" t="s">
        <v>42</v>
      </c>
      <c r="B586" s="25">
        <f>IF($B$559=0,0,(IF($B$573&gt;0,SUMPRODUCT((RecKey=$B$558)*RecOther*(1+$B$564)^(PlanYear-RecYear))/$B$573,INDEX(DB_EstOther,$B$559)))/INDEX(FxUsed,MATCH($B$574,FxCodes,0))*INDEX(FxUsed,MATCH($B$560,FxCodes,0)))</f>
        <v>0</v>
      </c>
      <c r="C586" s="21"/>
      <c r="D586" s="25">
        <f t="shared" si="261"/>
        <v>0</v>
      </c>
      <c r="E586" s="12">
        <f>IF(ISNUMBER(C586),PlanYear,IF($B$573&gt;0,PlanYear,IF($B$559&gt;0,INDEX(DB_EstBase,$B$559),PlanYear)))</f>
        <v>2026</v>
      </c>
      <c r="F586" s="12" t="str">
        <f>IF(ISNUMBER(C586),"override",IF($B$559=0,"missing",IF($B$573&gt;0,"verified",INDEX(DB_EstStatus,$B$559))))</f>
        <v>missing</v>
      </c>
      <c r="G586" s="16" t="str">
        <f t="shared" si="262"/>
        <v>No figure yet — enter your own</v>
      </c>
      <c r="H586" s="16" t="s">
        <v>136</v>
      </c>
      <c r="I586" s="16" t="s">
        <v>137</v>
      </c>
      <c r="J586" s="16" t="s">
        <v>138</v>
      </c>
    </row>
    <row r="587" spans="1:10" x14ac:dyDescent="0.3">
      <c r="A587" s="16" t="s">
        <v>140</v>
      </c>
      <c r="B587" s="25">
        <f>IF($B$563&gt;0,IF($B$563&gt;0,(INDEX(DB_PreAdm,$B$559))/INDEX(FxUsed,MATCH(INDEX(DB_PreCcy,$B$559),FxCodes,0))*INDEX(FxUsed,MATCH($B$560,FxCodes,0)),0),IF($B$559=0,0,(IF($B$573&gt;0,SUMPRODUCT((RecKey=$B$558)*RecAdm*(1+$B$564)^(PlanYear-RecYear))/$B$573,INDEX(DB_EstAdm,$B$559)))/INDEX(FxUsed,MATCH($B$574,FxCodes,0))*INDEX(FxUsed,MATCH($B$560,FxCodes,0))))</f>
        <v>0</v>
      </c>
      <c r="C587" s="21"/>
      <c r="D587" s="25">
        <f t="shared" si="261"/>
        <v>0</v>
      </c>
      <c r="E587" s="12">
        <f>IF(ISNUMBER(C587),PlanYear,IF($B$563&gt;0,INDEX(DB_PreBase,$B$559),IF($B$573&gt;0,PlanYear,IF($B$559&gt;0,INDEX(DB_EstBase,$B$559),PlanYear))))</f>
        <v>2026</v>
      </c>
      <c r="F587" s="12" t="str">
        <f>IF(ISNUMBER(C587),"override",IF($B$563&gt;0,INDEX(DB_PreStatus,$B$559),IF($B$559=0,"missing",IF($B$573&gt;0,"verified",INDEX(DB_EstStatus,$B$559)))))</f>
        <v>missing</v>
      </c>
      <c r="G587" s="16" t="str">
        <f t="shared" si="262"/>
        <v>No figure yet — enter your own</v>
      </c>
      <c r="H587" s="16" t="s">
        <v>136</v>
      </c>
      <c r="I587" s="16" t="s">
        <v>141</v>
      </c>
      <c r="J587" s="16" t="s">
        <v>138</v>
      </c>
    </row>
    <row r="588" spans="1:10" x14ac:dyDescent="0.3">
      <c r="A588" s="16" t="s">
        <v>142</v>
      </c>
      <c r="B588" s="25">
        <f>IF(OR($B$576=0,AND($B$557&lt;&gt;"domestic",Residence=$B$553,COUNTIF(ResNoVisa,$B$553)&gt;0)),0,(INDEX(VisaAmt,$B$576))/INDEX(FxUsed,MATCH(INDEX(VisaCcy,$B$576),FxCodes,0))*INDEX(FxUsed,MATCH($B$560,FxCodes,0)))</f>
        <v>2000.0000000000002</v>
      </c>
      <c r="C588" s="21"/>
      <c r="D588" s="25">
        <f t="shared" si="261"/>
        <v>2000.0000000000002</v>
      </c>
      <c r="E588" s="12">
        <f>IF(ISNUMBER(C588),PlanYear,IF(OR($B$576=0,AND($B$557&lt;&gt;"domestic",Residence=$B$553,COUNTIF(ResNoVisa,$B$553)&gt;0)),PlanYear,INDEX(VisaBase,$B$576)))</f>
        <v>2026</v>
      </c>
      <c r="F588" s="12" t="str">
        <f>IF(ISNUMBER(C588),"override",IF(AND($B$557&lt;&gt;"domestic",Residence=$B$553,COUNTIF(ResNoVisa,$B$553)&gt;0),"notNeeded",IF($B$576=0,"missing",INDEX(VisaStatus,$B$576))))</f>
        <v>verified</v>
      </c>
      <c r="G588" s="16" t="str">
        <f t="shared" si="262"/>
        <v>Published figure</v>
      </c>
      <c r="H588" s="16" t="s">
        <v>139</v>
      </c>
      <c r="I588" s="16" t="s">
        <v>141</v>
      </c>
      <c r="J588" s="16" t="s">
        <v>143</v>
      </c>
    </row>
    <row r="589" spans="1:10" x14ac:dyDescent="0.3">
      <c r="A589" s="16" t="s">
        <v>144</v>
      </c>
      <c r="B589" s="25">
        <f>IF($B$577=0,0,(INDEX(TravAmt,$B$577))/INDEX(FxUsed,MATCH(INDEX(TravCcy,$B$577),FxCodes,0))*INDEX(FxUsed,MATCH($B$560,FxCodes,0)))</f>
        <v>2912</v>
      </c>
      <c r="C589" s="21"/>
      <c r="D589" s="25">
        <f t="shared" si="261"/>
        <v>2912</v>
      </c>
      <c r="E589" s="12">
        <f>IF(ISNUMBER(C589),PlanYear,IF($B$577=0,PlanYear,INDEX(TravBase,$B$577)))</f>
        <v>2026</v>
      </c>
      <c r="F589" s="12" t="str">
        <f>IF(ISNUMBER(C589),"override",IF($B$577=0,"missing",INDEX(TravStatus,$B$577)))</f>
        <v>estimated</v>
      </c>
      <c r="G589" s="16" t="str">
        <f t="shared" si="262"/>
        <v>Estimated — please review</v>
      </c>
      <c r="H589" s="16" t="s">
        <v>139</v>
      </c>
      <c r="I589" s="16" t="s">
        <v>141</v>
      </c>
      <c r="J589" s="16" t="s">
        <v>143</v>
      </c>
    </row>
    <row r="590" spans="1:10" x14ac:dyDescent="0.3">
      <c r="A590" s="16" t="s">
        <v>46</v>
      </c>
      <c r="B590" s="25">
        <f>IF($B$563&gt;0,(INDEX(DB_PreTuition,$B$559))/INDEX(FxUsed,MATCH(INDEX(DB_PreCcy,$B$559),FxCodes,0))*INDEX(FxUsed,MATCH($B$560,FxCodes,0)),0)</f>
        <v>0</v>
      </c>
      <c r="C590" s="21"/>
      <c r="D590" s="25">
        <f t="shared" si="261"/>
        <v>0</v>
      </c>
      <c r="E590" s="12">
        <f>IF(ISNUMBER(C590),PlanYear,IF($B$563&gt;0,INDEX(DB_PreBase,$B$559),PlanYear))</f>
        <v>2026</v>
      </c>
      <c r="F590" s="12" t="str">
        <f>IF(ISNUMBER(C590),"override",IF($B$563&gt;0,INDEX(DB_PreStatus,$B$559),""))</f>
        <v/>
      </c>
      <c r="G590" s="16" t="str">
        <f t="shared" si="262"/>
        <v/>
      </c>
      <c r="H590" s="16" t="s">
        <v>136</v>
      </c>
      <c r="I590" s="16" t="s">
        <v>137</v>
      </c>
      <c r="J590" s="16" t="s">
        <v>138</v>
      </c>
    </row>
    <row r="591" spans="1:10" x14ac:dyDescent="0.3">
      <c r="A591" s="16" t="s">
        <v>47</v>
      </c>
      <c r="B591" s="25">
        <f>IF($B$563&gt;0,(INDEX(DB_PreOther,$B$559))/INDEX(FxUsed,MATCH(INDEX(DB_PreCcy,$B$559),FxCodes,0))*INDEX(FxUsed,MATCH($B$560,FxCodes,0)),0)</f>
        <v>0</v>
      </c>
      <c r="C591" s="21"/>
      <c r="D591" s="25">
        <f t="shared" si="261"/>
        <v>0</v>
      </c>
      <c r="E591" s="12">
        <f>IF(ISNUMBER(C591),PlanYear,IF($B$563&gt;0,INDEX(DB_PreBase,$B$559),PlanYear))</f>
        <v>2026</v>
      </c>
      <c r="F591" s="12" t="str">
        <f>IF(ISNUMBER(C591),"override",IF($B$563&gt;0,INDEX(DB_PreStatus,$B$559),""))</f>
        <v/>
      </c>
      <c r="G591" s="16" t="str">
        <f t="shared" si="262"/>
        <v/>
      </c>
      <c r="H591" s="16" t="s">
        <v>136</v>
      </c>
      <c r="I591" s="16" t="s">
        <v>137</v>
      </c>
      <c r="J591" s="16" t="s">
        <v>138</v>
      </c>
    </row>
    <row r="593" spans="1:27" ht="79.2" x14ac:dyDescent="0.3">
      <c r="A593" s="22" t="s">
        <v>145</v>
      </c>
      <c r="B593" s="22" t="s">
        <v>146</v>
      </c>
      <c r="C593" s="22" t="s">
        <v>147</v>
      </c>
      <c r="D593" s="22" t="s">
        <v>148</v>
      </c>
      <c r="E593" s="22" t="s">
        <v>149</v>
      </c>
      <c r="F593" s="22" t="s">
        <v>150</v>
      </c>
      <c r="G593" s="22" t="s">
        <v>151</v>
      </c>
      <c r="H593" s="22" t="s">
        <v>152</v>
      </c>
      <c r="I593" s="22" t="s">
        <v>153</v>
      </c>
      <c r="J593" s="22" t="s">
        <v>154</v>
      </c>
      <c r="K593" s="22" t="s">
        <v>155</v>
      </c>
      <c r="L593" s="22" t="s">
        <v>156</v>
      </c>
      <c r="M593" s="22" t="s">
        <v>157</v>
      </c>
      <c r="N593" s="22" t="s">
        <v>158</v>
      </c>
      <c r="O593" s="22" t="s">
        <v>159</v>
      </c>
      <c r="P593" s="22" t="s">
        <v>36</v>
      </c>
      <c r="Q593" s="22" t="s">
        <v>37</v>
      </c>
      <c r="R593" s="22" t="s">
        <v>38</v>
      </c>
      <c r="S593" s="22" t="s">
        <v>39</v>
      </c>
      <c r="T593" s="22" t="s">
        <v>40</v>
      </c>
      <c r="U593" s="22" t="s">
        <v>41</v>
      </c>
      <c r="V593" s="22" t="s">
        <v>42</v>
      </c>
      <c r="W593" s="22" t="s">
        <v>140</v>
      </c>
      <c r="X593" s="22" t="s">
        <v>142</v>
      </c>
      <c r="Y593" s="22" t="s">
        <v>144</v>
      </c>
      <c r="Z593" s="22" t="s">
        <v>83</v>
      </c>
      <c r="AA593" s="22" t="s">
        <v>160</v>
      </c>
    </row>
    <row r="594" spans="1:27" x14ac:dyDescent="0.3">
      <c r="A594" s="16">
        <v>0</v>
      </c>
      <c r="B594" s="16">
        <f t="shared" ref="B594:B603" si="263">PlanYear+$B$566+A594</f>
        <v>2026</v>
      </c>
      <c r="C594" s="16">
        <f t="shared" ref="C594:C603" si="264">MAX(0,MIN(1,$B$561-A594))</f>
        <v>0</v>
      </c>
      <c r="D594" s="16">
        <f t="shared" ref="D594:D603" si="265">IF(A594&lt;$B$563,1,0)</f>
        <v>0</v>
      </c>
      <c r="E594" s="16">
        <f t="shared" ref="E594:E603" si="266">IF(AND($B$570=1,A594&lt;$B$567),1,0)</f>
        <v>0</v>
      </c>
      <c r="F594" s="21">
        <f t="shared" ref="F594:F603" si="267">IF(AND(E594=1),IF(D594=1,$D$590,$D$580)*(1+$B$564)^(B594-IF(D594=1,$E$590,$E$580))*C594*$B$572,0)</f>
        <v>0</v>
      </c>
      <c r="G594" s="21">
        <f t="shared" ref="G594:G603" si="268">IF(AND(E594=1),$D$581*(1+$B$565)^(B594-$E$581)*C594*$B$572,0)</f>
        <v>0</v>
      </c>
      <c r="H594" s="21">
        <f t="shared" ref="H594:H603" si="269">IF(AND(E594=1),$D$582*(1+$B$565)^(B594-$E$582)*C594*$B$572,0)</f>
        <v>0</v>
      </c>
      <c r="I594" s="21">
        <f t="shared" ref="I594:I603" si="270">IF(AND(E594=1),$D$583*(1+$B$565)^(B594-$E$583)*C594*$B$572,0)</f>
        <v>0</v>
      </c>
      <c r="J594" s="21">
        <f t="shared" ref="J594:J603" si="271">IF(AND(E594=1),$D$584*(1+$B$565)^(B594-$E$584)*C594*$B$572,0)</f>
        <v>0</v>
      </c>
      <c r="K594" s="21">
        <f t="shared" ref="K594:K603" si="272">IF(AND(E594=1),$D$585*(1+$B$565)^(B594-$E$585)*C594*$B$572,0)</f>
        <v>0</v>
      </c>
      <c r="L594" s="21">
        <f t="shared" ref="L594:L603" si="273">IF(AND(E594=1),IF(D594=1,$D$591,$D$586)*(1+$B$564)^(B594-IF(D594=1,$E$591,$E$586))*C594*$B$572,0)</f>
        <v>0</v>
      </c>
      <c r="M594" s="21">
        <f t="shared" ref="M594:M603" si="274">IF(AND(E594=1,A594=0),$D$587*(1+$B$564)^(B594-$E$587)*$B$572,0)</f>
        <v>0</v>
      </c>
      <c r="N594" s="21">
        <f t="shared" ref="N594:N603" si="275">IF(AND(E594=1,A594=0),$D$588*(1+$B$565)^(B594-$E$588)*$B$572,0)</f>
        <v>0</v>
      </c>
      <c r="O594" s="21">
        <f t="shared" ref="O594:O603" si="276">IF(AND(E594=1,A594=0),$D$589*(1+$B$565)^(B594-$E$589)*$B$572,0)</f>
        <v>0</v>
      </c>
      <c r="P594" s="21">
        <f t="shared" ref="P594:P603" si="277">F594*(1-Coverage)</f>
        <v>0</v>
      </c>
      <c r="Q594" s="21">
        <f t="shared" ref="Q594:Q603" si="278">G594*(1-Coverage)</f>
        <v>0</v>
      </c>
      <c r="R594" s="21">
        <f t="shared" ref="R594:R603" si="279">H594*(1-Coverage)</f>
        <v>0</v>
      </c>
      <c r="S594" s="21">
        <f t="shared" ref="S594:S603" si="280">I594*(1-Coverage)</f>
        <v>0</v>
      </c>
      <c r="T594" s="21">
        <f t="shared" ref="T594:T603" si="281">J594*(1-Coverage)</f>
        <v>0</v>
      </c>
      <c r="U594" s="21">
        <f t="shared" ref="U594:U603" si="282">K594*(1-Coverage)</f>
        <v>0</v>
      </c>
      <c r="V594" s="21">
        <f t="shared" ref="V594:V603" si="283">L594*(1-Coverage)</f>
        <v>0</v>
      </c>
      <c r="W594" s="21">
        <f t="shared" ref="W594:W603" si="284">M594*(1-Coverage)</f>
        <v>0</v>
      </c>
      <c r="X594" s="21">
        <f t="shared" ref="X594:X603" si="285">N594*1</f>
        <v>0</v>
      </c>
      <c r="Y594" s="21">
        <f t="shared" ref="Y594:Y603" si="286">O594*1</f>
        <v>0</v>
      </c>
      <c r="Z594" s="20">
        <f t="shared" ref="Z594:Z603" si="287">SUM(P594:Y594)</f>
        <v>0</v>
      </c>
      <c r="AA594" s="21">
        <f t="shared" ref="AA594:AA603" si="288">SUM(F594:O594)</f>
        <v>0</v>
      </c>
    </row>
    <row r="595" spans="1:27" x14ac:dyDescent="0.3">
      <c r="A595" s="16">
        <v>1</v>
      </c>
      <c r="B595" s="16">
        <f t="shared" si="263"/>
        <v>2027</v>
      </c>
      <c r="C595" s="16">
        <f t="shared" si="264"/>
        <v>0</v>
      </c>
      <c r="D595" s="16">
        <f t="shared" si="265"/>
        <v>0</v>
      </c>
      <c r="E595" s="16">
        <f t="shared" si="266"/>
        <v>0</v>
      </c>
      <c r="F595" s="21">
        <f t="shared" si="267"/>
        <v>0</v>
      </c>
      <c r="G595" s="21">
        <f t="shared" si="268"/>
        <v>0</v>
      </c>
      <c r="H595" s="21">
        <f t="shared" si="269"/>
        <v>0</v>
      </c>
      <c r="I595" s="21">
        <f t="shared" si="270"/>
        <v>0</v>
      </c>
      <c r="J595" s="21">
        <f t="shared" si="271"/>
        <v>0</v>
      </c>
      <c r="K595" s="21">
        <f t="shared" si="272"/>
        <v>0</v>
      </c>
      <c r="L595" s="21">
        <f t="shared" si="273"/>
        <v>0</v>
      </c>
      <c r="M595" s="21">
        <f t="shared" si="274"/>
        <v>0</v>
      </c>
      <c r="N595" s="21">
        <f t="shared" si="275"/>
        <v>0</v>
      </c>
      <c r="O595" s="21">
        <f t="shared" si="276"/>
        <v>0</v>
      </c>
      <c r="P595" s="21">
        <f t="shared" si="277"/>
        <v>0</v>
      </c>
      <c r="Q595" s="21">
        <f t="shared" si="278"/>
        <v>0</v>
      </c>
      <c r="R595" s="21">
        <f t="shared" si="279"/>
        <v>0</v>
      </c>
      <c r="S595" s="21">
        <f t="shared" si="280"/>
        <v>0</v>
      </c>
      <c r="T595" s="21">
        <f t="shared" si="281"/>
        <v>0</v>
      </c>
      <c r="U595" s="21">
        <f t="shared" si="282"/>
        <v>0</v>
      </c>
      <c r="V595" s="21">
        <f t="shared" si="283"/>
        <v>0</v>
      </c>
      <c r="W595" s="21">
        <f t="shared" si="284"/>
        <v>0</v>
      </c>
      <c r="X595" s="21">
        <f t="shared" si="285"/>
        <v>0</v>
      </c>
      <c r="Y595" s="21">
        <f t="shared" si="286"/>
        <v>0</v>
      </c>
      <c r="Z595" s="20">
        <f t="shared" si="287"/>
        <v>0</v>
      </c>
      <c r="AA595" s="21">
        <f t="shared" si="288"/>
        <v>0</v>
      </c>
    </row>
    <row r="596" spans="1:27" x14ac:dyDescent="0.3">
      <c r="A596" s="16">
        <v>2</v>
      </c>
      <c r="B596" s="16">
        <f t="shared" si="263"/>
        <v>2028</v>
      </c>
      <c r="C596" s="16">
        <f t="shared" si="264"/>
        <v>0</v>
      </c>
      <c r="D596" s="16">
        <f t="shared" si="265"/>
        <v>0</v>
      </c>
      <c r="E596" s="16">
        <f t="shared" si="266"/>
        <v>0</v>
      </c>
      <c r="F596" s="21">
        <f t="shared" si="267"/>
        <v>0</v>
      </c>
      <c r="G596" s="21">
        <f t="shared" si="268"/>
        <v>0</v>
      </c>
      <c r="H596" s="21">
        <f t="shared" si="269"/>
        <v>0</v>
      </c>
      <c r="I596" s="21">
        <f t="shared" si="270"/>
        <v>0</v>
      </c>
      <c r="J596" s="21">
        <f t="shared" si="271"/>
        <v>0</v>
      </c>
      <c r="K596" s="21">
        <f t="shared" si="272"/>
        <v>0</v>
      </c>
      <c r="L596" s="21">
        <f t="shared" si="273"/>
        <v>0</v>
      </c>
      <c r="M596" s="21">
        <f t="shared" si="274"/>
        <v>0</v>
      </c>
      <c r="N596" s="21">
        <f t="shared" si="275"/>
        <v>0</v>
      </c>
      <c r="O596" s="21">
        <f t="shared" si="276"/>
        <v>0</v>
      </c>
      <c r="P596" s="21">
        <f t="shared" si="277"/>
        <v>0</v>
      </c>
      <c r="Q596" s="21">
        <f t="shared" si="278"/>
        <v>0</v>
      </c>
      <c r="R596" s="21">
        <f t="shared" si="279"/>
        <v>0</v>
      </c>
      <c r="S596" s="21">
        <f t="shared" si="280"/>
        <v>0</v>
      </c>
      <c r="T596" s="21">
        <f t="shared" si="281"/>
        <v>0</v>
      </c>
      <c r="U596" s="21">
        <f t="shared" si="282"/>
        <v>0</v>
      </c>
      <c r="V596" s="21">
        <f t="shared" si="283"/>
        <v>0</v>
      </c>
      <c r="W596" s="21">
        <f t="shared" si="284"/>
        <v>0</v>
      </c>
      <c r="X596" s="21">
        <f t="shared" si="285"/>
        <v>0</v>
      </c>
      <c r="Y596" s="21">
        <f t="shared" si="286"/>
        <v>0</v>
      </c>
      <c r="Z596" s="20">
        <f t="shared" si="287"/>
        <v>0</v>
      </c>
      <c r="AA596" s="21">
        <f t="shared" si="288"/>
        <v>0</v>
      </c>
    </row>
    <row r="597" spans="1:27" x14ac:dyDescent="0.3">
      <c r="A597" s="16">
        <v>3</v>
      </c>
      <c r="B597" s="16">
        <f t="shared" si="263"/>
        <v>2029</v>
      </c>
      <c r="C597" s="16">
        <f t="shared" si="264"/>
        <v>0</v>
      </c>
      <c r="D597" s="16">
        <f t="shared" si="265"/>
        <v>0</v>
      </c>
      <c r="E597" s="16">
        <f t="shared" si="266"/>
        <v>0</v>
      </c>
      <c r="F597" s="21">
        <f t="shared" si="267"/>
        <v>0</v>
      </c>
      <c r="G597" s="21">
        <f t="shared" si="268"/>
        <v>0</v>
      </c>
      <c r="H597" s="21">
        <f t="shared" si="269"/>
        <v>0</v>
      </c>
      <c r="I597" s="21">
        <f t="shared" si="270"/>
        <v>0</v>
      </c>
      <c r="J597" s="21">
        <f t="shared" si="271"/>
        <v>0</v>
      </c>
      <c r="K597" s="21">
        <f t="shared" si="272"/>
        <v>0</v>
      </c>
      <c r="L597" s="21">
        <f t="shared" si="273"/>
        <v>0</v>
      </c>
      <c r="M597" s="21">
        <f t="shared" si="274"/>
        <v>0</v>
      </c>
      <c r="N597" s="21">
        <f t="shared" si="275"/>
        <v>0</v>
      </c>
      <c r="O597" s="21">
        <f t="shared" si="276"/>
        <v>0</v>
      </c>
      <c r="P597" s="21">
        <f t="shared" si="277"/>
        <v>0</v>
      </c>
      <c r="Q597" s="21">
        <f t="shared" si="278"/>
        <v>0</v>
      </c>
      <c r="R597" s="21">
        <f t="shared" si="279"/>
        <v>0</v>
      </c>
      <c r="S597" s="21">
        <f t="shared" si="280"/>
        <v>0</v>
      </c>
      <c r="T597" s="21">
        <f t="shared" si="281"/>
        <v>0</v>
      </c>
      <c r="U597" s="21">
        <f t="shared" si="282"/>
        <v>0</v>
      </c>
      <c r="V597" s="21">
        <f t="shared" si="283"/>
        <v>0</v>
      </c>
      <c r="W597" s="21">
        <f t="shared" si="284"/>
        <v>0</v>
      </c>
      <c r="X597" s="21">
        <f t="shared" si="285"/>
        <v>0</v>
      </c>
      <c r="Y597" s="21">
        <f t="shared" si="286"/>
        <v>0</v>
      </c>
      <c r="Z597" s="20">
        <f t="shared" si="287"/>
        <v>0</v>
      </c>
      <c r="AA597" s="21">
        <f t="shared" si="288"/>
        <v>0</v>
      </c>
    </row>
    <row r="598" spans="1:27" x14ac:dyDescent="0.3">
      <c r="A598" s="16">
        <v>4</v>
      </c>
      <c r="B598" s="16">
        <f t="shared" si="263"/>
        <v>2030</v>
      </c>
      <c r="C598" s="16">
        <f t="shared" si="264"/>
        <v>0</v>
      </c>
      <c r="D598" s="16">
        <f t="shared" si="265"/>
        <v>0</v>
      </c>
      <c r="E598" s="16">
        <f t="shared" si="266"/>
        <v>0</v>
      </c>
      <c r="F598" s="21">
        <f t="shared" si="267"/>
        <v>0</v>
      </c>
      <c r="G598" s="21">
        <f t="shared" si="268"/>
        <v>0</v>
      </c>
      <c r="H598" s="21">
        <f t="shared" si="269"/>
        <v>0</v>
      </c>
      <c r="I598" s="21">
        <f t="shared" si="270"/>
        <v>0</v>
      </c>
      <c r="J598" s="21">
        <f t="shared" si="271"/>
        <v>0</v>
      </c>
      <c r="K598" s="21">
        <f t="shared" si="272"/>
        <v>0</v>
      </c>
      <c r="L598" s="21">
        <f t="shared" si="273"/>
        <v>0</v>
      </c>
      <c r="M598" s="21">
        <f t="shared" si="274"/>
        <v>0</v>
      </c>
      <c r="N598" s="21">
        <f t="shared" si="275"/>
        <v>0</v>
      </c>
      <c r="O598" s="21">
        <f t="shared" si="276"/>
        <v>0</v>
      </c>
      <c r="P598" s="21">
        <f t="shared" si="277"/>
        <v>0</v>
      </c>
      <c r="Q598" s="21">
        <f t="shared" si="278"/>
        <v>0</v>
      </c>
      <c r="R598" s="21">
        <f t="shared" si="279"/>
        <v>0</v>
      </c>
      <c r="S598" s="21">
        <f t="shared" si="280"/>
        <v>0</v>
      </c>
      <c r="T598" s="21">
        <f t="shared" si="281"/>
        <v>0</v>
      </c>
      <c r="U598" s="21">
        <f t="shared" si="282"/>
        <v>0</v>
      </c>
      <c r="V598" s="21">
        <f t="shared" si="283"/>
        <v>0</v>
      </c>
      <c r="W598" s="21">
        <f t="shared" si="284"/>
        <v>0</v>
      </c>
      <c r="X598" s="21">
        <f t="shared" si="285"/>
        <v>0</v>
      </c>
      <c r="Y598" s="21">
        <f t="shared" si="286"/>
        <v>0</v>
      </c>
      <c r="Z598" s="20">
        <f t="shared" si="287"/>
        <v>0</v>
      </c>
      <c r="AA598" s="21">
        <f t="shared" si="288"/>
        <v>0</v>
      </c>
    </row>
    <row r="599" spans="1:27" x14ac:dyDescent="0.3">
      <c r="A599" s="16">
        <v>5</v>
      </c>
      <c r="B599" s="16">
        <f t="shared" si="263"/>
        <v>2031</v>
      </c>
      <c r="C599" s="16">
        <f t="shared" si="264"/>
        <v>0</v>
      </c>
      <c r="D599" s="16">
        <f t="shared" si="265"/>
        <v>0</v>
      </c>
      <c r="E599" s="16">
        <f t="shared" si="266"/>
        <v>0</v>
      </c>
      <c r="F599" s="21">
        <f t="shared" si="267"/>
        <v>0</v>
      </c>
      <c r="G599" s="21">
        <f t="shared" si="268"/>
        <v>0</v>
      </c>
      <c r="H599" s="21">
        <f t="shared" si="269"/>
        <v>0</v>
      </c>
      <c r="I599" s="21">
        <f t="shared" si="270"/>
        <v>0</v>
      </c>
      <c r="J599" s="21">
        <f t="shared" si="271"/>
        <v>0</v>
      </c>
      <c r="K599" s="21">
        <f t="shared" si="272"/>
        <v>0</v>
      </c>
      <c r="L599" s="21">
        <f t="shared" si="273"/>
        <v>0</v>
      </c>
      <c r="M599" s="21">
        <f t="shared" si="274"/>
        <v>0</v>
      </c>
      <c r="N599" s="21">
        <f t="shared" si="275"/>
        <v>0</v>
      </c>
      <c r="O599" s="21">
        <f t="shared" si="276"/>
        <v>0</v>
      </c>
      <c r="P599" s="21">
        <f t="shared" si="277"/>
        <v>0</v>
      </c>
      <c r="Q599" s="21">
        <f t="shared" si="278"/>
        <v>0</v>
      </c>
      <c r="R599" s="21">
        <f t="shared" si="279"/>
        <v>0</v>
      </c>
      <c r="S599" s="21">
        <f t="shared" si="280"/>
        <v>0</v>
      </c>
      <c r="T599" s="21">
        <f t="shared" si="281"/>
        <v>0</v>
      </c>
      <c r="U599" s="21">
        <f t="shared" si="282"/>
        <v>0</v>
      </c>
      <c r="V599" s="21">
        <f t="shared" si="283"/>
        <v>0</v>
      </c>
      <c r="W599" s="21">
        <f t="shared" si="284"/>
        <v>0</v>
      </c>
      <c r="X599" s="21">
        <f t="shared" si="285"/>
        <v>0</v>
      </c>
      <c r="Y599" s="21">
        <f t="shared" si="286"/>
        <v>0</v>
      </c>
      <c r="Z599" s="20">
        <f t="shared" si="287"/>
        <v>0</v>
      </c>
      <c r="AA599" s="21">
        <f t="shared" si="288"/>
        <v>0</v>
      </c>
    </row>
    <row r="600" spans="1:27" x14ac:dyDescent="0.3">
      <c r="A600" s="16">
        <v>6</v>
      </c>
      <c r="B600" s="16">
        <f t="shared" si="263"/>
        <v>2032</v>
      </c>
      <c r="C600" s="16">
        <f t="shared" si="264"/>
        <v>0</v>
      </c>
      <c r="D600" s="16">
        <f t="shared" si="265"/>
        <v>0</v>
      </c>
      <c r="E600" s="16">
        <f t="shared" si="266"/>
        <v>0</v>
      </c>
      <c r="F600" s="21">
        <f t="shared" si="267"/>
        <v>0</v>
      </c>
      <c r="G600" s="21">
        <f t="shared" si="268"/>
        <v>0</v>
      </c>
      <c r="H600" s="21">
        <f t="shared" si="269"/>
        <v>0</v>
      </c>
      <c r="I600" s="21">
        <f t="shared" si="270"/>
        <v>0</v>
      </c>
      <c r="J600" s="21">
        <f t="shared" si="271"/>
        <v>0</v>
      </c>
      <c r="K600" s="21">
        <f t="shared" si="272"/>
        <v>0</v>
      </c>
      <c r="L600" s="21">
        <f t="shared" si="273"/>
        <v>0</v>
      </c>
      <c r="M600" s="21">
        <f t="shared" si="274"/>
        <v>0</v>
      </c>
      <c r="N600" s="21">
        <f t="shared" si="275"/>
        <v>0</v>
      </c>
      <c r="O600" s="21">
        <f t="shared" si="276"/>
        <v>0</v>
      </c>
      <c r="P600" s="21">
        <f t="shared" si="277"/>
        <v>0</v>
      </c>
      <c r="Q600" s="21">
        <f t="shared" si="278"/>
        <v>0</v>
      </c>
      <c r="R600" s="21">
        <f t="shared" si="279"/>
        <v>0</v>
      </c>
      <c r="S600" s="21">
        <f t="shared" si="280"/>
        <v>0</v>
      </c>
      <c r="T600" s="21">
        <f t="shared" si="281"/>
        <v>0</v>
      </c>
      <c r="U600" s="21">
        <f t="shared" si="282"/>
        <v>0</v>
      </c>
      <c r="V600" s="21">
        <f t="shared" si="283"/>
        <v>0</v>
      </c>
      <c r="W600" s="21">
        <f t="shared" si="284"/>
        <v>0</v>
      </c>
      <c r="X600" s="21">
        <f t="shared" si="285"/>
        <v>0</v>
      </c>
      <c r="Y600" s="21">
        <f t="shared" si="286"/>
        <v>0</v>
      </c>
      <c r="Z600" s="20">
        <f t="shared" si="287"/>
        <v>0</v>
      </c>
      <c r="AA600" s="21">
        <f t="shared" si="288"/>
        <v>0</v>
      </c>
    </row>
    <row r="601" spans="1:27" x14ac:dyDescent="0.3">
      <c r="A601" s="16">
        <v>7</v>
      </c>
      <c r="B601" s="16">
        <f t="shared" si="263"/>
        <v>2033</v>
      </c>
      <c r="C601" s="16">
        <f t="shared" si="264"/>
        <v>0</v>
      </c>
      <c r="D601" s="16">
        <f t="shared" si="265"/>
        <v>0</v>
      </c>
      <c r="E601" s="16">
        <f t="shared" si="266"/>
        <v>0</v>
      </c>
      <c r="F601" s="21">
        <f t="shared" si="267"/>
        <v>0</v>
      </c>
      <c r="G601" s="21">
        <f t="shared" si="268"/>
        <v>0</v>
      </c>
      <c r="H601" s="21">
        <f t="shared" si="269"/>
        <v>0</v>
      </c>
      <c r="I601" s="21">
        <f t="shared" si="270"/>
        <v>0</v>
      </c>
      <c r="J601" s="21">
        <f t="shared" si="271"/>
        <v>0</v>
      </c>
      <c r="K601" s="21">
        <f t="shared" si="272"/>
        <v>0</v>
      </c>
      <c r="L601" s="21">
        <f t="shared" si="273"/>
        <v>0</v>
      </c>
      <c r="M601" s="21">
        <f t="shared" si="274"/>
        <v>0</v>
      </c>
      <c r="N601" s="21">
        <f t="shared" si="275"/>
        <v>0</v>
      </c>
      <c r="O601" s="21">
        <f t="shared" si="276"/>
        <v>0</v>
      </c>
      <c r="P601" s="21">
        <f t="shared" si="277"/>
        <v>0</v>
      </c>
      <c r="Q601" s="21">
        <f t="shared" si="278"/>
        <v>0</v>
      </c>
      <c r="R601" s="21">
        <f t="shared" si="279"/>
        <v>0</v>
      </c>
      <c r="S601" s="21">
        <f t="shared" si="280"/>
        <v>0</v>
      </c>
      <c r="T601" s="21">
        <f t="shared" si="281"/>
        <v>0</v>
      </c>
      <c r="U601" s="21">
        <f t="shared" si="282"/>
        <v>0</v>
      </c>
      <c r="V601" s="21">
        <f t="shared" si="283"/>
        <v>0</v>
      </c>
      <c r="W601" s="21">
        <f t="shared" si="284"/>
        <v>0</v>
      </c>
      <c r="X601" s="21">
        <f t="shared" si="285"/>
        <v>0</v>
      </c>
      <c r="Y601" s="21">
        <f t="shared" si="286"/>
        <v>0</v>
      </c>
      <c r="Z601" s="20">
        <f t="shared" si="287"/>
        <v>0</v>
      </c>
      <c r="AA601" s="21">
        <f t="shared" si="288"/>
        <v>0</v>
      </c>
    </row>
    <row r="602" spans="1:27" x14ac:dyDescent="0.3">
      <c r="A602" s="16">
        <v>8</v>
      </c>
      <c r="B602" s="16">
        <f t="shared" si="263"/>
        <v>2034</v>
      </c>
      <c r="C602" s="16">
        <f t="shared" si="264"/>
        <v>0</v>
      </c>
      <c r="D602" s="16">
        <f t="shared" si="265"/>
        <v>0</v>
      </c>
      <c r="E602" s="16">
        <f t="shared" si="266"/>
        <v>0</v>
      </c>
      <c r="F602" s="21">
        <f t="shared" si="267"/>
        <v>0</v>
      </c>
      <c r="G602" s="21">
        <f t="shared" si="268"/>
        <v>0</v>
      </c>
      <c r="H602" s="21">
        <f t="shared" si="269"/>
        <v>0</v>
      </c>
      <c r="I602" s="21">
        <f t="shared" si="270"/>
        <v>0</v>
      </c>
      <c r="J602" s="21">
        <f t="shared" si="271"/>
        <v>0</v>
      </c>
      <c r="K602" s="21">
        <f t="shared" si="272"/>
        <v>0</v>
      </c>
      <c r="L602" s="21">
        <f t="shared" si="273"/>
        <v>0</v>
      </c>
      <c r="M602" s="21">
        <f t="shared" si="274"/>
        <v>0</v>
      </c>
      <c r="N602" s="21">
        <f t="shared" si="275"/>
        <v>0</v>
      </c>
      <c r="O602" s="21">
        <f t="shared" si="276"/>
        <v>0</v>
      </c>
      <c r="P602" s="21">
        <f t="shared" si="277"/>
        <v>0</v>
      </c>
      <c r="Q602" s="21">
        <f t="shared" si="278"/>
        <v>0</v>
      </c>
      <c r="R602" s="21">
        <f t="shared" si="279"/>
        <v>0</v>
      </c>
      <c r="S602" s="21">
        <f t="shared" si="280"/>
        <v>0</v>
      </c>
      <c r="T602" s="21">
        <f t="shared" si="281"/>
        <v>0</v>
      </c>
      <c r="U602" s="21">
        <f t="shared" si="282"/>
        <v>0</v>
      </c>
      <c r="V602" s="21">
        <f t="shared" si="283"/>
        <v>0</v>
      </c>
      <c r="W602" s="21">
        <f t="shared" si="284"/>
        <v>0</v>
      </c>
      <c r="X602" s="21">
        <f t="shared" si="285"/>
        <v>0</v>
      </c>
      <c r="Y602" s="21">
        <f t="shared" si="286"/>
        <v>0</v>
      </c>
      <c r="Z602" s="20">
        <f t="shared" si="287"/>
        <v>0</v>
      </c>
      <c r="AA602" s="21">
        <f t="shared" si="288"/>
        <v>0</v>
      </c>
    </row>
    <row r="603" spans="1:27" x14ac:dyDescent="0.3">
      <c r="A603" s="16">
        <v>9</v>
      </c>
      <c r="B603" s="16">
        <f t="shared" si="263"/>
        <v>2035</v>
      </c>
      <c r="C603" s="16">
        <f t="shared" si="264"/>
        <v>0</v>
      </c>
      <c r="D603" s="16">
        <f t="shared" si="265"/>
        <v>0</v>
      </c>
      <c r="E603" s="16">
        <f t="shared" si="266"/>
        <v>0</v>
      </c>
      <c r="F603" s="21">
        <f t="shared" si="267"/>
        <v>0</v>
      </c>
      <c r="G603" s="21">
        <f t="shared" si="268"/>
        <v>0</v>
      </c>
      <c r="H603" s="21">
        <f t="shared" si="269"/>
        <v>0</v>
      </c>
      <c r="I603" s="21">
        <f t="shared" si="270"/>
        <v>0</v>
      </c>
      <c r="J603" s="21">
        <f t="shared" si="271"/>
        <v>0</v>
      </c>
      <c r="K603" s="21">
        <f t="shared" si="272"/>
        <v>0</v>
      </c>
      <c r="L603" s="21">
        <f t="shared" si="273"/>
        <v>0</v>
      </c>
      <c r="M603" s="21">
        <f t="shared" si="274"/>
        <v>0</v>
      </c>
      <c r="N603" s="21">
        <f t="shared" si="275"/>
        <v>0</v>
      </c>
      <c r="O603" s="21">
        <f t="shared" si="276"/>
        <v>0</v>
      </c>
      <c r="P603" s="21">
        <f t="shared" si="277"/>
        <v>0</v>
      </c>
      <c r="Q603" s="21">
        <f t="shared" si="278"/>
        <v>0</v>
      </c>
      <c r="R603" s="21">
        <f t="shared" si="279"/>
        <v>0</v>
      </c>
      <c r="S603" s="21">
        <f t="shared" si="280"/>
        <v>0</v>
      </c>
      <c r="T603" s="21">
        <f t="shared" si="281"/>
        <v>0</v>
      </c>
      <c r="U603" s="21">
        <f t="shared" si="282"/>
        <v>0</v>
      </c>
      <c r="V603" s="21">
        <f t="shared" si="283"/>
        <v>0</v>
      </c>
      <c r="W603" s="21">
        <f t="shared" si="284"/>
        <v>0</v>
      </c>
      <c r="X603" s="21">
        <f t="shared" si="285"/>
        <v>0</v>
      </c>
      <c r="Y603" s="21">
        <f t="shared" si="286"/>
        <v>0</v>
      </c>
      <c r="Z603" s="20">
        <f t="shared" si="287"/>
        <v>0</v>
      </c>
      <c r="AA603" s="21">
        <f t="shared" si="288"/>
        <v>0</v>
      </c>
    </row>
    <row r="604" spans="1:27" x14ac:dyDescent="0.3">
      <c r="A604" s="8" t="s">
        <v>76</v>
      </c>
      <c r="F604" s="20">
        <f t="shared" ref="F604:AA604" si="289">SUM(F594:F603)</f>
        <v>0</v>
      </c>
      <c r="G604" s="20">
        <f t="shared" si="289"/>
        <v>0</v>
      </c>
      <c r="H604" s="20">
        <f t="shared" si="289"/>
        <v>0</v>
      </c>
      <c r="I604" s="20">
        <f t="shared" si="289"/>
        <v>0</v>
      </c>
      <c r="J604" s="20">
        <f t="shared" si="289"/>
        <v>0</v>
      </c>
      <c r="K604" s="20">
        <f t="shared" si="289"/>
        <v>0</v>
      </c>
      <c r="L604" s="20">
        <f t="shared" si="289"/>
        <v>0</v>
      </c>
      <c r="M604" s="20">
        <f t="shared" si="289"/>
        <v>0</v>
      </c>
      <c r="N604" s="20">
        <f t="shared" si="289"/>
        <v>0</v>
      </c>
      <c r="O604" s="20">
        <f t="shared" si="289"/>
        <v>0</v>
      </c>
      <c r="P604" s="20">
        <f t="shared" si="289"/>
        <v>0</v>
      </c>
      <c r="Q604" s="20">
        <f t="shared" si="289"/>
        <v>0</v>
      </c>
      <c r="R604" s="20">
        <f t="shared" si="289"/>
        <v>0</v>
      </c>
      <c r="S604" s="20">
        <f t="shared" si="289"/>
        <v>0</v>
      </c>
      <c r="T604" s="20">
        <f t="shared" si="289"/>
        <v>0</v>
      </c>
      <c r="U604" s="20">
        <f t="shared" si="289"/>
        <v>0</v>
      </c>
      <c r="V604" s="20">
        <f t="shared" si="289"/>
        <v>0</v>
      </c>
      <c r="W604" s="20">
        <f t="shared" si="289"/>
        <v>0</v>
      </c>
      <c r="X604" s="20">
        <f t="shared" si="289"/>
        <v>0</v>
      </c>
      <c r="Y604" s="20">
        <f t="shared" si="289"/>
        <v>0</v>
      </c>
      <c r="Z604" s="20">
        <f t="shared" si="289"/>
        <v>0</v>
      </c>
      <c r="AA604" s="20">
        <f t="shared" si="289"/>
        <v>0</v>
      </c>
    </row>
    <row r="606" spans="1:27" x14ac:dyDescent="0.3">
      <c r="A606" s="8" t="s">
        <v>161</v>
      </c>
      <c r="B606" s="26">
        <f>$Z$604</f>
        <v>0</v>
      </c>
    </row>
    <row r="607" spans="1:27" x14ac:dyDescent="0.3">
      <c r="A607" s="16" t="s">
        <v>14</v>
      </c>
      <c r="B607" s="21">
        <f>$AA$604-$Z$604</f>
        <v>0</v>
      </c>
    </row>
    <row r="608" spans="1:27" x14ac:dyDescent="0.3">
      <c r="A608" s="16" t="s">
        <v>162</v>
      </c>
      <c r="B608" s="16" t="str">
        <f>IF(OR($F$580="missing",AND($B$563&gt;0,$F$590="missing")),"missing",IF(OR($F$580="estimated",AND($B$563&gt;0,$F$590="estimated")),"estimated",IF($B$563&gt;0,$F$590,$F$580)))</f>
        <v>missing</v>
      </c>
    </row>
    <row r="609" spans="1:2" x14ac:dyDescent="0.3">
      <c r="A609" s="16" t="s">
        <v>163</v>
      </c>
      <c r="B609" s="16">
        <f>IF(OR($F$580="missing",AND($B$563&gt;0,$F$590="missing"),$F$581="missing"),1,0)</f>
        <v>1</v>
      </c>
    </row>
    <row r="612" spans="1:2" ht="15.6" x14ac:dyDescent="0.3">
      <c r="A612" s="7" t="s">
        <v>100</v>
      </c>
    </row>
    <row r="613" spans="1:2" x14ac:dyDescent="0.3">
      <c r="A613" s="16" t="s">
        <v>104</v>
      </c>
      <c r="B613" s="12">
        <f>IF(CmpChild&lt;=NumChildren,1,0)</f>
        <v>1</v>
      </c>
    </row>
    <row r="614" spans="1:2" x14ac:dyDescent="0.3">
      <c r="A614" s="16" t="s">
        <v>30</v>
      </c>
      <c r="B614" s="12" t="str">
        <f>IF("United Arab Emirates"="","","United Arab Emirates")</f>
        <v>United Arab Emirates</v>
      </c>
    </row>
    <row r="615" spans="1:2" x14ac:dyDescent="0.3">
      <c r="A615" s="16" t="s">
        <v>31</v>
      </c>
      <c r="B615" s="12" t="str">
        <f>IF(CHOOSE(CmpChild,Inputs!$C$18,Inputs!$D$18,Inputs!$E$18,Inputs!$F$18)="","",CHOOSE(CmpChild,Inputs!$C$18,Inputs!$D$18,Inputs!$E$18,Inputs!$F$18))</f>
        <v/>
      </c>
    </row>
    <row r="616" spans="1:2" x14ac:dyDescent="0.3">
      <c r="A616" s="16" t="s">
        <v>105</v>
      </c>
      <c r="B616" s="12" t="str">
        <f>IF(CHOOSE(CmpChild,Inputs!$C$15,Inputs!$D$15,Inputs!$E$15,Inputs!$F$15)="","",CHOOSE(CmpChild,Inputs!$C$15,Inputs!$D$15,Inputs!$E$15,Inputs!$F$15))</f>
        <v/>
      </c>
    </row>
    <row r="617" spans="1:2" x14ac:dyDescent="0.3">
      <c r="A617" s="16" t="s">
        <v>106</v>
      </c>
      <c r="B617" s="12">
        <f>IF(CHOOSE(CmpChild,Inputs!$C$19,Inputs!$D$19,Inputs!$E$19,Inputs!$F$19)="","",CHOOSE(CmpChild,Inputs!$C$19,Inputs!$D$19,Inputs!$E$19,Inputs!$F$19))</f>
        <v>18</v>
      </c>
    </row>
    <row r="618" spans="1:2" x14ac:dyDescent="0.3">
      <c r="A618" s="16" t="s">
        <v>107</v>
      </c>
      <c r="B618" s="12" t="str">
        <f>IF($B$614="","",IF(COUNTIF(DomKey,$B$614&amp;"|"&amp;Nationality)&gt;0,"domestic","international"))</f>
        <v>international</v>
      </c>
    </row>
    <row r="619" spans="1:2" x14ac:dyDescent="0.3">
      <c r="A619" s="16" t="s">
        <v>108</v>
      </c>
      <c r="B619" s="12" t="str">
        <f>$B$614&amp;"|"&amp;$B$615&amp;"|"&amp;$B$618</f>
        <v>United Arab Emirates||international</v>
      </c>
    </row>
    <row r="620" spans="1:2" x14ac:dyDescent="0.3">
      <c r="A620" s="16" t="s">
        <v>109</v>
      </c>
      <c r="B620" s="12">
        <f>IFERROR(MATCH($B$619,DB_Key,0),0)</f>
        <v>0</v>
      </c>
    </row>
    <row r="621" spans="1:2" x14ac:dyDescent="0.3">
      <c r="A621" s="16" t="s">
        <v>110</v>
      </c>
      <c r="B621" s="12" t="str">
        <f>IFERROR(INDEX(Ctry_Ccy,MATCH($B$614,Ctry_Name,0)),"USD")</f>
        <v>AED</v>
      </c>
    </row>
    <row r="622" spans="1:2" x14ac:dyDescent="0.3">
      <c r="A622" s="16" t="s">
        <v>68</v>
      </c>
      <c r="B622" s="12">
        <f>IF($B$620&gt;0,INDEX(DB_Dur,$B$620),0)</f>
        <v>0</v>
      </c>
    </row>
    <row r="623" spans="1:2" x14ac:dyDescent="0.3">
      <c r="A623" s="16" t="s">
        <v>111</v>
      </c>
      <c r="B623" s="12">
        <f>IF($B$620&gt;0,INDEX(DB_Avail,$B$620),0)</f>
        <v>0</v>
      </c>
    </row>
    <row r="624" spans="1:2" x14ac:dyDescent="0.3">
      <c r="A624" s="16" t="s">
        <v>112</v>
      </c>
      <c r="B624" s="12">
        <f>IF($B$620&gt;0,INDEX(DB_PreYears,$B$620),0)</f>
        <v>0</v>
      </c>
    </row>
    <row r="625" spans="1:10" x14ac:dyDescent="0.3">
      <c r="A625" s="16" t="s">
        <v>113</v>
      </c>
      <c r="B625" s="14">
        <f>IF(ISNUMBER(CHOOSE(CmpChild,Inputs!$C$20,Inputs!$D$20,Inputs!$E$20,Inputs!$F$20)),CHOOSE(CmpChild,Inputs!$C$20,Inputs!$D$20,Inputs!$E$20,Inputs!$F$20),IF($B$620&gt;0,INDEX(DB_TInf,$B$620),0))</f>
        <v>0</v>
      </c>
    </row>
    <row r="626" spans="1:10" x14ac:dyDescent="0.3">
      <c r="A626" s="16" t="s">
        <v>114</v>
      </c>
      <c r="B626" s="14">
        <f>IF(ISNUMBER(CHOOSE(CmpChild,Inputs!$C$21,Inputs!$D$21,Inputs!$E$21,Inputs!$F$21)),CHOOSE(CmpChild,Inputs!$C$21,Inputs!$D$21,Inputs!$E$21,Inputs!$F$21),IFERROR(INDEX(Ctry_LInf,MATCH($B$614,Ctry_Name,0)),0))</f>
        <v>3.5000000000000003E-2</v>
      </c>
    </row>
    <row r="627" spans="1:10" x14ac:dyDescent="0.3">
      <c r="A627" s="16" t="s">
        <v>115</v>
      </c>
      <c r="B627" s="12">
        <f>IF($B$631=1,MAX(0,$B$617-$B$616),0)</f>
        <v>0</v>
      </c>
    </row>
    <row r="628" spans="1:10" x14ac:dyDescent="0.3">
      <c r="A628" s="16" t="s">
        <v>116</v>
      </c>
      <c r="B628" s="12">
        <f>ROUNDUP($B$622,0)</f>
        <v>0</v>
      </c>
    </row>
    <row r="629" spans="1:10" x14ac:dyDescent="0.3">
      <c r="A629" s="16" t="s">
        <v>117</v>
      </c>
      <c r="B629" s="12">
        <f>IF($B$631=1,$B$627+$B$628,0)</f>
        <v>0</v>
      </c>
    </row>
    <row r="630" spans="1:10" x14ac:dyDescent="0.3">
      <c r="A630" s="16" t="s">
        <v>118</v>
      </c>
      <c r="B630" s="12">
        <f>MAX(0,$B$629-1)</f>
        <v>0</v>
      </c>
    </row>
    <row r="631" spans="1:10" x14ac:dyDescent="0.3">
      <c r="A631" s="16" t="s">
        <v>119</v>
      </c>
      <c r="B631" s="12">
        <f>IF(IFERROR(AND($B$613=1,$B$614&lt;&gt;"",$B$615&lt;&gt;"",$B$623=1,IFERROR(AND(ISNUMBER($B$616),$B$616&gt;=0,$B$616&lt;=18,INT($B$616)=$B$616),FALSE),IFERROR(AND(ISNUMBER($B$617),$B$617&gt;=14,$B$617&lt;=45,INT($B$617)=$B$617),FALSE)),FALSE),1,0)</f>
        <v>0</v>
      </c>
    </row>
    <row r="632" spans="1:10" x14ac:dyDescent="0.3">
      <c r="A632" s="16" t="s">
        <v>70</v>
      </c>
      <c r="B632" s="12" t="str">
        <f>IF($B$613&lt;&gt;1,"",IF(AND($B$616="",$B$614="",$B$615=""),"Enter this child's details on the Inputs sheet.",IF(NOT(IFERROR(AND(ISNUMBER($B$616),$B$616&gt;=0,$B$616&lt;=18,INT($B$616)=$B$616),FALSE)),"Choose the child's current age (0 to 18).",IF(NOT(IFERROR(AND(ISNUMBER($B$617),$B$617&gt;=14,$B$617&lt;=45,INT($B$617)=$B$617),FALSE)),"College-entry age must be a whole number from 14 to 45.",IF($B$614="","Choose the education country.",IF($B$615="","Choose the qualification.",IF($B$623&lt;&gt;1,"This qualification is not offered (or has no typical duration) in the selected country.","")))))))</f>
        <v>Choose the child's current age (0 to 18).</v>
      </c>
    </row>
    <row r="633" spans="1:10" x14ac:dyDescent="0.3">
      <c r="A633" s="16" t="s">
        <v>120</v>
      </c>
      <c r="B633" s="12">
        <f>INDEX(FxUsed,MATCH(RepCcy,FxCodes,0))/INDEX(FxUsed,MATCH($B$621,FxCodes,0))</f>
        <v>0.27229407760381213</v>
      </c>
    </row>
    <row r="634" spans="1:10" x14ac:dyDescent="0.3">
      <c r="A634" s="16" t="s">
        <v>121</v>
      </c>
      <c r="B634" s="12">
        <f>IF($B$620=0,0,COUNTIF(RecKey,$B$619))</f>
        <v>0</v>
      </c>
    </row>
    <row r="635" spans="1:10" x14ac:dyDescent="0.3">
      <c r="A635" s="16" t="s">
        <v>122</v>
      </c>
      <c r="B635" s="12" t="str">
        <f>IF($B$634&gt;0,INDEX(DB_RecCcy,$B$620),IF($B$620&gt;0,INDEX(DB_EstCcy,$B$620),$B$621))</f>
        <v>AED</v>
      </c>
    </row>
    <row r="636" spans="1:10" x14ac:dyDescent="0.3">
      <c r="A636" s="16" t="s">
        <v>123</v>
      </c>
      <c r="B636" s="12">
        <f>IFERROR(MATCH($B$614&amp;"|"&amp;$B$618,LivKey,0),0)</f>
        <v>22</v>
      </c>
    </row>
    <row r="637" spans="1:10" x14ac:dyDescent="0.3">
      <c r="A637" s="16" t="s">
        <v>124</v>
      </c>
      <c r="B637" s="12">
        <f>IFERROR(MATCH($B$614&amp;"|"&amp;Nationality,VisaKey,0),0)</f>
        <v>701</v>
      </c>
    </row>
    <row r="638" spans="1:10" x14ac:dyDescent="0.3">
      <c r="A638" s="16" t="s">
        <v>125</v>
      </c>
      <c r="B638" s="12">
        <f>IFERROR(MATCH($B$614&amp;"|"&amp;Residence,TravKey,0),0)</f>
        <v>701</v>
      </c>
    </row>
    <row r="640" spans="1:10" ht="79.2" x14ac:dyDescent="0.3">
      <c r="A640" s="22" t="s">
        <v>126</v>
      </c>
      <c r="B640" s="22" t="s">
        <v>127</v>
      </c>
      <c r="C640" s="22" t="s">
        <v>128</v>
      </c>
      <c r="D640" s="22" t="s">
        <v>129</v>
      </c>
      <c r="E640" s="22" t="s">
        <v>130</v>
      </c>
      <c r="F640" s="22" t="s">
        <v>131</v>
      </c>
      <c r="G640" s="22" t="s">
        <v>132</v>
      </c>
      <c r="H640" s="22" t="s">
        <v>133</v>
      </c>
      <c r="I640" s="22" t="s">
        <v>134</v>
      </c>
      <c r="J640" s="22" t="s">
        <v>135</v>
      </c>
    </row>
    <row r="641" spans="1:27" x14ac:dyDescent="0.3">
      <c r="A641" s="16" t="s">
        <v>36</v>
      </c>
      <c r="B641" s="25">
        <f>IF($B$620=0,0,(IF($B$634&gt;0,SUMPRODUCT((RecKey=$B$619)*RecTuition*(1+$B$625)^(PlanYear-RecYear))/$B$634,INDEX(DB_EstTuition,$B$620)))/INDEX(FxUsed,MATCH($B$635,FxCodes,0))*INDEX(FxUsed,MATCH($B$621,FxCodes,0)))</f>
        <v>0</v>
      </c>
      <c r="C641" s="21"/>
      <c r="D641" s="25">
        <f t="shared" ref="D641:D652" si="290">IF(ISNUMBER(C641),IF(C641&gt;=0,C641,B641),B641)</f>
        <v>0</v>
      </c>
      <c r="E641" s="12">
        <f>IF(ISNUMBER(C641),PlanYear,IF($B$634&gt;0,PlanYear,IF($B$620&gt;0,INDEX(DB_EstBase,$B$620),PlanYear)))</f>
        <v>2026</v>
      </c>
      <c r="F641" s="12" t="str">
        <f>IF(ISNUMBER(C641),"override",IF($B$620=0,"missing",IF($B$634&gt;0,"verified",INDEX(DB_EstStatus,$B$620))))</f>
        <v>missing</v>
      </c>
      <c r="G641" s="16" t="str">
        <f t="shared" ref="G641:G652" si="291">IF(F641="verified","Published figure",IF(F641="estimated","Estimated — please review",IF(F641="notNeeded","Not needed",IF(F641="override","Your figure",IF(F641="missing","No figure yet — enter your own","")))))</f>
        <v>No figure yet — enter your own</v>
      </c>
      <c r="H641" s="16" t="s">
        <v>136</v>
      </c>
      <c r="I641" s="16" t="s">
        <v>137</v>
      </c>
      <c r="J641" s="16" t="s">
        <v>138</v>
      </c>
    </row>
    <row r="642" spans="1:27" x14ac:dyDescent="0.3">
      <c r="A642" s="16" t="s">
        <v>37</v>
      </c>
      <c r="B642" s="25">
        <f>IF($B$636=0,0,(INDEX(Liv_accommodation_Amt,$B$636))/INDEX(FxUsed,MATCH(INDEX(Liv_accommodation_Ccy,$B$636),FxCodes,0))*INDEX(FxUsed,MATCH($B$621,FxCodes,0)))</f>
        <v>22500</v>
      </c>
      <c r="C642" s="21"/>
      <c r="D642" s="25">
        <f t="shared" si="290"/>
        <v>22500</v>
      </c>
      <c r="E642" s="12">
        <f>IF(ISNUMBER(C642),PlanYear,IF($B$636=0,PlanYear,INDEX(Liv_accommodation_Base,$B$636)))</f>
        <v>2026</v>
      </c>
      <c r="F642" s="12" t="str">
        <f>IF(ISNUMBER(C642),"override",IF($B$636=0,"missing",INDEX(Liv_accommodation_Status,$B$636)))</f>
        <v>verified</v>
      </c>
      <c r="G642" s="16" t="str">
        <f t="shared" si="291"/>
        <v>Published figure</v>
      </c>
      <c r="H642" s="16" t="s">
        <v>139</v>
      </c>
      <c r="I642" s="16" t="s">
        <v>137</v>
      </c>
      <c r="J642" s="16" t="s">
        <v>138</v>
      </c>
    </row>
    <row r="643" spans="1:27" x14ac:dyDescent="0.3">
      <c r="A643" s="16" t="s">
        <v>38</v>
      </c>
      <c r="B643" s="25">
        <f>IF($B$636=0,0,(INDEX(Liv_food_Amt,$B$636))/INDEX(FxUsed,MATCH(INDEX(Liv_food_Ccy,$B$636),FxCodes,0))*INDEX(FxUsed,MATCH($B$621,FxCodes,0)))</f>
        <v>12000</v>
      </c>
      <c r="C643" s="21"/>
      <c r="D643" s="25">
        <f t="shared" si="290"/>
        <v>12000</v>
      </c>
      <c r="E643" s="12">
        <f>IF(ISNUMBER(C643),PlanYear,IF($B$636=0,PlanYear,INDEX(Liv_food_Base,$B$636)))</f>
        <v>2026</v>
      </c>
      <c r="F643" s="12" t="str">
        <f>IF(ISNUMBER(C643),"override",IF($B$636=0,"missing",INDEX(Liv_food_Status,$B$636)))</f>
        <v>verified</v>
      </c>
      <c r="G643" s="16" t="str">
        <f t="shared" si="291"/>
        <v>Published figure</v>
      </c>
      <c r="H643" s="16" t="s">
        <v>139</v>
      </c>
      <c r="I643" s="16" t="s">
        <v>137</v>
      </c>
      <c r="J643" s="16" t="s">
        <v>138</v>
      </c>
    </row>
    <row r="644" spans="1:27" x14ac:dyDescent="0.3">
      <c r="A644" s="16" t="s">
        <v>39</v>
      </c>
      <c r="B644" s="25">
        <f>IF($B$636=0,0,(INDEX(Liv_transport_Amt,$B$636))/INDEX(FxUsed,MATCH(INDEX(Liv_transport_Ccy,$B$636),FxCodes,0))*INDEX(FxUsed,MATCH($B$621,FxCodes,0)))</f>
        <v>6000</v>
      </c>
      <c r="C644" s="21"/>
      <c r="D644" s="25">
        <f t="shared" si="290"/>
        <v>6000</v>
      </c>
      <c r="E644" s="12">
        <f>IF(ISNUMBER(C644),PlanYear,IF($B$636=0,PlanYear,INDEX(Liv_transport_Base,$B$636)))</f>
        <v>2026</v>
      </c>
      <c r="F644" s="12" t="str">
        <f>IF(ISNUMBER(C644),"override",IF($B$636=0,"missing",INDEX(Liv_transport_Status,$B$636)))</f>
        <v>verified</v>
      </c>
      <c r="G644" s="16" t="str">
        <f t="shared" si="291"/>
        <v>Published figure</v>
      </c>
      <c r="H644" s="16" t="s">
        <v>139</v>
      </c>
      <c r="I644" s="16" t="s">
        <v>137</v>
      </c>
      <c r="J644" s="16" t="s">
        <v>138</v>
      </c>
    </row>
    <row r="645" spans="1:27" x14ac:dyDescent="0.3">
      <c r="A645" s="16" t="s">
        <v>40</v>
      </c>
      <c r="B645" s="25">
        <f>IF($B$636=0,0,(INDEX(Liv_healthInsurance_Amt,$B$636))/INDEX(FxUsed,MATCH(INDEX(Liv_healthInsurance_Ccy,$B$636),FxCodes,0))*INDEX(FxUsed,MATCH($B$621,FxCodes,0)))</f>
        <v>1500</v>
      </c>
      <c r="C645" s="21"/>
      <c r="D645" s="25">
        <f t="shared" si="290"/>
        <v>1500</v>
      </c>
      <c r="E645" s="12">
        <f>IF(ISNUMBER(C645),PlanYear,IF($B$636=0,PlanYear,INDEX(Liv_healthInsurance_Base,$B$636)))</f>
        <v>2026</v>
      </c>
      <c r="F645" s="12" t="str">
        <f>IF(ISNUMBER(C645),"override",IF($B$636=0,"missing",INDEX(Liv_healthInsurance_Status,$B$636)))</f>
        <v>estimated</v>
      </c>
      <c r="G645" s="16" t="str">
        <f t="shared" si="291"/>
        <v>Estimated — please review</v>
      </c>
      <c r="H645" s="16" t="s">
        <v>139</v>
      </c>
      <c r="I645" s="16" t="s">
        <v>137</v>
      </c>
      <c r="J645" s="16" t="s">
        <v>138</v>
      </c>
    </row>
    <row r="646" spans="1:27" x14ac:dyDescent="0.3">
      <c r="A646" s="16" t="s">
        <v>41</v>
      </c>
      <c r="B646" s="25">
        <f>IF($B$636=0,0,(INDEX(Liv_books_Amt,$B$636))/INDEX(FxUsed,MATCH(INDEX(Liv_books_Ccy,$B$636),FxCodes,0))*INDEX(FxUsed,MATCH($B$621,FxCodes,0)))</f>
        <v>2000</v>
      </c>
      <c r="C646" s="21"/>
      <c r="D646" s="25">
        <f t="shared" si="290"/>
        <v>2000</v>
      </c>
      <c r="E646" s="12">
        <f>IF(ISNUMBER(C646),PlanYear,IF($B$636=0,PlanYear,INDEX(Liv_books_Base,$B$636)))</f>
        <v>2026</v>
      </c>
      <c r="F646" s="12" t="str">
        <f>IF(ISNUMBER(C646),"override",IF($B$636=0,"missing",INDEX(Liv_books_Status,$B$636)))</f>
        <v>estimated</v>
      </c>
      <c r="G646" s="16" t="str">
        <f t="shared" si="291"/>
        <v>Estimated — please review</v>
      </c>
      <c r="H646" s="16" t="s">
        <v>139</v>
      </c>
      <c r="I646" s="16" t="s">
        <v>137</v>
      </c>
      <c r="J646" s="16" t="s">
        <v>138</v>
      </c>
    </row>
    <row r="647" spans="1:27" x14ac:dyDescent="0.3">
      <c r="A647" s="16" t="s">
        <v>42</v>
      </c>
      <c r="B647" s="25">
        <f>IF($B$620=0,0,(IF($B$634&gt;0,SUMPRODUCT((RecKey=$B$619)*RecOther*(1+$B$625)^(PlanYear-RecYear))/$B$634,INDEX(DB_EstOther,$B$620)))/INDEX(FxUsed,MATCH($B$635,FxCodes,0))*INDEX(FxUsed,MATCH($B$621,FxCodes,0)))</f>
        <v>0</v>
      </c>
      <c r="C647" s="21"/>
      <c r="D647" s="25">
        <f t="shared" si="290"/>
        <v>0</v>
      </c>
      <c r="E647" s="12">
        <f>IF(ISNUMBER(C647),PlanYear,IF($B$634&gt;0,PlanYear,IF($B$620&gt;0,INDEX(DB_EstBase,$B$620),PlanYear)))</f>
        <v>2026</v>
      </c>
      <c r="F647" s="12" t="str">
        <f>IF(ISNUMBER(C647),"override",IF($B$620=0,"missing",IF($B$634&gt;0,"verified",INDEX(DB_EstStatus,$B$620))))</f>
        <v>missing</v>
      </c>
      <c r="G647" s="16" t="str">
        <f t="shared" si="291"/>
        <v>No figure yet — enter your own</v>
      </c>
      <c r="H647" s="16" t="s">
        <v>136</v>
      </c>
      <c r="I647" s="16" t="s">
        <v>137</v>
      </c>
      <c r="J647" s="16" t="s">
        <v>138</v>
      </c>
    </row>
    <row r="648" spans="1:27" x14ac:dyDescent="0.3">
      <c r="A648" s="16" t="s">
        <v>140</v>
      </c>
      <c r="B648" s="25">
        <f>IF($B$624&gt;0,IF($B$624&gt;0,(INDEX(DB_PreAdm,$B$620))/INDEX(FxUsed,MATCH(INDEX(DB_PreCcy,$B$620),FxCodes,0))*INDEX(FxUsed,MATCH($B$621,FxCodes,0)),0),IF($B$620=0,0,(IF($B$634&gt;0,SUMPRODUCT((RecKey=$B$619)*RecAdm*(1+$B$625)^(PlanYear-RecYear))/$B$634,INDEX(DB_EstAdm,$B$620)))/INDEX(FxUsed,MATCH($B$635,FxCodes,0))*INDEX(FxUsed,MATCH($B$621,FxCodes,0))))</f>
        <v>0</v>
      </c>
      <c r="C648" s="21"/>
      <c r="D648" s="25">
        <f t="shared" si="290"/>
        <v>0</v>
      </c>
      <c r="E648" s="12">
        <f>IF(ISNUMBER(C648),PlanYear,IF($B$624&gt;0,INDEX(DB_PreBase,$B$620),IF($B$634&gt;0,PlanYear,IF($B$620&gt;0,INDEX(DB_EstBase,$B$620),PlanYear))))</f>
        <v>2026</v>
      </c>
      <c r="F648" s="12" t="str">
        <f>IF(ISNUMBER(C648),"override",IF($B$624&gt;0,INDEX(DB_PreStatus,$B$620),IF($B$620=0,"missing",IF($B$634&gt;0,"verified",INDEX(DB_EstStatus,$B$620)))))</f>
        <v>missing</v>
      </c>
      <c r="G648" s="16" t="str">
        <f t="shared" si="291"/>
        <v>No figure yet — enter your own</v>
      </c>
      <c r="H648" s="16" t="s">
        <v>136</v>
      </c>
      <c r="I648" s="16" t="s">
        <v>141</v>
      </c>
      <c r="J648" s="16" t="s">
        <v>138</v>
      </c>
    </row>
    <row r="649" spans="1:27" x14ac:dyDescent="0.3">
      <c r="A649" s="16" t="s">
        <v>142</v>
      </c>
      <c r="B649" s="25">
        <f>IF(OR($B$637=0,AND($B$618&lt;&gt;"domestic",Residence=$B$614,COUNTIF(ResNoVisa,$B$614)&gt;0)),0,(INDEX(VisaAmt,$B$637))/INDEX(FxUsed,MATCH(INDEX(VisaCcy,$B$637),FxCodes,0))*INDEX(FxUsed,MATCH($B$621,FxCodes,0)))</f>
        <v>2190</v>
      </c>
      <c r="C649" s="21"/>
      <c r="D649" s="25">
        <f t="shared" si="290"/>
        <v>2190</v>
      </c>
      <c r="E649" s="12">
        <f>IF(ISNUMBER(C649),PlanYear,IF(OR($B$637=0,AND($B$618&lt;&gt;"domestic",Residence=$B$614,COUNTIF(ResNoVisa,$B$614)&gt;0)),PlanYear,INDEX(VisaBase,$B$637)))</f>
        <v>2026</v>
      </c>
      <c r="F649" s="12" t="str">
        <f>IF(ISNUMBER(C649),"override",IF(AND($B$618&lt;&gt;"domestic",Residence=$B$614,COUNTIF(ResNoVisa,$B$614)&gt;0),"notNeeded",IF($B$637=0,"missing",INDEX(VisaStatus,$B$637))))</f>
        <v>verified</v>
      </c>
      <c r="G649" s="16" t="str">
        <f t="shared" si="291"/>
        <v>Published figure</v>
      </c>
      <c r="H649" s="16" t="s">
        <v>139</v>
      </c>
      <c r="I649" s="16" t="s">
        <v>141</v>
      </c>
      <c r="J649" s="16" t="s">
        <v>143</v>
      </c>
    </row>
    <row r="650" spans="1:27" x14ac:dyDescent="0.3">
      <c r="A650" s="16" t="s">
        <v>144</v>
      </c>
      <c r="B650" s="25">
        <f>IF($B$638=0,0,(INDEX(TravAmt,$B$638))/INDEX(FxUsed,MATCH(INDEX(TravCcy,$B$638),FxCodes,0))*INDEX(FxUsed,MATCH($B$621,FxCodes,0)))</f>
        <v>2754.375</v>
      </c>
      <c r="C650" s="21"/>
      <c r="D650" s="25">
        <f t="shared" si="290"/>
        <v>2754.375</v>
      </c>
      <c r="E650" s="12">
        <f>IF(ISNUMBER(C650),PlanYear,IF($B$638=0,PlanYear,INDEX(TravBase,$B$638)))</f>
        <v>2026</v>
      </c>
      <c r="F650" s="12" t="str">
        <f>IF(ISNUMBER(C650),"override",IF($B$638=0,"missing",INDEX(TravStatus,$B$638)))</f>
        <v>estimated</v>
      </c>
      <c r="G650" s="16" t="str">
        <f t="shared" si="291"/>
        <v>Estimated — please review</v>
      </c>
      <c r="H650" s="16" t="s">
        <v>139</v>
      </c>
      <c r="I650" s="16" t="s">
        <v>141</v>
      </c>
      <c r="J650" s="16" t="s">
        <v>143</v>
      </c>
    </row>
    <row r="651" spans="1:27" x14ac:dyDescent="0.3">
      <c r="A651" s="16" t="s">
        <v>46</v>
      </c>
      <c r="B651" s="25">
        <f>IF($B$624&gt;0,(INDEX(DB_PreTuition,$B$620))/INDEX(FxUsed,MATCH(INDEX(DB_PreCcy,$B$620),FxCodes,0))*INDEX(FxUsed,MATCH($B$621,FxCodes,0)),0)</f>
        <v>0</v>
      </c>
      <c r="C651" s="21"/>
      <c r="D651" s="25">
        <f t="shared" si="290"/>
        <v>0</v>
      </c>
      <c r="E651" s="12">
        <f>IF(ISNUMBER(C651),PlanYear,IF($B$624&gt;0,INDEX(DB_PreBase,$B$620),PlanYear))</f>
        <v>2026</v>
      </c>
      <c r="F651" s="12" t="str">
        <f>IF(ISNUMBER(C651),"override",IF($B$624&gt;0,INDEX(DB_PreStatus,$B$620),""))</f>
        <v/>
      </c>
      <c r="G651" s="16" t="str">
        <f t="shared" si="291"/>
        <v/>
      </c>
      <c r="H651" s="16" t="s">
        <v>136</v>
      </c>
      <c r="I651" s="16" t="s">
        <v>137</v>
      </c>
      <c r="J651" s="16" t="s">
        <v>138</v>
      </c>
    </row>
    <row r="652" spans="1:27" x14ac:dyDescent="0.3">
      <c r="A652" s="16" t="s">
        <v>47</v>
      </c>
      <c r="B652" s="25">
        <f>IF($B$624&gt;0,(INDEX(DB_PreOther,$B$620))/INDEX(FxUsed,MATCH(INDEX(DB_PreCcy,$B$620),FxCodes,0))*INDEX(FxUsed,MATCH($B$621,FxCodes,0)),0)</f>
        <v>0</v>
      </c>
      <c r="C652" s="21"/>
      <c r="D652" s="25">
        <f t="shared" si="290"/>
        <v>0</v>
      </c>
      <c r="E652" s="12">
        <f>IF(ISNUMBER(C652),PlanYear,IF($B$624&gt;0,INDEX(DB_PreBase,$B$620),PlanYear))</f>
        <v>2026</v>
      </c>
      <c r="F652" s="12" t="str">
        <f>IF(ISNUMBER(C652),"override",IF($B$624&gt;0,INDEX(DB_PreStatus,$B$620),""))</f>
        <v/>
      </c>
      <c r="G652" s="16" t="str">
        <f t="shared" si="291"/>
        <v/>
      </c>
      <c r="H652" s="16" t="s">
        <v>136</v>
      </c>
      <c r="I652" s="16" t="s">
        <v>137</v>
      </c>
      <c r="J652" s="16" t="s">
        <v>138</v>
      </c>
    </row>
    <row r="654" spans="1:27" ht="79.2" x14ac:dyDescent="0.3">
      <c r="A654" s="22" t="s">
        <v>145</v>
      </c>
      <c r="B654" s="22" t="s">
        <v>146</v>
      </c>
      <c r="C654" s="22" t="s">
        <v>147</v>
      </c>
      <c r="D654" s="22" t="s">
        <v>148</v>
      </c>
      <c r="E654" s="22" t="s">
        <v>149</v>
      </c>
      <c r="F654" s="22" t="s">
        <v>150</v>
      </c>
      <c r="G654" s="22" t="s">
        <v>151</v>
      </c>
      <c r="H654" s="22" t="s">
        <v>152</v>
      </c>
      <c r="I654" s="22" t="s">
        <v>153</v>
      </c>
      <c r="J654" s="22" t="s">
        <v>154</v>
      </c>
      <c r="K654" s="22" t="s">
        <v>155</v>
      </c>
      <c r="L654" s="22" t="s">
        <v>156</v>
      </c>
      <c r="M654" s="22" t="s">
        <v>157</v>
      </c>
      <c r="N654" s="22" t="s">
        <v>158</v>
      </c>
      <c r="O654" s="22" t="s">
        <v>159</v>
      </c>
      <c r="P654" s="22" t="s">
        <v>36</v>
      </c>
      <c r="Q654" s="22" t="s">
        <v>37</v>
      </c>
      <c r="R654" s="22" t="s">
        <v>38</v>
      </c>
      <c r="S654" s="22" t="s">
        <v>39</v>
      </c>
      <c r="T654" s="22" t="s">
        <v>40</v>
      </c>
      <c r="U654" s="22" t="s">
        <v>41</v>
      </c>
      <c r="V654" s="22" t="s">
        <v>42</v>
      </c>
      <c r="W654" s="22" t="s">
        <v>140</v>
      </c>
      <c r="X654" s="22" t="s">
        <v>142</v>
      </c>
      <c r="Y654" s="22" t="s">
        <v>144</v>
      </c>
      <c r="Z654" s="22" t="s">
        <v>83</v>
      </c>
      <c r="AA654" s="22" t="s">
        <v>160</v>
      </c>
    </row>
    <row r="655" spans="1:27" x14ac:dyDescent="0.3">
      <c r="A655" s="16">
        <v>0</v>
      </c>
      <c r="B655" s="16">
        <f t="shared" ref="B655:B664" si="292">PlanYear+$B$627+A655</f>
        <v>2026</v>
      </c>
      <c r="C655" s="16">
        <f t="shared" ref="C655:C664" si="293">MAX(0,MIN(1,$B$622-A655))</f>
        <v>0</v>
      </c>
      <c r="D655" s="16">
        <f t="shared" ref="D655:D664" si="294">IF(A655&lt;$B$624,1,0)</f>
        <v>0</v>
      </c>
      <c r="E655" s="16">
        <f t="shared" ref="E655:E664" si="295">IF(AND($B$631=1,A655&lt;$B$628),1,0)</f>
        <v>0</v>
      </c>
      <c r="F655" s="21">
        <f t="shared" ref="F655:F664" si="296">IF(AND(E655=1),IF(D655=1,$D$651,$D$641)*(1+$B$625)^(B655-IF(D655=1,$E$651,$E$641))*C655*$B$633,0)</f>
        <v>0</v>
      </c>
      <c r="G655" s="21">
        <f t="shared" ref="G655:G664" si="297">IF(AND(E655=1),$D$642*(1+$B$626)^(B655-$E$642)*C655*$B$633,0)</f>
        <v>0</v>
      </c>
      <c r="H655" s="21">
        <f t="shared" ref="H655:H664" si="298">IF(AND(E655=1),$D$643*(1+$B$626)^(B655-$E$643)*C655*$B$633,0)</f>
        <v>0</v>
      </c>
      <c r="I655" s="21">
        <f t="shared" ref="I655:I664" si="299">IF(AND(E655=1),$D$644*(1+$B$626)^(B655-$E$644)*C655*$B$633,0)</f>
        <v>0</v>
      </c>
      <c r="J655" s="21">
        <f t="shared" ref="J655:J664" si="300">IF(AND(E655=1),$D$645*(1+$B$626)^(B655-$E$645)*C655*$B$633,0)</f>
        <v>0</v>
      </c>
      <c r="K655" s="21">
        <f t="shared" ref="K655:K664" si="301">IF(AND(E655=1),$D$646*(1+$B$626)^(B655-$E$646)*C655*$B$633,0)</f>
        <v>0</v>
      </c>
      <c r="L655" s="21">
        <f t="shared" ref="L655:L664" si="302">IF(AND(E655=1),IF(D655=1,$D$652,$D$647)*(1+$B$625)^(B655-IF(D655=1,$E$652,$E$647))*C655*$B$633,0)</f>
        <v>0</v>
      </c>
      <c r="M655" s="21">
        <f t="shared" ref="M655:M664" si="303">IF(AND(E655=1,A655=0),$D$648*(1+$B$625)^(B655-$E$648)*$B$633,0)</f>
        <v>0</v>
      </c>
      <c r="N655" s="21">
        <f t="shared" ref="N655:N664" si="304">IF(AND(E655=1,A655=0),$D$649*(1+$B$626)^(B655-$E$649)*$B$633,0)</f>
        <v>0</v>
      </c>
      <c r="O655" s="21">
        <f t="shared" ref="O655:O664" si="305">IF(AND(E655=1,A655=0),$D$650*(1+$B$626)^(B655-$E$650)*$B$633,0)</f>
        <v>0</v>
      </c>
      <c r="P655" s="21">
        <f t="shared" ref="P655:P664" si="306">F655*(1-Coverage)</f>
        <v>0</v>
      </c>
      <c r="Q655" s="21">
        <f t="shared" ref="Q655:Q664" si="307">G655*(1-Coverage)</f>
        <v>0</v>
      </c>
      <c r="R655" s="21">
        <f t="shared" ref="R655:R664" si="308">H655*(1-Coverage)</f>
        <v>0</v>
      </c>
      <c r="S655" s="21">
        <f t="shared" ref="S655:S664" si="309">I655*(1-Coverage)</f>
        <v>0</v>
      </c>
      <c r="T655" s="21">
        <f t="shared" ref="T655:T664" si="310">J655*(1-Coverage)</f>
        <v>0</v>
      </c>
      <c r="U655" s="21">
        <f t="shared" ref="U655:U664" si="311">K655*(1-Coverage)</f>
        <v>0</v>
      </c>
      <c r="V655" s="21">
        <f t="shared" ref="V655:V664" si="312">L655*(1-Coverage)</f>
        <v>0</v>
      </c>
      <c r="W655" s="21">
        <f t="shared" ref="W655:W664" si="313">M655*(1-Coverage)</f>
        <v>0</v>
      </c>
      <c r="X655" s="21">
        <f t="shared" ref="X655:X664" si="314">N655*1</f>
        <v>0</v>
      </c>
      <c r="Y655" s="21">
        <f t="shared" ref="Y655:Y664" si="315">O655*1</f>
        <v>0</v>
      </c>
      <c r="Z655" s="20">
        <f t="shared" ref="Z655:Z664" si="316">SUM(P655:Y655)</f>
        <v>0</v>
      </c>
      <c r="AA655" s="21">
        <f t="shared" ref="AA655:AA664" si="317">SUM(F655:O655)</f>
        <v>0</v>
      </c>
    </row>
    <row r="656" spans="1:27" x14ac:dyDescent="0.3">
      <c r="A656" s="16">
        <v>1</v>
      </c>
      <c r="B656" s="16">
        <f t="shared" si="292"/>
        <v>2027</v>
      </c>
      <c r="C656" s="16">
        <f t="shared" si="293"/>
        <v>0</v>
      </c>
      <c r="D656" s="16">
        <f t="shared" si="294"/>
        <v>0</v>
      </c>
      <c r="E656" s="16">
        <f t="shared" si="295"/>
        <v>0</v>
      </c>
      <c r="F656" s="21">
        <f t="shared" si="296"/>
        <v>0</v>
      </c>
      <c r="G656" s="21">
        <f t="shared" si="297"/>
        <v>0</v>
      </c>
      <c r="H656" s="21">
        <f t="shared" si="298"/>
        <v>0</v>
      </c>
      <c r="I656" s="21">
        <f t="shared" si="299"/>
        <v>0</v>
      </c>
      <c r="J656" s="21">
        <f t="shared" si="300"/>
        <v>0</v>
      </c>
      <c r="K656" s="21">
        <f t="shared" si="301"/>
        <v>0</v>
      </c>
      <c r="L656" s="21">
        <f t="shared" si="302"/>
        <v>0</v>
      </c>
      <c r="M656" s="21">
        <f t="shared" si="303"/>
        <v>0</v>
      </c>
      <c r="N656" s="21">
        <f t="shared" si="304"/>
        <v>0</v>
      </c>
      <c r="O656" s="21">
        <f t="shared" si="305"/>
        <v>0</v>
      </c>
      <c r="P656" s="21">
        <f t="shared" si="306"/>
        <v>0</v>
      </c>
      <c r="Q656" s="21">
        <f t="shared" si="307"/>
        <v>0</v>
      </c>
      <c r="R656" s="21">
        <f t="shared" si="308"/>
        <v>0</v>
      </c>
      <c r="S656" s="21">
        <f t="shared" si="309"/>
        <v>0</v>
      </c>
      <c r="T656" s="21">
        <f t="shared" si="310"/>
        <v>0</v>
      </c>
      <c r="U656" s="21">
        <f t="shared" si="311"/>
        <v>0</v>
      </c>
      <c r="V656" s="21">
        <f t="shared" si="312"/>
        <v>0</v>
      </c>
      <c r="W656" s="21">
        <f t="shared" si="313"/>
        <v>0</v>
      </c>
      <c r="X656" s="21">
        <f t="shared" si="314"/>
        <v>0</v>
      </c>
      <c r="Y656" s="21">
        <f t="shared" si="315"/>
        <v>0</v>
      </c>
      <c r="Z656" s="20">
        <f t="shared" si="316"/>
        <v>0</v>
      </c>
      <c r="AA656" s="21">
        <f t="shared" si="317"/>
        <v>0</v>
      </c>
    </row>
    <row r="657" spans="1:27" x14ac:dyDescent="0.3">
      <c r="A657" s="16">
        <v>2</v>
      </c>
      <c r="B657" s="16">
        <f t="shared" si="292"/>
        <v>2028</v>
      </c>
      <c r="C657" s="16">
        <f t="shared" si="293"/>
        <v>0</v>
      </c>
      <c r="D657" s="16">
        <f t="shared" si="294"/>
        <v>0</v>
      </c>
      <c r="E657" s="16">
        <f t="shared" si="295"/>
        <v>0</v>
      </c>
      <c r="F657" s="21">
        <f t="shared" si="296"/>
        <v>0</v>
      </c>
      <c r="G657" s="21">
        <f t="shared" si="297"/>
        <v>0</v>
      </c>
      <c r="H657" s="21">
        <f t="shared" si="298"/>
        <v>0</v>
      </c>
      <c r="I657" s="21">
        <f t="shared" si="299"/>
        <v>0</v>
      </c>
      <c r="J657" s="21">
        <f t="shared" si="300"/>
        <v>0</v>
      </c>
      <c r="K657" s="21">
        <f t="shared" si="301"/>
        <v>0</v>
      </c>
      <c r="L657" s="21">
        <f t="shared" si="302"/>
        <v>0</v>
      </c>
      <c r="M657" s="21">
        <f t="shared" si="303"/>
        <v>0</v>
      </c>
      <c r="N657" s="21">
        <f t="shared" si="304"/>
        <v>0</v>
      </c>
      <c r="O657" s="21">
        <f t="shared" si="305"/>
        <v>0</v>
      </c>
      <c r="P657" s="21">
        <f t="shared" si="306"/>
        <v>0</v>
      </c>
      <c r="Q657" s="21">
        <f t="shared" si="307"/>
        <v>0</v>
      </c>
      <c r="R657" s="21">
        <f t="shared" si="308"/>
        <v>0</v>
      </c>
      <c r="S657" s="21">
        <f t="shared" si="309"/>
        <v>0</v>
      </c>
      <c r="T657" s="21">
        <f t="shared" si="310"/>
        <v>0</v>
      </c>
      <c r="U657" s="21">
        <f t="shared" si="311"/>
        <v>0</v>
      </c>
      <c r="V657" s="21">
        <f t="shared" si="312"/>
        <v>0</v>
      </c>
      <c r="W657" s="21">
        <f t="shared" si="313"/>
        <v>0</v>
      </c>
      <c r="X657" s="21">
        <f t="shared" si="314"/>
        <v>0</v>
      </c>
      <c r="Y657" s="21">
        <f t="shared" si="315"/>
        <v>0</v>
      </c>
      <c r="Z657" s="20">
        <f t="shared" si="316"/>
        <v>0</v>
      </c>
      <c r="AA657" s="21">
        <f t="shared" si="317"/>
        <v>0</v>
      </c>
    </row>
    <row r="658" spans="1:27" x14ac:dyDescent="0.3">
      <c r="A658" s="16">
        <v>3</v>
      </c>
      <c r="B658" s="16">
        <f t="shared" si="292"/>
        <v>2029</v>
      </c>
      <c r="C658" s="16">
        <f t="shared" si="293"/>
        <v>0</v>
      </c>
      <c r="D658" s="16">
        <f t="shared" si="294"/>
        <v>0</v>
      </c>
      <c r="E658" s="16">
        <f t="shared" si="295"/>
        <v>0</v>
      </c>
      <c r="F658" s="21">
        <f t="shared" si="296"/>
        <v>0</v>
      </c>
      <c r="G658" s="21">
        <f t="shared" si="297"/>
        <v>0</v>
      </c>
      <c r="H658" s="21">
        <f t="shared" si="298"/>
        <v>0</v>
      </c>
      <c r="I658" s="21">
        <f t="shared" si="299"/>
        <v>0</v>
      </c>
      <c r="J658" s="21">
        <f t="shared" si="300"/>
        <v>0</v>
      </c>
      <c r="K658" s="21">
        <f t="shared" si="301"/>
        <v>0</v>
      </c>
      <c r="L658" s="21">
        <f t="shared" si="302"/>
        <v>0</v>
      </c>
      <c r="M658" s="21">
        <f t="shared" si="303"/>
        <v>0</v>
      </c>
      <c r="N658" s="21">
        <f t="shared" si="304"/>
        <v>0</v>
      </c>
      <c r="O658" s="21">
        <f t="shared" si="305"/>
        <v>0</v>
      </c>
      <c r="P658" s="21">
        <f t="shared" si="306"/>
        <v>0</v>
      </c>
      <c r="Q658" s="21">
        <f t="shared" si="307"/>
        <v>0</v>
      </c>
      <c r="R658" s="21">
        <f t="shared" si="308"/>
        <v>0</v>
      </c>
      <c r="S658" s="21">
        <f t="shared" si="309"/>
        <v>0</v>
      </c>
      <c r="T658" s="21">
        <f t="shared" si="310"/>
        <v>0</v>
      </c>
      <c r="U658" s="21">
        <f t="shared" si="311"/>
        <v>0</v>
      </c>
      <c r="V658" s="21">
        <f t="shared" si="312"/>
        <v>0</v>
      </c>
      <c r="W658" s="21">
        <f t="shared" si="313"/>
        <v>0</v>
      </c>
      <c r="X658" s="21">
        <f t="shared" si="314"/>
        <v>0</v>
      </c>
      <c r="Y658" s="21">
        <f t="shared" si="315"/>
        <v>0</v>
      </c>
      <c r="Z658" s="20">
        <f t="shared" si="316"/>
        <v>0</v>
      </c>
      <c r="AA658" s="21">
        <f t="shared" si="317"/>
        <v>0</v>
      </c>
    </row>
    <row r="659" spans="1:27" x14ac:dyDescent="0.3">
      <c r="A659" s="16">
        <v>4</v>
      </c>
      <c r="B659" s="16">
        <f t="shared" si="292"/>
        <v>2030</v>
      </c>
      <c r="C659" s="16">
        <f t="shared" si="293"/>
        <v>0</v>
      </c>
      <c r="D659" s="16">
        <f t="shared" si="294"/>
        <v>0</v>
      </c>
      <c r="E659" s="16">
        <f t="shared" si="295"/>
        <v>0</v>
      </c>
      <c r="F659" s="21">
        <f t="shared" si="296"/>
        <v>0</v>
      </c>
      <c r="G659" s="21">
        <f t="shared" si="297"/>
        <v>0</v>
      </c>
      <c r="H659" s="21">
        <f t="shared" si="298"/>
        <v>0</v>
      </c>
      <c r="I659" s="21">
        <f t="shared" si="299"/>
        <v>0</v>
      </c>
      <c r="J659" s="21">
        <f t="shared" si="300"/>
        <v>0</v>
      </c>
      <c r="K659" s="21">
        <f t="shared" si="301"/>
        <v>0</v>
      </c>
      <c r="L659" s="21">
        <f t="shared" si="302"/>
        <v>0</v>
      </c>
      <c r="M659" s="21">
        <f t="shared" si="303"/>
        <v>0</v>
      </c>
      <c r="N659" s="21">
        <f t="shared" si="304"/>
        <v>0</v>
      </c>
      <c r="O659" s="21">
        <f t="shared" si="305"/>
        <v>0</v>
      </c>
      <c r="P659" s="21">
        <f t="shared" si="306"/>
        <v>0</v>
      </c>
      <c r="Q659" s="21">
        <f t="shared" si="307"/>
        <v>0</v>
      </c>
      <c r="R659" s="21">
        <f t="shared" si="308"/>
        <v>0</v>
      </c>
      <c r="S659" s="21">
        <f t="shared" si="309"/>
        <v>0</v>
      </c>
      <c r="T659" s="21">
        <f t="shared" si="310"/>
        <v>0</v>
      </c>
      <c r="U659" s="21">
        <f t="shared" si="311"/>
        <v>0</v>
      </c>
      <c r="V659" s="21">
        <f t="shared" si="312"/>
        <v>0</v>
      </c>
      <c r="W659" s="21">
        <f t="shared" si="313"/>
        <v>0</v>
      </c>
      <c r="X659" s="21">
        <f t="shared" si="314"/>
        <v>0</v>
      </c>
      <c r="Y659" s="21">
        <f t="shared" si="315"/>
        <v>0</v>
      </c>
      <c r="Z659" s="20">
        <f t="shared" si="316"/>
        <v>0</v>
      </c>
      <c r="AA659" s="21">
        <f t="shared" si="317"/>
        <v>0</v>
      </c>
    </row>
    <row r="660" spans="1:27" x14ac:dyDescent="0.3">
      <c r="A660" s="16">
        <v>5</v>
      </c>
      <c r="B660" s="16">
        <f t="shared" si="292"/>
        <v>2031</v>
      </c>
      <c r="C660" s="16">
        <f t="shared" si="293"/>
        <v>0</v>
      </c>
      <c r="D660" s="16">
        <f t="shared" si="294"/>
        <v>0</v>
      </c>
      <c r="E660" s="16">
        <f t="shared" si="295"/>
        <v>0</v>
      </c>
      <c r="F660" s="21">
        <f t="shared" si="296"/>
        <v>0</v>
      </c>
      <c r="G660" s="21">
        <f t="shared" si="297"/>
        <v>0</v>
      </c>
      <c r="H660" s="21">
        <f t="shared" si="298"/>
        <v>0</v>
      </c>
      <c r="I660" s="21">
        <f t="shared" si="299"/>
        <v>0</v>
      </c>
      <c r="J660" s="21">
        <f t="shared" si="300"/>
        <v>0</v>
      </c>
      <c r="K660" s="21">
        <f t="shared" si="301"/>
        <v>0</v>
      </c>
      <c r="L660" s="21">
        <f t="shared" si="302"/>
        <v>0</v>
      </c>
      <c r="M660" s="21">
        <f t="shared" si="303"/>
        <v>0</v>
      </c>
      <c r="N660" s="21">
        <f t="shared" si="304"/>
        <v>0</v>
      </c>
      <c r="O660" s="21">
        <f t="shared" si="305"/>
        <v>0</v>
      </c>
      <c r="P660" s="21">
        <f t="shared" si="306"/>
        <v>0</v>
      </c>
      <c r="Q660" s="21">
        <f t="shared" si="307"/>
        <v>0</v>
      </c>
      <c r="R660" s="21">
        <f t="shared" si="308"/>
        <v>0</v>
      </c>
      <c r="S660" s="21">
        <f t="shared" si="309"/>
        <v>0</v>
      </c>
      <c r="T660" s="21">
        <f t="shared" si="310"/>
        <v>0</v>
      </c>
      <c r="U660" s="21">
        <f t="shared" si="311"/>
        <v>0</v>
      </c>
      <c r="V660" s="21">
        <f t="shared" si="312"/>
        <v>0</v>
      </c>
      <c r="W660" s="21">
        <f t="shared" si="313"/>
        <v>0</v>
      </c>
      <c r="X660" s="21">
        <f t="shared" si="314"/>
        <v>0</v>
      </c>
      <c r="Y660" s="21">
        <f t="shared" si="315"/>
        <v>0</v>
      </c>
      <c r="Z660" s="20">
        <f t="shared" si="316"/>
        <v>0</v>
      </c>
      <c r="AA660" s="21">
        <f t="shared" si="317"/>
        <v>0</v>
      </c>
    </row>
    <row r="661" spans="1:27" x14ac:dyDescent="0.3">
      <c r="A661" s="16">
        <v>6</v>
      </c>
      <c r="B661" s="16">
        <f t="shared" si="292"/>
        <v>2032</v>
      </c>
      <c r="C661" s="16">
        <f t="shared" si="293"/>
        <v>0</v>
      </c>
      <c r="D661" s="16">
        <f t="shared" si="294"/>
        <v>0</v>
      </c>
      <c r="E661" s="16">
        <f t="shared" si="295"/>
        <v>0</v>
      </c>
      <c r="F661" s="21">
        <f t="shared" si="296"/>
        <v>0</v>
      </c>
      <c r="G661" s="21">
        <f t="shared" si="297"/>
        <v>0</v>
      </c>
      <c r="H661" s="21">
        <f t="shared" si="298"/>
        <v>0</v>
      </c>
      <c r="I661" s="21">
        <f t="shared" si="299"/>
        <v>0</v>
      </c>
      <c r="J661" s="21">
        <f t="shared" si="300"/>
        <v>0</v>
      </c>
      <c r="K661" s="21">
        <f t="shared" si="301"/>
        <v>0</v>
      </c>
      <c r="L661" s="21">
        <f t="shared" si="302"/>
        <v>0</v>
      </c>
      <c r="M661" s="21">
        <f t="shared" si="303"/>
        <v>0</v>
      </c>
      <c r="N661" s="21">
        <f t="shared" si="304"/>
        <v>0</v>
      </c>
      <c r="O661" s="21">
        <f t="shared" si="305"/>
        <v>0</v>
      </c>
      <c r="P661" s="21">
        <f t="shared" si="306"/>
        <v>0</v>
      </c>
      <c r="Q661" s="21">
        <f t="shared" si="307"/>
        <v>0</v>
      </c>
      <c r="R661" s="21">
        <f t="shared" si="308"/>
        <v>0</v>
      </c>
      <c r="S661" s="21">
        <f t="shared" si="309"/>
        <v>0</v>
      </c>
      <c r="T661" s="21">
        <f t="shared" si="310"/>
        <v>0</v>
      </c>
      <c r="U661" s="21">
        <f t="shared" si="311"/>
        <v>0</v>
      </c>
      <c r="V661" s="21">
        <f t="shared" si="312"/>
        <v>0</v>
      </c>
      <c r="W661" s="21">
        <f t="shared" si="313"/>
        <v>0</v>
      </c>
      <c r="X661" s="21">
        <f t="shared" si="314"/>
        <v>0</v>
      </c>
      <c r="Y661" s="21">
        <f t="shared" si="315"/>
        <v>0</v>
      </c>
      <c r="Z661" s="20">
        <f t="shared" si="316"/>
        <v>0</v>
      </c>
      <c r="AA661" s="21">
        <f t="shared" si="317"/>
        <v>0</v>
      </c>
    </row>
    <row r="662" spans="1:27" x14ac:dyDescent="0.3">
      <c r="A662" s="16">
        <v>7</v>
      </c>
      <c r="B662" s="16">
        <f t="shared" si="292"/>
        <v>2033</v>
      </c>
      <c r="C662" s="16">
        <f t="shared" si="293"/>
        <v>0</v>
      </c>
      <c r="D662" s="16">
        <f t="shared" si="294"/>
        <v>0</v>
      </c>
      <c r="E662" s="16">
        <f t="shared" si="295"/>
        <v>0</v>
      </c>
      <c r="F662" s="21">
        <f t="shared" si="296"/>
        <v>0</v>
      </c>
      <c r="G662" s="21">
        <f t="shared" si="297"/>
        <v>0</v>
      </c>
      <c r="H662" s="21">
        <f t="shared" si="298"/>
        <v>0</v>
      </c>
      <c r="I662" s="21">
        <f t="shared" si="299"/>
        <v>0</v>
      </c>
      <c r="J662" s="21">
        <f t="shared" si="300"/>
        <v>0</v>
      </c>
      <c r="K662" s="21">
        <f t="shared" si="301"/>
        <v>0</v>
      </c>
      <c r="L662" s="21">
        <f t="shared" si="302"/>
        <v>0</v>
      </c>
      <c r="M662" s="21">
        <f t="shared" si="303"/>
        <v>0</v>
      </c>
      <c r="N662" s="21">
        <f t="shared" si="304"/>
        <v>0</v>
      </c>
      <c r="O662" s="21">
        <f t="shared" si="305"/>
        <v>0</v>
      </c>
      <c r="P662" s="21">
        <f t="shared" si="306"/>
        <v>0</v>
      </c>
      <c r="Q662" s="21">
        <f t="shared" si="307"/>
        <v>0</v>
      </c>
      <c r="R662" s="21">
        <f t="shared" si="308"/>
        <v>0</v>
      </c>
      <c r="S662" s="21">
        <f t="shared" si="309"/>
        <v>0</v>
      </c>
      <c r="T662" s="21">
        <f t="shared" si="310"/>
        <v>0</v>
      </c>
      <c r="U662" s="21">
        <f t="shared" si="311"/>
        <v>0</v>
      </c>
      <c r="V662" s="21">
        <f t="shared" si="312"/>
        <v>0</v>
      </c>
      <c r="W662" s="21">
        <f t="shared" si="313"/>
        <v>0</v>
      </c>
      <c r="X662" s="21">
        <f t="shared" si="314"/>
        <v>0</v>
      </c>
      <c r="Y662" s="21">
        <f t="shared" si="315"/>
        <v>0</v>
      </c>
      <c r="Z662" s="20">
        <f t="shared" si="316"/>
        <v>0</v>
      </c>
      <c r="AA662" s="21">
        <f t="shared" si="317"/>
        <v>0</v>
      </c>
    </row>
    <row r="663" spans="1:27" x14ac:dyDescent="0.3">
      <c r="A663" s="16">
        <v>8</v>
      </c>
      <c r="B663" s="16">
        <f t="shared" si="292"/>
        <v>2034</v>
      </c>
      <c r="C663" s="16">
        <f t="shared" si="293"/>
        <v>0</v>
      </c>
      <c r="D663" s="16">
        <f t="shared" si="294"/>
        <v>0</v>
      </c>
      <c r="E663" s="16">
        <f t="shared" si="295"/>
        <v>0</v>
      </c>
      <c r="F663" s="21">
        <f t="shared" si="296"/>
        <v>0</v>
      </c>
      <c r="G663" s="21">
        <f t="shared" si="297"/>
        <v>0</v>
      </c>
      <c r="H663" s="21">
        <f t="shared" si="298"/>
        <v>0</v>
      </c>
      <c r="I663" s="21">
        <f t="shared" si="299"/>
        <v>0</v>
      </c>
      <c r="J663" s="21">
        <f t="shared" si="300"/>
        <v>0</v>
      </c>
      <c r="K663" s="21">
        <f t="shared" si="301"/>
        <v>0</v>
      </c>
      <c r="L663" s="21">
        <f t="shared" si="302"/>
        <v>0</v>
      </c>
      <c r="M663" s="21">
        <f t="shared" si="303"/>
        <v>0</v>
      </c>
      <c r="N663" s="21">
        <f t="shared" si="304"/>
        <v>0</v>
      </c>
      <c r="O663" s="21">
        <f t="shared" si="305"/>
        <v>0</v>
      </c>
      <c r="P663" s="21">
        <f t="shared" si="306"/>
        <v>0</v>
      </c>
      <c r="Q663" s="21">
        <f t="shared" si="307"/>
        <v>0</v>
      </c>
      <c r="R663" s="21">
        <f t="shared" si="308"/>
        <v>0</v>
      </c>
      <c r="S663" s="21">
        <f t="shared" si="309"/>
        <v>0</v>
      </c>
      <c r="T663" s="21">
        <f t="shared" si="310"/>
        <v>0</v>
      </c>
      <c r="U663" s="21">
        <f t="shared" si="311"/>
        <v>0</v>
      </c>
      <c r="V663" s="21">
        <f t="shared" si="312"/>
        <v>0</v>
      </c>
      <c r="W663" s="21">
        <f t="shared" si="313"/>
        <v>0</v>
      </c>
      <c r="X663" s="21">
        <f t="shared" si="314"/>
        <v>0</v>
      </c>
      <c r="Y663" s="21">
        <f t="shared" si="315"/>
        <v>0</v>
      </c>
      <c r="Z663" s="20">
        <f t="shared" si="316"/>
        <v>0</v>
      </c>
      <c r="AA663" s="21">
        <f t="shared" si="317"/>
        <v>0</v>
      </c>
    </row>
    <row r="664" spans="1:27" x14ac:dyDescent="0.3">
      <c r="A664" s="16">
        <v>9</v>
      </c>
      <c r="B664" s="16">
        <f t="shared" si="292"/>
        <v>2035</v>
      </c>
      <c r="C664" s="16">
        <f t="shared" si="293"/>
        <v>0</v>
      </c>
      <c r="D664" s="16">
        <f t="shared" si="294"/>
        <v>0</v>
      </c>
      <c r="E664" s="16">
        <f t="shared" si="295"/>
        <v>0</v>
      </c>
      <c r="F664" s="21">
        <f t="shared" si="296"/>
        <v>0</v>
      </c>
      <c r="G664" s="21">
        <f t="shared" si="297"/>
        <v>0</v>
      </c>
      <c r="H664" s="21">
        <f t="shared" si="298"/>
        <v>0</v>
      </c>
      <c r="I664" s="21">
        <f t="shared" si="299"/>
        <v>0</v>
      </c>
      <c r="J664" s="21">
        <f t="shared" si="300"/>
        <v>0</v>
      </c>
      <c r="K664" s="21">
        <f t="shared" si="301"/>
        <v>0</v>
      </c>
      <c r="L664" s="21">
        <f t="shared" si="302"/>
        <v>0</v>
      </c>
      <c r="M664" s="21">
        <f t="shared" si="303"/>
        <v>0</v>
      </c>
      <c r="N664" s="21">
        <f t="shared" si="304"/>
        <v>0</v>
      </c>
      <c r="O664" s="21">
        <f t="shared" si="305"/>
        <v>0</v>
      </c>
      <c r="P664" s="21">
        <f t="shared" si="306"/>
        <v>0</v>
      </c>
      <c r="Q664" s="21">
        <f t="shared" si="307"/>
        <v>0</v>
      </c>
      <c r="R664" s="21">
        <f t="shared" si="308"/>
        <v>0</v>
      </c>
      <c r="S664" s="21">
        <f t="shared" si="309"/>
        <v>0</v>
      </c>
      <c r="T664" s="21">
        <f t="shared" si="310"/>
        <v>0</v>
      </c>
      <c r="U664" s="21">
        <f t="shared" si="311"/>
        <v>0</v>
      </c>
      <c r="V664" s="21">
        <f t="shared" si="312"/>
        <v>0</v>
      </c>
      <c r="W664" s="21">
        <f t="shared" si="313"/>
        <v>0</v>
      </c>
      <c r="X664" s="21">
        <f t="shared" si="314"/>
        <v>0</v>
      </c>
      <c r="Y664" s="21">
        <f t="shared" si="315"/>
        <v>0</v>
      </c>
      <c r="Z664" s="20">
        <f t="shared" si="316"/>
        <v>0</v>
      </c>
      <c r="AA664" s="21">
        <f t="shared" si="317"/>
        <v>0</v>
      </c>
    </row>
    <row r="665" spans="1:27" x14ac:dyDescent="0.3">
      <c r="A665" s="8" t="s">
        <v>76</v>
      </c>
      <c r="F665" s="20">
        <f t="shared" ref="F665:AA665" si="318">SUM(F655:F664)</f>
        <v>0</v>
      </c>
      <c r="G665" s="20">
        <f t="shared" si="318"/>
        <v>0</v>
      </c>
      <c r="H665" s="20">
        <f t="shared" si="318"/>
        <v>0</v>
      </c>
      <c r="I665" s="20">
        <f t="shared" si="318"/>
        <v>0</v>
      </c>
      <c r="J665" s="20">
        <f t="shared" si="318"/>
        <v>0</v>
      </c>
      <c r="K665" s="20">
        <f t="shared" si="318"/>
        <v>0</v>
      </c>
      <c r="L665" s="20">
        <f t="shared" si="318"/>
        <v>0</v>
      </c>
      <c r="M665" s="20">
        <f t="shared" si="318"/>
        <v>0</v>
      </c>
      <c r="N665" s="20">
        <f t="shared" si="318"/>
        <v>0</v>
      </c>
      <c r="O665" s="20">
        <f t="shared" si="318"/>
        <v>0</v>
      </c>
      <c r="P665" s="20">
        <f t="shared" si="318"/>
        <v>0</v>
      </c>
      <c r="Q665" s="20">
        <f t="shared" si="318"/>
        <v>0</v>
      </c>
      <c r="R665" s="20">
        <f t="shared" si="318"/>
        <v>0</v>
      </c>
      <c r="S665" s="20">
        <f t="shared" si="318"/>
        <v>0</v>
      </c>
      <c r="T665" s="20">
        <f t="shared" si="318"/>
        <v>0</v>
      </c>
      <c r="U665" s="20">
        <f t="shared" si="318"/>
        <v>0</v>
      </c>
      <c r="V665" s="20">
        <f t="shared" si="318"/>
        <v>0</v>
      </c>
      <c r="W665" s="20">
        <f t="shared" si="318"/>
        <v>0</v>
      </c>
      <c r="X665" s="20">
        <f t="shared" si="318"/>
        <v>0</v>
      </c>
      <c r="Y665" s="20">
        <f t="shared" si="318"/>
        <v>0</v>
      </c>
      <c r="Z665" s="20">
        <f t="shared" si="318"/>
        <v>0</v>
      </c>
      <c r="AA665" s="20">
        <f t="shared" si="318"/>
        <v>0</v>
      </c>
    </row>
    <row r="667" spans="1:27" x14ac:dyDescent="0.3">
      <c r="A667" s="8" t="s">
        <v>161</v>
      </c>
      <c r="B667" s="26">
        <f>$Z$665</f>
        <v>0</v>
      </c>
    </row>
    <row r="668" spans="1:27" x14ac:dyDescent="0.3">
      <c r="A668" s="16" t="s">
        <v>14</v>
      </c>
      <c r="B668" s="21">
        <f>$AA$665-$Z$665</f>
        <v>0</v>
      </c>
    </row>
    <row r="669" spans="1:27" x14ac:dyDescent="0.3">
      <c r="A669" s="16" t="s">
        <v>162</v>
      </c>
      <c r="B669" s="16" t="str">
        <f>IF(OR($F$641="missing",AND($B$624&gt;0,$F$651="missing")),"missing",IF(OR($F$641="estimated",AND($B$624&gt;0,$F$651="estimated")),"estimated",IF($B$624&gt;0,$F$651,$F$641)))</f>
        <v>missing</v>
      </c>
    </row>
    <row r="670" spans="1:27" x14ac:dyDescent="0.3">
      <c r="A670" s="16" t="s">
        <v>163</v>
      </c>
      <c r="B670" s="16">
        <f>IF(OR($F$641="missing",AND($B$624&gt;0,$F$651="missing"),$F$642="missing"),1,0)</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73</vt:i4>
      </vt:variant>
    </vt:vector>
  </HeadingPairs>
  <TitlesOfParts>
    <vt:vector size="89" baseType="lpstr">
      <vt:lpstr>Start Here</vt:lpstr>
      <vt:lpstr>Inputs</vt:lpstr>
      <vt:lpstr>Dashboard</vt:lpstr>
      <vt:lpstr>Compare Countries</vt:lpstr>
      <vt:lpstr>Child 1</vt:lpstr>
      <vt:lpstr>Child 2</vt:lpstr>
      <vt:lpstr>Child 3</vt:lpstr>
      <vt:lpstr>Child 4</vt:lpstr>
      <vt:lpstr>Cost Database</vt:lpstr>
      <vt:lpstr>Fee Records</vt:lpstr>
      <vt:lpstr>Living Costs</vt:lpstr>
      <vt:lpstr>Visas and Travel</vt:lpstr>
      <vt:lpstr>Assumptions and Currency</vt:lpstr>
      <vt:lpstr>Sources and Method</vt:lpstr>
      <vt:lpstr>Lists</vt:lpstr>
      <vt:lpstr>Compare Calc</vt:lpstr>
      <vt:lpstr>CmpChild</vt:lpstr>
      <vt:lpstr>Coverage</vt:lpstr>
      <vt:lpstr>Ctry_Ccy</vt:lpstr>
      <vt:lpstr>Ctry_LInf</vt:lpstr>
      <vt:lpstr>Ctry_Name</vt:lpstr>
      <vt:lpstr>DB_Avail</vt:lpstr>
      <vt:lpstr>DB_Dur</vt:lpstr>
      <vt:lpstr>DB_EduCcy</vt:lpstr>
      <vt:lpstr>DB_EstAdm</vt:lpstr>
      <vt:lpstr>DB_EstBase</vt:lpstr>
      <vt:lpstr>DB_EstCcy</vt:lpstr>
      <vt:lpstr>DB_EstOther</vt:lpstr>
      <vt:lpstr>DB_EstStatus</vt:lpstr>
      <vt:lpstr>DB_EstTuition</vt:lpstr>
      <vt:lpstr>DB_Key</vt:lpstr>
      <vt:lpstr>DB_PreAdm</vt:lpstr>
      <vt:lpstr>DB_PreBase</vt:lpstr>
      <vt:lpstr>DB_PreCcy</vt:lpstr>
      <vt:lpstr>DB_PreOther</vt:lpstr>
      <vt:lpstr>DB_PreStatus</vt:lpstr>
      <vt:lpstr>DB_PreTuition</vt:lpstr>
      <vt:lpstr>DB_PreYears</vt:lpstr>
      <vt:lpstr>DB_RecCcy</vt:lpstr>
      <vt:lpstr>DB_TInf</vt:lpstr>
      <vt:lpstr>DomKey</vt:lpstr>
      <vt:lpstr>FxCodes</vt:lpstr>
      <vt:lpstr>FxUsed</vt:lpstr>
      <vt:lpstr>Liv_accommodation_Amt</vt:lpstr>
      <vt:lpstr>Liv_accommodation_Base</vt:lpstr>
      <vt:lpstr>Liv_accommodation_Ccy</vt:lpstr>
      <vt:lpstr>Liv_accommodation_Status</vt:lpstr>
      <vt:lpstr>Liv_books_Amt</vt:lpstr>
      <vt:lpstr>Liv_books_Base</vt:lpstr>
      <vt:lpstr>Liv_books_Ccy</vt:lpstr>
      <vt:lpstr>Liv_books_Status</vt:lpstr>
      <vt:lpstr>Liv_food_Amt</vt:lpstr>
      <vt:lpstr>Liv_food_Base</vt:lpstr>
      <vt:lpstr>Liv_food_Ccy</vt:lpstr>
      <vt:lpstr>Liv_food_Status</vt:lpstr>
      <vt:lpstr>Liv_healthInsurance_Amt</vt:lpstr>
      <vt:lpstr>Liv_healthInsurance_Base</vt:lpstr>
      <vt:lpstr>Liv_healthInsurance_Ccy</vt:lpstr>
      <vt:lpstr>Liv_healthInsurance_Status</vt:lpstr>
      <vt:lpstr>Liv_transport_Amt</vt:lpstr>
      <vt:lpstr>Liv_transport_Base</vt:lpstr>
      <vt:lpstr>Liv_transport_Ccy</vt:lpstr>
      <vt:lpstr>Liv_transport_Status</vt:lpstr>
      <vt:lpstr>LivKey</vt:lpstr>
      <vt:lpstr>Nationality</vt:lpstr>
      <vt:lpstr>NumChildren</vt:lpstr>
      <vt:lpstr>PlanYear</vt:lpstr>
      <vt:lpstr>RecAdm</vt:lpstr>
      <vt:lpstr>RecKey</vt:lpstr>
      <vt:lpstr>RecOther</vt:lpstr>
      <vt:lpstr>RecTuition</vt:lpstr>
      <vt:lpstr>RecYear</vt:lpstr>
      <vt:lpstr>RepCcy</vt:lpstr>
      <vt:lpstr>Residence</vt:lpstr>
      <vt:lpstr>ResNoVisa</vt:lpstr>
      <vt:lpstr>Ret_Ccy</vt:lpstr>
      <vt:lpstr>Ret_Rate</vt:lpstr>
      <vt:lpstr>ReturnRate</vt:lpstr>
      <vt:lpstr>SavInc</vt:lpstr>
      <vt:lpstr>TravAmt</vt:lpstr>
      <vt:lpstr>TravBase</vt:lpstr>
      <vt:lpstr>TravCcy</vt:lpstr>
      <vt:lpstr>TravKey</vt:lpstr>
      <vt:lpstr>TravStatus</vt:lpstr>
      <vt:lpstr>VisaAmt</vt:lpstr>
      <vt:lpstr>VisaBase</vt:lpstr>
      <vt:lpstr>VisaCcy</vt:lpstr>
      <vt:lpstr>VisaKey</vt:lpstr>
      <vt:lpstr>VisaStatus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Dhanesh Kumar</cp:lastModifiedBy>
  <dcterms:created xsi:type="dcterms:W3CDTF">2026-10-15T17:14:51Z</dcterms:created>
  <dcterms:modified xsi:type="dcterms:W3CDTF">2026-10-15T17:15:09Z</dcterms:modified>
</cp:coreProperties>
</file>